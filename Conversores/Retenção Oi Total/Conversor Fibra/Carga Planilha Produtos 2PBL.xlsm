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728\"/>
    </mc:Choice>
  </mc:AlternateContent>
  <xr:revisionPtr revIDLastSave="0" documentId="10_ncr:100000_{EF0A2620-0638-4E14-9F7D-D33BEDE5B322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2PBL Com Fidelidade" sheetId="1" r:id="rId1"/>
    <sheet name="2PBL Sem Fidelidade" sheetId="2" r:id="rId2"/>
    <sheet name="Erro" sheetId="3" r:id="rId3"/>
    <sheet name="Sheet1" sheetId="4" r:id="rId4"/>
  </sheets>
  <functionGroups builtInGroupCount="19"/>
  <externalReferences>
    <externalReference r:id="rId5"/>
    <externalReference r:id="rId6"/>
    <externalReference r:id="rId7"/>
  </externalReferences>
  <definedNames>
    <definedName name="_xlnm._FilterDatabase" localSheetId="0" hidden="1">'2PBL Com Fidelidade'!$A$4:$AX$280</definedName>
    <definedName name="_xlnm._FilterDatabase" localSheetId="1" hidden="1">'2PBL Sem Fidelidade'!#REF!</definedName>
    <definedName name="dddddd">[1]Settings!$A$1</definedName>
    <definedName name="validValues">[2]Settings!$A$1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4" l="1"/>
  <c r="C15" i="4"/>
  <c r="C16" i="4"/>
  <c r="C17" i="4"/>
  <c r="C18" i="4"/>
  <c r="C19" i="4"/>
  <c r="C13" i="4"/>
  <c r="C3" i="4" l="1"/>
  <c r="C4" i="4"/>
  <c r="C5" i="4"/>
  <c r="C6" i="4"/>
  <c r="C7" i="4"/>
  <c r="C8" i="4"/>
  <c r="C9" i="4"/>
  <c r="C10" i="4"/>
  <c r="C11" i="4"/>
  <c r="C12" i="4"/>
  <c r="C2" i="4"/>
  <c r="ER3" i="3" l="1"/>
  <c r="EH3" i="3"/>
  <c r="EI3" i="3" s="1"/>
  <c r="ED3" i="3"/>
  <c r="EA3" i="3"/>
  <c r="EB3" i="3" s="1"/>
  <c r="DX3" i="3"/>
  <c r="DY3" i="3" s="1"/>
  <c r="DT3" i="3"/>
  <c r="DU3" i="3" s="1"/>
  <c r="DP3" i="3"/>
  <c r="DQ3" i="3" s="1"/>
  <c r="DL3" i="3"/>
  <c r="DM3" i="3" s="1"/>
  <c r="DH3" i="3"/>
  <c r="DI3" i="3" s="1"/>
  <c r="DD3" i="3"/>
  <c r="DE3" i="3" s="1"/>
  <c r="CZ3" i="3"/>
  <c r="DA3" i="3" s="1"/>
  <c r="CV3" i="3"/>
  <c r="CW3" i="3" s="1"/>
  <c r="CR3" i="3"/>
  <c r="CS3" i="3" s="1"/>
  <c r="CN3" i="3"/>
  <c r="CO3" i="3" s="1"/>
  <c r="CJ3" i="3"/>
  <c r="CK3" i="3" s="1"/>
  <c r="CF3" i="3"/>
  <c r="CG3" i="3" s="1"/>
  <c r="CB3" i="3"/>
  <c r="CC3" i="3" s="1"/>
  <c r="BX3" i="3"/>
  <c r="BY3" i="3" s="1"/>
  <c r="BT3" i="3"/>
  <c r="BU3" i="3" s="1"/>
  <c r="BJ3" i="3"/>
  <c r="BK3" i="3" s="1"/>
  <c r="BD3" i="3"/>
  <c r="ER22" i="3" l="1"/>
  <c r="EH22" i="3"/>
  <c r="EI22" i="3" s="1"/>
  <c r="ED22" i="3"/>
  <c r="EA22" i="3"/>
  <c r="EB22" i="3" s="1"/>
  <c r="DX22" i="3"/>
  <c r="DY22" i="3" s="1"/>
  <c r="DT22" i="3"/>
  <c r="DU22" i="3" s="1"/>
  <c r="DP22" i="3"/>
  <c r="DQ22" i="3" s="1"/>
  <c r="DL22" i="3"/>
  <c r="DM22" i="3" s="1"/>
  <c r="DH22" i="3"/>
  <c r="DI22" i="3" s="1"/>
  <c r="DD22" i="3"/>
  <c r="DE22" i="3" s="1"/>
  <c r="CZ22" i="3"/>
  <c r="DA22" i="3" s="1"/>
  <c r="CV22" i="3"/>
  <c r="CW22" i="3" s="1"/>
  <c r="CR22" i="3"/>
  <c r="CS22" i="3" s="1"/>
  <c r="CN22" i="3"/>
  <c r="CO22" i="3" s="1"/>
  <c r="CJ22" i="3"/>
  <c r="CK22" i="3" s="1"/>
  <c r="CF22" i="3"/>
  <c r="CG22" i="3" s="1"/>
  <c r="CB22" i="3"/>
  <c r="CC22" i="3" s="1"/>
  <c r="BX22" i="3"/>
  <c r="BY22" i="3" s="1"/>
  <c r="BT22" i="3"/>
  <c r="BU22" i="3" s="1"/>
  <c r="BJ22" i="3"/>
  <c r="BK22" i="3" s="1"/>
  <c r="BD22" i="3"/>
  <c r="ER21" i="3"/>
  <c r="EH21" i="3"/>
  <c r="EI21" i="3" s="1"/>
  <c r="ED21" i="3"/>
  <c r="EA21" i="3"/>
  <c r="EB21" i="3" s="1"/>
  <c r="DX21" i="3"/>
  <c r="DY21" i="3" s="1"/>
  <c r="DT21" i="3"/>
  <c r="DU21" i="3" s="1"/>
  <c r="DP21" i="3"/>
  <c r="DQ21" i="3" s="1"/>
  <c r="DL21" i="3"/>
  <c r="DM21" i="3" s="1"/>
  <c r="DH21" i="3"/>
  <c r="DI21" i="3" s="1"/>
  <c r="DD21" i="3"/>
  <c r="DE21" i="3" s="1"/>
  <c r="CZ21" i="3"/>
  <c r="DA21" i="3" s="1"/>
  <c r="CV21" i="3"/>
  <c r="CW21" i="3" s="1"/>
  <c r="CR21" i="3"/>
  <c r="CS21" i="3" s="1"/>
  <c r="CN21" i="3"/>
  <c r="CO21" i="3" s="1"/>
  <c r="CJ21" i="3"/>
  <c r="CK21" i="3" s="1"/>
  <c r="CF21" i="3"/>
  <c r="CG21" i="3" s="1"/>
  <c r="CB21" i="3"/>
  <c r="CC21" i="3" s="1"/>
  <c r="BX21" i="3"/>
  <c r="BY21" i="3" s="1"/>
  <c r="BT21" i="3"/>
  <c r="BU21" i="3" s="1"/>
  <c r="BJ21" i="3"/>
  <c r="BK21" i="3" s="1"/>
  <c r="BD21" i="3"/>
  <c r="ER20" i="3"/>
  <c r="EH20" i="3"/>
  <c r="EI20" i="3" s="1"/>
  <c r="ED20" i="3"/>
  <c r="EA20" i="3"/>
  <c r="EB20" i="3" s="1"/>
  <c r="DX20" i="3"/>
  <c r="DY20" i="3" s="1"/>
  <c r="DT20" i="3"/>
  <c r="DU20" i="3" s="1"/>
  <c r="DP20" i="3"/>
  <c r="DQ20" i="3" s="1"/>
  <c r="DL20" i="3"/>
  <c r="DM20" i="3" s="1"/>
  <c r="DH20" i="3"/>
  <c r="DI20" i="3" s="1"/>
  <c r="DD20" i="3"/>
  <c r="DE20" i="3" s="1"/>
  <c r="CZ20" i="3"/>
  <c r="DA20" i="3" s="1"/>
  <c r="CV20" i="3"/>
  <c r="CW20" i="3" s="1"/>
  <c r="CR20" i="3"/>
  <c r="CS20" i="3" s="1"/>
  <c r="CN20" i="3"/>
  <c r="CO20" i="3" s="1"/>
  <c r="CJ20" i="3"/>
  <c r="CK20" i="3" s="1"/>
  <c r="CF20" i="3"/>
  <c r="CG20" i="3" s="1"/>
  <c r="CB20" i="3"/>
  <c r="CC20" i="3" s="1"/>
  <c r="BX20" i="3"/>
  <c r="BY20" i="3" s="1"/>
  <c r="BT20" i="3"/>
  <c r="BU20" i="3" s="1"/>
  <c r="BJ20" i="3"/>
  <c r="BK20" i="3" s="1"/>
  <c r="BD20" i="3"/>
  <c r="ER19" i="3"/>
  <c r="EH19" i="3"/>
  <c r="EI19" i="3" s="1"/>
  <c r="ED19" i="3"/>
  <c r="EA19" i="3"/>
  <c r="EB19" i="3" s="1"/>
  <c r="DX19" i="3"/>
  <c r="DY19" i="3" s="1"/>
  <c r="DT19" i="3"/>
  <c r="DU19" i="3" s="1"/>
  <c r="DP19" i="3"/>
  <c r="DQ19" i="3" s="1"/>
  <c r="DL19" i="3"/>
  <c r="DM19" i="3" s="1"/>
  <c r="DH19" i="3"/>
  <c r="DI19" i="3" s="1"/>
  <c r="DD19" i="3"/>
  <c r="DE19" i="3" s="1"/>
  <c r="CZ19" i="3"/>
  <c r="DA19" i="3" s="1"/>
  <c r="CV19" i="3"/>
  <c r="CW19" i="3" s="1"/>
  <c r="CR19" i="3"/>
  <c r="CS19" i="3" s="1"/>
  <c r="CN19" i="3"/>
  <c r="CO19" i="3" s="1"/>
  <c r="CJ19" i="3"/>
  <c r="CK19" i="3" s="1"/>
  <c r="CF19" i="3"/>
  <c r="CG19" i="3" s="1"/>
  <c r="CB19" i="3"/>
  <c r="CC19" i="3" s="1"/>
  <c r="BX19" i="3"/>
  <c r="BY19" i="3" s="1"/>
  <c r="BT19" i="3"/>
  <c r="BU19" i="3" s="1"/>
  <c r="BJ19" i="3"/>
  <c r="BK19" i="3" s="1"/>
  <c r="BD19" i="3"/>
  <c r="ER18" i="3"/>
  <c r="EH18" i="3"/>
  <c r="EI18" i="3" s="1"/>
  <c r="ED18" i="3"/>
  <c r="EA18" i="3"/>
  <c r="EB18" i="3" s="1"/>
  <c r="DX18" i="3"/>
  <c r="DY18" i="3" s="1"/>
  <c r="DT18" i="3"/>
  <c r="DU18" i="3" s="1"/>
  <c r="DP18" i="3"/>
  <c r="DQ18" i="3" s="1"/>
  <c r="DL18" i="3"/>
  <c r="DM18" i="3" s="1"/>
  <c r="DH18" i="3"/>
  <c r="DI18" i="3" s="1"/>
  <c r="DD18" i="3"/>
  <c r="DE18" i="3" s="1"/>
  <c r="CZ18" i="3"/>
  <c r="DA18" i="3" s="1"/>
  <c r="CV18" i="3"/>
  <c r="CW18" i="3" s="1"/>
  <c r="CR18" i="3"/>
  <c r="CS18" i="3" s="1"/>
  <c r="CN18" i="3"/>
  <c r="CO18" i="3" s="1"/>
  <c r="CJ18" i="3"/>
  <c r="CK18" i="3" s="1"/>
  <c r="CF18" i="3"/>
  <c r="CG18" i="3" s="1"/>
  <c r="CB18" i="3"/>
  <c r="CC18" i="3" s="1"/>
  <c r="BX18" i="3"/>
  <c r="BY18" i="3" s="1"/>
  <c r="BT18" i="3"/>
  <c r="BU18" i="3" s="1"/>
  <c r="BJ18" i="3"/>
  <c r="BK18" i="3" s="1"/>
  <c r="BD18" i="3"/>
  <c r="ER17" i="3"/>
  <c r="EH17" i="3"/>
  <c r="EI17" i="3" s="1"/>
  <c r="ED17" i="3"/>
  <c r="EA17" i="3"/>
  <c r="EB17" i="3" s="1"/>
  <c r="DX17" i="3"/>
  <c r="DY17" i="3" s="1"/>
  <c r="DT17" i="3"/>
  <c r="DU17" i="3" s="1"/>
  <c r="DP17" i="3"/>
  <c r="DQ17" i="3" s="1"/>
  <c r="DL17" i="3"/>
  <c r="DM17" i="3" s="1"/>
  <c r="DH17" i="3"/>
  <c r="DI17" i="3" s="1"/>
  <c r="DD17" i="3"/>
  <c r="DE17" i="3" s="1"/>
  <c r="CZ17" i="3"/>
  <c r="DA17" i="3" s="1"/>
  <c r="CV17" i="3"/>
  <c r="CW17" i="3" s="1"/>
  <c r="CR17" i="3"/>
  <c r="CS17" i="3" s="1"/>
  <c r="CN17" i="3"/>
  <c r="CO17" i="3" s="1"/>
  <c r="CJ17" i="3"/>
  <c r="CK17" i="3" s="1"/>
  <c r="CF17" i="3"/>
  <c r="CG17" i="3" s="1"/>
  <c r="CB17" i="3"/>
  <c r="CC17" i="3" s="1"/>
  <c r="BX17" i="3"/>
  <c r="BY17" i="3" s="1"/>
  <c r="BT17" i="3"/>
  <c r="BU17" i="3" s="1"/>
  <c r="BJ17" i="3"/>
  <c r="BK17" i="3" s="1"/>
  <c r="BD17" i="3"/>
  <c r="ER16" i="3"/>
  <c r="EH16" i="3"/>
  <c r="EI16" i="3" s="1"/>
  <c r="ED16" i="3"/>
  <c r="EA16" i="3"/>
  <c r="EB16" i="3" s="1"/>
  <c r="DX16" i="3"/>
  <c r="DY16" i="3" s="1"/>
  <c r="DT16" i="3"/>
  <c r="DU16" i="3" s="1"/>
  <c r="DP16" i="3"/>
  <c r="DQ16" i="3" s="1"/>
  <c r="DL16" i="3"/>
  <c r="DM16" i="3" s="1"/>
  <c r="DH16" i="3"/>
  <c r="DI16" i="3" s="1"/>
  <c r="DD16" i="3"/>
  <c r="DE16" i="3" s="1"/>
  <c r="CZ16" i="3"/>
  <c r="DA16" i="3" s="1"/>
  <c r="CV16" i="3"/>
  <c r="CW16" i="3" s="1"/>
  <c r="CR16" i="3"/>
  <c r="CS16" i="3" s="1"/>
  <c r="CN16" i="3"/>
  <c r="CO16" i="3" s="1"/>
  <c r="CJ16" i="3"/>
  <c r="CK16" i="3" s="1"/>
  <c r="CF16" i="3"/>
  <c r="CG16" i="3" s="1"/>
  <c r="CB16" i="3"/>
  <c r="CC16" i="3" s="1"/>
  <c r="BX16" i="3"/>
  <c r="BY16" i="3" s="1"/>
  <c r="BT16" i="3"/>
  <c r="BU16" i="3" s="1"/>
  <c r="BJ16" i="3"/>
  <c r="BK16" i="3" s="1"/>
  <c r="BD16" i="3"/>
  <c r="ER15" i="3"/>
  <c r="EH15" i="3"/>
  <c r="EI15" i="3" s="1"/>
  <c r="ED15" i="3"/>
  <c r="EA15" i="3"/>
  <c r="EB15" i="3" s="1"/>
  <c r="DX15" i="3"/>
  <c r="DY15" i="3" s="1"/>
  <c r="DT15" i="3"/>
  <c r="DU15" i="3" s="1"/>
  <c r="DP15" i="3"/>
  <c r="DQ15" i="3" s="1"/>
  <c r="DL15" i="3"/>
  <c r="DM15" i="3" s="1"/>
  <c r="DH15" i="3"/>
  <c r="DI15" i="3" s="1"/>
  <c r="DD15" i="3"/>
  <c r="DE15" i="3" s="1"/>
  <c r="CZ15" i="3"/>
  <c r="DA15" i="3" s="1"/>
  <c r="CV15" i="3"/>
  <c r="CW15" i="3" s="1"/>
  <c r="CR15" i="3"/>
  <c r="CS15" i="3" s="1"/>
  <c r="CN15" i="3"/>
  <c r="CO15" i="3" s="1"/>
  <c r="CJ15" i="3"/>
  <c r="CK15" i="3" s="1"/>
  <c r="CF15" i="3"/>
  <c r="CG15" i="3" s="1"/>
  <c r="CB15" i="3"/>
  <c r="CC15" i="3" s="1"/>
  <c r="BX15" i="3"/>
  <c r="BY15" i="3" s="1"/>
  <c r="BT15" i="3"/>
  <c r="BU15" i="3" s="1"/>
  <c r="BJ15" i="3"/>
  <c r="BK15" i="3" s="1"/>
  <c r="BD15" i="3"/>
  <c r="ER14" i="3"/>
  <c r="EH14" i="3"/>
  <c r="EI14" i="3" s="1"/>
  <c r="ED14" i="3"/>
  <c r="EA14" i="3"/>
  <c r="EB14" i="3" s="1"/>
  <c r="DX14" i="3"/>
  <c r="DY14" i="3" s="1"/>
  <c r="DT14" i="3"/>
  <c r="DU14" i="3" s="1"/>
  <c r="DP14" i="3"/>
  <c r="DQ14" i="3" s="1"/>
  <c r="DL14" i="3"/>
  <c r="DM14" i="3" s="1"/>
  <c r="DH14" i="3"/>
  <c r="DI14" i="3" s="1"/>
  <c r="DD14" i="3"/>
  <c r="DE14" i="3" s="1"/>
  <c r="CZ14" i="3"/>
  <c r="DA14" i="3" s="1"/>
  <c r="CV14" i="3"/>
  <c r="CW14" i="3" s="1"/>
  <c r="CR14" i="3"/>
  <c r="CS14" i="3" s="1"/>
  <c r="CN14" i="3"/>
  <c r="CO14" i="3" s="1"/>
  <c r="CJ14" i="3"/>
  <c r="CK14" i="3" s="1"/>
  <c r="CF14" i="3"/>
  <c r="CG14" i="3" s="1"/>
  <c r="CB14" i="3"/>
  <c r="CC14" i="3" s="1"/>
  <c r="BX14" i="3"/>
  <c r="BY14" i="3" s="1"/>
  <c r="BT14" i="3"/>
  <c r="BU14" i="3" s="1"/>
  <c r="BJ14" i="3"/>
  <c r="BK14" i="3" s="1"/>
  <c r="BD14" i="3"/>
  <c r="ER13" i="3"/>
  <c r="EH13" i="3"/>
  <c r="EI13" i="3" s="1"/>
  <c r="ED13" i="3"/>
  <c r="EA13" i="3"/>
  <c r="EB13" i="3" s="1"/>
  <c r="DX13" i="3"/>
  <c r="DY13" i="3" s="1"/>
  <c r="DT13" i="3"/>
  <c r="DU13" i="3" s="1"/>
  <c r="DP13" i="3"/>
  <c r="DQ13" i="3" s="1"/>
  <c r="DL13" i="3"/>
  <c r="DM13" i="3" s="1"/>
  <c r="DH13" i="3"/>
  <c r="DI13" i="3" s="1"/>
  <c r="DD13" i="3"/>
  <c r="DE13" i="3" s="1"/>
  <c r="CZ13" i="3"/>
  <c r="DA13" i="3" s="1"/>
  <c r="CV13" i="3"/>
  <c r="CW13" i="3" s="1"/>
  <c r="CR13" i="3"/>
  <c r="CS13" i="3" s="1"/>
  <c r="CN13" i="3"/>
  <c r="CO13" i="3" s="1"/>
  <c r="CJ13" i="3"/>
  <c r="CK13" i="3" s="1"/>
  <c r="CF13" i="3"/>
  <c r="CG13" i="3" s="1"/>
  <c r="CB13" i="3"/>
  <c r="CC13" i="3" s="1"/>
  <c r="BX13" i="3"/>
  <c r="BY13" i="3" s="1"/>
  <c r="BT13" i="3"/>
  <c r="BU13" i="3" s="1"/>
  <c r="BJ13" i="3"/>
  <c r="BK13" i="3" s="1"/>
  <c r="BD13" i="3"/>
  <c r="ER12" i="3"/>
  <c r="EH12" i="3"/>
  <c r="EI12" i="3" s="1"/>
  <c r="ED12" i="3"/>
  <c r="EA12" i="3"/>
  <c r="EB12" i="3" s="1"/>
  <c r="DX12" i="3"/>
  <c r="DY12" i="3" s="1"/>
  <c r="DT12" i="3"/>
  <c r="DU12" i="3" s="1"/>
  <c r="DP12" i="3"/>
  <c r="DQ12" i="3" s="1"/>
  <c r="DL12" i="3"/>
  <c r="DM12" i="3" s="1"/>
  <c r="DH12" i="3"/>
  <c r="DI12" i="3" s="1"/>
  <c r="DD12" i="3"/>
  <c r="DE12" i="3" s="1"/>
  <c r="CZ12" i="3"/>
  <c r="DA12" i="3" s="1"/>
  <c r="CV12" i="3"/>
  <c r="CW12" i="3" s="1"/>
  <c r="CR12" i="3"/>
  <c r="CS12" i="3" s="1"/>
  <c r="CN12" i="3"/>
  <c r="CO12" i="3" s="1"/>
  <c r="CJ12" i="3"/>
  <c r="CK12" i="3" s="1"/>
  <c r="CF12" i="3"/>
  <c r="CG12" i="3" s="1"/>
  <c r="CB12" i="3"/>
  <c r="CC12" i="3" s="1"/>
  <c r="BX12" i="3"/>
  <c r="BY12" i="3" s="1"/>
  <c r="BT12" i="3"/>
  <c r="BU12" i="3" s="1"/>
  <c r="BJ12" i="3"/>
  <c r="BK12" i="3" s="1"/>
  <c r="BD12" i="3"/>
  <c r="ER11" i="3"/>
  <c r="EH11" i="3"/>
  <c r="EI11" i="3" s="1"/>
  <c r="ED11" i="3"/>
  <c r="EA11" i="3"/>
  <c r="EB11" i="3" s="1"/>
  <c r="DX11" i="3"/>
  <c r="DY11" i="3" s="1"/>
  <c r="DT11" i="3"/>
  <c r="DU11" i="3" s="1"/>
  <c r="DP11" i="3"/>
  <c r="DQ11" i="3" s="1"/>
  <c r="DL11" i="3"/>
  <c r="DM11" i="3" s="1"/>
  <c r="DH11" i="3"/>
  <c r="DI11" i="3" s="1"/>
  <c r="DD11" i="3"/>
  <c r="DE11" i="3" s="1"/>
  <c r="CZ11" i="3"/>
  <c r="DA11" i="3" s="1"/>
  <c r="CV11" i="3"/>
  <c r="CW11" i="3" s="1"/>
  <c r="CR11" i="3"/>
  <c r="CS11" i="3" s="1"/>
  <c r="CN11" i="3"/>
  <c r="CO11" i="3" s="1"/>
  <c r="CJ11" i="3"/>
  <c r="CK11" i="3" s="1"/>
  <c r="CF11" i="3"/>
  <c r="CG11" i="3" s="1"/>
  <c r="CB11" i="3"/>
  <c r="CC11" i="3" s="1"/>
  <c r="BX11" i="3"/>
  <c r="BY11" i="3" s="1"/>
  <c r="BT11" i="3"/>
  <c r="BU11" i="3" s="1"/>
  <c r="BJ11" i="3"/>
  <c r="BK11" i="3" s="1"/>
  <c r="BD11" i="3"/>
  <c r="ER10" i="3"/>
  <c r="EH10" i="3"/>
  <c r="EI10" i="3" s="1"/>
  <c r="ED10" i="3"/>
  <c r="EA10" i="3"/>
  <c r="EB10" i="3" s="1"/>
  <c r="DX10" i="3"/>
  <c r="DY10" i="3" s="1"/>
  <c r="DT10" i="3"/>
  <c r="DU10" i="3" s="1"/>
  <c r="DP10" i="3"/>
  <c r="DQ10" i="3" s="1"/>
  <c r="DL10" i="3"/>
  <c r="DM10" i="3" s="1"/>
  <c r="DH10" i="3"/>
  <c r="DI10" i="3" s="1"/>
  <c r="DD10" i="3"/>
  <c r="DE10" i="3" s="1"/>
  <c r="CZ10" i="3"/>
  <c r="DA10" i="3" s="1"/>
  <c r="CV10" i="3"/>
  <c r="CW10" i="3" s="1"/>
  <c r="CR10" i="3"/>
  <c r="CS10" i="3" s="1"/>
  <c r="CN10" i="3"/>
  <c r="CO10" i="3" s="1"/>
  <c r="CJ10" i="3"/>
  <c r="CK10" i="3" s="1"/>
  <c r="CF10" i="3"/>
  <c r="CG10" i="3" s="1"/>
  <c r="CB10" i="3"/>
  <c r="CC10" i="3" s="1"/>
  <c r="BX10" i="3"/>
  <c r="BY10" i="3" s="1"/>
  <c r="BT10" i="3"/>
  <c r="BU10" i="3" s="1"/>
  <c r="BJ10" i="3"/>
  <c r="BK10" i="3" s="1"/>
  <c r="BD10" i="3"/>
  <c r="ER9" i="3"/>
  <c r="EH9" i="3"/>
  <c r="EI9" i="3" s="1"/>
  <c r="ED9" i="3"/>
  <c r="EA9" i="3"/>
  <c r="EB9" i="3" s="1"/>
  <c r="DX9" i="3"/>
  <c r="DY9" i="3" s="1"/>
  <c r="DT9" i="3"/>
  <c r="DU9" i="3" s="1"/>
  <c r="DP9" i="3"/>
  <c r="DQ9" i="3" s="1"/>
  <c r="DL9" i="3"/>
  <c r="DM9" i="3" s="1"/>
  <c r="DH9" i="3"/>
  <c r="DI9" i="3" s="1"/>
  <c r="DD9" i="3"/>
  <c r="DE9" i="3" s="1"/>
  <c r="CZ9" i="3"/>
  <c r="DA9" i="3" s="1"/>
  <c r="CV9" i="3"/>
  <c r="CW9" i="3" s="1"/>
  <c r="CR9" i="3"/>
  <c r="CS9" i="3" s="1"/>
  <c r="CN9" i="3"/>
  <c r="CO9" i="3" s="1"/>
  <c r="CJ9" i="3"/>
  <c r="CK9" i="3" s="1"/>
  <c r="CF9" i="3"/>
  <c r="CG9" i="3" s="1"/>
  <c r="CB9" i="3"/>
  <c r="CC9" i="3" s="1"/>
  <c r="BX9" i="3"/>
  <c r="BY9" i="3" s="1"/>
  <c r="BT9" i="3"/>
  <c r="BU9" i="3" s="1"/>
  <c r="BJ9" i="3"/>
  <c r="BK9" i="3" s="1"/>
  <c r="BD9" i="3"/>
  <c r="ER8" i="3"/>
  <c r="EH8" i="3"/>
  <c r="EI8" i="3" s="1"/>
  <c r="ED8" i="3"/>
  <c r="EA8" i="3"/>
  <c r="EB8" i="3" s="1"/>
  <c r="DX8" i="3"/>
  <c r="DY8" i="3" s="1"/>
  <c r="DT8" i="3"/>
  <c r="DU8" i="3" s="1"/>
  <c r="DP8" i="3"/>
  <c r="DQ8" i="3" s="1"/>
  <c r="DL8" i="3"/>
  <c r="DM8" i="3" s="1"/>
  <c r="DH8" i="3"/>
  <c r="DI8" i="3" s="1"/>
  <c r="DD8" i="3"/>
  <c r="DE8" i="3" s="1"/>
  <c r="CZ8" i="3"/>
  <c r="DA8" i="3" s="1"/>
  <c r="CV8" i="3"/>
  <c r="CW8" i="3" s="1"/>
  <c r="CR8" i="3"/>
  <c r="CS8" i="3" s="1"/>
  <c r="CN8" i="3"/>
  <c r="CO8" i="3" s="1"/>
  <c r="CJ8" i="3"/>
  <c r="CK8" i="3" s="1"/>
  <c r="CF8" i="3"/>
  <c r="CG8" i="3" s="1"/>
  <c r="CB8" i="3"/>
  <c r="CC8" i="3" s="1"/>
  <c r="BX8" i="3"/>
  <c r="BY8" i="3" s="1"/>
  <c r="BT8" i="3"/>
  <c r="BU8" i="3" s="1"/>
  <c r="BJ8" i="3"/>
  <c r="BK8" i="3" s="1"/>
  <c r="BD8" i="3"/>
  <c r="ER7" i="3"/>
  <c r="EH7" i="3"/>
  <c r="EI7" i="3" s="1"/>
  <c r="ED7" i="3"/>
  <c r="EA7" i="3"/>
  <c r="EB7" i="3" s="1"/>
  <c r="DX7" i="3"/>
  <c r="DY7" i="3" s="1"/>
  <c r="DT7" i="3"/>
  <c r="DU7" i="3" s="1"/>
  <c r="DP7" i="3"/>
  <c r="DQ7" i="3" s="1"/>
  <c r="DL7" i="3"/>
  <c r="DM7" i="3" s="1"/>
  <c r="DH7" i="3"/>
  <c r="DI7" i="3" s="1"/>
  <c r="DD7" i="3"/>
  <c r="DE7" i="3" s="1"/>
  <c r="CZ7" i="3"/>
  <c r="DA7" i="3" s="1"/>
  <c r="CV7" i="3"/>
  <c r="CW7" i="3" s="1"/>
  <c r="CR7" i="3"/>
  <c r="CS7" i="3" s="1"/>
  <c r="CN7" i="3"/>
  <c r="CO7" i="3" s="1"/>
  <c r="CJ7" i="3"/>
  <c r="CK7" i="3" s="1"/>
  <c r="CF7" i="3"/>
  <c r="CG7" i="3" s="1"/>
  <c r="CB7" i="3"/>
  <c r="CC7" i="3" s="1"/>
  <c r="BX7" i="3"/>
  <c r="BY7" i="3" s="1"/>
  <c r="BT7" i="3"/>
  <c r="BU7" i="3" s="1"/>
  <c r="BJ7" i="3"/>
  <c r="BK7" i="3" s="1"/>
  <c r="BD7" i="3"/>
  <c r="ER6" i="3"/>
  <c r="EH6" i="3"/>
  <c r="EI6" i="3" s="1"/>
  <c r="ED6" i="3"/>
  <c r="EA6" i="3"/>
  <c r="EB6" i="3" s="1"/>
  <c r="DX6" i="3"/>
  <c r="DY6" i="3" s="1"/>
  <c r="DT6" i="3"/>
  <c r="DU6" i="3" s="1"/>
  <c r="DP6" i="3"/>
  <c r="DQ6" i="3" s="1"/>
  <c r="DL6" i="3"/>
  <c r="DM6" i="3" s="1"/>
  <c r="DH6" i="3"/>
  <c r="DI6" i="3" s="1"/>
  <c r="DD6" i="3"/>
  <c r="DE6" i="3" s="1"/>
  <c r="CZ6" i="3"/>
  <c r="DA6" i="3" s="1"/>
  <c r="CV6" i="3"/>
  <c r="CW6" i="3" s="1"/>
  <c r="CR6" i="3"/>
  <c r="CS6" i="3" s="1"/>
  <c r="CN6" i="3"/>
  <c r="CO6" i="3" s="1"/>
  <c r="CJ6" i="3"/>
  <c r="CK6" i="3" s="1"/>
  <c r="CF6" i="3"/>
  <c r="CG6" i="3" s="1"/>
  <c r="CB6" i="3"/>
  <c r="CC6" i="3" s="1"/>
  <c r="BX6" i="3"/>
  <c r="BY6" i="3" s="1"/>
  <c r="BT6" i="3"/>
  <c r="BU6" i="3" s="1"/>
  <c r="BJ6" i="3"/>
  <c r="BK6" i="3" s="1"/>
  <c r="BD6" i="3"/>
  <c r="ER5" i="3"/>
  <c r="EH5" i="3"/>
  <c r="EI5" i="3" s="1"/>
  <c r="ED5" i="3"/>
  <c r="EA5" i="3"/>
  <c r="EB5" i="3" s="1"/>
  <c r="DX5" i="3"/>
  <c r="DY5" i="3" s="1"/>
  <c r="DT5" i="3"/>
  <c r="DU5" i="3" s="1"/>
  <c r="DP5" i="3"/>
  <c r="DQ5" i="3" s="1"/>
  <c r="DL5" i="3"/>
  <c r="DM5" i="3" s="1"/>
  <c r="DH5" i="3"/>
  <c r="DI5" i="3" s="1"/>
  <c r="DD5" i="3"/>
  <c r="DE5" i="3" s="1"/>
  <c r="CZ5" i="3"/>
  <c r="DA5" i="3" s="1"/>
  <c r="CV5" i="3"/>
  <c r="CW5" i="3" s="1"/>
  <c r="CR5" i="3"/>
  <c r="CS5" i="3" s="1"/>
  <c r="CN5" i="3"/>
  <c r="CO5" i="3" s="1"/>
  <c r="CJ5" i="3"/>
  <c r="CK5" i="3" s="1"/>
  <c r="CF5" i="3"/>
  <c r="CG5" i="3" s="1"/>
  <c r="CB5" i="3"/>
  <c r="CC5" i="3" s="1"/>
  <c r="BX5" i="3"/>
  <c r="BY5" i="3" s="1"/>
  <c r="BT5" i="3"/>
  <c r="BU5" i="3" s="1"/>
  <c r="BJ5" i="3"/>
  <c r="BK5" i="3" s="1"/>
  <c r="BD5" i="3"/>
  <c r="ER4" i="3"/>
  <c r="EH4" i="3"/>
  <c r="EI4" i="3" s="1"/>
  <c r="ED4" i="3"/>
  <c r="EA4" i="3"/>
  <c r="EB4" i="3" s="1"/>
  <c r="DX4" i="3"/>
  <c r="DY4" i="3" s="1"/>
  <c r="DT4" i="3"/>
  <c r="DU4" i="3" s="1"/>
  <c r="DP4" i="3"/>
  <c r="DQ4" i="3" s="1"/>
  <c r="DL4" i="3"/>
  <c r="DM4" i="3" s="1"/>
  <c r="DH4" i="3"/>
  <c r="DI4" i="3" s="1"/>
  <c r="DD4" i="3"/>
  <c r="DE4" i="3" s="1"/>
  <c r="CZ4" i="3"/>
  <c r="DA4" i="3" s="1"/>
  <c r="CV4" i="3"/>
  <c r="CW4" i="3" s="1"/>
  <c r="CR4" i="3"/>
  <c r="CS4" i="3" s="1"/>
  <c r="CN4" i="3"/>
  <c r="CO4" i="3" s="1"/>
  <c r="CJ4" i="3"/>
  <c r="CK4" i="3" s="1"/>
  <c r="CF4" i="3"/>
  <c r="CG4" i="3" s="1"/>
  <c r="CB4" i="3"/>
  <c r="CC4" i="3" s="1"/>
  <c r="BX4" i="3"/>
  <c r="BY4" i="3" s="1"/>
  <c r="BT4" i="3"/>
  <c r="BU4" i="3" s="1"/>
  <c r="BJ4" i="3"/>
  <c r="BK4" i="3" s="1"/>
  <c r="BD4" i="3"/>
  <c r="EC1" i="3"/>
  <c r="DZ1" i="3"/>
  <c r="DR1" i="3"/>
  <c r="DJ1" i="3"/>
  <c r="DB1" i="3"/>
  <c r="CT1" i="3"/>
  <c r="CP1" i="3"/>
  <c r="CL1" i="3"/>
  <c r="CH1" i="3"/>
  <c r="CD1" i="3"/>
  <c r="BZ1" i="3"/>
  <c r="BV1" i="3"/>
  <c r="BR1" i="3"/>
  <c r="BI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748EF84C-DB05-42C0-B082-28314A6209DD}">
      <text/>
    </comment>
    <comment ref="C4" authorId="1" shapeId="0" xr:uid="{55A2622E-15F7-431B-8779-994E231D2033}">
      <text/>
    </comment>
    <comment ref="D4" authorId="1" shapeId="0" xr:uid="{265B384D-B8BC-4D72-BB9E-D612B2EBCDB3}">
      <text/>
    </comment>
    <comment ref="E4" authorId="1" shapeId="0" xr:uid="{E17DBAE1-86D6-4088-A873-4DC41537FCE4}">
      <text/>
    </comment>
    <comment ref="F4" authorId="1" shapeId="0" xr:uid="{5364C91B-08E7-4A7C-A230-47DAAA355EC8}">
      <text/>
    </comment>
    <comment ref="G4" authorId="1" shapeId="0" xr:uid="{15ABA0F8-D5EC-4347-8C41-86A86E14DAD9}">
      <text/>
    </comment>
    <comment ref="H4" authorId="1" shapeId="0" xr:uid="{D4567FF2-44D9-4587-A505-5EA3AC256E60}">
      <text/>
    </comment>
    <comment ref="I4" authorId="1" shapeId="0" xr:uid="{79082DE3-B9F9-4FCE-B425-3FAD85C379D8}">
      <text/>
    </comment>
    <comment ref="J4" authorId="1" shapeId="0" xr:uid="{6129FA3A-5433-4D98-B878-17AD1705E3EC}">
      <text/>
    </comment>
    <comment ref="K4" authorId="1" shapeId="0" xr:uid="{D2695969-A84B-4F6C-B434-EFE31A13B761}">
      <text/>
    </comment>
    <comment ref="L4" authorId="1" shapeId="0" xr:uid="{10C34440-AF0F-4F53-9E4A-E5D13EDD6176}">
      <text/>
    </comment>
    <comment ref="M4" authorId="1" shapeId="0" xr:uid="{95BD0772-85DA-4644-902F-1D2AF3B65CD1}">
      <text/>
    </comment>
    <comment ref="N4" authorId="1" shapeId="0" xr:uid="{722A8654-EF48-4573-9F20-11080CCC8ADF}">
      <text/>
    </comment>
    <comment ref="O4" authorId="1" shapeId="0" xr:uid="{E6FF899F-5DEE-47A5-B6DE-D98356D5EC22}">
      <text/>
    </comment>
    <comment ref="P4" authorId="1" shapeId="0" xr:uid="{8C0CD7D2-C4FA-451B-92C5-27F805A29E27}">
      <text/>
    </comment>
    <comment ref="R4" authorId="1" shapeId="0" xr:uid="{9703D4D0-0CB3-4A55-AAB0-57C1333017AA}">
      <text/>
    </comment>
    <comment ref="S4" authorId="1" shapeId="0" xr:uid="{C7A143D0-FFC9-4985-AFF6-02734C089531}">
      <text/>
    </comment>
    <comment ref="T4" authorId="1" shapeId="0" xr:uid="{C89452F4-513B-467F-8365-4144E48F05B5}">
      <text/>
    </comment>
    <comment ref="U4" authorId="1" shapeId="0" xr:uid="{A5AE6F1D-D5CB-47A7-8739-E604B0FFF4F3}">
      <text/>
    </comment>
    <comment ref="V4" authorId="1" shapeId="0" xr:uid="{CBE140A7-50E8-4EA6-BAB0-427AA991CD55}">
      <text/>
    </comment>
    <comment ref="W4" authorId="1" shapeId="0" xr:uid="{E528C636-3D7D-4EE3-8E55-E1BA2533BACB}">
      <text/>
    </comment>
    <comment ref="X4" authorId="1" shapeId="0" xr:uid="{D9D3B149-A16F-4767-9481-BE66C04E7FA7}">
      <text/>
    </comment>
    <comment ref="Y4" authorId="1" shapeId="0" xr:uid="{A0B55BE8-DEE2-4403-ADCD-788AF5FF158D}">
      <text/>
    </comment>
    <comment ref="Z4" authorId="1" shapeId="0" xr:uid="{AEBD8D72-A258-428C-B80E-FD77308C29AE}">
      <text/>
    </comment>
    <comment ref="AA4" authorId="1" shapeId="0" xr:uid="{C049DF64-74A4-4E31-A26C-0E5717354018}">
      <text/>
    </comment>
    <comment ref="AB4" authorId="1" shapeId="0" xr:uid="{F0DFCD64-3400-4919-81C1-35144E03E8F8}">
      <text/>
    </comment>
    <comment ref="AC4" authorId="1" shapeId="0" xr:uid="{C8C0DE9A-1EE4-4B3E-B402-29389B53AED7}">
      <text/>
    </comment>
    <comment ref="AD4" authorId="1" shapeId="0" xr:uid="{82E6D8F2-E4B6-4086-A669-53645482FC24}">
      <text/>
    </comment>
    <comment ref="AE4" authorId="1" shapeId="0" xr:uid="{C2AEA4B4-B30F-40F1-B9A8-525ECF2671EA}">
      <text/>
    </comment>
    <comment ref="AF4" authorId="1" shapeId="0" xr:uid="{7169497A-3474-487E-9C0A-2488F3317D04}">
      <text/>
    </comment>
    <comment ref="AG4" authorId="1" shapeId="0" xr:uid="{0FAF66F0-DAF8-4AE1-9A9F-DA056316BDFC}">
      <text/>
    </comment>
    <comment ref="AH4" authorId="1" shapeId="0" xr:uid="{09159A2E-6BA0-47EC-A17D-77F7FF04A557}">
      <text/>
    </comment>
    <comment ref="AI4" authorId="1" shapeId="0" xr:uid="{77433CCC-A18F-4EBE-9A62-0F00EE68F140}">
      <text/>
    </comment>
    <comment ref="AJ4" authorId="1" shapeId="0" xr:uid="{50A0A99D-82C6-4FEF-A1C4-D6CAB4B91C96}">
      <text/>
    </comment>
    <comment ref="AK4" authorId="1" shapeId="0" xr:uid="{CEFA5B8A-C531-406A-A6F9-3C4365D683CB}">
      <text/>
    </comment>
    <comment ref="AL4" authorId="1" shapeId="0" xr:uid="{3496BB70-211E-4ED9-AED0-AC8E47387E21}">
      <text/>
    </comment>
    <comment ref="AM4" authorId="1" shapeId="0" xr:uid="{1DAF114A-A8BF-408E-A7E8-3761F0AEB852}">
      <text/>
    </comment>
    <comment ref="AN4" authorId="1" shapeId="0" xr:uid="{56AE5E43-82B4-45F9-8704-E627C787C032}">
      <text/>
    </comment>
    <comment ref="AO4" authorId="1" shapeId="0" xr:uid="{D4AFC19F-98A3-49D9-8221-186E2512898F}">
      <text/>
    </comment>
    <comment ref="AP4" authorId="1" shapeId="0" xr:uid="{00606287-60A8-49A5-A1E0-4D798D9AE64B}">
      <text/>
    </comment>
    <comment ref="AQ4" authorId="1" shapeId="0" xr:uid="{EDE91425-9622-4442-9A79-B8CACB6C6667}">
      <text/>
    </comment>
    <comment ref="AR4" authorId="1" shapeId="0" xr:uid="{3F1CED49-3DB8-4610-9CBB-9AB25AB385D7}">
      <text/>
    </comment>
    <comment ref="AS4" authorId="1" shapeId="0" xr:uid="{6D644066-419F-4E9B-8826-09288A6ACEDB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100-000001000000}">
      <text/>
    </comment>
    <comment ref="C4" authorId="1" shapeId="0" xr:uid="{00000000-0006-0000-0100-000002000000}">
      <text/>
    </comment>
    <comment ref="D4" authorId="1" shapeId="0" xr:uid="{00000000-0006-0000-0100-000003000000}">
      <text/>
    </comment>
    <comment ref="E4" authorId="1" shapeId="0" xr:uid="{00000000-0006-0000-0100-000004000000}">
      <text/>
    </comment>
    <comment ref="F4" authorId="1" shapeId="0" xr:uid="{00000000-0006-0000-0100-000005000000}">
      <text/>
    </comment>
    <comment ref="G4" authorId="1" shapeId="0" xr:uid="{00000000-0006-0000-0100-000006000000}">
      <text/>
    </comment>
    <comment ref="H4" authorId="1" shapeId="0" xr:uid="{00000000-0006-0000-0100-000007000000}">
      <text/>
    </comment>
    <comment ref="I4" authorId="1" shapeId="0" xr:uid="{00000000-0006-0000-0100-000008000000}">
      <text/>
    </comment>
    <comment ref="J4" authorId="1" shapeId="0" xr:uid="{00000000-0006-0000-0100-000009000000}">
      <text/>
    </comment>
    <comment ref="K4" authorId="1" shapeId="0" xr:uid="{00000000-0006-0000-0100-00000A000000}">
      <text/>
    </comment>
    <comment ref="L4" authorId="1" shapeId="0" xr:uid="{00000000-0006-0000-0100-00000B000000}">
      <text/>
    </comment>
    <comment ref="M4" authorId="1" shapeId="0" xr:uid="{00000000-0006-0000-0100-00000C000000}">
      <text/>
    </comment>
    <comment ref="N4" authorId="1" shapeId="0" xr:uid="{00000000-0006-0000-0100-00000D000000}">
      <text/>
    </comment>
    <comment ref="O4" authorId="1" shapeId="0" xr:uid="{00000000-0006-0000-0100-00000E000000}">
      <text/>
    </comment>
    <comment ref="Q4" authorId="1" shapeId="0" xr:uid="{00000000-0006-0000-0100-00000F000000}">
      <text/>
    </comment>
    <comment ref="R4" authorId="1" shapeId="0" xr:uid="{00000000-0006-0000-0100-000010000000}">
      <text/>
    </comment>
    <comment ref="S4" authorId="1" shapeId="0" xr:uid="{00000000-0006-0000-0100-000011000000}">
      <text/>
    </comment>
    <comment ref="T4" authorId="1" shapeId="0" xr:uid="{00000000-0006-0000-0100-000012000000}">
      <text/>
    </comment>
    <comment ref="U4" authorId="1" shapeId="0" xr:uid="{00000000-0006-0000-0100-000013000000}">
      <text/>
    </comment>
    <comment ref="V4" authorId="1" shapeId="0" xr:uid="{00000000-0006-0000-0100-000014000000}">
      <text/>
    </comment>
    <comment ref="W4" authorId="1" shapeId="0" xr:uid="{00000000-0006-0000-0100-000015000000}">
      <text/>
    </comment>
    <comment ref="X4" authorId="1" shapeId="0" xr:uid="{00000000-0006-0000-0100-000016000000}">
      <text/>
    </comment>
    <comment ref="Y4" authorId="1" shapeId="0" xr:uid="{00000000-0006-0000-0100-000017000000}">
      <text/>
    </comment>
    <comment ref="Z4" authorId="1" shapeId="0" xr:uid="{00000000-0006-0000-0100-000018000000}">
      <text/>
    </comment>
    <comment ref="AA4" authorId="1" shapeId="0" xr:uid="{00000000-0006-0000-0100-000019000000}">
      <text/>
    </comment>
    <comment ref="AB4" authorId="1" shapeId="0" xr:uid="{00000000-0006-0000-0100-00001A000000}">
      <text/>
    </comment>
    <comment ref="AC4" authorId="1" shapeId="0" xr:uid="{00000000-0006-0000-0100-00001B000000}">
      <text/>
    </comment>
    <comment ref="AD4" authorId="1" shapeId="0" xr:uid="{00000000-0006-0000-0100-00001C000000}">
      <text/>
    </comment>
    <comment ref="AE4" authorId="1" shapeId="0" xr:uid="{00000000-0006-0000-0100-00001D000000}">
      <text/>
    </comment>
    <comment ref="AF4" authorId="1" shapeId="0" xr:uid="{00000000-0006-0000-0100-00001E000000}">
      <text/>
    </comment>
    <comment ref="AG4" authorId="1" shapeId="0" xr:uid="{00000000-0006-0000-0100-00001F000000}">
      <text/>
    </comment>
    <comment ref="AH4" authorId="1" shapeId="0" xr:uid="{00000000-0006-0000-0100-000020000000}">
      <text/>
    </comment>
    <comment ref="AI4" authorId="1" shapeId="0" xr:uid="{00000000-0006-0000-0100-000021000000}">
      <text/>
    </comment>
    <comment ref="AJ4" authorId="1" shapeId="0" xr:uid="{00000000-0006-0000-0100-000022000000}">
      <text/>
    </comment>
    <comment ref="AK4" authorId="1" shapeId="0" xr:uid="{00000000-0006-0000-0100-000023000000}">
      <text/>
    </comment>
    <comment ref="AL4" authorId="1" shapeId="0" xr:uid="{00000000-0006-0000-0100-000024000000}">
      <text/>
    </comment>
    <comment ref="AM4" authorId="1" shapeId="0" xr:uid="{00000000-0006-0000-0100-000025000000}">
      <text/>
    </comment>
    <comment ref="AN4" authorId="1" shapeId="0" xr:uid="{00000000-0006-0000-0100-000026000000}">
      <text/>
    </comment>
    <comment ref="AO4" authorId="1" shapeId="0" xr:uid="{00000000-0006-0000-0100-000027000000}">
      <text/>
    </comment>
    <comment ref="AP4" authorId="1" shapeId="0" xr:uid="{00000000-0006-0000-0100-000028000000}">
      <text/>
    </comment>
    <comment ref="AQ4" authorId="1" shapeId="0" xr:uid="{00000000-0006-0000-0100-000029000000}">
      <text/>
    </comment>
    <comment ref="AR4" authorId="1" shapeId="0" xr:uid="{00000000-0006-0000-0100-00002A000000}">
      <text/>
    </comment>
    <comment ref="AS4" authorId="1" shapeId="0" xr:uid="{00000000-0006-0000-0100-00002B000000}">
      <text/>
    </comment>
    <comment ref="AT4" authorId="1" shapeId="0" xr:uid="{00000000-0006-0000-0100-00002C000000}">
      <text/>
    </comment>
    <comment ref="AU4" authorId="1" shapeId="0" xr:uid="{00000000-0006-0000-0100-00002D000000}">
      <text/>
    </comment>
    <comment ref="AV4" authorId="1" shapeId="0" xr:uid="{00000000-0006-0000-0100-00002E000000}">
      <text/>
    </comment>
    <comment ref="AW4" authorId="1" shapeId="0" xr:uid="{00000000-0006-0000-0100-00002F000000}">
      <text/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R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<sst xmlns="http://schemas.openxmlformats.org/spreadsheetml/2006/main" count="1775" uniqueCount="360">
  <si>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</si>
  <si>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</si>
  <si>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</si>
  <si>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</si>
  <si>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</si>
  <si>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</si>
  <si>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</si>
  <si>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</si>
  <si>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</si>
  <si>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</si>
  <si>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</si>
  <si>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</si>
  <si>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</si>
  <si>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</si>
  <si>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</si>
  <si>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</si>
  <si>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</si>
  <si>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</si>
  <si>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</si>
  <si>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</si>
  <si>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</si>
  <si>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</si>
  <si>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</si>
  <si>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</si>
  <si>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</si>
  <si>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</si>
  <si>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.TipoConteudoOnline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</si>
  <si>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</si>
  <si>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</si>
  <si>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</si>
  <si>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</si>
  <si>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</si>
  <si>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</si>
  <si>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</si>
  <si>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</si>
  <si>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</si>
  <si>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</si>
  <si>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</si>
  <si>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</si>
  <si>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</si>
  <si>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</si>
  <si>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</si>
  <si>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</si>
  <si>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</si>
  <si>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</si>
  <si>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</si>
  <si>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</si>
  <si>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</si>
  <si>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</si>
  <si>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</si>
  <si>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</si>
  <si>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</si>
  <si>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</si>
  <si>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</si>
  <si>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</si>
  <si>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</si>
  <si>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</si>
  <si>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</si>
  <si>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</si>
  <si>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</si>
  <si>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</si>
  <si>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</si>
  <si>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</si>
  <si>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</si>
  <si>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</si>
  <si>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</si>
  <si>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</si>
  <si>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</si>
  <si>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</si>
  <si>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</si>
  <si>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</si>
  <si>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</si>
  <si>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</si>
  <si>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</si>
  <si>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</si>
  <si>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</si>
  <si>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</si>
  <si>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</si>
  <si>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</si>
  <si>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</si>
  <si>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</si>
  <si>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</si>
  <si>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</si>
  <si>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</si>
  <si>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</si>
  <si>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"VX Até 2mb""LD Ilimitado""Fixo Ilimitado""RetencaoOT"</t>
  </si>
  <si>
    <t>"VX Até 15mb""LD Ilimitado""Fixo Ilimitado""RetencaoOT"</t>
  </si>
  <si>
    <t>"VX Até 25mb""LD Ilimitado""Fixo Ilimitado""RetencaoOT"</t>
  </si>
  <si>
    <t>"VX 35mb""LD Ilimitado""Fixo Ilimitado""RetencaoOT"</t>
  </si>
  <si>
    <t>"VX Até 2mb""VC LD Ilimitado""Fixo Ilimitado""RetencaoOT"</t>
  </si>
  <si>
    <t>"VX Até 2mb""VC Ilimitado""Fixo Ilimitado""RetencaoOT"</t>
  </si>
  <si>
    <t>"VX Até 15mb""VC LD Ilimitado""Fixo Ilimitado""RetencaoOT"</t>
  </si>
  <si>
    <t>"VX Até 15mb""VC Ilimitado""Fixo Ilimitado""RetencaoOT"</t>
  </si>
  <si>
    <t>"VX Até 25mb""VC LD Ilimitado""Fixo Ilimitado""RetencaoOT"</t>
  </si>
  <si>
    <t>"VX Até 25mb""VC Ilimitado""Fixo Ilimitado""RetencaoOT"</t>
  </si>
  <si>
    <t>"VX 35mb""VC LD Ilimitado""Fixo Ilimitado""RetencaoOT"</t>
  </si>
  <si>
    <t>"VX 35mb""VC Ilimitado""Fixo Ilimitado""RetencaoOT"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</si>
  <si>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</si>
  <si>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</si>
  <si>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</si>
  <si>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</si>
  <si>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</si>
  <si>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</si>
  <si>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</si>
  <si>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</si>
  <si>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</si>
  <si>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</si>
  <si>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</si>
  <si>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</si>
  <si>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Multa</t>
  </si>
  <si>
    <t>Benefícios de Minutos/SMS</t>
  </si>
  <si>
    <t>Chip Alone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</si>
  <si>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</si>
  <si>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</si>
  <si>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</si>
  <si>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</si>
  <si>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</si>
  <si>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</si>
  <si>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</si>
  <si>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</si>
  <si>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</si>
  <si>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</si>
  <si>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</si>
  <si>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</si>
  <si>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</si>
  <si>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</si>
  <si>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</si>
  <si>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</si>
  <si>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</si>
  <si>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</si>
  <si>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</si>
  <si>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</si>
  <si>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</si>
  <si>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</si>
  <si>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</si>
  <si>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</si>
  <si>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</si>
  <si>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</si>
  <si>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</si>
  <si>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</si>
  <si>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</si>
  <si>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</si>
  <si>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</si>
  <si>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</si>
  <si>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</si>
  <si>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</si>
  <si>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</si>
  <si>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</si>
  <si>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</si>
  <si>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</si>
  <si>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</si>
  <si>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</si>
  <si>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</si>
  <si>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</si>
  <si>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</si>
  <si>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</si>
  <si>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</si>
  <si>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</si>
  <si>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</si>
  <si>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</si>
  <si>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</si>
  <si>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</si>
  <si>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</si>
  <si>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</si>
  <si>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</si>
  <si>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</si>
  <si>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</si>
  <si>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</si>
  <si>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</si>
  <si>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</si>
  <si>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</si>
  <si>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</si>
  <si>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</si>
  <si>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>Comercial</t>
  </si>
  <si>
    <t>% Desc Ajust</t>
  </si>
  <si>
    <t>Conteúdo</t>
  </si>
  <si>
    <t>Código 
Conteúdo</t>
  </si>
  <si>
    <t>Comercial/
Tratamento</t>
  </si>
  <si>
    <t>% Desc</t>
  </si>
  <si>
    <t>Duração
Meses</t>
  </si>
  <si>
    <t>% Desc
(ind)</t>
  </si>
  <si>
    <t>Gratuidade?</t>
  </si>
  <si>
    <t xml:space="preserve">
Duração
Meses</t>
  </si>
  <si>
    <t>Sim/ Não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</si>
  <si>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</si>
  <si>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</si>
  <si>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</si>
  <si>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</t>
    </r>
    <r>
      <rPr>
        <b/>
        <sz val="8"/>
        <color rgb="FFC00000"/>
        <rFont val="Calibri"/>
        <family val="2"/>
        <scheme val="minor"/>
      </rPr>
      <t>[BL 10Mbps]</t>
    </r>
    <r>
      <rPr>
        <b/>
        <sz val="8"/>
        <color theme="0"/>
        <rFont val="Calibri"/>
        <family val="2"/>
        <scheme val="minor"/>
      </rPr>
      <t/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</si>
  <si>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</si>
  <si>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</si>
  <si>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</si>
  <si>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</si>
  <si>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</si>
  <si>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</si>
  <si>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</si>
  <si>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</si>
  <si>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</si>
  <si>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</si>
  <si>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Oi Total</t>
  </si>
  <si>
    <t>Aquisição</t>
  </si>
  <si>
    <t>Novos e Atuais</t>
  </si>
  <si>
    <t>Sim</t>
  </si>
  <si>
    <t>x</t>
  </si>
  <si>
    <t>OT_REJ17_NFID_BLFIX_1BAS_LD_BL2</t>
  </si>
  <si>
    <t>Vender OI Total sem Fidelidade F+BL</t>
  </si>
  <si>
    <t>Produto Fixo Ilimitado Local + LD + Banda Larga Básico com conteúdo, Produto sem fidelização</t>
  </si>
  <si>
    <t>20. Oi Total</t>
  </si>
  <si>
    <t>Varejo</t>
  </si>
  <si>
    <t>Campanha Restrita</t>
  </si>
  <si>
    <t>Não</t>
  </si>
  <si>
    <t>Oi Total Fixo + Banda Larga 1</t>
  </si>
  <si>
    <t>OI-17101-1</t>
  </si>
  <si>
    <t>0T0T_DET_CONTEUDO_A_00.01%.</t>
  </si>
  <si>
    <t>MKT-1-9626729181</t>
  </si>
  <si>
    <t>OI-17101-2</t>
  </si>
  <si>
    <t>MKT-1-9825601270</t>
  </si>
  <si>
    <t>LD qualquer operadora</t>
  </si>
  <si>
    <t>0T0T_UR_MIN_LD_ALLNET_FIXO_270000..</t>
  </si>
  <si>
    <t>MKT-1-9016925099</t>
  </si>
  <si>
    <t>PCS-SBL11111</t>
  </si>
  <si>
    <t>THAB Fixo 12x de 12 reais</t>
  </si>
  <si>
    <t>OT_REJ17_NFID_BLFIX_1BAS_LD-VC_BL2</t>
  </si>
  <si>
    <t>Produto Fixo Ilimitado Local + LD + VC + Banda Larga Básico com conteúdo, Produto sem fidelização</t>
  </si>
  <si>
    <t>LD + VC Oi</t>
  </si>
  <si>
    <t>0T0T_BLFIX_MIN_LDN_270000</t>
  </si>
  <si>
    <t>MKT-1-9274362491</t>
  </si>
  <si>
    <t>Erro: Linha 3</t>
  </si>
  <si>
    <t>Tipo de Benefício não encontrado</t>
  </si>
  <si>
    <t>Erro: Linha 4</t>
  </si>
  <si>
    <t>OT_REJ17_NFID_BLFIX_1BAS_LD_BL5</t>
  </si>
  <si>
    <t>Tratamento</t>
  </si>
  <si>
    <t>MKT-1-9825601765</t>
  </si>
  <si>
    <t>Erro: Linha 5</t>
  </si>
  <si>
    <t>OT_REJ17_NFID_BLFIX_1BAS_LD-VC_BL5</t>
  </si>
  <si>
    <t>Erro: Linha 6</t>
  </si>
  <si>
    <t>OT_REJ17_NFID_BLFIX_2INTERM_LD_BL5</t>
  </si>
  <si>
    <t>Produto Fixo Ilimitado Local + LD + Banda Larga Intermediário com conteúdo, Produto sem fidelização</t>
  </si>
  <si>
    <t>Oi Total Fixo + Banda Larga 2</t>
  </si>
  <si>
    <t>Erro: Linha 7</t>
  </si>
  <si>
    <t>OT_REJ17_NFID_BLFIX_2INTERM_LD-VC_BL5</t>
  </si>
  <si>
    <t>Produto Fixo Ilimitado Local + LD + VC + Banda Larga Intermediário com conteúdo, Produto sem fidelização</t>
  </si>
  <si>
    <t>Erro: Linha 8</t>
  </si>
  <si>
    <t>OT_REJ17_NFID_BLFIX_3TOP_LD_BL5</t>
  </si>
  <si>
    <t>Produto Fixo Ilimitado Local + LD + Banda Larga Top com conteúdo, Produto sem fidelização</t>
  </si>
  <si>
    <t>Oi Total Fixo + Banda Larga 3</t>
  </si>
  <si>
    <t>0T0T_DET_CONTEUDO_B_00.01%</t>
  </si>
  <si>
    <t>MKT-1-9625867168</t>
  </si>
  <si>
    <t>Erro: Linha 9</t>
  </si>
  <si>
    <t>OT_REJ17_NFID_BLFIX_3TOP_LD-VC_BL5</t>
  </si>
  <si>
    <t>Produto Fixo Ilimitado Local + LD + VC + Banda Larga Top com conteúdo, Produto sem fidelização</t>
  </si>
  <si>
    <t>Erro: Linha 10</t>
  </si>
  <si>
    <t>OT_REJ17_NFID_BLFIX300_1BAS_HUNTER_BL2</t>
  </si>
  <si>
    <t>Produto Fixo 300 minutos + Banda Larga Básico com conteúdo, Produto sem fidelização</t>
  </si>
  <si>
    <t>Erro: Linha 11</t>
  </si>
  <si>
    <t>OT_REJ17_NFID_BLFIX300_1BAS_HUNTER_VC_BL2</t>
  </si>
  <si>
    <t>Produto Fixo 300 minutos + VC + Banda Larga Básico com conteúdo, Produto sem fidelização</t>
  </si>
  <si>
    <t>VC Oi</t>
  </si>
  <si>
    <t>Erro: Linha 12</t>
  </si>
  <si>
    <t>OT_REJ17_NFID_BLFIX300_1BAS_HUNTER_BL5</t>
  </si>
  <si>
    <t>Erro: Linha 13</t>
  </si>
  <si>
    <t>OT_REJ17_NFID_BLFIX300_1BAS_HUNTER_VC_BL5</t>
  </si>
  <si>
    <t>Erro: Linha 14</t>
  </si>
  <si>
    <t>OT_REJ17_NFID_BLFIX300_2INTERM_HUNTER_BL5</t>
  </si>
  <si>
    <t>Produto Fixo 300 minutos + Banda Larga Intermediário com conteúdo, Produto sem fidelização</t>
  </si>
  <si>
    <t>Erro: Linha 15</t>
  </si>
  <si>
    <t>OT_REJ17_NFID_BLFIX300_2INTERM_HUNTER_VC_BL5</t>
  </si>
  <si>
    <t>Produto Fixo 300 minutos + VC + Banda Larga Intermediário com conteúdo, Produto sem fidelização</t>
  </si>
  <si>
    <t>Erro: Linha 16</t>
  </si>
  <si>
    <t>OT_REJ17_NFID_BLFIX300_3TOP_HUNTER_BL5</t>
  </si>
  <si>
    <t>Produto Fixo 300 minutos + Banda Larga Top com conteúdo, Produto sem fidelização</t>
  </si>
  <si>
    <t>Erro: Linha 17</t>
  </si>
  <si>
    <t>OT_REJ17_NFID_BLFIX300_3TOP_HUNTER_VC_BL5</t>
  </si>
  <si>
    <t>Produto Fixo 300 minutos + VC + Banda Larga Top com conteúdo, Produto sem fidelização</t>
  </si>
  <si>
    <t>Erro: Linha 18</t>
  </si>
  <si>
    <t>OT_REJ17_NFID_BLFIX_3AVAN_LD_BL5</t>
  </si>
  <si>
    <t>Produto Fixo Ilimitado Local + LD + Banda Larga Avançado com conteúdo, Produto sem fidelização</t>
  </si>
  <si>
    <t>Erro: Linha 19</t>
  </si>
  <si>
    <t>OT_REJ17_NFID_BLFIX_3AVAN_LD-VC_BL5</t>
  </si>
  <si>
    <t>Produto Fixo Ilimitado Local + LD + VC + Banda Larga Avançado com conteúdo, Produto sem fidelização</t>
  </si>
  <si>
    <t>Erro: Linha 20</t>
  </si>
  <si>
    <t>OT_REJ17_NFID_BLFIX300_3AVAN_HUNTER_BL5</t>
  </si>
  <si>
    <t>Produto Fixo 300 minutos + Banda Larga Avançado com conteúdo, Produto sem fidelização</t>
  </si>
  <si>
    <t>Erro: Linha 21</t>
  </si>
  <si>
    <t>OT_REJ17_NFID_BLFIX300_3AVAN_HUNTER_VC_BL5</t>
  </si>
  <si>
    <t>Produto Fixo 300 minutos + VC + Banda Larga Avançado com conteúdo, Produto sem fidelização</t>
  </si>
  <si>
    <t>Erro: Linha 22</t>
  </si>
  <si>
    <t>OT_MAE18_FID_BLFIX_1BAS_BL2_R14</t>
  </si>
  <si>
    <t>OT_MAE18_FID_BLFIX_1BAS_BL5_R14</t>
  </si>
  <si>
    <t>OT_MAE18_FID_BLFIX_2INT_BL5_R14</t>
  </si>
  <si>
    <t>OT_MAE18_FID_BLFIX_3TOP_BL5_R14</t>
  </si>
  <si>
    <t>OT_MAE18_FID_BLFIX_1BAS_PROMO_VDSL_R14</t>
  </si>
  <si>
    <t>OT_MAE18_FID_BLFIX_2INT_PROMO_VDSL_R14</t>
  </si>
  <si>
    <t>OT_MAE18_FID_BLFIX_3TOP_PROMO_VDSL_R14</t>
  </si>
  <si>
    <t>OT_MAE18_FID_BLFIX_1BAS_HUNTER_BL2_R14</t>
  </si>
  <si>
    <t>OT_MAE18_FID_BLFIX_1BAS_HUNTER_BL5_R14</t>
  </si>
  <si>
    <t>OT_MAE18_FID_BLFIX_2INT_HUNTER_BL5_R14</t>
  </si>
  <si>
    <t>OT_MAE18_FID_BLFIX_3TOP_HUNTER_BL5_R14</t>
  </si>
  <si>
    <t>OT_MAE18_FID_BLFIX300_1BAS_HUNTER_BL2_R14</t>
  </si>
  <si>
    <t>OT_MAE18_FID_BLFIX300_1BAS_HUNTER_BL5_R14</t>
  </si>
  <si>
    <t>OT_MAE18_FID_BLFIX300_2INT_HUNTER_BL5_R14</t>
  </si>
  <si>
    <t>OT_MAE18_FID_BLFIX300_3TOP_HUNTER_BL5_R14</t>
  </si>
  <si>
    <t>OT_MAE18_FID_BLFIX300_1BAS_HUNTER_PROMO_VDSL_R14</t>
  </si>
  <si>
    <t>OT_MAE18_FID_BLFIX300_2INT_HUNTER_PROMO_VDSL_R14</t>
  </si>
  <si>
    <t>OT_MAE18_FID_BLFIX300_3TOP_HUNTER_PROMO_VDSL_R14</t>
  </si>
  <si>
    <t>"VX Até 2mb""Sem Ilimitado""Fixo Ilimitado"OT_MAE18_NFID_BLFIX_BAS_BL2_VC_ALLNET_+CLBásico"RetencaoOT"</t>
  </si>
  <si>
    <t>"VX Até 15mb""Sem Ilimitado""Fixo Ilimitado"OT_MAE18_NFID_BLFIX_BAS_BL5_VC_ALLNET_+CLBásico"RetencaoOT"</t>
  </si>
  <si>
    <t>"VX Até 15mb""Sem Ilimitado""Fixo Ilimitado"OT_MAE18_NFID_BLFIX_INT_BL5_VC_ALLNET_+CLBásico"RetencaoOT"</t>
  </si>
  <si>
    <t>"VX Até 25mb""Sem Ilimitado""Fixo Ilimitado"OT_MAE18_NFID_BLFIX_INT_BL5_VC_ALLNET_+CLBásico"RetencaoOT"</t>
  </si>
  <si>
    <t>"VX 35mb""Sem Ilimitado""Fixo Ilimitado"OT_MAE18_NFID_BLFIX_INT_BL5_VC_ALLNET_+CLBásico"RetencaoOT"</t>
  </si>
  <si>
    <t>"VX Até 15mb""Sem Ilimitado""Fixo Ilimitado"OT_MAE18_NFID_BLFIX_TOP_BL5_VC_ALLNET_+CLTop"RetencaoOT"</t>
  </si>
  <si>
    <t>"VX Até 25mb""Sem Ilimitado""Fixo Ilimitado"OT_MAE18_NFID_BLFIX_TOP_BL5_VC_ALLNET_+CLTop"RetencaoOT"</t>
  </si>
  <si>
    <t>"VX 35mb""Sem Ilimitado""Fixo Ilimitado"OT_MAE18_NFID_BLFIX_TOP_BL5_VC_ALLNET_+CLTop"RetencaoOT"</t>
  </si>
  <si>
    <t>"VX Até 15mb""Sem Ilimitado""Fixo Ilimitado"OT_MAE18_NFID_BLFIX_BAS_BL5-15_VC_ALLNET_+CLBásico"RetencaoOT"</t>
  </si>
  <si>
    <t>"VX Até 15mb""Sem Ilimitado""Fixo Ilimitado"OT_MAE18_NFID_BLFIX_INT_BL5-15_VC_ALLNET_+CLBásico"RetencaoOT"</t>
  </si>
  <si>
    <t>"VX Até 15mb""Sem Ilimitado""Fixo Ilimitado"OT_MAE18_NFID_BLFIX_TOP_BL5-15_VC_ALLNET_+CLTop"RetencaoOT"</t>
  </si>
  <si>
    <t>TesteLab</t>
  </si>
  <si>
    <t>LinhaOferta</t>
  </si>
  <si>
    <t>CodigoCampanhaVoz</t>
  </si>
  <si>
    <t>CodigoOfertaVoz</t>
  </si>
  <si>
    <t>@if(TmpDadosCliente.GrupoTesteAnalytics == "MICRO_SEG_OT" &amp;&amp; @when(IsTop1Estrategia2),"Teste",.MovelPackage)</t>
  </si>
  <si>
    <t>@if(TmpDadosCliente.GrupoTesteAnalytics == "MICRO_SEG_OT",@when(IsTop1Estrategia2),true)</t>
  </si>
  <si>
    <t>.LinhaOferta</t>
  </si>
  <si>
    <t>.CodigoCampanhaVoz</t>
  </si>
  <si>
    <t>.CodigoOfertaVoz</t>
  </si>
  <si>
    <t>"VX Até 2mb""Sem Ilimitado""Fixo Ilimitado"20.935"OT_MIG_JUL18_FID_2PBL_BL2_LOCAL_OF0"OT_MIG_JUL18_FID_2PBL_BL2_LOCAL_OF0"RetencaoOT"</t>
  </si>
  <si>
    <t>"VX Até 15mb""Sem Ilimitado""Fixo Ilimitado"20.940"OT_MIG_JUL18_FID_2PBL_BL5_LOCAL_CBAS_OF0"OT_MIG_JUL18_FID_2PBL_BL5_LOCAL_CBAS_OF0Basico"RetencaoOT"</t>
  </si>
  <si>
    <t>"VX Até 25mb""Sem Ilimitado""Fixo Ilimitado"20.950"OT_MIG_JUL18_FID_2PBL_BL5_LOCAL_CBAS_OF0"OT_MIG_JUL18_FID_2PBL_BL5_LOCAL_CBAS_OF0Basico"RetencaoOT"</t>
  </si>
  <si>
    <t>"VX 35mb""Sem Ilimitado""Fixo Ilimitado"20.960"OT_MIG_JUL18_FID_2PBL_BL5_LOCAL_CBAS_OF0"OT_MIG_JUL18_FID_2PBL_BL5_LOCAL_CBAS_OF0Basico"RetencaoOT"</t>
  </si>
  <si>
    <t>"VX Até 2mb""Sem Ilimitado""Fixo Ilimitado"30.944.9"OT_MIG_JUL18_FID_2PBL_BL2_LD_VC-ON_OF1"OT_MIG_JUL18_FID_2PBL_BL2_LD_VC-ON_OF1"RetencaoOT"</t>
  </si>
  <si>
    <t>"VX Até 15mb""Sem Ilimitado""Fixo Ilimitado"30.949.9"OT_MIG_JUL18_FID_2PBL_BL5_LD_VC-ON_CBAS_OF1"OT_MIG_JUL18_FID_2PBL_BL5_LD_VC-ON_CBAS_OF1Basico"RetencaoOT"</t>
  </si>
  <si>
    <t>"VX Até 25mb""Sem Ilimitado""Fixo Ilimitado"30.959.9"OT_MIG_JUL18_FID_2PBL_BL5_LD_VC-ON_CBAS_OF1"OT_MIG_JUL18_FID_2PBL_BL5_LD_VC-ON_CBAS_OF1Basico"RetencaoOT"</t>
  </si>
  <si>
    <t>"VX 35mb""Sem Ilimitado""Fixo Ilimitado"30.969.9"OT_MIG_JUL18_FID_2PBL_BL5_LD_VC-ON_CBAS_OF1"OT_MIG_JUL18_FID_2PBL_BL5_LD_VC-ON_CBAS_OF1Basico"RetencaoOT"</t>
  </si>
  <si>
    <t>"VX 50mb"</t>
  </si>
  <si>
    <t>"Fixo Ilimitado"</t>
  </si>
  <si>
    <t>"LD VC ALL"</t>
  </si>
  <si>
    <t>"RetencaoOT"</t>
  </si>
  <si>
    <t>"OT_FIBRA_NAT18_FID_BLFIX_SMART"</t>
  </si>
  <si>
    <t>"oi total fixo + banda larga 1"</t>
  </si>
  <si>
    <t>"Aquisicao"</t>
  </si>
  <si>
    <t>"Basico"</t>
  </si>
  <si>
    <t>"VX 100mb"</t>
  </si>
  <si>
    <t>"VX 100mb""LD VC ALL""Fixo Ilimitado"10114.9"OT_FIBRA_NAT18_FID_BLFIX_SMART"OT_FIBRA_NAT18_FID_BLFIX_SMARTBasico"RetencaoOT"</t>
  </si>
  <si>
    <t>"VX 200mb"</t>
  </si>
  <si>
    <t>"VX 200mb""LD VC ALL""Fixo Ilimitado"10144.9"OT_FIBRA_NAT18_FID_BLFIX_SMART"OT_FIBRA_NAT18_FID_BLFIX_SMARTBasico"RetencaoOT"</t>
  </si>
  <si>
    <t>"OT_FIBRA_NAT18_FID_BLFIX_AVAN"</t>
  </si>
  <si>
    <t>"oi total fixo + banda larga 2"</t>
  </si>
  <si>
    <t>"Intermediario"</t>
  </si>
  <si>
    <t>"VX 50mb""LD VC ALL""Fixo Ilimitado"10109.9"OT_FIBRA_NAT18_FID_BLFIX_AVAN"OT_FIBRA_NAT18_FID_BLFIX_AVANIntermediario"RetencaoOT"</t>
  </si>
  <si>
    <t>"VX 100mb""LD VC ALL""Fixo Ilimitado"10134.9"OT_FIBRA_NAT18_FID_BLFIX_AVAN"OT_FIBRA_NAT18_FID_BLFIX_AVANIntermediario"RetencaoOT"</t>
  </si>
  <si>
    <t>"VX 200mb""LD VC ALL""Fixo Ilimitado"10164.9"OT_FIBRA_NAT18_FID_BLFIX_AVAN"OT_FIBRA_NAT18_FID_BLFIX_AVANIntermediario"RetencaoOT"</t>
  </si>
  <si>
    <t>"OT_FIBRA_NAT18_FID_BLFIX_TOP_FOX"</t>
  </si>
  <si>
    <t>"oi total fixo + banda larga 3"</t>
  </si>
  <si>
    <t>"Top"</t>
  </si>
  <si>
    <t>"VX 50mb""LD VC ALL""Fixo Ilimitado"10134.9"OT_FIBRA_NAT18_FID_BLFIX_TOP_FOX"OT_FIBRA_NAT18_FID_BLFIX_TOP_FOXTop"RetencaoOT"</t>
  </si>
  <si>
    <t>"VX 100mb""LD VC ALL""Fixo Ilimitado"10159.9"OT_FIBRA_NAT18_FID_BLFIX_TOP_FOX"OT_FIBRA_NAT18_FID_BLFIX_TOP_FOXTop"RetencaoOT"</t>
  </si>
  <si>
    <t>"VX 200mb""LD VC ALL""Fixo Ilimitado"10189.9"OT_FIBRA_NAT18_FID_BLFIX_TOP_FOX"OT_FIBRA_NAT18_FID_BLFIX_TOP_FOXTop"RetencaoOT"</t>
  </si>
  <si>
    <t>"OT_FIBRA_NAT18_FID_BLFIX_TOP_HBO"</t>
  </si>
  <si>
    <t>"VX 50mb""LD VC ALL""Fixo Ilimitado"10134.9"OT_FIBRA_NAT18_FID_BLFIX_TOP_HBO"OT_FIBRA_NAT18_FID_BLFIX_TOP_HBOTop"RetencaoOT"</t>
  </si>
  <si>
    <t>"VX 100mb""LD VC ALL""Fixo Ilimitado"10159.9"OT_FIBRA_NAT18_FID_BLFIX_TOP_HBO"OT_FIBRA_NAT18_FID_BLFIX_TOP_HBOTop"RetencaoOT"</t>
  </si>
  <si>
    <t>"VX 200mb""LD VC ALL""Fixo Ilimitado"10189.9"OT_FIBRA_NAT18_FID_BLFIX_TOP_HBO"OT_FIBRA_NAT18_FID_BLFIX_TOP_HBOTop"RetencaoOT"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</si>
</sst>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0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hidden="1"/>
    </xf>
    <xf numFmtId="0" fontId="4" fillId="8" borderId="6" xfId="0" applyFont="1" applyFill="1" applyBorder="1" applyAlignment="1" applyProtection="1">
      <alignment horizontal="center" vertical="center"/>
      <protection hidden="1"/>
    </xf>
    <xf numFmtId="0" fontId="8" fillId="10" borderId="19" xfId="0" applyFont="1" applyFill="1" applyBorder="1" applyAlignment="1" applyProtection="1">
      <alignment vertical="center" wrapText="1"/>
      <protection hidden="1"/>
    </xf>
    <xf numFmtId="0" fontId="8" fillId="10" borderId="19" xfId="0" applyFont="1" applyFill="1" applyBorder="1" applyAlignment="1" applyProtection="1">
      <alignment horizontal="center" textRotation="90"/>
      <protection hidden="1"/>
    </xf>
    <xf numFmtId="0" fontId="8" fillId="10" borderId="19" xfId="0" applyFont="1" applyFill="1" applyBorder="1" applyAlignment="1" applyProtection="1">
      <alignment horizontal="center" textRotation="90" wrapText="1"/>
      <protection hidden="1"/>
    </xf>
    <xf numFmtId="0" fontId="9" fillId="11" borderId="19" xfId="0" applyFont="1" applyFill="1" applyBorder="1" applyAlignment="1" applyProtection="1">
      <alignment vertical="center" wrapText="1"/>
      <protection hidden="1"/>
    </xf>
    <xf numFmtId="0" fontId="9" fillId="11" borderId="19" xfId="0" applyFont="1" applyFill="1" applyBorder="1" applyAlignment="1" applyProtection="1">
      <alignment horizontal="center" vertical="center" textRotation="90" wrapText="1"/>
      <protection hidden="1"/>
    </xf>
    <xf numFmtId="0" fontId="9" fillId="10" borderId="19" xfId="0" applyFont="1" applyFill="1" applyBorder="1" applyAlignment="1" applyProtection="1">
      <alignment horizontal="center" vertical="center" textRotation="90" wrapText="1"/>
      <protection hidden="1"/>
    </xf>
    <xf numFmtId="44" fontId="9" fillId="10" borderId="20" xfId="1" applyFont="1" applyFill="1" applyBorder="1" applyAlignment="1" applyProtection="1">
      <alignment vertical="center" wrapText="1"/>
      <protection hidden="1"/>
    </xf>
    <xf numFmtId="44" fontId="8" fillId="10" borderId="19" xfId="1" applyFont="1" applyFill="1" applyBorder="1" applyAlignment="1" applyProtection="1">
      <alignment vertical="center" wrapText="1"/>
      <protection hidden="1"/>
    </xf>
    <xf numFmtId="44" fontId="8" fillId="10" borderId="21" xfId="1" applyFont="1" applyFill="1" applyBorder="1" applyAlignment="1" applyProtection="1">
      <alignment vertical="center" wrapText="1"/>
      <protection hidden="1"/>
    </xf>
    <xf numFmtId="10" fontId="8" fillId="10" borderId="19" xfId="2" applyNumberFormat="1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8" fillId="10" borderId="5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9" fillId="12" borderId="19" xfId="0" applyFont="1" applyFill="1" applyBorder="1" applyAlignment="1" applyProtection="1">
      <alignment vertical="center" wrapText="1"/>
      <protection hidden="1"/>
    </xf>
    <xf numFmtId="0" fontId="10" fillId="12" borderId="19" xfId="0" applyFont="1" applyFill="1" applyBorder="1" applyAlignment="1" applyProtection="1">
      <alignment vertical="center" wrapText="1"/>
      <protection hidden="1"/>
    </xf>
    <xf numFmtId="0" fontId="10" fillId="11" borderId="5" xfId="0" applyFont="1" applyFill="1" applyBorder="1" applyAlignment="1" applyProtection="1">
      <alignment vertical="center" wrapText="1"/>
      <protection hidden="1"/>
    </xf>
    <xf numFmtId="0" fontId="8" fillId="10" borderId="19" xfId="0" applyFont="1" applyFill="1" applyBorder="1" applyAlignment="1" applyProtection="1">
      <alignment horizontal="left" vertical="center" wrapText="1"/>
      <protection hidden="1"/>
    </xf>
    <xf numFmtId="0" fontId="9" fillId="11" borderId="19" xfId="0" applyFont="1" applyFill="1" applyBorder="1" applyAlignment="1" applyProtection="1">
      <alignment horizontal="left" vertical="center" wrapText="1"/>
      <protection hidden="1"/>
    </xf>
    <xf numFmtId="0" fontId="8" fillId="11" borderId="19" xfId="0" applyFont="1" applyFill="1" applyBorder="1" applyAlignment="1" applyProtection="1">
      <alignment horizontal="left" vertical="center" wrapText="1"/>
      <protection hidden="1"/>
    </xf>
    <xf numFmtId="0" fontId="11" fillId="13" borderId="19" xfId="0" applyFont="1" applyFill="1" applyBorder="1" applyAlignment="1" applyProtection="1">
      <alignment horizontal="center" vertical="center" wrapText="1"/>
      <protection hidden="1"/>
    </xf>
    <xf numFmtId="0" fontId="3" fillId="9" borderId="23" xfId="0" applyFont="1" applyFill="1" applyBorder="1" applyAlignment="1" applyProtection="1">
      <alignment horizontal="center" vertical="center"/>
      <protection locked="0"/>
    </xf>
    <xf numFmtId="0" fontId="3" fillId="9" borderId="24" xfId="0" applyFont="1" applyFill="1" applyBorder="1" applyAlignment="1" applyProtection="1">
      <alignment horizontal="center" vertical="center"/>
      <protection locked="0"/>
    </xf>
    <xf numFmtId="0" fontId="3" fillId="9" borderId="25" xfId="0" applyFont="1" applyFill="1" applyBorder="1" applyAlignment="1" applyProtection="1">
      <alignment horizontal="center" vertical="center"/>
      <protection locked="0"/>
    </xf>
    <xf numFmtId="0" fontId="12" fillId="0" borderId="16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left" vertical="center"/>
      <protection locked="0"/>
    </xf>
    <xf numFmtId="0" fontId="0" fillId="0" borderId="16" xfId="0" applyFont="1" applyFill="1" applyBorder="1" applyProtection="1">
      <protection locked="0"/>
    </xf>
    <xf numFmtId="0" fontId="0" fillId="0" borderId="17" xfId="0" applyFont="1" applyFill="1" applyBorder="1" applyProtection="1">
      <protection locked="0"/>
    </xf>
    <xf numFmtId="0" fontId="0" fillId="0" borderId="17" xfId="0" applyFont="1" applyFill="1" applyBorder="1" applyAlignment="1" applyProtection="1">
      <alignment horizontal="left"/>
      <protection locked="0"/>
    </xf>
    <xf numFmtId="0" fontId="1" fillId="0" borderId="17" xfId="0" applyFont="1" applyFill="1" applyBorder="1" applyAlignment="1" applyProtection="1">
      <alignment horizontal="center" vertical="center" wrapText="1"/>
      <protection locked="0"/>
    </xf>
    <xf numFmtId="0" fontId="12" fillId="0" borderId="18" xfId="0" applyFont="1" applyFill="1" applyBorder="1" applyAlignment="1" applyProtection="1">
      <alignment horizontal="left" vertical="center"/>
      <protection locked="0"/>
    </xf>
    <xf numFmtId="0" fontId="12" fillId="0" borderId="26" xfId="0" applyFont="1" applyFill="1" applyBorder="1" applyAlignment="1" applyProtection="1">
      <alignment horizontal="left" vertical="center"/>
      <protection locked="0"/>
    </xf>
    <xf numFmtId="0" fontId="12" fillId="0" borderId="27" xfId="0" applyFont="1" applyFill="1" applyBorder="1" applyAlignment="1" applyProtection="1">
      <alignment horizontal="left" vertical="center"/>
      <protection locked="0"/>
    </xf>
    <xf numFmtId="14" fontId="12" fillId="0" borderId="16" xfId="0" applyNumberFormat="1" applyFont="1" applyFill="1" applyBorder="1" applyAlignment="1" applyProtection="1">
      <alignment horizontal="left" vertical="center"/>
      <protection locked="0"/>
    </xf>
    <xf numFmtId="14" fontId="12" fillId="0" borderId="18" xfId="0" applyNumberFormat="1" applyFont="1" applyFill="1" applyBorder="1" applyAlignment="1" applyProtection="1">
      <alignment horizontal="left" vertical="center"/>
      <protection locked="0"/>
    </xf>
    <xf numFmtId="14" fontId="12" fillId="0" borderId="26" xfId="0" applyNumberFormat="1" applyFont="1" applyFill="1" applyBorder="1" applyAlignment="1" applyProtection="1">
      <alignment horizontal="left" vertical="center"/>
      <protection locked="0"/>
    </xf>
    <xf numFmtId="14" fontId="12" fillId="0" borderId="17" xfId="0" applyNumberFormat="1" applyFont="1" applyFill="1" applyBorder="1" applyAlignment="1" applyProtection="1">
      <alignment horizontal="left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0" fillId="0" borderId="27" xfId="0" applyFont="1" applyFill="1" applyBorder="1" applyAlignment="1" applyProtection="1">
      <alignment horizontal="center" vertical="center"/>
      <protection locked="0"/>
    </xf>
    <xf numFmtId="0" fontId="0" fillId="0" borderId="16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protection locked="0"/>
    </xf>
    <xf numFmtId="0" fontId="0" fillId="13" borderId="18" xfId="0" applyFill="1" applyBorder="1" applyProtection="1">
      <protection hidden="1"/>
    </xf>
    <xf numFmtId="0" fontId="0" fillId="0" borderId="27" xfId="0" applyFill="1" applyBorder="1" applyAlignment="1" applyProtection="1">
      <alignment vertical="center"/>
      <protection hidden="1"/>
    </xf>
    <xf numFmtId="0" fontId="0" fillId="13" borderId="27" xfId="0" applyFill="1" applyBorder="1" applyAlignment="1" applyProtection="1">
      <alignment vertical="center"/>
      <protection hidden="1"/>
    </xf>
    <xf numFmtId="0" fontId="12" fillId="0" borderId="17" xfId="0" applyFont="1" applyFill="1" applyBorder="1" applyAlignment="1" applyProtection="1">
      <alignment vertical="center"/>
      <protection hidden="1"/>
    </xf>
    <xf numFmtId="44" fontId="12" fillId="0" borderId="17" xfId="1" applyFont="1" applyFill="1" applyBorder="1" applyAlignment="1" applyProtection="1">
      <alignment vertical="center"/>
      <protection hidden="1"/>
    </xf>
    <xf numFmtId="44" fontId="12" fillId="0" borderId="17" xfId="1" applyFont="1" applyFill="1" applyBorder="1" applyAlignment="1" applyProtection="1">
      <alignment horizontal="left" vertical="center"/>
      <protection locked="0"/>
    </xf>
    <xf numFmtId="10" fontId="0" fillId="13" borderId="17" xfId="2" applyNumberFormat="1" applyFont="1" applyFill="1" applyBorder="1" applyProtection="1">
      <protection hidden="1"/>
    </xf>
    <xf numFmtId="10" fontId="0" fillId="13" borderId="18" xfId="2" applyNumberFormat="1" applyFont="1" applyFill="1" applyBorder="1" applyProtection="1">
      <protection hidden="1"/>
    </xf>
    <xf numFmtId="10" fontId="0" fillId="0" borderId="28" xfId="2" applyNumberFormat="1" applyFont="1" applyFill="1" applyBorder="1" applyProtection="1">
      <protection hidden="1"/>
    </xf>
    <xf numFmtId="10" fontId="0" fillId="13" borderId="28" xfId="2" applyNumberFormat="1" applyFont="1" applyFill="1" applyBorder="1" applyProtection="1">
      <protection hidden="1"/>
    </xf>
    <xf numFmtId="0" fontId="0" fillId="14" borderId="17" xfId="0" applyFill="1" applyBorder="1" applyAlignment="1" applyProtection="1">
      <alignment vertical="center"/>
      <protection hidden="1"/>
    </xf>
    <xf numFmtId="10" fontId="0" fillId="14" borderId="16" xfId="2" applyNumberFormat="1" applyFont="1" applyFill="1" applyBorder="1" applyProtection="1">
      <protection locked="0"/>
    </xf>
    <xf numFmtId="44" fontId="0" fillId="14" borderId="17" xfId="1" applyFont="1" applyFill="1" applyBorder="1" applyProtection="1">
      <protection locked="0"/>
    </xf>
    <xf numFmtId="44" fontId="0" fillId="0" borderId="17" xfId="1" applyFont="1" applyBorder="1" applyProtection="1">
      <protection locked="0"/>
    </xf>
    <xf numFmtId="0" fontId="12" fillId="13" borderId="17" xfId="1" applyNumberFormat="1" applyFont="1" applyFill="1" applyBorder="1" applyProtection="1">
      <protection locked="0"/>
    </xf>
    <xf numFmtId="10" fontId="0" fillId="0" borderId="16" xfId="2" applyNumberFormat="1" applyFont="1" applyFill="1" applyBorder="1" applyProtection="1">
      <protection locked="0"/>
    </xf>
    <xf numFmtId="164" fontId="0" fillId="0" borderId="16" xfId="0" applyNumberFormat="1" applyFont="1" applyFill="1" applyBorder="1" applyProtection="1">
      <protection locked="0"/>
    </xf>
    <xf numFmtId="164" fontId="12" fillId="14" borderId="16" xfId="0" applyNumberFormat="1" applyFont="1" applyFill="1" applyBorder="1" applyProtection="1">
      <protection locked="0"/>
    </xf>
    <xf numFmtId="10" fontId="12" fillId="13" borderId="26" xfId="2" applyNumberFormat="1" applyFont="1" applyFill="1" applyBorder="1" applyProtection="1">
      <protection hidden="1"/>
    </xf>
    <xf numFmtId="10" fontId="12" fillId="13" borderId="18" xfId="2" applyNumberFormat="1" applyFont="1" applyFill="1" applyBorder="1" applyProtection="1">
      <protection hidden="1"/>
    </xf>
    <xf numFmtId="44" fontId="12" fillId="0" borderId="17" xfId="1" applyFont="1" applyFill="1" applyBorder="1" applyProtection="1">
      <protection locked="0"/>
    </xf>
    <xf numFmtId="165" fontId="12" fillId="0" borderId="17" xfId="1" applyNumberFormat="1" applyFont="1" applyFill="1" applyBorder="1" applyProtection="1">
      <protection locked="0"/>
    </xf>
    <xf numFmtId="10" fontId="12" fillId="13" borderId="17" xfId="2" applyNumberFormat="1" applyFont="1" applyFill="1" applyBorder="1" applyAlignment="1" applyProtection="1">
      <alignment horizontal="right"/>
      <protection hidden="1"/>
    </xf>
    <xf numFmtId="0" fontId="12" fillId="14" borderId="16" xfId="0" applyFont="1" applyFill="1" applyBorder="1" applyAlignment="1" applyProtection="1">
      <alignment horizontal="center"/>
      <protection locked="0"/>
    </xf>
    <xf numFmtId="0" fontId="12" fillId="14" borderId="16" xfId="0" applyFont="1" applyFill="1" applyBorder="1" applyAlignment="1" applyProtection="1">
      <alignment horizontal="left"/>
      <protection locked="0"/>
    </xf>
    <xf numFmtId="0" fontId="12" fillId="13" borderId="17" xfId="0" applyFont="1" applyFill="1" applyBorder="1" applyAlignment="1" applyProtection="1">
      <alignment horizontal="left"/>
      <protection hidden="1"/>
    </xf>
    <xf numFmtId="0" fontId="12" fillId="13" borderId="18" xfId="0" applyFont="1" applyFill="1" applyBorder="1" applyAlignment="1" applyProtection="1">
      <alignment horizontal="center"/>
      <protection hidden="1"/>
    </xf>
    <xf numFmtId="0" fontId="12" fillId="0" borderId="16" xfId="0" applyFont="1" applyFill="1" applyBorder="1" applyAlignment="1" applyProtection="1">
      <alignment horizontal="left"/>
      <protection locked="0"/>
    </xf>
    <xf numFmtId="0" fontId="12" fillId="0" borderId="29" xfId="0" applyFont="1" applyFill="1" applyBorder="1" applyAlignment="1" applyProtection="1">
      <alignment horizontal="center"/>
      <protection locked="0"/>
    </xf>
    <xf numFmtId="166" fontId="0" fillId="13" borderId="16" xfId="1" applyNumberFormat="1" applyFont="1" applyFill="1" applyBorder="1" applyProtection="1">
      <protection hidden="1"/>
    </xf>
    <xf numFmtId="0" fontId="0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0" fillId="0" borderId="18" xfId="0" applyFont="1" applyBorder="1" applyProtection="1">
      <protection locked="0"/>
    </xf>
    <xf numFmtId="0" fontId="12" fillId="0" borderId="30" xfId="0" applyFont="1" applyFill="1" applyBorder="1" applyAlignment="1" applyProtection="1">
      <alignment horizontal="left" vertical="center"/>
      <protection locked="0"/>
    </xf>
    <xf numFmtId="0" fontId="0" fillId="0" borderId="31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0" xfId="0" applyFont="1" applyFill="1" applyBorder="1" applyProtection="1">
      <protection locked="0"/>
    </xf>
    <xf numFmtId="0" fontId="0" fillId="0" borderId="31" xfId="0" applyFont="1" applyFill="1" applyBorder="1" applyProtection="1">
      <protection locked="0"/>
    </xf>
    <xf numFmtId="0" fontId="0" fillId="0" borderId="31" xfId="0" applyFont="1" applyFill="1" applyBorder="1" applyAlignment="1" applyProtection="1">
      <alignment horizontal="left"/>
      <protection locked="0"/>
    </xf>
    <xf numFmtId="0" fontId="0" fillId="0" borderId="31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left" vertical="center"/>
      <protection locked="0"/>
    </xf>
    <xf numFmtId="0" fontId="12" fillId="0" borderId="33" xfId="0" applyFont="1" applyFill="1" applyBorder="1" applyAlignment="1" applyProtection="1">
      <alignment horizontal="left" vertical="center"/>
      <protection locked="0"/>
    </xf>
    <xf numFmtId="0" fontId="12" fillId="0" borderId="28" xfId="0" applyFont="1" applyFill="1" applyBorder="1" applyAlignment="1" applyProtection="1">
      <alignment horizontal="left" vertical="center"/>
      <protection locked="0"/>
    </xf>
    <xf numFmtId="14" fontId="12" fillId="0" borderId="30" xfId="0" applyNumberFormat="1" applyFont="1" applyFill="1" applyBorder="1" applyAlignment="1" applyProtection="1">
      <alignment horizontal="left" vertical="center"/>
      <protection locked="0"/>
    </xf>
    <xf numFmtId="14" fontId="12" fillId="0" borderId="32" xfId="0" applyNumberFormat="1" applyFont="1" applyFill="1" applyBorder="1" applyAlignment="1" applyProtection="1">
      <alignment horizontal="left" vertical="center"/>
      <protection locked="0"/>
    </xf>
    <xf numFmtId="14" fontId="12" fillId="0" borderId="33" xfId="0" applyNumberFormat="1" applyFont="1" applyFill="1" applyBorder="1" applyAlignment="1" applyProtection="1">
      <alignment horizontal="left" vertical="center"/>
      <protection locked="0"/>
    </xf>
    <xf numFmtId="14" fontId="12" fillId="0" borderId="31" xfId="0" applyNumberFormat="1" applyFont="1" applyFill="1" applyBorder="1" applyAlignment="1" applyProtection="1">
      <alignment horizontal="left"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0" fontId="0" fillId="0" borderId="28" xfId="0" applyFont="1" applyFill="1" applyBorder="1" applyAlignment="1" applyProtection="1">
      <alignment horizontal="center" vertical="center"/>
      <protection locked="0"/>
    </xf>
    <xf numFmtId="0" fontId="0" fillId="0" borderId="30" xfId="0" applyFont="1" applyFill="1" applyBorder="1" applyAlignment="1" applyProtection="1">
      <alignment horizontal="center" vertical="center"/>
      <protection locked="0"/>
    </xf>
    <xf numFmtId="0" fontId="0" fillId="0" borderId="31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12" fillId="0" borderId="31" xfId="0" applyFont="1" applyFill="1" applyBorder="1" applyAlignment="1" applyProtection="1">
      <protection locked="0"/>
    </xf>
    <xf numFmtId="0" fontId="0" fillId="13" borderId="32" xfId="0" applyFill="1" applyBorder="1" applyProtection="1">
      <protection hidden="1"/>
    </xf>
    <xf numFmtId="0" fontId="0" fillId="0" borderId="28" xfId="0" applyFill="1" applyBorder="1" applyAlignment="1" applyProtection="1">
      <alignment vertical="center"/>
      <protection hidden="1"/>
    </xf>
    <xf numFmtId="0" fontId="0" fillId="13" borderId="28" xfId="0" applyFill="1" applyBorder="1" applyAlignment="1" applyProtection="1">
      <alignment vertical="center"/>
      <protection hidden="1"/>
    </xf>
    <xf numFmtId="0" fontId="12" fillId="0" borderId="31" xfId="0" applyFont="1" applyFill="1" applyBorder="1" applyAlignment="1" applyProtection="1">
      <alignment vertical="center"/>
      <protection hidden="1"/>
    </xf>
    <xf numFmtId="44" fontId="12" fillId="0" borderId="31" xfId="1" applyFont="1" applyFill="1" applyBorder="1" applyAlignment="1" applyProtection="1">
      <alignment vertical="center"/>
      <protection hidden="1"/>
    </xf>
    <xf numFmtId="44" fontId="12" fillId="0" borderId="31" xfId="1" applyFont="1" applyFill="1" applyBorder="1" applyAlignment="1" applyProtection="1">
      <alignment horizontal="left" vertical="center"/>
      <protection locked="0"/>
    </xf>
    <xf numFmtId="10" fontId="0" fillId="13" borderId="31" xfId="2" applyNumberFormat="1" applyFont="1" applyFill="1" applyBorder="1" applyProtection="1">
      <protection hidden="1"/>
    </xf>
    <xf numFmtId="10" fontId="0" fillId="13" borderId="32" xfId="2" applyNumberFormat="1" applyFont="1" applyFill="1" applyBorder="1" applyProtection="1">
      <protection hidden="1"/>
    </xf>
    <xf numFmtId="0" fontId="0" fillId="14" borderId="31" xfId="0" applyFill="1" applyBorder="1" applyAlignment="1" applyProtection="1">
      <alignment vertical="center"/>
      <protection hidden="1"/>
    </xf>
    <xf numFmtId="10" fontId="0" fillId="14" borderId="30" xfId="2" applyNumberFormat="1" applyFont="1" applyFill="1" applyBorder="1" applyProtection="1">
      <protection locked="0"/>
    </xf>
    <xf numFmtId="44" fontId="0" fillId="14" borderId="31" xfId="1" applyFont="1" applyFill="1" applyBorder="1" applyProtection="1">
      <protection locked="0"/>
    </xf>
    <xf numFmtId="44" fontId="0" fillId="0" borderId="31" xfId="1" applyFont="1" applyBorder="1" applyProtection="1">
      <protection locked="0"/>
    </xf>
    <xf numFmtId="0" fontId="12" fillId="13" borderId="31" xfId="1" applyNumberFormat="1" applyFont="1" applyFill="1" applyBorder="1" applyProtection="1">
      <protection locked="0"/>
    </xf>
    <xf numFmtId="10" fontId="0" fillId="0" borderId="30" xfId="2" applyNumberFormat="1" applyFont="1" applyFill="1" applyBorder="1" applyProtection="1">
      <protection locked="0"/>
    </xf>
    <xf numFmtId="164" fontId="0" fillId="0" borderId="30" xfId="0" applyNumberFormat="1" applyFont="1" applyFill="1" applyBorder="1" applyProtection="1">
      <protection locked="0"/>
    </xf>
    <xf numFmtId="164" fontId="12" fillId="14" borderId="30" xfId="0" applyNumberFormat="1" applyFont="1" applyFill="1" applyBorder="1" applyProtection="1">
      <protection locked="0"/>
    </xf>
    <xf numFmtId="10" fontId="12" fillId="13" borderId="33" xfId="2" applyNumberFormat="1" applyFont="1" applyFill="1" applyBorder="1" applyProtection="1">
      <protection hidden="1"/>
    </xf>
    <xf numFmtId="10" fontId="12" fillId="13" borderId="32" xfId="2" applyNumberFormat="1" applyFont="1" applyFill="1" applyBorder="1" applyProtection="1">
      <protection hidden="1"/>
    </xf>
    <xf numFmtId="44" fontId="12" fillId="0" borderId="31" xfId="1" applyFont="1" applyFill="1" applyBorder="1" applyProtection="1">
      <protection locked="0"/>
    </xf>
    <xf numFmtId="165" fontId="12" fillId="0" borderId="31" xfId="1" applyNumberFormat="1" applyFont="1" applyFill="1" applyBorder="1" applyProtection="1">
      <protection locked="0"/>
    </xf>
    <xf numFmtId="10" fontId="12" fillId="13" borderId="31" xfId="2" applyNumberFormat="1" applyFont="1" applyFill="1" applyBorder="1" applyAlignment="1" applyProtection="1">
      <alignment horizontal="right"/>
      <protection hidden="1"/>
    </xf>
    <xf numFmtId="0" fontId="12" fillId="14" borderId="30" xfId="0" applyFont="1" applyFill="1" applyBorder="1" applyAlignment="1" applyProtection="1">
      <alignment horizontal="center"/>
      <protection locked="0"/>
    </xf>
    <xf numFmtId="0" fontId="12" fillId="14" borderId="30" xfId="0" applyFont="1" applyFill="1" applyBorder="1" applyAlignment="1" applyProtection="1">
      <alignment horizontal="left"/>
      <protection locked="0"/>
    </xf>
    <xf numFmtId="0" fontId="12" fillId="13" borderId="31" xfId="0" applyFont="1" applyFill="1" applyBorder="1" applyAlignment="1" applyProtection="1">
      <alignment horizontal="left"/>
      <protection hidden="1"/>
    </xf>
    <xf numFmtId="0" fontId="12" fillId="13" borderId="32" xfId="0" applyFont="1" applyFill="1" applyBorder="1" applyAlignment="1" applyProtection="1">
      <alignment horizontal="center"/>
      <protection hidden="1"/>
    </xf>
    <xf numFmtId="0" fontId="12" fillId="0" borderId="30" xfId="0" applyFont="1" applyFill="1" applyBorder="1" applyAlignment="1" applyProtection="1">
      <alignment horizontal="left"/>
      <protection locked="0"/>
    </xf>
    <xf numFmtId="0" fontId="12" fillId="0" borderId="34" xfId="0" applyFont="1" applyFill="1" applyBorder="1" applyAlignment="1" applyProtection="1">
      <alignment horizontal="center"/>
      <protection locked="0"/>
    </xf>
    <xf numFmtId="166" fontId="0" fillId="13" borderId="30" xfId="1" applyNumberFormat="1" applyFont="1" applyFill="1" applyBorder="1" applyProtection="1">
      <protection hidden="1"/>
    </xf>
    <xf numFmtId="0" fontId="0" fillId="0" borderId="30" xfId="0" applyFont="1" applyBorder="1" applyProtection="1">
      <protection locked="0"/>
    </xf>
    <xf numFmtId="0" fontId="0" fillId="0" borderId="31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10" fontId="15" fillId="14" borderId="30" xfId="2" applyNumberFormat="1" applyFont="1" applyFill="1" applyBorder="1" applyProtection="1">
      <protection locked="0"/>
    </xf>
    <xf numFmtId="0" fontId="0" fillId="0" borderId="31" xfId="0" applyFill="1" applyBorder="1" applyAlignment="1" applyProtection="1">
      <alignment vertical="center"/>
      <protection hidden="1"/>
    </xf>
    <xf numFmtId="10" fontId="15" fillId="0" borderId="30" xfId="2" applyNumberFormat="1" applyFont="1" applyFill="1" applyBorder="1" applyProtection="1">
      <protection locked="0"/>
    </xf>
    <xf numFmtId="164" fontId="12" fillId="0" borderId="30" xfId="0" applyNumberFormat="1" applyFont="1" applyFill="1" applyBorder="1" applyProtection="1"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0" fillId="0" borderId="31" xfId="0" applyBorder="1" applyProtection="1">
      <protection locked="0"/>
    </xf>
    <xf numFmtId="0" fontId="0" fillId="0" borderId="32" xfId="0" applyBorder="1" applyProtection="1">
      <protection locked="0"/>
    </xf>
    <xf numFmtId="44" fontId="0" fillId="0" borderId="31" xfId="1" applyFont="1" applyFill="1" applyBorder="1" applyAlignment="1" applyProtection="1">
      <alignment vertical="center"/>
      <protection hidden="1"/>
    </xf>
    <xf numFmtId="0" fontId="16" fillId="13" borderId="31" xfId="1" applyNumberFormat="1" applyFont="1" applyFill="1" applyBorder="1" applyProtection="1">
      <protection locked="0"/>
    </xf>
    <xf numFmtId="44" fontId="16" fillId="0" borderId="31" xfId="1" applyFont="1" applyFill="1" applyBorder="1" applyProtection="1">
      <protection locked="0"/>
    </xf>
    <xf numFmtId="165" fontId="16" fillId="0" borderId="31" xfId="1" applyNumberFormat="1" applyFont="1" applyFill="1" applyBorder="1" applyProtection="1">
      <protection locked="0"/>
    </xf>
    <xf numFmtId="10" fontId="16" fillId="13" borderId="31" xfId="2" applyNumberFormat="1" applyFont="1" applyFill="1" applyBorder="1" applyAlignment="1" applyProtection="1">
      <alignment horizontal="right"/>
      <protection hidden="1"/>
    </xf>
    <xf numFmtId="10" fontId="16" fillId="13" borderId="32" xfId="2" applyNumberFormat="1" applyFont="1" applyFill="1" applyBorder="1" applyProtection="1">
      <protection hidden="1"/>
    </xf>
    <xf numFmtId="0" fontId="4" fillId="4" borderId="6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 vertical="center"/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6" borderId="12" xfId="0" applyFont="1" applyFill="1" applyBorder="1" applyAlignment="1" applyProtection="1">
      <alignment horizontal="center" vertical="center" wrapText="1"/>
      <protection hidden="1"/>
    </xf>
    <xf numFmtId="0" fontId="4" fillId="6" borderId="13" xfId="0" applyFont="1" applyFill="1" applyBorder="1" applyAlignment="1" applyProtection="1">
      <alignment horizontal="center" vertical="center" wrapText="1"/>
      <protection hidden="1"/>
    </xf>
    <xf numFmtId="0" fontId="4" fillId="6" borderId="14" xfId="0" applyFont="1" applyFill="1" applyBorder="1" applyAlignment="1" applyProtection="1">
      <alignment horizontal="center" vertical="center" wrapText="1"/>
      <protection hidden="1"/>
    </xf>
    <xf numFmtId="0" fontId="5" fillId="5" borderId="9" xfId="0" applyFont="1" applyFill="1" applyBorder="1" applyAlignment="1" applyProtection="1">
      <alignment horizontal="center" vertical="center" wrapText="1"/>
      <protection hidden="1"/>
    </xf>
    <xf numFmtId="0" fontId="5" fillId="5" borderId="10" xfId="0" applyFont="1" applyFill="1" applyBorder="1" applyAlignment="1" applyProtection="1">
      <alignment horizontal="center" vertical="center" wrapText="1"/>
      <protection hidden="1"/>
    </xf>
    <xf numFmtId="0" fontId="5" fillId="5" borderId="11" xfId="0" applyFont="1" applyFill="1" applyBorder="1" applyAlignment="1" applyProtection="1">
      <alignment horizontal="center" vertical="center" wrapText="1"/>
      <protection hidden="1"/>
    </xf>
    <xf numFmtId="0" fontId="4" fillId="6" borderId="9" xfId="0" applyFont="1" applyFill="1" applyBorder="1" applyAlignment="1" applyProtection="1">
      <alignment horizontal="center" vertical="center" wrapText="1"/>
      <protection hidden="1"/>
    </xf>
    <xf numFmtId="0" fontId="4" fillId="6" borderId="10" xfId="0" applyFont="1" applyFill="1" applyBorder="1" applyAlignment="1" applyProtection="1">
      <alignment horizontal="center" vertical="center" wrapText="1"/>
      <protection hidden="1"/>
    </xf>
    <xf numFmtId="0" fontId="4" fillId="6" borderId="11" xfId="0" applyFont="1" applyFill="1" applyBorder="1" applyAlignment="1" applyProtection="1">
      <alignment horizontal="center" vertical="center" wrapText="1"/>
      <protection hidden="1"/>
    </xf>
    <xf numFmtId="0" fontId="7" fillId="9" borderId="16" xfId="0" applyFont="1" applyFill="1" applyBorder="1" applyAlignment="1" applyProtection="1">
      <alignment horizontal="center" vertical="center"/>
      <protection locked="0"/>
    </xf>
    <xf numFmtId="0" fontId="7" fillId="9" borderId="17" xfId="0" applyFont="1" applyFill="1" applyBorder="1" applyAlignment="1" applyProtection="1">
      <alignment horizontal="center" vertical="center"/>
      <protection locked="0"/>
    </xf>
    <xf numFmtId="0" fontId="7" fillId="9" borderId="18" xfId="0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 applyProtection="1">
      <alignment horizontal="center" vertical="center" wrapText="1"/>
      <protection hidden="1"/>
    </xf>
    <xf numFmtId="0" fontId="4" fillId="6" borderId="7" xfId="0" applyFont="1" applyFill="1" applyBorder="1" applyAlignment="1" applyProtection="1">
      <alignment horizontal="center" vertical="center" wrapText="1"/>
      <protection hidden="1"/>
    </xf>
    <xf numFmtId="0" fontId="4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6" xfId="0" applyFont="1" applyFill="1" applyBorder="1" applyAlignment="1" applyProtection="1">
      <alignment horizontal="center" vertical="center" wrapText="1"/>
      <protection hidden="1"/>
    </xf>
    <xf numFmtId="0" fontId="6" fillId="7" borderId="7" xfId="0" applyFont="1" applyFill="1" applyBorder="1" applyAlignment="1" applyProtection="1">
      <alignment horizontal="center" vertical="center" wrapText="1"/>
      <protection hidden="1"/>
    </xf>
    <xf numFmtId="0" fontId="6" fillId="7" borderId="8" xfId="0" applyFont="1" applyFill="1" applyBorder="1" applyAlignment="1" applyProtection="1">
      <alignment horizontal="center" vertical="center" wrapText="1"/>
      <protection hidden="1"/>
    </xf>
    <xf numFmtId="0" fontId="4" fillId="4" borderId="6" xfId="0" applyFont="1" applyFill="1" applyBorder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82"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1"/>
      <tableStyleElement type="headerRow" dxfId="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16450/Rule-Declare-DecisionTableedit_1645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oi307278/AppData/Local/Temp/Temp1_AquisicaoREJ17_2P_FBL.zip/AquisicaoREJ17_2P_FBL_NF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NFID"/>
      <sheetName val="LocalidadesTotal (43.539)"/>
      <sheetName val="ARBOR"/>
      <sheetName val="BENEFICIOS"/>
      <sheetName val="PLANOS"/>
    </sheetNames>
    <sheetDataSet>
      <sheetData sheetId="0" refreshError="1"/>
      <sheetData sheetId="1" refreshError="1"/>
      <sheetData sheetId="2" refreshError="1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</v>
          </cell>
          <cell r="B22" t="str">
            <v>Bundle Oi Conta Total</v>
          </cell>
          <cell r="C22">
            <v>73.33</v>
          </cell>
        </row>
        <row r="23">
          <cell r="A23" t="str">
            <v>PCS-4P2pi</v>
          </cell>
          <cell r="B23" t="str">
            <v>Bundle Oi Conta Total 50</v>
          </cell>
          <cell r="C23">
            <v>87.56</v>
          </cell>
        </row>
        <row r="24">
          <cell r="A24" t="str">
            <v>PCS-4P3pi</v>
          </cell>
          <cell r="B24" t="str">
            <v>Bundle Oi Conta Total 100</v>
          </cell>
          <cell r="C24">
            <v>128.07</v>
          </cell>
        </row>
        <row r="25">
          <cell r="A25" t="str">
            <v>PCS-4P4pi</v>
          </cell>
          <cell r="B25" t="str">
            <v>Bundle Oi Conta Total 250</v>
          </cell>
          <cell r="C25">
            <v>213.45</v>
          </cell>
        </row>
        <row r="26">
          <cell r="A26" t="str">
            <v>PCS-4P5pi</v>
          </cell>
          <cell r="B26" t="str">
            <v>Bundle Oi Conta Total 500</v>
          </cell>
          <cell r="C26">
            <v>330.59</v>
          </cell>
        </row>
        <row r="27">
          <cell r="A27" t="str">
            <v>PCS-4P6pi</v>
          </cell>
          <cell r="B27" t="str">
            <v>Bundle Oi Conta Total 800</v>
          </cell>
          <cell r="C27">
            <v>479.46</v>
          </cell>
        </row>
        <row r="28">
          <cell r="A28" t="str">
            <v>PCS-4P7pi</v>
          </cell>
          <cell r="B28" t="str">
            <v>BUNDLE Oi Completo 250</v>
          </cell>
          <cell r="C28">
            <v>114.89</v>
          </cell>
        </row>
        <row r="29">
          <cell r="A29" t="str">
            <v>PCS-4P8pi</v>
          </cell>
          <cell r="B29" t="str">
            <v>BUNDLE Oi Completo 500</v>
          </cell>
          <cell r="C29">
            <v>216.36</v>
          </cell>
        </row>
        <row r="30">
          <cell r="A30" t="str">
            <v>PCS-4P10pi</v>
          </cell>
          <cell r="B30" t="str">
            <v>BUNDLE Oi Completo 1.000</v>
          </cell>
          <cell r="C30">
            <v>280.77</v>
          </cell>
        </row>
        <row r="31">
          <cell r="A31" t="str">
            <v>PCS-4P9pi</v>
          </cell>
          <cell r="B31" t="str">
            <v>BUNDLE Oi Completo Mais</v>
          </cell>
          <cell r="C31">
            <v>345.16</v>
          </cell>
        </row>
        <row r="32">
          <cell r="A32" t="str">
            <v>PCS-OzTL40</v>
          </cell>
          <cell r="B32" t="str">
            <v>BUNDLE OI TV START HD</v>
          </cell>
          <cell r="C32">
            <v>99</v>
          </cell>
        </row>
        <row r="33">
          <cell r="A33" t="str">
            <v>PCS-OzTL740</v>
          </cell>
          <cell r="B33" t="str">
            <v>Bundle Oi TV Start HD DVR</v>
          </cell>
          <cell r="C33">
            <v>121.03</v>
          </cell>
        </row>
        <row r="34">
          <cell r="A34" t="str">
            <v>PCS-OzTL41</v>
          </cell>
          <cell r="B34" t="str">
            <v>BUNDLE OI TV MIX HD</v>
          </cell>
          <cell r="C34">
            <v>121.03</v>
          </cell>
        </row>
        <row r="35">
          <cell r="A35" t="str">
            <v>PCS-OzTL741</v>
          </cell>
          <cell r="B35" t="str">
            <v>Bundle Oi TV Mix HD DVR</v>
          </cell>
          <cell r="C35">
            <v>176.09</v>
          </cell>
        </row>
        <row r="36">
          <cell r="A36" t="str">
            <v>PCS-OzTL44</v>
          </cell>
          <cell r="B36" t="str">
            <v>BUNDLE OI TV MIX HBOMAX HD</v>
          </cell>
          <cell r="C36">
            <v>192.61</v>
          </cell>
        </row>
        <row r="37">
          <cell r="A37" t="str">
            <v>PCS-OzTL744</v>
          </cell>
          <cell r="B37" t="str">
            <v>Bundle Oi TV Mix HBOMax HD DVR</v>
          </cell>
          <cell r="C37">
            <v>209.13</v>
          </cell>
        </row>
        <row r="38">
          <cell r="A38" t="str">
            <v>PCS-OzTL43</v>
          </cell>
          <cell r="B38" t="str">
            <v>BUNDLE OI TV MIX TELECINE HD</v>
          </cell>
          <cell r="C38">
            <v>203.63</v>
          </cell>
        </row>
        <row r="39">
          <cell r="A39" t="str">
            <v>PCS-OzTL743</v>
          </cell>
          <cell r="B39" t="str">
            <v>Bundle Oi TV Mix Telecine HD DVR</v>
          </cell>
          <cell r="C39">
            <v>220.14</v>
          </cell>
        </row>
        <row r="40">
          <cell r="A40" t="str">
            <v>PCS-OzTL45</v>
          </cell>
          <cell r="B40" t="str">
            <v>BUNDLE OI TV MIX CINEMA HD</v>
          </cell>
          <cell r="C40">
            <v>209.13</v>
          </cell>
        </row>
        <row r="41">
          <cell r="A41" t="str">
            <v>PCS-OzTL745</v>
          </cell>
          <cell r="B41" t="str">
            <v>Bundle Oi TV Mix Cinema HD DVR</v>
          </cell>
          <cell r="C41">
            <v>253.18</v>
          </cell>
        </row>
        <row r="42">
          <cell r="A42" t="str">
            <v>PCS-OzTL42</v>
          </cell>
          <cell r="B42" t="str">
            <v>BUNDLE OI TV TOTAL HD</v>
          </cell>
          <cell r="C42">
            <v>165.08</v>
          </cell>
        </row>
        <row r="43">
          <cell r="A43" t="str">
            <v>PCS-OzTL742</v>
          </cell>
          <cell r="B43" t="str">
            <v>Bundle Oi TV Total HD DVR</v>
          </cell>
          <cell r="C43">
            <v>220.14</v>
          </cell>
        </row>
        <row r="44">
          <cell r="A44" t="str">
            <v>PCS-OzTL47</v>
          </cell>
          <cell r="B44" t="str">
            <v>BUNDLE OI TV TOTAL HBOMAX HD</v>
          </cell>
          <cell r="C44">
            <v>203.63</v>
          </cell>
        </row>
        <row r="45">
          <cell r="A45" t="str">
            <v>PCS-OzTL747</v>
          </cell>
          <cell r="B45" t="str">
            <v>Bundle Oi TV Total HBOMax HD DVR</v>
          </cell>
          <cell r="C45">
            <v>258.69</v>
          </cell>
        </row>
        <row r="46">
          <cell r="A46" t="str">
            <v>PCS-OzTL46</v>
          </cell>
          <cell r="B46" t="str">
            <v>BUNDLE OI TV TOTAL TELECINE HD</v>
          </cell>
          <cell r="C46">
            <v>214.64</v>
          </cell>
        </row>
        <row r="47">
          <cell r="A47" t="str">
            <v>PCS-OzTL746</v>
          </cell>
          <cell r="B47" t="str">
            <v>Bundle Oi TV Total Telecine HD DVR</v>
          </cell>
          <cell r="C47">
            <v>269.7</v>
          </cell>
        </row>
        <row r="48">
          <cell r="A48" t="str">
            <v>PCS-OzTL48</v>
          </cell>
          <cell r="B48" t="str">
            <v>BUNDLE OI TV TOTAL CINEMA HD</v>
          </cell>
          <cell r="C48">
            <v>253.18</v>
          </cell>
        </row>
        <row r="49">
          <cell r="A49" t="str">
            <v>PCS-OzTL748</v>
          </cell>
          <cell r="B49" t="str">
            <v>Bundle Oi TV Total Cinema HD DVR</v>
          </cell>
          <cell r="C49">
            <v>308.25</v>
          </cell>
        </row>
        <row r="50">
          <cell r="A50" t="str">
            <v>PCS-OzTL34</v>
          </cell>
          <cell r="B50" t="str">
            <v>Bundle COMBATE</v>
          </cell>
          <cell r="C50">
            <v>110.13</v>
          </cell>
        </row>
        <row r="51">
          <cell r="A51" t="str">
            <v>PCS-OzTL500</v>
          </cell>
          <cell r="B51" t="str">
            <v>Bundle Étnicos</v>
          </cell>
          <cell r="C51">
            <v>11.01</v>
          </cell>
        </row>
        <row r="52">
          <cell r="A52" t="str">
            <v>PCS-OzTL32</v>
          </cell>
          <cell r="B52" t="str">
            <v>Bundle Playboy TV</v>
          </cell>
          <cell r="C52">
            <v>21.91</v>
          </cell>
        </row>
        <row r="53">
          <cell r="A53" t="str">
            <v>PCS-OzTL501</v>
          </cell>
          <cell r="B53" t="str">
            <v>Bundle Premiere FC (2 campeonatos)</v>
          </cell>
          <cell r="C53">
            <v>93.5</v>
          </cell>
        </row>
        <row r="54">
          <cell r="A54" t="str">
            <v>PCS-OzTL502</v>
          </cell>
          <cell r="B54" t="str">
            <v>Bundle Premiere FC (3 campeonatos)</v>
          </cell>
          <cell r="C54">
            <v>115.52</v>
          </cell>
        </row>
        <row r="55">
          <cell r="A55" t="str">
            <v>PCS-OzTL503</v>
          </cell>
          <cell r="B55" t="str">
            <v>Bundle SexPrivê</v>
          </cell>
          <cell r="C55">
            <v>16.399999999999999</v>
          </cell>
        </row>
        <row r="56">
          <cell r="A56" t="str">
            <v>PCS-OzTL31</v>
          </cell>
          <cell r="B56" t="str">
            <v>Bundle Sexy Hot</v>
          </cell>
          <cell r="C56">
            <v>21.91</v>
          </cell>
        </row>
        <row r="57">
          <cell r="A57" t="str">
            <v>PCS-OzTL33</v>
          </cell>
          <cell r="B57" t="str">
            <v>Bundle Sexy Hot + Playboy (Combo)</v>
          </cell>
          <cell r="C57">
            <v>32.92</v>
          </cell>
        </row>
        <row r="58">
          <cell r="A58" t="str">
            <v>PCS-OzTL99</v>
          </cell>
          <cell r="B58" t="str">
            <v>Bundle PONTO ADICIONAL</v>
          </cell>
          <cell r="C58">
            <v>29.9</v>
          </cell>
        </row>
        <row r="59">
          <cell r="A59" t="str">
            <v>PCS-OzTL35</v>
          </cell>
          <cell r="B59" t="str">
            <v>Oi TV Série A + 1 Estadual</v>
          </cell>
          <cell r="C59">
            <v>93.5</v>
          </cell>
        </row>
        <row r="60">
          <cell r="A60" t="str">
            <v>PCS-OzTL36</v>
          </cell>
          <cell r="B60" t="str">
            <v>Oi TV Série A + 2 Estaduais</v>
          </cell>
          <cell r="C60">
            <v>115.52</v>
          </cell>
        </row>
        <row r="61">
          <cell r="A61" t="str">
            <v>PCS-OzTL37</v>
          </cell>
          <cell r="B61" t="str">
            <v>Oi TV Série A + B + 1 Estadual</v>
          </cell>
          <cell r="C61">
            <v>115.52</v>
          </cell>
        </row>
        <row r="62">
          <cell r="A62" t="str">
            <v>PCS-OzTL38</v>
          </cell>
          <cell r="B62" t="str">
            <v>Oi TV Série B + 1 Estadual</v>
          </cell>
          <cell r="C62">
            <v>93.5</v>
          </cell>
        </row>
        <row r="63">
          <cell r="A63" t="str">
            <v>PCS-OzTL50</v>
          </cell>
          <cell r="B63" t="str">
            <v>Coleção OI</v>
          </cell>
          <cell r="C63">
            <v>0</v>
          </cell>
        </row>
        <row r="64">
          <cell r="A64" t="str">
            <v>PCS-OzTL51</v>
          </cell>
          <cell r="B64" t="str">
            <v>Fox Premium</v>
          </cell>
          <cell r="C64">
            <v>24.9</v>
          </cell>
        </row>
        <row r="65">
          <cell r="A65" t="str">
            <v>PCS-OzTL52</v>
          </cell>
          <cell r="B65" t="str">
            <v>PenVr</v>
          </cell>
          <cell r="C65">
            <v>10</v>
          </cell>
        </row>
        <row r="66">
          <cell r="A66" t="str">
            <v>PCS-OzTL53</v>
          </cell>
          <cell r="B66" t="str">
            <v>PFC Completo</v>
          </cell>
          <cell r="C66">
            <v>104.9</v>
          </cell>
        </row>
        <row r="67">
          <cell r="A67" t="str">
            <v>PCS-OzTL54</v>
          </cell>
          <cell r="B67" t="str">
            <v>PFC Básico</v>
          </cell>
          <cell r="C67">
            <v>64.900000000000006</v>
          </cell>
        </row>
        <row r="68">
          <cell r="A68" t="str">
            <v>PCS-813566</v>
          </cell>
          <cell r="B68" t="str">
            <v>300MB</v>
          </cell>
          <cell r="C68">
            <v>18.920000000000002</v>
          </cell>
        </row>
        <row r="69">
          <cell r="A69" t="str">
            <v>PCS-813564</v>
          </cell>
          <cell r="B69" t="str">
            <v>500 MB</v>
          </cell>
          <cell r="C69">
            <v>28.44</v>
          </cell>
        </row>
        <row r="70">
          <cell r="A70" t="str">
            <v>PCS-813565</v>
          </cell>
          <cell r="B70" t="str">
            <v>2GB</v>
          </cell>
          <cell r="C70">
            <v>37.950000000000003</v>
          </cell>
        </row>
        <row r="71">
          <cell r="A71" t="str">
            <v>PCS-51793o08</v>
          </cell>
          <cell r="B71" t="str">
            <v>5GB</v>
          </cell>
          <cell r="C71">
            <v>142.15</v>
          </cell>
        </row>
        <row r="72">
          <cell r="A72" t="str">
            <v>PCS-7171B</v>
          </cell>
          <cell r="B72" t="str">
            <v>3GB</v>
          </cell>
          <cell r="C72">
            <v>98.15</v>
          </cell>
        </row>
        <row r="73">
          <cell r="A73" t="str">
            <v>PCS-7171A</v>
          </cell>
          <cell r="B73" t="str">
            <v>10GB</v>
          </cell>
          <cell r="C73">
            <v>196.31</v>
          </cell>
        </row>
        <row r="74">
          <cell r="A74" t="str">
            <v>PCS-10357</v>
          </cell>
          <cell r="B74" t="str">
            <v>Oi Internet pra Celular 1GB</v>
          </cell>
          <cell r="C74">
            <v>65.680000000000007</v>
          </cell>
        </row>
        <row r="75">
          <cell r="A75" t="str">
            <v>sva</v>
          </cell>
          <cell r="B75" t="str">
            <v>Serviço Valor agregado</v>
          </cell>
          <cell r="C75">
            <v>21.43</v>
          </cell>
        </row>
        <row r="76">
          <cell r="A76" t="str">
            <v>Intragrupo</v>
          </cell>
          <cell r="B76" t="str">
            <v>Intragrupo</v>
          </cell>
          <cell r="C76">
            <v>4.37</v>
          </cell>
        </row>
        <row r="77">
          <cell r="A77" t="str">
            <v>Dependente</v>
          </cell>
          <cell r="B77" t="str">
            <v>Dependente</v>
          </cell>
          <cell r="C77">
            <v>22.98</v>
          </cell>
        </row>
      </sheetData>
      <sheetData sheetId="3" refreshError="1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10,0769Template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20,0769Template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30,0769Template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10,2088Template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10,1429Template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20,2088Template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20,1429Template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30,2088Template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30,1429Template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10,3394Template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20,3394Template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30,3394Template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10,2735Template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20,2735Template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30,2735Template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10,143Template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20,143Template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30,143Template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10,0771Template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20,0771Template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30,0771Template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Larga0,3393Template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Larga0,3393Template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Larga0,3393Template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Larga0,3393Template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Larga0,3393Template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Larga0,1429Template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Larga0,1429Template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Larga0,1429Template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Larga0,1429Template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Larga0,1429Template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10,3406Template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10,2747Template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20,3406Template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20,2747Template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30,3406Template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30,2747Template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10,4725Template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10,4066Template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20,4725Template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20,4066Template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30,4725Template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30,4066Template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10,3393Template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20,3393Template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30,3393Template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10,2734Template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20,2734Template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30,2734Template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10,1429Template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20,1429Template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30,1429Template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10,0771Template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20,0771Template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30,0771Template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10,2089Template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20,2089Template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30,2089Template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20,4067Template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30,4067Template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20,5386Template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30,5386Template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10,2089Template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20,2089Template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30,2089Template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20,4067Template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30,4067Template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20,5386Template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30,5386Template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Larga0,2353Template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Larga0,2353Template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Larga0,2353Template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Larga0,2353Template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Larga0,2353Template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Larga0,2353Template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e">
            <v>#N/A</v>
          </cell>
          <cell r="B84" t="str">
            <v>DIVERSOS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e">
            <v>#N/A</v>
          </cell>
          <cell r="B85" t="str">
            <v>DIVERSOS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e">
            <v>#N/A</v>
          </cell>
          <cell r="B86" t="str">
            <v>DIVERSOS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e">
            <v>#N/A</v>
          </cell>
          <cell r="B87" t="str">
            <v>DIVERSOS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e">
            <v>#N/A</v>
          </cell>
          <cell r="B88" t="str">
            <v>DIVERSOS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10,1778Template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20,1778Template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30,1778Template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10,1334Template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20,1334Template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30,1334Template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10,1512Template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20,1512Template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30,1512Template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Larga0,1422Template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Larga0,1422Template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Larga0,1422Template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Larga0,1422Template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Larga0,1422Template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Larga0,1067Template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Larga0,1067Template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Larga0,1067Template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Larga0,1067Template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Larga0,1067Template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Larga0,1245Template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Larga0,1245Template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Larga0,1245Template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Larga0,1245Template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Larga0,1245Template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20,1245Template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30,1245Template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Larga0,3491Template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Larga0,7366Template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Larga0,5316Template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Larga0,7864Template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Larga0,7103Template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Larga0,1104Template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Larga0,64Template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Larga0,3754Template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Larga0,7151Template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Larga0,5944Template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Larga0,4062Template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Larga0,7597Template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Larga0,5706Template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Larga0,8042Template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Larga0,7248Template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Larga0,1675Template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Larga0,6631Template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Larga0,4144Template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Larga0,7329Template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Larga0,6089Template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Larga0,594Template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Larga0,7564Template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Larga0,8148Template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Larga0,8494Template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Larga0,832Template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Larga0,8428Template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3GB0,7667Template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5GB0,7193Template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10GB0,6439Template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10GB0,5421Template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10GB0,2874Template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3GB0,8675Template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5GB0,789Template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10GB0,6944Template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10GB0,5925Template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10GB0,3383Template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5GB0,7186Template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5GB0,6834Template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5GB0,6131Template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3GB0,7453Template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3GB0,6434Template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5GB0,6483Template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5GB0,5779Template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5GB0,5076Template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10GB0,567Template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3GB0,134Template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3GB0,0932Template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5GB0,191Template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10GB0,6434Template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3GB0,3887Template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3GB0,4906Template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5GB0,4372Template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10,092Template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</row>
        <row r="172">
          <cell r="A172" t="str">
            <v>Oi Total Fixo +  TV 20,092Template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</row>
        <row r="173">
          <cell r="A173" t="str">
            <v>Oi Total Fixo +  TV 30,2478Template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</row>
        <row r="174">
          <cell r="A174" t="str">
            <v>Oi Total Fixo +  TV 30,2394Template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</row>
        <row r="175">
          <cell r="A175" t="str">
            <v>Oi Total Fixo +  TV 30,092Template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</row>
        <row r="176">
          <cell r="A176" t="str">
            <v>Oi Total Fixo +  TV 30,2115Template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</row>
        <row r="177">
          <cell r="A177" t="str">
            <v>Oi Total Fixo +  TV 30,2056Template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</row>
        <row r="178">
          <cell r="A178" t="str">
            <v>Oi Total Fixo + Banda Larga + TV 30,4289Template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</row>
        <row r="179">
          <cell r="A179" t="str">
            <v>Oi Total Fixo + Pós Conectado Mais + Banda Larga0,5134Template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</row>
        <row r="180">
          <cell r="A180" t="str">
            <v>Oi Total Fixo + Pós Conectado 1.000 + Banda Larga0,4485Template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</row>
        <row r="181">
          <cell r="A181" t="str">
            <v>Oi Total Fixo + Pós 500 + Banda Larga0,5134Template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</row>
        <row r="182">
          <cell r="A182" t="str">
            <v>Oi Total Fixo +  TV 30,171Template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</row>
        <row r="183">
          <cell r="A183" t="str">
            <v>Oi Total Fixo +  TV 20,2283Template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</row>
        <row r="184">
          <cell r="A184" t="str">
            <v>Oi Total Fixo +  TV 30,208Template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</row>
        <row r="185">
          <cell r="A185" t="str">
            <v>Oi Total Fixo +  TV 30,2032Template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</row>
        <row r="186">
          <cell r="A186" t="str">
            <v>Oi Total Fixo +  TV 30,1893Template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</row>
        <row r="187">
          <cell r="A187" t="str">
            <v>Oi Total Fixo +  TV 10,1435Template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</row>
        <row r="188">
          <cell r="A188" t="str">
            <v>Oi Total Fixo +  TV 20,1341Template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</row>
        <row r="189">
          <cell r="A189" t="str">
            <v>Oi Total Fixo +  TV 30,2742Template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</row>
        <row r="190">
          <cell r="A190" t="str">
            <v>Oi Total Fixo +  TV 30,2644Template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</row>
        <row r="191">
          <cell r="A191" t="str">
            <v>Oi Total Fixo +  TV 30,1164Template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</row>
        <row r="192">
          <cell r="A192" t="str">
            <v>Oi Total Fixo +  TV 30,2359Template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</row>
        <row r="193">
          <cell r="A193" t="str">
            <v>Oi Total Fixo +  TV 30,2287Template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</row>
        <row r="194">
          <cell r="A194" t="str">
            <v>Oi Total Fixo +  TV 30,1911Template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</row>
        <row r="195">
          <cell r="A195" t="str">
            <v>Oi Total Fixo +  TV 20,1835Template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</row>
        <row r="196">
          <cell r="A196" t="str">
            <v>Oi Total Fixo +  TV 30,1662Template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</row>
        <row r="197">
          <cell r="A197" t="str">
            <v>Oi Total Fixo + Pós Conectado 1.000 + Banda Larga0,481Template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</row>
        <row r="198">
          <cell r="A198" t="str">
            <v>Oi Total Fixo +  TV 30,1624Template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</row>
        <row r="199">
          <cell r="A199" t="str">
            <v>Oi Total Fixo +  TV 30,2306Template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</row>
        <row r="200">
          <cell r="A200" t="str">
            <v>Oi Total Fixo +  TV 30,2969Template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</row>
        <row r="201">
          <cell r="A201" t="str">
            <v>Oi Total Fixo +  TV 30,2664Template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</row>
        <row r="202">
          <cell r="A202" t="str">
            <v>Oi Total Fixo +  TV 30,2592Template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</row>
        <row r="203">
          <cell r="A203" t="str">
            <v>Oi Total Fixo +  TV 30,3032Template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</row>
        <row r="204">
          <cell r="A204" t="str">
            <v>Oi Total Fixo + Banda Larga + TV 20,1746Template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</row>
        <row r="205">
          <cell r="A205" t="str">
            <v>Oi Total Fixo + Banda Larga + TV 30,2997Template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</row>
        <row r="206">
          <cell r="A206" t="str">
            <v>Oi Total Fixo + Banda Larga + TV 30,2885Template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</row>
        <row r="207">
          <cell r="A207" t="str">
            <v>Oi Total Fixo + Banda Larga + TV 30,1398Template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</row>
        <row r="208">
          <cell r="A208" t="str">
            <v>Oi Total Fixo + Banda Larga + TV 30,2594Template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</row>
        <row r="209">
          <cell r="A209" t="str">
            <v>Oi Total Fixo + Pós 500 + Banda Larga0,5551Template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</row>
        <row r="210">
          <cell r="A210" t="str">
            <v>Oi Total Fixo + Pós Conectado 1.000 + Banda Larga0,4589Template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</row>
        <row r="211">
          <cell r="A211" t="str">
            <v>Oi Total Fixo + Banda Larga + TV 30,251Template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</row>
        <row r="212">
          <cell r="A212" t="str">
            <v>Oi Total Fixo + Banda Larga + TV 30,2105Template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</row>
        <row r="213">
          <cell r="A213" t="str">
            <v>Oi Total Fixo + Banda Larga + TV 20,41Template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</row>
        <row r="214">
          <cell r="A214" t="str">
            <v>Oi Total Fixo + Banda Larga + TV 30,3626Template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</row>
        <row r="215">
          <cell r="A215" t="str">
            <v>Oi Total Fixo + Banda Larga + TV 30,3516Template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</row>
        <row r="216">
          <cell r="A216" t="str">
            <v>Oi Total Fixo + Banda Larga + TV 10,092Template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</row>
        <row r="217">
          <cell r="A217" t="str">
            <v>Oi Total Fixo + Banda Larga + TV 20,092Template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</row>
        <row r="218">
          <cell r="A218" t="str">
            <v>Oi Total Fixo + Pós 500 + Banda Larga0,5362Template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</row>
        <row r="219">
          <cell r="A219" t="str">
            <v>Oi Total Fixo + Pós Conectado Mais + Banda Larga0,441Template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</row>
        <row r="220">
          <cell r="A220" t="str">
            <v>Oi Total Fixo + Pós Conectado Mais + Banda Larga0,4107Template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</row>
        <row r="221">
          <cell r="A221" t="str">
            <v>Oi Total Fixo + Banda Larga + TV 30,2478Template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</row>
        <row r="222">
          <cell r="A222" t="str">
            <v>Oi Total Fixo + Banda Larga + TV 30,2394Template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</row>
        <row r="223">
          <cell r="A223" t="str">
            <v>Oi Total Fixo + Pós Conectado Mais + Banda Larga0,3306Template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</row>
        <row r="224">
          <cell r="A224" t="str">
            <v>Oi Total Fixo + Banda Larga + TV 30,092Template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</row>
        <row r="225">
          <cell r="A225" t="str">
            <v>Oi Total Fixo + Banda Larga + TV 30,2115Template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</row>
        <row r="226">
          <cell r="A226" t="str">
            <v>Oi Total Fixo + Banda Larga + TV 30,2056Template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</row>
        <row r="227">
          <cell r="A227" t="str">
            <v>Oi Total Fixo + Banda Larga + TV 30,171Template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</row>
        <row r="228">
          <cell r="A228" t="str">
            <v>Oi Total Fixo + Pós Conectado 500 + Banda Larga0,3306Template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</row>
        <row r="229">
          <cell r="A229" t="str">
            <v>Oi Total Fixo + Banda Larga + TV 10,193Template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</row>
        <row r="230">
          <cell r="A230" t="str">
            <v>Oi Total Fixo + Pós 250 + Banda Larga0,3306Template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</row>
        <row r="231">
          <cell r="A231" t="str">
            <v>Oi Total Fixo + Banda Larga + TV 30,384Template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</row>
        <row r="232">
          <cell r="A232" t="str">
            <v>Oi Total Fixo + Pós 50 + Banda Larga0,3445Template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</row>
        <row r="233">
          <cell r="A233" t="str">
            <v>Oi Total Fixo + Pós Conectado 500 + Banda Larga0,3445Template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</row>
        <row r="234">
          <cell r="A234" t="str">
            <v>Oi Total Fixo + Pós 100 + Banda Larga0,2159Template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</row>
        <row r="235">
          <cell r="A235" t="str">
            <v>Oi Total Fixo + Pós Conectado 1.000 + Banda Larga0,2159Template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</row>
        <row r="236">
          <cell r="A236" t="str">
            <v>Oi Total Fixo + Pós 100 + Banda Larga0,3256Template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</row>
        <row r="237">
          <cell r="A237" t="str">
            <v>Oi Total Fixo + Pós Conectado 1.000 + Banda Larga0,3256Template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</row>
        <row r="238">
          <cell r="A238" t="str">
            <v>Oi Total Fixo + Pós 100 + Banda Larga0,313Template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</row>
        <row r="239">
          <cell r="A239" t="str">
            <v>Oi Total Fixo + Pós Conectado 1.000 + Banda Larga0,313Template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</row>
        <row r="240">
          <cell r="A240" t="str">
            <v>Oi Total Fixo + Pós 100 + Banda Larga0,1637Template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</row>
        <row r="241">
          <cell r="A241" t="str">
            <v>Oi Total Fixo + Pós Conectado 1.000 + Banda Larga0,1637Template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</row>
        <row r="242">
          <cell r="A242" t="str">
            <v>Oi Total Fixo + Pós 100 + Banda Larga0,2833Template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</row>
        <row r="243">
          <cell r="A243" t="str">
            <v>Oi Total Fixo + Pós Conectado 1.000 + Banda Larga0,2833Template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</row>
        <row r="244">
          <cell r="A244" t="str">
            <v>Oi Total Fixo + Pós 100 + Banda Larga0,2737Template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</row>
        <row r="245">
          <cell r="A245" t="str">
            <v>Oi Total Fixo + Pós Conectado 1.000 + Banda Larga0,2737Template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</row>
        <row r="246">
          <cell r="A246" t="str">
            <v>Oi Total Fixo + Pós 100 + Banda Larga0,2302Template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</row>
        <row r="247">
          <cell r="A247" t="str">
            <v>Oi Total Fixo + Pós Conectado 1.000 + Banda Larga0,2302Template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</row>
        <row r="248">
          <cell r="A248" t="str">
            <v>Oi Total Fixo + Pós 100 + Banda Larga0,4327Template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</row>
        <row r="249">
          <cell r="A249" t="str">
            <v>Oi Total Fixo + Pós Conectado 1.000 + Banda Larga0,4327Template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</row>
        <row r="250">
          <cell r="A250" t="str">
            <v>Oi Total Fixo + Pós 100 + Banda Larga0,3819Template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</row>
        <row r="251">
          <cell r="A251" t="str">
            <v>Oi Total Fixo + Pós Conectado 1.000 + Banda Larga0,3819Template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</row>
        <row r="252">
          <cell r="A252" t="str">
            <v>Oi Total Fixo + Pós 100 + Banda Larga0,3701Template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</row>
        <row r="253">
          <cell r="A253" t="str">
            <v>Oi Total Fixo + Pós Conectado 1.000 + Banda Larga0,3701Template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</row>
        <row r="254">
          <cell r="A254" t="str">
            <v>Oi Total Fixo + Pós 100 + Banda Larga0,3353Template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</row>
        <row r="255">
          <cell r="A255" t="str">
            <v>Oi Total Fixo + Pós Conectado 1.000 + Banda Larga0,3353Template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</row>
        <row r="256">
          <cell r="A256" t="str">
            <v>Oi Total Fixo + Pós Conectado Mais + Banda Larga0,4599Template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</row>
        <row r="257">
          <cell r="A257" t="str">
            <v>Oi Total Fixo + Pós Conectado 500 + Banda Larga0,4599Template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</row>
        <row r="258">
          <cell r="A258" t="str">
            <v>Oi Total Fixo + Pós 250 + Banda Larga0,4599Template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</row>
        <row r="259">
          <cell r="A259" t="str">
            <v>Oi Total Fixo + Pós Conectado Mais + Banda Larga0,4289Template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</row>
        <row r="260">
          <cell r="A260" t="str">
            <v>Oi Total Fixo + Pós Conectado 500 + Banda Larga0,4289Template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</row>
        <row r="261">
          <cell r="A261" t="str">
            <v>Oi Total Fixo + Pós 250 + Banda Larga0,4289Template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</row>
        <row r="262">
          <cell r="A262" t="str">
            <v>Oi Total Fixo + Pós Conectado Mais + Banda Larga0,4327Template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</row>
        <row r="263">
          <cell r="A263" t="str">
            <v>Oi Total Fixo + Pós 50 + Banda Larga0,092Template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</row>
        <row r="264">
          <cell r="A264" t="str">
            <v>Oi Total Fixo + Pós Conectado 500 + Banda Larga0,092Template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</row>
        <row r="265">
          <cell r="A265" t="str">
            <v>Oi Total Fixo + Pós 100 + Banda Larga0,2478Template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</row>
        <row r="266">
          <cell r="A266" t="str">
            <v>Oi Total Fixo + Pós Conectado 1.000 + Banda Larga0,2478Template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</row>
        <row r="267">
          <cell r="A267" t="str">
            <v>Oi Total Fixo + Pós 100 + Banda Larga0,2394Template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</row>
        <row r="268">
          <cell r="A268" t="str">
            <v>Oi Total Fixo + Pós Conectado 1.000 + Banda Larga0,2394Template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</row>
        <row r="269">
          <cell r="A269" t="str">
            <v>Oi Total Fixo + Pós Conectado 500 + Banda Larga0,3391Template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</row>
        <row r="270">
          <cell r="A270" t="str">
            <v>Oi Total Fixo + Pós 100 + Banda Larga0,092Template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</row>
        <row r="271">
          <cell r="A271" t="str">
            <v>Oi Total Fixo + Pós Conectado 1.000 + Banda Larga0,092Template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</row>
        <row r="272">
          <cell r="A272" t="str">
            <v>Oi Total Fixo + Pós 100 + Banda Larga0,3391Template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</row>
        <row r="273">
          <cell r="A273" t="str">
            <v>Oi Total Fixo + Pós 100 + Banda Larga0,2115Template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</row>
        <row r="274">
          <cell r="A274" t="str">
            <v>Oi Total Fixo + Pós Conectado 1.000 + Banda Larga0,2115Template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</row>
        <row r="275">
          <cell r="A275" t="str">
            <v>Oi Total Fixo + Pós 100 + Banda Larga0,2056Template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</row>
        <row r="276">
          <cell r="A276" t="str">
            <v>Oi Total Fixo + Banda Larga + TV 30,4323Template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</row>
        <row r="277">
          <cell r="A277" t="str">
            <v>Oi Total Fixo + Pós Conectado 1.000 + Banda Larga0,2056Template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</row>
        <row r="278">
          <cell r="A278" t="str">
            <v>Oi Total Fixo + Banda Larga + TV 30,4624Template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</row>
        <row r="279">
          <cell r="A279" t="str">
            <v>Oi Total Fixo + Pós 100 + Banda Larga0,171Template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</row>
        <row r="280">
          <cell r="A280" t="str">
            <v>Oi Total Fixo + Pós Conectado 1.000 + Banda Larga0,171Template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</row>
        <row r="281">
          <cell r="A281" t="str">
            <v>Oi Total Fixo + Pós Conectado Mais + Banda Larga0,1569Template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</row>
        <row r="282">
          <cell r="A282" t="str">
            <v>Oi Total Fixo + Banda Larga + TV 30,4395Template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</row>
        <row r="283">
          <cell r="A283" t="str">
            <v>Oi Total Fixo +  TV 10,2435Template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</row>
        <row r="284">
          <cell r="A284" t="str">
            <v>Oi Total Fixo + Banda Larga + TV 20,5004Template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</row>
        <row r="285">
          <cell r="A285" t="str">
            <v>Oi Total Fixo +  TV 20,2159Template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</row>
        <row r="286">
          <cell r="A286" t="str">
            <v>Oi Total Fixo +  TV 20,2573Template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</row>
        <row r="287">
          <cell r="A287" t="str">
            <v>Oi Total Fixo + Banda Larga + TV 20,4777Template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</row>
        <row r="288">
          <cell r="A288" t="str">
            <v>Oi Total Fixo +  TV 20,3399Template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</row>
        <row r="289">
          <cell r="A289" t="str">
            <v>Oi Total Fixo +  TV 30,3516Template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</row>
        <row r="290">
          <cell r="A290" t="str">
            <v>Oi Total Fixo +  TV 30,3775Template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</row>
        <row r="291">
          <cell r="A291" t="str">
            <v>Oi Total Fixo +  TV 30,4295Template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</row>
        <row r="292">
          <cell r="A292" t="str">
            <v>Oi Total Fixo + Banda Larga + TV 30,4076Template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</row>
        <row r="293">
          <cell r="A293" t="str">
            <v>Oi Total Fixo + Banda Larga + TV 30,3878Template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</row>
        <row r="294">
          <cell r="A294" t="str">
            <v>Oi Total Fixo + Banda Larga + TV 30,441Template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</row>
        <row r="295">
          <cell r="A295" t="str">
            <v>Oi Total Fixo + Banda Larga + TV 30,4177Template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</row>
        <row r="296">
          <cell r="A296" t="str">
            <v>Oi Total Fixo + Banda Larga + TV 30,4107Template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</row>
        <row r="297">
          <cell r="A297" t="str">
            <v>Oi Total Fixo + Banda Larga + TV 30,3862Template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</row>
        <row r="298">
          <cell r="A298" t="str">
            <v>Oi Total Fixo +  TV 30,3867Template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</row>
        <row r="299">
          <cell r="A299" t="str">
            <v>Oi Total Fixo +  TV 30,4112Template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</row>
        <row r="300">
          <cell r="A300" t="str">
            <v>Oi Total Fixo +  TV 30,4603Template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</row>
        <row r="301">
          <cell r="A301" t="str">
            <v>Oi Total Fixo +  TV 30,2594Template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</row>
        <row r="302">
          <cell r="A302" t="str">
            <v>Oi Total Fixo +  TV 30,2833Template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</row>
        <row r="303">
          <cell r="A303" t="str">
            <v>Oi Total Fixo +  TV 30,3311Template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</row>
        <row r="304">
          <cell r="A304" t="str">
            <v>Oi Total Fixo +  TV 20,3646Template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</row>
        <row r="305">
          <cell r="A305" t="str">
            <v>Oi Total Fixo +  TV 20,3949Template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</row>
        <row r="306">
          <cell r="A306" t="str">
            <v>Oi Total Fixo +  TV 20,4555Template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</row>
        <row r="307">
          <cell r="A307" t="str">
            <v>Oi Total Fixo +  TV 30,3376Template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</row>
        <row r="308">
          <cell r="A308" t="str">
            <v>Oi Total Fixo + Banda Larga + TV 20,4549Template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</row>
        <row r="309">
          <cell r="A309" t="str">
            <v>Oi Total Fixo + Banda Larga + TV 20,4246Template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</row>
        <row r="310">
          <cell r="A310" t="str">
            <v>Oi Total Fixo +  TV 30,3621Template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</row>
        <row r="311">
          <cell r="A311" t="str">
            <v>Oi Total Fixo +  TV 30,3716Template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</row>
        <row r="312">
          <cell r="A312" t="str">
            <v>Oi Total Fixo +  TV 30,3949Template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</row>
        <row r="313">
          <cell r="A313" t="str">
            <v>Oi Total Fixo + Banda Larga + TV 30,3784Template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</row>
        <row r="314">
          <cell r="A314" t="str">
            <v>Oi Total Fixo +  TV 30,4414Template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</row>
        <row r="315">
          <cell r="A315" t="str">
            <v>Oi Total Fixo +  TV 30,3487Template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</row>
        <row r="316">
          <cell r="A316" t="str">
            <v>Oi Total Fixo +  TV 30,3685Template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</row>
        <row r="317">
          <cell r="A317" t="str">
            <v>Oi Total Fixo + Banda Larga + TV 30,3306Template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</row>
        <row r="318">
          <cell r="A318" t="str">
            <v>Oi Total Fixo +  TV 30,408Template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</row>
        <row r="319">
          <cell r="A319" t="str">
            <v>Oi Total Fixo +  TV 20,4327Template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</row>
        <row r="320">
          <cell r="A320" t="str">
            <v>Oi Total Fixo + Banda Larga + TV 30,3067Template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</row>
        <row r="321">
          <cell r="A321" t="str">
            <v>Oi Total Fixo +  TV 20,4554Template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</row>
        <row r="322">
          <cell r="A322" t="str">
            <v>Oi Total Fixo + Banda Larga + TV 30,509Template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</row>
        <row r="323">
          <cell r="A323" t="str">
            <v>Oi Total Fixo +  TV 20,5008Template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</row>
        <row r="324">
          <cell r="A324" t="str">
            <v>Oi Total Fixo +  TV 30,4013Template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</row>
        <row r="325">
          <cell r="A325" t="str">
            <v>Oi Total Fixo + Banda Larga + TV 30,4599Template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</row>
        <row r="326">
          <cell r="A326" t="str">
            <v>Oi Total Fixo + Banda Larga + TV 30,4353Template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</row>
        <row r="327">
          <cell r="A327" t="str">
            <v>Oi Total Fixo + Banda Larga + TV 30,4809Template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</row>
        <row r="328">
          <cell r="A328" t="str">
            <v>Oi Total Fixo + Banda Larga + TV 30,403Template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</row>
        <row r="329">
          <cell r="A329" t="str">
            <v>Oi Total Fixo +  TV 30,4257Template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</row>
        <row r="330">
          <cell r="A330" t="str">
            <v>Oi Total Fixo + Banda Larga + TV 20,4217Template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</row>
        <row r="331">
          <cell r="A331" t="str">
            <v>Oi Total Fixo +  TV 30,4002Template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</row>
        <row r="332">
          <cell r="A332" t="str">
            <v>Oi Total Fixo + Banda Larga + TV 10,2425Template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</row>
        <row r="333">
          <cell r="A333" t="str">
            <v>Oi Total Fixo + Banda Larga + TV 20,2977Template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</row>
        <row r="334">
          <cell r="A334" t="str">
            <v>Oi Total Fixo + Banda Larga + TV 20,3391Template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</row>
        <row r="336">
          <cell r="A336" t="str">
            <v>Oi Conta Total Plug 10GB Downgrade0,7272Template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</row>
        <row r="337">
          <cell r="A337" t="str">
            <v>Oi Total Fixo +  TV 10,395Template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</row>
        <row r="338">
          <cell r="A338" t="str">
            <v>Oi Total Fixo +  TV 10,193Template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</row>
        <row r="339">
          <cell r="A339" t="str">
            <v>Oi Total Fixo +  TV 20,1746Template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</row>
        <row r="340">
          <cell r="A340" t="str">
            <v>Oi Total Fixo +  TV 30,4035Template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</row>
        <row r="341">
          <cell r="A341" t="str">
            <v>Oi Total Fixo +  TV 30,2997Template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</row>
        <row r="342">
          <cell r="A342" t="str">
            <v>Oi Total Fixo +  TV 30,2885Template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</row>
        <row r="343">
          <cell r="A343" t="str">
            <v>Oi Total Fixo +  TV 30,2355Template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</row>
        <row r="344">
          <cell r="A344" t="str">
            <v>Oi Total Fixo +  TV 30,1398Template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</row>
        <row r="345">
          <cell r="A345" t="str">
            <v>Oi Total Fixo +  TV 30,355Template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</row>
        <row r="346">
          <cell r="A346" t="str">
            <v>Oi Total Fixo +  TV 30,3418Template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</row>
        <row r="347">
          <cell r="A347" t="str">
            <v>Oi Total Fixo +  TV 30,251Template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</row>
        <row r="348">
          <cell r="A348" t="str">
            <v>Oi Total Fixo +  TV 30,2895Template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</row>
        <row r="349">
          <cell r="A349" t="str">
            <v>Oi Total Fixo +  TV 30,2105Template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</row>
        <row r="350">
          <cell r="A350" t="str">
            <v>Oi Total Fixo +  TV 20,2737Template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</row>
        <row r="351">
          <cell r="A351" t="str">
            <v>Oi Total Fixo +  TV 30,325Template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</row>
        <row r="352">
          <cell r="A352" t="str">
            <v>Oi Total Fixo +  TV 30,2318Template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</row>
        <row r="353">
          <cell r="A353" t="str">
            <v>Oi Total Fixo +  TV 20,41Template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</row>
        <row r="354">
          <cell r="A354" t="str">
            <v>Oi Total Fixo +  TV 20,2969Template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</row>
        <row r="355">
          <cell r="A355" t="str">
            <v>Oi Total Fixo +  TV 30,4399Template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</row>
        <row r="356">
          <cell r="A356" t="str">
            <v>Oi Total Fixo +  TV 30,3626Template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</row>
        <row r="357">
          <cell r="A357" t="str">
            <v>Oi Total Fixo +  TV 30,4489Template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</row>
        <row r="358">
          <cell r="A358" t="str">
            <v>Oi Total Fixo +  TV 30,384Template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</row>
        <row r="359">
          <cell r="A359" t="str">
            <v>Oi Total Fixo + Banda Larga + TV 10,395Template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</row>
        <row r="360">
          <cell r="A360" t="str">
            <v>Oi Total Fixo + Banda Larga + TV 20,3399Template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</row>
        <row r="361">
          <cell r="A361" t="str">
            <v>Oi Total Fixo + Banda Larga + TV 30,4035Template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</row>
        <row r="362">
          <cell r="A362" t="str">
            <v>Oi Total Fixo + Banda Larga + TV 30,3867Template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</row>
        <row r="363">
          <cell r="A363" t="str">
            <v>Oi Total Fixo + Banda Larga + TV 30,2355Template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</row>
        <row r="364">
          <cell r="A364" t="str">
            <v>Oi Total Fixo + Banda Larga + TV 30,355Template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</row>
        <row r="365">
          <cell r="A365" t="str">
            <v>Oi Total Fixo + Banda Larga + TV 30,3418Template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</row>
        <row r="366">
          <cell r="A366" t="str">
            <v>Oi Total Fixo + Banda Larga + TV 30,2895Template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</row>
        <row r="367">
          <cell r="A367" t="str">
            <v>Oi Total Fixo + Banda Larga + TV 20,3949Template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</row>
        <row r="368">
          <cell r="A368" t="str">
            <v>Oi Total Fixo + Banda Larga + TV 20,2737Template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</row>
        <row r="369">
          <cell r="A369" t="str">
            <v>Oi Total Fixo + Banda Larga + TV 30,3376Template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</row>
        <row r="370">
          <cell r="A370" t="str">
            <v>Oi Total Fixo + Banda Larga + TV 30,325Template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</row>
        <row r="371">
          <cell r="A371" t="str">
            <v>Oi Total Fixo + Banda Larga + TV 30,2318Template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</row>
        <row r="372">
          <cell r="A372" t="str">
            <v>Oi Total Fixo + Banda Larga + TV 30,3685Template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</row>
        <row r="373">
          <cell r="A373" t="str">
            <v>Oi Total Fixo + Banda Larga + TV 20,5008Template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</row>
        <row r="374">
          <cell r="A374" t="str">
            <v>Oi Total Fixo + Banda Larga + TV 30,4399Template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</row>
        <row r="375">
          <cell r="A375" t="str">
            <v>Oi Total Fixo + Banda Larga + TV 30,4257Template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</row>
        <row r="376">
          <cell r="A376" t="str">
            <v>Oi Total Fixo + Banda Larga + TV 30,4489Template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</row>
        <row r="377">
          <cell r="A377" t="str">
            <v>Oi Total Fixo + Banda Larga 10,3821Template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</row>
        <row r="378">
          <cell r="A378" t="str">
            <v>Oi Total Fixo + Banda Larga 20,3821Template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</row>
        <row r="379">
          <cell r="A379" t="str">
            <v>Oi Total Fixo + Banda Larga 30,3821Template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</row>
        <row r="380">
          <cell r="A380" t="str">
            <v>Oi Total Fixo + Banda Larga 10,3904Template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</row>
        <row r="381">
          <cell r="A381" t="str">
            <v>Oi Total Fixo + Banda Larga 20,3904Template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</row>
        <row r="382">
          <cell r="A382" t="str">
            <v>Oi Total Fixo + Banda Larga 30,3904Template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</row>
        <row r="383">
          <cell r="A383" t="str">
            <v>Oi Total Fixo + Banda Larga 10,4222Template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</row>
        <row r="384">
          <cell r="A384" t="str">
            <v>Oi Total Fixo + Banda Larga 20,4222Template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</row>
        <row r="385">
          <cell r="A385" t="str">
            <v>Oi Total Fixo + Banda Larga 30,4222Template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</row>
        <row r="386">
          <cell r="A386" t="str">
            <v>Oi Total Fixo + Banda Larga 10,4864Template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</row>
        <row r="387">
          <cell r="A387" t="str">
            <v>Oi Total Fixo + Banda Larga 20,4864Template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</row>
        <row r="388">
          <cell r="A388" t="str">
            <v>Oi Total Fixo + Banda Larga 30,4864Template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</row>
        <row r="389">
          <cell r="A389" t="str">
            <v>Oi Total Fixo + Banda Larga 10,5377Template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</row>
        <row r="390">
          <cell r="A390" t="str">
            <v>Oi Total Fixo + Banda Larga 20,5377Template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</row>
        <row r="391">
          <cell r="A391" t="str">
            <v>Oi Total Fixo + Banda Larga 30,5377Template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</row>
        <row r="392">
          <cell r="A392" t="str">
            <v>Oi Total Fixo + Banda Larga 10,6444Template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</row>
        <row r="393">
          <cell r="A393" t="str">
            <v>Oi Total Fixo + Banda Larga 20,6444Template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</row>
        <row r="394">
          <cell r="A394" t="str">
            <v>Oi Total Fixo + Banda Larga 30,6444Template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</row>
        <row r="395">
          <cell r="A395" t="str">
            <v>Oi Total Fixo + Banda Larga 10,7333Template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</row>
        <row r="396">
          <cell r="A396" t="str">
            <v>Oi Total Fixo + Banda Larga 20,7333Template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</row>
        <row r="397">
          <cell r="A397" t="str">
            <v>Oi Total Fixo + Banda Larga 30,7333Template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</row>
        <row r="398">
          <cell r="A398" t="str">
            <v>Oi Total Fixo + Banda Larga 10,6977Template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</row>
        <row r="399">
          <cell r="A399" t="str">
            <v>Oi Total Fixo + Banda Larga 20,6977Template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</row>
        <row r="400">
          <cell r="A400" t="str">
            <v>Oi Total Fixo + Banda Larga 30,6977Template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</row>
        <row r="401">
          <cell r="A401" t="str">
            <v>Oi Total Fixo + Banda Larga 10,1242Template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</row>
        <row r="402">
          <cell r="A402" t="str">
            <v>Oi Total Fixo + Banda Larga 20,1242Template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</row>
        <row r="403">
          <cell r="A403" t="str">
            <v>Oi Total Fixo + Banda Larga 30,1242Template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</row>
        <row r="404">
          <cell r="A404" t="str">
            <v>Oi Total Fixo + Banda Larga 10,136Template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</row>
        <row r="405">
          <cell r="A405" t="str">
            <v>Oi Total Fixo + Banda Larga 20,136Template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</row>
        <row r="406">
          <cell r="A406" t="str">
            <v>Oi Total Fixo + Banda Larga 30,136Template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</row>
        <row r="407">
          <cell r="A407" t="str">
            <v>Oi Total Fixo + Banda Larga 10,1996Template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</row>
        <row r="408">
          <cell r="A408" t="str">
            <v>Oi Total Fixo + Banda Larga 20,1996Template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</row>
        <row r="409">
          <cell r="A409" t="str">
            <v>Oi Total Fixo + Banda Larga 30,1996Template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</row>
        <row r="410">
          <cell r="A410" t="str">
            <v>Oi Total Fixo + Banda Larga 10,2885Template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</row>
        <row r="411">
          <cell r="A411" t="str">
            <v>Oi Total Fixo + Banda Larga 20,2885Template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</row>
        <row r="412">
          <cell r="A412" t="str">
            <v>Oi Total Fixo + Banda Larga 30,2885Template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</row>
        <row r="413">
          <cell r="A413" t="str">
            <v>Oi Total Fixo + Banda Larga 10,3596Template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</row>
        <row r="414">
          <cell r="A414" t="str">
            <v>Oi Total Fixo + Banda Larga 20,3596Template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</row>
        <row r="415">
          <cell r="A415" t="str">
            <v>Oi Total Fixo + Banda Larga 30,3596Template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</row>
        <row r="416">
          <cell r="A416" t="str">
            <v>Oi Total Fixo + Banda Larga 10,5256Template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</row>
        <row r="417">
          <cell r="A417" t="str">
            <v>Oi Total Fixo + Banda Larga 20,5256Template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</row>
        <row r="418">
          <cell r="A418" t="str">
            <v>Oi Total Fixo + Banda Larga 30,5256Template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</row>
        <row r="419">
          <cell r="A419" t="str">
            <v>Oi Total Fixo + Banda Larga 10,6442Template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</row>
        <row r="420">
          <cell r="A420" t="str">
            <v>Oi Total Fixo + Banda Larga 20,6442Template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</row>
        <row r="421">
          <cell r="A421" t="str">
            <v>Oi Total Fixo + Banda Larga 30,6442Template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</row>
        <row r="422">
          <cell r="A422" t="str">
            <v>Oi Total Fixo + Banda Larga 10,6086Template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</row>
        <row r="423">
          <cell r="A423" t="str">
            <v>Oi Total Fixo + Banda Larga 20,6086Template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</row>
        <row r="424">
          <cell r="A424" t="str">
            <v>Oi Total Fixo + Banda Larga 30,6086Template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</row>
        <row r="425">
          <cell r="A425" t="str">
            <v>Oi Total Fixo + Pós 50 + Banda Larga0,5368Template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</row>
        <row r="426">
          <cell r="A426" t="str">
            <v>Oi Total Fixo + Pós Conectado 500 + Banda Larga0,5368Template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</row>
        <row r="427">
          <cell r="A427" t="str">
            <v>Oi Total Fixo + Pós 100 + Banda Larga0,5368Template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</row>
        <row r="428">
          <cell r="A428" t="str">
            <v>Oi Total Fixo + Pós Conectado 1.000 + Banda Larga0,5368Template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</row>
        <row r="429">
          <cell r="A429" t="str">
            <v>Oi Total Fixo + Pós Conectado Mais + Banda Larga0,5368Template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</row>
        <row r="430">
          <cell r="A430" t="str">
            <v>Oi Total Fixo + Pós 50 + Banda Larga0,5431Template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</row>
        <row r="431">
          <cell r="A431" t="str">
            <v>Oi Total Fixo + Pós Conectado 500 + Banda Larga0,5431Template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</row>
        <row r="432">
          <cell r="A432" t="str">
            <v>Oi Total Fixo + Pós 100 + Banda Larga0,5431Template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</row>
        <row r="433">
          <cell r="A433" t="str">
            <v>Oi Total Fixo + Pós Conectado 1.000 + Banda Larga0,5431Template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</row>
        <row r="434">
          <cell r="A434" t="str">
            <v>Oi Total Fixo + Pós Conectado Mais + Banda Larga0,5431Template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</row>
        <row r="435">
          <cell r="A435" t="str">
            <v>Oi Total Fixo + Pós 50 + Banda Larga0,5557Template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</row>
        <row r="436">
          <cell r="A436" t="str">
            <v>Oi Total Fixo + Pós Conectado 500 + Banda Larga0,5557Template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</row>
        <row r="437">
          <cell r="A437" t="str">
            <v>Oi Total Fixo + Pós 100 + Banda Larga0,5557Template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</row>
        <row r="438">
          <cell r="A438" t="str">
            <v>Oi Total Fixo + Pós Conectado 1.000 + Banda Larga0,5557Template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</row>
        <row r="439">
          <cell r="A439" t="str">
            <v>Oi Total Fixo + Pós Conectado Mais + Banda Larga0,5557Template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</row>
        <row r="440">
          <cell r="A440" t="str">
            <v>Oi Total Fixo + Pós 50 + Banda Larga0,6051Template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</row>
        <row r="441">
          <cell r="A441" t="str">
            <v>Oi Total Fixo + Pós Conectado 500 + Banda Larga0,6051Template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</row>
        <row r="442">
          <cell r="A442" t="str">
            <v>Oi Total Fixo + Pós 100 + Banda Larga0,6051Template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</row>
        <row r="443">
          <cell r="A443" t="str">
            <v>Oi Total Fixo + Pós Conectado 1.000 + Banda Larga0,6051Template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</row>
        <row r="444">
          <cell r="A444" t="str">
            <v>Oi Total Fixo + Pós Conectado Mais + Banda Larga0,6051Template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</row>
        <row r="445">
          <cell r="A445" t="str">
            <v>Oi Total Fixo + Pós 50 + Banda Larga0,6446Template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</row>
        <row r="446">
          <cell r="A446" t="str">
            <v>Oi Total Fixo + Pós Conectado 500 + Banda Larga0,6446Template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</row>
        <row r="447">
          <cell r="A447" t="str">
            <v>Oi Total Fixo + Pós 100 + Banda Larga0,6446Template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</row>
        <row r="448">
          <cell r="A448" t="str">
            <v>Oi Total Fixo + Pós Conectado 1.000 + Banda Larga0,6446Template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</row>
        <row r="449">
          <cell r="A449" t="str">
            <v>Oi Total Fixo + Pós Conectado Mais + Banda Larga0,6446Template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</row>
        <row r="450">
          <cell r="A450" t="str">
            <v>Oi Total Fixo + Pós 50 + Banda Larga0,7156Template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</row>
        <row r="451">
          <cell r="A451" t="str">
            <v>Oi Total Fixo + Pós Conectado 500 + Banda Larga0,7156Template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</row>
        <row r="452">
          <cell r="A452" t="str">
            <v>Oi Total Fixo + Pós 100 + Banda Larga0,7156Template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</row>
        <row r="453">
          <cell r="A453" t="str">
            <v>Oi Total Fixo + Pós Conectado 1.000 + Banda Larga0,7156Template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</row>
        <row r="454">
          <cell r="A454" t="str">
            <v>Oi Total Fixo + Pós Conectado Mais + Banda Larga0,7156Template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</row>
        <row r="455">
          <cell r="A455" t="str">
            <v>Oi Total Fixo + Pós 50 + Banda Larga0,7867Template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</row>
        <row r="456">
          <cell r="A456" t="str">
            <v>Oi Total Fixo + Pós Conectado 500 + Banda Larga0,7867Template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</row>
        <row r="457">
          <cell r="A457" t="str">
            <v>Oi Total Fixo + Pós 100 + Banda Larga0,7867Template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</row>
        <row r="458">
          <cell r="A458" t="str">
            <v>Oi Total Fixo + Pós Conectado 1.000 + Banda Larga0,7867Template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</row>
        <row r="459">
          <cell r="A459" t="str">
            <v>Oi Total Fixo + Pós Conectado Mais + Banda Larga0,7867Template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</row>
        <row r="460">
          <cell r="A460" t="str">
            <v>Oi Total Fixo + Pós 50 + Banda Larga0,7511Template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</row>
        <row r="461">
          <cell r="A461" t="str">
            <v>Oi Total Fixo + Pós Conectado 500 + Banda Larga0,7511Template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</row>
        <row r="462">
          <cell r="A462" t="str">
            <v>Oi Total Fixo + Pós 100 + Banda Larga0,7511Template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</row>
        <row r="463">
          <cell r="A463" t="str">
            <v>Oi Total Fixo + Pós Conectado 1.000 + Banda Larga0,7511Template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</row>
        <row r="464">
          <cell r="A464" t="str">
            <v>Oi Total Fixo + Pós Conectado Mais + Banda Larga0,7511Template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</row>
        <row r="465">
          <cell r="A465" t="str">
            <v>Oi Total Fixo + Pós 50 + Banda Larga0,1757Template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</row>
        <row r="466">
          <cell r="A466" t="str">
            <v>Oi Total Fixo + Pós Conectado 500 + Banda Larga0,1757Template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</row>
        <row r="467">
          <cell r="A467" t="str">
            <v>Oi Total Fixo + Pós 100 + Banda Larga0,1757Template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</row>
        <row r="468">
          <cell r="A468" t="str">
            <v>Oi Total Fixo + Pós Conectado 1.000 + Banda Larga0,1757Template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</row>
        <row r="469">
          <cell r="A469" t="str">
            <v>Oi Total Fixo + Pós Conectado Mais + Banda Larga0,1757Template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</row>
        <row r="470">
          <cell r="A470" t="str">
            <v>Oi Total Fixo + Pós 50 + Banda Larga0,1869Template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</row>
        <row r="471">
          <cell r="A471" t="str">
            <v>Oi Total Fixo + Pós Conectado 500 + Banda Larga0,1869Template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</row>
        <row r="472">
          <cell r="A472" t="str">
            <v>Oi Total Fixo + Pós 100 + Banda Larga0,1869Template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</row>
        <row r="473">
          <cell r="A473" t="str">
            <v>Oi Total Fixo + Pós Conectado 1.000 + Banda Larga0,1869Template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</row>
        <row r="474">
          <cell r="A474" t="str">
            <v>Oi Total Fixo + Pós Conectado Mais + Banda Larga0,1869Template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</row>
        <row r="475">
          <cell r="A475" t="str">
            <v>Oi Total Fixo + Pós 50 + Banda Larga0,2441Template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</row>
        <row r="476">
          <cell r="A476" t="str">
            <v>Oi Total Fixo + Pós Conectado 500 + Banda Larga0,2441Template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</row>
        <row r="477">
          <cell r="A477" t="str">
            <v>Oi Total Fixo + Pós 100 + Banda Larga0,2441Template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</row>
        <row r="478">
          <cell r="A478" t="str">
            <v>Oi Total Fixo + Pós Conectado 1.000 + Banda Larga0,2441Template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</row>
        <row r="479">
          <cell r="A479" t="str">
            <v>Oi Total Fixo + Pós Conectado Mais + Banda Larga0,2441Template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</row>
        <row r="480">
          <cell r="A480" t="str">
            <v>Oi Total Fixo + Pós 50 + Banda Larga0,3281Template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</row>
        <row r="481">
          <cell r="A481" t="str">
            <v>Oi Total Fixo + Pós Conectado 500 + Banda Larga0,3281Template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</row>
        <row r="482">
          <cell r="A482" t="str">
            <v>Oi Total Fixo + Pós 100 + Banda Larga0,3281Template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</row>
        <row r="483">
          <cell r="A483" t="str">
            <v>Oi Total Fixo + Pós Conectado 1.000 + Banda Larga0,3281Template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</row>
        <row r="484">
          <cell r="A484" t="str">
            <v>Oi Total Fixo + Pós Conectado Mais + Banda Larga0,3281Template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</row>
        <row r="485">
          <cell r="A485" t="str">
            <v>Oi Total Fixo + Pós 100 + Banda Larga0,3953Template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</row>
        <row r="486">
          <cell r="A486" t="str">
            <v>Oi Total Fixo + Pós Conectado 1.000 + Banda Larga0,3953Template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</row>
        <row r="487">
          <cell r="A487" t="str">
            <v>Oi Total Fixo + Pós Conectado Mais + Banda Larga0,3953Template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</row>
        <row r="488">
          <cell r="A488" t="str">
            <v>Oi Total Fixo + Pós 100 + Banda Larga0,5494Template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</row>
        <row r="489">
          <cell r="A489" t="str">
            <v>Oi Total Fixo + Pós Conectado 1.000 + Banda Larga0,5494Template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</row>
        <row r="490">
          <cell r="A490" t="str">
            <v>Oi Total Fixo + Pós Conectado Mais + Banda Larga0,5494Template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</row>
        <row r="491">
          <cell r="A491" t="str">
            <v>Oi Total Fixo + Pós 100 + Banda Larga0,6621Template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</row>
        <row r="492">
          <cell r="A492" t="str">
            <v>Oi Total Fixo + Pós Conectado 1.000 + Banda Larga0,6621Template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</row>
        <row r="493">
          <cell r="A493" t="str">
            <v>Oi Total Fixo + Pós Conectado Mais + Banda Larga0,6621Template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</row>
        <row r="494">
          <cell r="A494" t="str">
            <v>Oi Total Fixo + Pós 100 + Banda Larga0,6264Template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</row>
        <row r="495">
          <cell r="A495" t="str">
            <v>Oi Total Fixo + Pós Conectado 1.000 + Banda Larga0,6264Template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</row>
        <row r="496">
          <cell r="A496" t="str">
            <v>Oi Total Fixo + Pós Conectado Mais + Banda Larga0,6264Template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</row>
        <row r="497">
          <cell r="A497" t="str">
            <v>Oi Total Fixo + Pós 100 + Banda Larga0,947Template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</row>
        <row r="498">
          <cell r="A498" t="str">
            <v>Oi Total Fixo + Pós Conectado 1.000 + Banda Larga0,947Template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</row>
        <row r="499">
          <cell r="A499" t="str">
            <v>Oi Total Fixo + Pós Conectado Mais + Banda Larga0,947Template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</row>
        <row r="500">
          <cell r="A500" t="str">
            <v>Oi Total Fixo + Banda Larga + TV 10,467Template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</row>
        <row r="501">
          <cell r="A501" t="str">
            <v>Oi Total Fixo + Banda Larga + TV 20,467Template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</row>
        <row r="502">
          <cell r="A502" t="str">
            <v>Oi Total Fixo + Banda Larga + TV 30,467Template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</row>
        <row r="503">
          <cell r="A503" t="str">
            <v>Oi Total Fixo + Banda Larga + TV 10,5431Template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</row>
        <row r="504">
          <cell r="A504" t="str">
            <v>Oi Total Fixo + Banda Larga + TV 20,5431Template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</row>
        <row r="505">
          <cell r="A505" t="str">
            <v>Oi Total Fixo + Banda Larga + TV 30,5431Template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</row>
        <row r="506">
          <cell r="A506" t="str">
            <v>Oi Total Fixo + Banda Larga + TV 10,5557Template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</row>
        <row r="507">
          <cell r="A507" t="str">
            <v>Oi Total Fixo + Banda Larga + TV 20,5557Template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</row>
        <row r="508">
          <cell r="A508" t="str">
            <v>Oi Total Fixo + Banda Larga + TV 30,5557Template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</row>
        <row r="509">
          <cell r="A509" t="str">
            <v>Oi Total Fixo + Banda Larga + TV 10,6051Template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</row>
        <row r="510">
          <cell r="A510" t="str">
            <v>Oi Total Fixo + Banda Larga + TV 20,6051Template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</row>
        <row r="511">
          <cell r="A511" t="str">
            <v>Oi Total Fixo + Banda Larga + TV 30,6051Template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</row>
        <row r="512">
          <cell r="A512" t="str">
            <v>Oi Total Fixo + Banda Larga + TV 10,6446Template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</row>
        <row r="513">
          <cell r="A513" t="str">
            <v>Oi Total Fixo + Banda Larga + TV 20,6446Template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</row>
        <row r="514">
          <cell r="A514" t="str">
            <v>Oi Total Fixo + Banda Larga + TV 30,6446Template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</row>
        <row r="515">
          <cell r="A515" t="str">
            <v>Oi Total Fixo + Banda Larga + TV 10,7156Template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</row>
        <row r="516">
          <cell r="A516" t="str">
            <v>Oi Total Fixo + Banda Larga + TV 20,7156Template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</row>
        <row r="517">
          <cell r="A517" t="str">
            <v>Oi Total Fixo + Banda Larga + TV 30,7156Template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</row>
        <row r="518">
          <cell r="A518" t="str">
            <v>Oi Total Fixo + Banda Larga + TV 10,7867Template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</row>
        <row r="519">
          <cell r="A519" t="str">
            <v>Oi Total Fixo + Banda Larga + TV 20,7867Template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</row>
        <row r="520">
          <cell r="A520" t="str">
            <v>Oi Total Fixo + Banda Larga + TV 30,7867Template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</row>
        <row r="521">
          <cell r="A521" t="str">
            <v>Oi Total Fixo + Banda Larga + TV 10,7511Template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</row>
        <row r="522">
          <cell r="A522" t="str">
            <v>Oi Total Fixo + Banda Larga + TV 20,7511Template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</row>
        <row r="523">
          <cell r="A523" t="str">
            <v>Oi Total Fixo + Banda Larga + TV 30,7511Template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</row>
        <row r="524">
          <cell r="A524" t="str">
            <v>Oi Total Fixo + Banda Larga + TV 10,1757Template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</row>
        <row r="525">
          <cell r="A525" t="str">
            <v>Oi Total Fixo + Banda Larga + TV 20,1757Template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</row>
        <row r="526">
          <cell r="A526" t="str">
            <v>Oi Total Fixo + Banda Larga + TV 30,1757Template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</row>
        <row r="527">
          <cell r="A527" t="str">
            <v>Oi Total Fixo + Banda Larga + TV 10,1869Template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</row>
        <row r="528">
          <cell r="A528" t="str">
            <v>Oi Total Fixo + Banda Larga + TV 20,1869Template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</row>
        <row r="529">
          <cell r="A529" t="str">
            <v>Oi Total Fixo + Banda Larga + TV 30,1869Template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</row>
        <row r="530">
          <cell r="A530" t="str">
            <v>Oi Total Fixo + Banda Larga + TV 10,2441Template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</row>
        <row r="531">
          <cell r="A531" t="str">
            <v>Oi Total Fixo + Banda Larga + TV 20,2441Template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</row>
        <row r="532">
          <cell r="A532" t="str">
            <v>Oi Total Fixo + Banda Larga + TV 30,2441Template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</row>
        <row r="533">
          <cell r="A533" t="str">
            <v>Oi Total Fixo + Banda Larga + TV 10,3281Template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</row>
        <row r="534">
          <cell r="A534" t="str">
            <v>Oi Total Fixo + Banda Larga + TV 20,3281Template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</row>
        <row r="535">
          <cell r="A535" t="str">
            <v>Oi Total Fixo + Banda Larga + TV 30,3281Template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</row>
        <row r="536">
          <cell r="A536" t="str">
            <v>Oi Total Fixo + Banda Larga + TV 20,3953Template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</row>
        <row r="537">
          <cell r="A537" t="str">
            <v>Oi Total Fixo + Banda Larga + TV 30,3953Template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</row>
        <row r="538">
          <cell r="A538" t="str">
            <v>Oi Total Fixo + Banda Larga + TV 20,5494Template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</row>
        <row r="539">
          <cell r="A539" t="str">
            <v>Oi Total Fixo + Banda Larga + TV 30,6621Template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</row>
        <row r="540">
          <cell r="A540" t="str">
            <v>Oi Total Fixo + Banda Larga + TV 20,6621Template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</row>
        <row r="541">
          <cell r="A541" t="str">
            <v>Oi Total Fixo + Banda Larga + TV 20,6264Template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</row>
        <row r="542">
          <cell r="A542" t="str">
            <v>Oi Total Fixo + Banda Larga + TV 30,6264Template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</row>
        <row r="543">
          <cell r="A543" t="str">
            <v>Oi Total Fixo + Banda Larga + TV 10,4852Template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</row>
        <row r="544">
          <cell r="A544" t="str">
            <v>Oi Total Fixo + Banda Larga + TV 20,4852Template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</row>
        <row r="545">
          <cell r="A545" t="str">
            <v>Oi Total Fixo + Banda Larga + TV 30,4852Template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</row>
        <row r="546">
          <cell r="A546" t="str">
            <v>Oi Total Fixo + Banda Larga + TV 20,5368Template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</row>
        <row r="547">
          <cell r="A547" t="str">
            <v>Oi Total Fixo + Banda Larga + TV 30,5368Template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</row>
        <row r="548">
          <cell r="A548" t="str">
            <v>Oi Total Fixo + Banda Larga + TV 20,5884Template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</row>
        <row r="549">
          <cell r="A549" t="str">
            <v>Oi Total Fixo + Banda Larga + TV 30,5884Template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</row>
        <row r="550">
          <cell r="A550" t="str">
            <v>Oi Total Fixo + Banda Larga + TV 10,4922Template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</row>
        <row r="551">
          <cell r="A551" t="str">
            <v>Oi Total Fixo + Banda Larga + TV 20,4922Template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</row>
        <row r="552">
          <cell r="A552" t="str">
            <v>Oi Total Fixo + Banda Larga + TV 30,4922Template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</row>
        <row r="553">
          <cell r="A553" t="str">
            <v>Oi Total Fixo + Banda Larga + TV 20,594Template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</row>
        <row r="554">
          <cell r="A554" t="str">
            <v>Oi Total Fixo + Banda Larga + TV 30,594Template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</row>
        <row r="555">
          <cell r="A555" t="str">
            <v>Oi Total Fixo + Banda Larga + TV 10,4667Template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</row>
        <row r="556">
          <cell r="A556" t="str">
            <v>Oi Total Fixo + Banda Larga + TV 20,4667Template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</row>
        <row r="557">
          <cell r="A557" t="str">
            <v>Oi Total Fixo + Banda Larga + TV 30,4667Template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</row>
        <row r="558">
          <cell r="A558" t="str">
            <v>Oi Total Fixo + Banda Larga + TV 20,5112Template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</row>
        <row r="559">
          <cell r="A559" t="str">
            <v>Oi Total Fixo + Banda Larga + TV 30,5112Template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</row>
        <row r="560">
          <cell r="A560" t="str">
            <v>Oi Total Fixo + Banda Larga + TV 10,5259Template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</row>
        <row r="561">
          <cell r="A561" t="str">
            <v>Oi Total Fixo + Banda Larga + TV 20,5259Template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</row>
        <row r="562">
          <cell r="A562" t="str">
            <v>Oi Total Fixo + Banda Larga + TV 30,5259Template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</row>
        <row r="563">
          <cell r="A563" t="str">
            <v>Oi Total Fixo + Banda Larga + TV 20,5655Template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</row>
        <row r="564">
          <cell r="A564" t="str">
            <v>Oi Total Fixo + Banda Larga + TV 30,5655Template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</row>
        <row r="565">
          <cell r="A565" t="str">
            <v>Oi Total Fixo + Banda Larga + TV 10,5734Template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</row>
        <row r="566">
          <cell r="A566" t="str">
            <v>Oi Total Fixo + Banda Larga + TV 20,5734Template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</row>
        <row r="567">
          <cell r="A567" t="str">
            <v>Oi Total Fixo + Banda Larga + TV 30,5734Template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</row>
        <row r="568">
          <cell r="A568" t="str">
            <v>Oi Total Fixo + Banda Larga + TV 20,609Template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</row>
        <row r="569">
          <cell r="A569" t="str">
            <v>Oi Total Fixo + Banda Larga + TV 30,609Template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</row>
        <row r="570">
          <cell r="A570" t="str">
            <v>Oi Total Fixo + Banda Larga + TV 10,6681Template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</row>
        <row r="571">
          <cell r="A571" t="str">
            <v>Oi Total Fixo + Banda Larga + TV 20,6681Template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</row>
        <row r="572">
          <cell r="A572" t="str">
            <v>Oi Total Fixo + Banda Larga + TV 30,6681Template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</row>
        <row r="573">
          <cell r="A573" t="str">
            <v>Oi Total Fixo + Banda Larga + TV 20,6919Template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</row>
        <row r="574">
          <cell r="A574" t="str">
            <v>Oi Total Fixo + Banda Larga + TV 30,6919Template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</row>
        <row r="575">
          <cell r="A575" t="str">
            <v>Oi Total Fixo + Banda Larga + TV 20,7689Template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</row>
        <row r="576">
          <cell r="A576" t="str">
            <v>Oi Total Fixo + Banda Larga + TV 30,7689Template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</row>
        <row r="577">
          <cell r="A577" t="str">
            <v>Oi Total Fixo + Banda Larga + TV 10,7155Template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</row>
        <row r="578">
          <cell r="A578" t="str">
            <v>Oi Total Fixo + Banda Larga + TV 20,7155Template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</row>
        <row r="579">
          <cell r="A579" t="str">
            <v>Oi Total Fixo + Banda Larga + TV 30,7155Template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</row>
        <row r="580">
          <cell r="A580" t="str">
            <v>Oi Total Fixo + Banda Larga + TV 20,7333Template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</row>
        <row r="581">
          <cell r="A581" t="str">
            <v>Oi Total Fixo + Banda Larga + TV 30,7333Template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</row>
        <row r="582">
          <cell r="A582" t="str">
            <v>Oi Total Fixo + Pós 100 + Banda Larga0,4852Template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</row>
        <row r="583">
          <cell r="A583" t="str">
            <v>Oi Total Fixo + Pós 250 + Banda Larga0,4852Template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</row>
        <row r="584">
          <cell r="A584" t="str">
            <v>Oi Total Fixo + Pós Conectado 500 + Banda Larga0,4852Template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</row>
        <row r="585">
          <cell r="A585" t="str">
            <v>Oi Total Fixo + Pós Conectado 1.000 + Banda Larga0,4852Template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</row>
        <row r="586">
          <cell r="A586" t="str">
            <v>Oi Total Fixo + Pós Conectado Mais + Banda Larga0,4852Template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</row>
        <row r="587">
          <cell r="A587" t="str">
            <v>Oi Total Fixo + Pós 100 + Banda Larga0,4922Template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</row>
        <row r="588">
          <cell r="A588" t="str">
            <v>Oi Total Fixo + Pós 250 + Banda Larga0,4922Template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</row>
        <row r="589">
          <cell r="A589" t="str">
            <v>Oi Total Fixo + Pós Conectado 500 + Banda Larga0,4922Template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</row>
        <row r="590">
          <cell r="A590" t="str">
            <v>Oi Total Fixo + Pós Conectado 1.000 + Banda Larga0,4922Template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</row>
        <row r="591">
          <cell r="A591" t="str">
            <v>Oi Total Fixo + Pós Conectado Mais + Banda Larga0,4922Template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</row>
        <row r="592">
          <cell r="A592" t="str">
            <v>Oi Total Fixo + Pós 100 + Banda Larga0,4667Template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</row>
        <row r="593">
          <cell r="A593" t="str">
            <v>Oi Total Fixo + Pós 250 + Banda Larga0,4667Template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</row>
        <row r="594">
          <cell r="A594" t="str">
            <v>Oi Total Fixo + Pós Conectado 500 + Banda Larga0,4667Template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</row>
        <row r="595">
          <cell r="A595" t="str">
            <v>Oi Total Fixo + Pós Conectado 1.000 + Banda Larga0,4667Template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</row>
        <row r="596">
          <cell r="A596" t="str">
            <v>Oi Total Fixo + Pós Conectado Mais + Banda Larga0,4667Template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</row>
        <row r="597">
          <cell r="A597" t="str">
            <v>Oi Total Fixo + Pós 100 + Banda Larga0,5259Template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</row>
        <row r="598">
          <cell r="A598" t="str">
            <v>Oi Total Fixo + Pós 250 + Banda Larga0,5259Template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</row>
        <row r="599">
          <cell r="A599" t="str">
            <v>Oi Total Fixo + Pós Conectado 500 + Banda Larga0,5259Template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</row>
        <row r="600">
          <cell r="A600" t="str">
            <v>Oi Total Fixo + Pós Conectado 1.000 + Banda Larga0,5259Template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</row>
        <row r="601">
          <cell r="A601" t="str">
            <v>Oi Total Fixo + Pós Conectado Mais + Banda Larga0,5259Template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</row>
        <row r="602">
          <cell r="A602" t="str">
            <v>Oi Total Fixo + Pós 100 + Banda Larga0,5734Template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</row>
        <row r="603">
          <cell r="A603" t="str">
            <v>Oi Total Fixo + Pós 250 + Banda Larga0,5734Template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</row>
        <row r="604">
          <cell r="A604" t="str">
            <v>Oi Total Fixo + Pós Conectado 500 + Banda Larga0,5734Template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</row>
        <row r="605">
          <cell r="A605" t="str">
            <v>Oi Total Fixo + Pós Conectado 1.000 + Banda Larga0,5734Template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</row>
        <row r="606">
          <cell r="A606" t="str">
            <v>Oi Total Fixo + Pós Conectado Mais + Banda Larga0,5734Template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</row>
        <row r="607">
          <cell r="A607" t="str">
            <v>Oi Total Fixo + Pós 100 + Banda Larga0,6681Template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</row>
        <row r="608">
          <cell r="A608" t="str">
            <v>Oi Total Fixo + Pós 250 + Banda Larga0,6681Template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</row>
        <row r="609">
          <cell r="A609" t="str">
            <v>Oi Total Fixo + Pós Conectado 500 + Banda Larga0,6681Template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</row>
        <row r="610">
          <cell r="A610" t="str">
            <v>Oi Total Fixo + Pós Conectado 1.000 + Banda Larga0,6681Template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</row>
        <row r="611">
          <cell r="A611" t="str">
            <v>Oi Total Fixo + Pós Conectado Mais + Banda Larga0,6681Template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</row>
        <row r="612">
          <cell r="A612" t="str">
            <v>Oi Total Fixo + Pós 250 + Banda Larga0,7511Template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</row>
        <row r="613">
          <cell r="A613" t="str">
            <v>Oi Total Fixo + Pós 100 + Banda Larga0,7155Template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</row>
        <row r="614">
          <cell r="A614" t="str">
            <v>Oi Total Fixo + Pós 250 + Banda Larga0,7155Template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</row>
        <row r="615">
          <cell r="A615" t="str">
            <v>Oi Total Fixo + Pós Conectado 500 + Banda Larga0,7155Template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</row>
        <row r="616">
          <cell r="A616" t="str">
            <v>Oi Total Fixo + Pós Conectado 1.000 + Banda Larga0,7155Template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</row>
        <row r="617">
          <cell r="A617" t="str">
            <v>Oi Total Fixo + Pós Conectado Mais + Banda Larga0,7155Template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</row>
        <row r="618">
          <cell r="A618" t="str">
            <v>Oi Total Fixo + Pós 500 + Banda Larga0,4852Template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</row>
        <row r="619">
          <cell r="A619" t="str">
            <v>Oi Total Fixo + Pós 500 + Banda Larga0,4922Template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</row>
        <row r="620">
          <cell r="A620" t="str">
            <v>Oi Total Fixo + Pós 500 + Banda Larga0,4667Template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</row>
        <row r="621">
          <cell r="A621" t="str">
            <v>Oi Total Fixo + Pós 500 + Banda Larga0,5259Template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</row>
        <row r="622">
          <cell r="A622" t="str">
            <v>Oi Total Fixo + Pós 500 + Banda Larga0,5734Template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</row>
        <row r="623">
          <cell r="A623" t="str">
            <v>Oi Total Fixo + Pós 500 + Banda Larga0,6681Template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</row>
        <row r="624">
          <cell r="A624" t="str">
            <v>Oi Total Fixo + Pós 500 + Banda Larga0,7511Template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</row>
        <row r="625">
          <cell r="A625" t="str">
            <v>Oi Total Fixo + Pós 500 + Banda Larga0,7155Template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</row>
        <row r="626">
          <cell r="A626" t="str">
            <v>Oi Total Fixo +  TV 10,3394Template de desconto FLAT bundle - Fixo - Varejo - Ganho Tributário Cross</v>
          </cell>
          <cell r="B626" t="str">
            <v>Plano Oi Internet Total Low</v>
          </cell>
          <cell r="C626" t="str">
            <v>Template de desconto FLAT bundle - Fixo - Varejo - Ganho Tributário Cross</v>
          </cell>
          <cell r="D626">
            <v>0.33939999999999998</v>
          </cell>
          <cell r="E626" t="str">
            <v>MKT-1-9825510630</v>
          </cell>
          <cell r="F626" t="str">
            <v>0T3T_REJ17_CFG-2Plowpi_FLAT_FIXO_GT_33.94%</v>
          </cell>
        </row>
        <row r="627">
          <cell r="A627" t="str">
            <v>Oi Total Fixo +  TV 20,3394Template de desconto FLAT bundle - Fixo - Varejo - Ganho Tributário Cross</v>
          </cell>
          <cell r="B627" t="str">
            <v>Plano Oi Internet Total Medium</v>
          </cell>
          <cell r="C627" t="str">
            <v>Template de desconto FLAT bundle - Fixo - Varejo - Ganho Tributário Cross</v>
          </cell>
          <cell r="D627">
            <v>0.33939999999999998</v>
          </cell>
          <cell r="E627" t="str">
            <v>MKT-1-9825510831</v>
          </cell>
          <cell r="F627" t="str">
            <v>0T3T_REJ17_PCS-2PMepi_FLAT_FIXO_GT_33.94%</v>
          </cell>
        </row>
        <row r="628">
          <cell r="A628" t="str">
            <v>Oi Total Fixo +  TV 30,3394Template de desconto FLAT bundle - Fixo - Varejo - Ganho Tributário Cross</v>
          </cell>
          <cell r="B628" t="str">
            <v>Plano Oi Internet Total High</v>
          </cell>
          <cell r="C628" t="str">
            <v>Template de desconto FLAT bundle - Fixo - Varejo - Ganho Tributário Cross</v>
          </cell>
          <cell r="D628">
            <v>0.33939999999999998</v>
          </cell>
          <cell r="E628" t="str">
            <v>MKT-1-9825511032</v>
          </cell>
          <cell r="F628" t="str">
            <v>0T3T_REJ17_PCS-2PHipi_FLAT_FIXO_GT_33.94%</v>
          </cell>
        </row>
        <row r="629">
          <cell r="A629" t="str">
            <v>Oi Total Fixo +  TV 10,2735Template de desconto FLAT bundle - Fixo - Varejo - Ganho Tributário Cross</v>
          </cell>
          <cell r="B629" t="str">
            <v>Plano Oi Internet Total Low</v>
          </cell>
          <cell r="C629" t="str">
            <v>Template de desconto FLAT bundle - Fixo - Varejo - Ganho Tributário Cross</v>
          </cell>
          <cell r="D629">
            <v>0.27350000000000002</v>
          </cell>
          <cell r="E629" t="str">
            <v>MKT-1-9825556233</v>
          </cell>
          <cell r="F629" t="str">
            <v>0T3T_REJ17_CFG-2Plowpi_FLAT_FIXO_GT_27.35%</v>
          </cell>
        </row>
        <row r="630">
          <cell r="A630" t="str">
            <v>Oi Total Fixo +  TV 20,2735Template de desconto FLAT bundle - Fixo - Varejo - Ganho Tributário Cross</v>
          </cell>
          <cell r="B630" t="str">
            <v>Plano Oi Internet Total Medium</v>
          </cell>
          <cell r="C630" t="str">
            <v>Template de desconto FLAT bundle - Fixo - Varejo - Ganho Tributário Cross</v>
          </cell>
          <cell r="D630">
            <v>0.27350000000000002</v>
          </cell>
          <cell r="E630" t="str">
            <v>MKT-1-9825556434</v>
          </cell>
          <cell r="F630" t="str">
            <v>0T3T_REJ17_PCS-2PMepi_FLAT_FIXO_GT_27.35%</v>
          </cell>
        </row>
        <row r="631">
          <cell r="A631" t="str">
            <v>Oi Total Fixo +  TV 30,2735Template de desconto FLAT bundle - Fixo - Varejo - Ganho Tributário Cross</v>
          </cell>
          <cell r="B631" t="str">
            <v>Plano Oi Internet Total High</v>
          </cell>
          <cell r="C631" t="str">
            <v>Template de desconto FLAT bundle - Fixo - Varejo - Ganho Tributário Cross</v>
          </cell>
          <cell r="D631">
            <v>0.27350000000000002</v>
          </cell>
          <cell r="E631" t="str">
            <v>MKT-1-9825556635</v>
          </cell>
          <cell r="F631" t="str">
            <v>0T3T_REJ17_PCS-2PHipi_FLAT_FIXO_GT_27.35%</v>
          </cell>
        </row>
        <row r="632">
          <cell r="A632" t="str">
            <v>Oi Total Fixo + Banda Larga 30,6691Template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0.66909999999999992</v>
          </cell>
          <cell r="E632" t="str">
            <v>MKT-1-9831375101</v>
          </cell>
          <cell r="F632" t="str">
            <v>0T3T_REJ17_PCS-2PFBL3_FLAT_FIXO_GT_66.91%</v>
          </cell>
        </row>
        <row r="633">
          <cell r="A633" t="str">
            <v>Oi Total Fixo + Banda Larga 10,6691Template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0.66909999999999992</v>
          </cell>
          <cell r="E633" t="str">
            <v>MKT-1-9831375472</v>
          </cell>
          <cell r="F633" t="str">
            <v>0T3T_REJ17_PCS-2PFBL1_FLAT_FIXO_GT_66.91%</v>
          </cell>
        </row>
        <row r="634">
          <cell r="A634" t="str">
            <v>Oi Total Fixo + Banda Larga 20,6691Template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0.66909999999999992</v>
          </cell>
          <cell r="E634" t="str">
            <v>MKT-1-9831375703</v>
          </cell>
          <cell r="F634" t="str">
            <v>0T3T_REJ17_PCS-2PFBL2_FLAT_FIXO_GT_66.91%</v>
          </cell>
        </row>
        <row r="635">
          <cell r="A635" t="str">
            <v>Oi Total Fixo + Banda Larga 30,6032Template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0.60319999999999996</v>
          </cell>
          <cell r="E635" t="str">
            <v>MKT-1-9831376074</v>
          </cell>
          <cell r="F635" t="str">
            <v>0T3T_REJ17_PCS-2PFBL3_FLAT_FIXO_GT_60.32%</v>
          </cell>
        </row>
        <row r="636">
          <cell r="A636" t="str">
            <v>Oi Total Fixo + Banda Larga 10,6032Template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0.60319999999999996</v>
          </cell>
          <cell r="E636" t="str">
            <v>MKT-1-9831397563</v>
          </cell>
          <cell r="F636" t="str">
            <v>0T3T_REJ17_PCS-2PFBL1_FLAT_FIXO_GT_60.32%</v>
          </cell>
        </row>
        <row r="637">
          <cell r="A637" t="str">
            <v>Oi Total Fixo + Banda Larga 20,6032Template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0.60319999999999996</v>
          </cell>
          <cell r="E637" t="str">
            <v>MKT-1-9831501121</v>
          </cell>
          <cell r="F637" t="str">
            <v>0T3T_REJ17_PCS-2PFBL2_FLAT_FIXO_GT_60.32%</v>
          </cell>
        </row>
        <row r="638">
          <cell r="A638" t="str">
            <v>Oi Total Fixo + Banda Larga 30,4713Template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0.47130000000000005</v>
          </cell>
          <cell r="E638" t="str">
            <v>MKT-1-9831501322</v>
          </cell>
          <cell r="F638" t="str">
            <v>0T3T_REJ17_PCS-2PFBL3_FLAT_FIXO_GT_47.13%</v>
          </cell>
        </row>
        <row r="639">
          <cell r="A639" t="str">
            <v>Oi Total Fixo + Banda Larga 10,4713Template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0.47130000000000005</v>
          </cell>
          <cell r="E639" t="str">
            <v>MKT-1-9831501523</v>
          </cell>
          <cell r="F639" t="str">
            <v>0T3T_REJ17_PCS-2PFBL1_FLAT_FIXO_GT_47.13%</v>
          </cell>
        </row>
        <row r="640">
          <cell r="A640" t="str">
            <v>Oi Total Fixo + Banda Larga 20,4713Template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0.47130000000000005</v>
          </cell>
          <cell r="E640" t="str">
            <v>MKT-1-9831501734</v>
          </cell>
          <cell r="F640" t="str">
            <v>0T3T_REJ17_PCS-2PFBL2_FLAT_FIXO_GT_47.13%</v>
          </cell>
        </row>
        <row r="641">
          <cell r="A641" t="str">
            <v>Oi Total Fixo + Banda Larga 30,3394Template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0.33939999999999998</v>
          </cell>
          <cell r="E641" t="str">
            <v>MKT-1-9831543941</v>
          </cell>
          <cell r="F641" t="str">
            <v>0T3T_REJ17_PCS-2PFBL3_FLAT_FIXO_GT_33.94%</v>
          </cell>
        </row>
        <row r="642">
          <cell r="A642" t="str">
            <v>Oi Total Fixo + Banda Larga 10,3394Template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0.33939999999999998</v>
          </cell>
          <cell r="E642" t="str">
            <v>MKT-1-9831556228</v>
          </cell>
          <cell r="F642" t="str">
            <v>0T3T_REJ17_PCS-2PFBL1_FLAT_FIXO_GT_33.94%</v>
          </cell>
        </row>
        <row r="643">
          <cell r="A643" t="str">
            <v>Oi Total Fixo + Banda Larga 20,3394Template de desconto FLAT bundle - Fixo - Varejo - Ganho Tributário Cross</v>
          </cell>
          <cell r="B643" t="str">
            <v>Oi Total Fixo + Banda Larga 2</v>
          </cell>
          <cell r="C643" t="str">
            <v>Template de desconto FLAT bundle - Fixo - Varejo - Ganho Tributário Cross</v>
          </cell>
          <cell r="D643">
            <v>0.33939999999999998</v>
          </cell>
          <cell r="E643" t="str">
            <v>MKT-1-9831556429</v>
          </cell>
          <cell r="F643" t="str">
            <v>0T3T_REJ17_PCS-2PFBL2_FLAT_FIXO_GT_33.94%</v>
          </cell>
        </row>
        <row r="644">
          <cell r="A644" t="str">
            <v>Oi Total Fixo + Banda Larga 30,5372Template de desconto FLAT bundle - Fixo - Varejo - Ganho Tributário Cross</v>
          </cell>
          <cell r="B644" t="str">
            <v>Oi Total Fixo + Banda Larga 3</v>
          </cell>
          <cell r="C644" t="str">
            <v>Template de desconto FLAT bundle - Fixo - Varejo - Ganho Tributário Cross</v>
          </cell>
          <cell r="D644">
            <v>0.53720000000000001</v>
          </cell>
          <cell r="E644" t="str">
            <v>MKT-1-9831557341</v>
          </cell>
          <cell r="F644" t="str">
            <v>0T3T_REJ17_PCS-2PFBL3_FLAT_FIXO_GT_53.72%</v>
          </cell>
        </row>
        <row r="645">
          <cell r="A645" t="str">
            <v>Oi Total Fixo + Banda Larga 10,5372Template de desconto FLAT bundle - Fixo - Varejo - Ganho Tributário Cross</v>
          </cell>
          <cell r="B645" t="str">
            <v>Oi Total Fixo + Banda Larga 1</v>
          </cell>
          <cell r="C645" t="str">
            <v>Template de desconto FLAT bundle - Fixo - Varejo - Ganho Tributário Cross</v>
          </cell>
          <cell r="D645">
            <v>0.53720000000000001</v>
          </cell>
          <cell r="E645" t="str">
            <v>MKT-1-9831557652</v>
          </cell>
          <cell r="F645" t="str">
            <v>0T3T_REJ17_PCS-2PFBL1_FLAT_FIXO_GT_53.72%</v>
          </cell>
        </row>
        <row r="646">
          <cell r="A646" t="str">
            <v>Oi Total Fixo + Banda Larga 20,5372Template de desconto FLAT bundle - Fixo - Varejo - Ganho Tributário Cross</v>
          </cell>
          <cell r="B646" t="str">
            <v>Oi Total Fixo + Banda Larga 2</v>
          </cell>
          <cell r="C646" t="str">
            <v>Template de desconto FLAT bundle - Fixo - Varejo - Ganho Tributário Cross</v>
          </cell>
          <cell r="D646">
            <v>0.53720000000000001</v>
          </cell>
          <cell r="E646" t="str">
            <v>MKT-1-9831563133</v>
          </cell>
          <cell r="F646" t="str">
            <v>0T3T_REJ17_PCS-2PFBL2_FLAT_FIXO_GT_53.72%</v>
          </cell>
        </row>
        <row r="647">
          <cell r="A647" t="str">
            <v>Oi Total Fixo + Banda Larga 30,4054Template de desconto FLAT bundle - Fixo - Varejo - Ganho Tributário Cross</v>
          </cell>
          <cell r="B647" t="str">
            <v>Oi Total Fixo + Banda Larga 3</v>
          </cell>
          <cell r="C647" t="str">
            <v>Template de desconto FLAT bundle - Fixo - Varejo - Ganho Tributário Cross</v>
          </cell>
          <cell r="D647">
            <v>0.40539999999999998</v>
          </cell>
          <cell r="E647" t="str">
            <v>MKT-1-9831563554</v>
          </cell>
          <cell r="F647" t="str">
            <v>0T3T_REJ17_PCS-2PFBL3_FLAT_FIXO_GT_40.54%</v>
          </cell>
        </row>
        <row r="648">
          <cell r="A648" t="str">
            <v>Oi Total Fixo + Banda Larga 10,4054Template de desconto FLAT bundle - Fixo - Varejo - Ganho Tributário Cross</v>
          </cell>
          <cell r="B648" t="str">
            <v>Oi Total Fixo + Banda Larga 1</v>
          </cell>
          <cell r="C648" t="str">
            <v>Template de desconto FLAT bundle - Fixo - Varejo - Ganho Tributário Cross</v>
          </cell>
          <cell r="D648">
            <v>0.40539999999999998</v>
          </cell>
          <cell r="E648" t="str">
            <v>MKT-1-9831572265</v>
          </cell>
          <cell r="F648" t="str">
            <v>0T3T_REJ17_PCS-2PFBL1_FLAT_FIXO_GT_40.54%</v>
          </cell>
        </row>
        <row r="649">
          <cell r="A649" t="str">
            <v>Oi Total Fixo + Banda Larga + TV 30,4054Template de desconto FLAT bundle - Fixo - Varejo - Ganho Tributário Cross</v>
          </cell>
          <cell r="B649" t="str">
            <v>Plano Oi Convergente High</v>
          </cell>
          <cell r="C649" t="str">
            <v>Template de desconto FLAT bundle - Fixo - Varejo - Ganho Tributário Cross</v>
          </cell>
          <cell r="D649">
            <v>0.40539999999999998</v>
          </cell>
          <cell r="E649" t="str">
            <v>MKT-1-9831556641</v>
          </cell>
          <cell r="F649" t="str">
            <v>0T3T_REJ17_PCS-3PHipi_FLAT_FIXO_GT_40.54%</v>
          </cell>
        </row>
        <row r="650">
          <cell r="A650" t="str">
            <v>Oi Total Fixo + Banda Larga 20,4054Template de desconto FLAT bundle - Fixo - Varejo - Ganho Tributário Cross</v>
          </cell>
          <cell r="B650" t="str">
            <v>Oi Total Fixo + Banda Larga 2</v>
          </cell>
          <cell r="C650" t="str">
            <v>Template de desconto FLAT bundle - Fixo - Varejo - Ganho Tributário Cross</v>
          </cell>
          <cell r="D650">
            <v>0.40539999999999998</v>
          </cell>
          <cell r="E650" t="str">
            <v>MKT-1-9831586717</v>
          </cell>
          <cell r="F650" t="str">
            <v>0T3T_REJ17_PCS-2PFBL2_FLAT_FIXO_GT_40.54%</v>
          </cell>
        </row>
        <row r="651">
          <cell r="A651" t="str">
            <v>Oi Total Fixo + Banda Larga + TV 20,4054Template de desconto FLAT bundle - Fixo - Varejo - Ganho Tributário Cross</v>
          </cell>
          <cell r="B651" t="str">
            <v>Plano Oi Convergente Medium</v>
          </cell>
          <cell r="C651" t="str">
            <v>Template de desconto FLAT bundle - Fixo - Varejo - Ganho Tributário Cross</v>
          </cell>
          <cell r="D651">
            <v>0.40539999999999998</v>
          </cell>
          <cell r="E651" t="str">
            <v>MKT-1-9831556842</v>
          </cell>
          <cell r="F651" t="str">
            <v>0T3T_REJ17_PCS-3PMepi_FLAT_FIXO_GT_40.54%</v>
          </cell>
        </row>
        <row r="652">
          <cell r="A652" t="str">
            <v>Oi Total Fixo + Banda Larga + TV 10,4054Template de desconto FLAT bundle - Fixo - Varejo - Ganho Tributário Cross</v>
          </cell>
          <cell r="B652" t="str">
            <v>Plano Oi Convergente Low</v>
          </cell>
          <cell r="C652" t="str">
            <v>Template de desconto FLAT bundle - Fixo - Varejo - Ganho Tributário Cross</v>
          </cell>
          <cell r="D652">
            <v>0.40539999999999998</v>
          </cell>
          <cell r="E652" t="str">
            <v>MKT-1-9831557043</v>
          </cell>
          <cell r="F652" t="str">
            <v>0T3T_REJ17_PCS-3PLowpi_FLAT_FIXO_GT_40.54%</v>
          </cell>
        </row>
        <row r="653">
          <cell r="A653" t="str">
            <v>Oi Total Fixo + Banda Larga + TV 30,5372Template de desconto FLAT bundle - Fixo - Varejo - Ganho Tributário Cross</v>
          </cell>
          <cell r="B653" t="str">
            <v>Plano Oi Convergente High</v>
          </cell>
          <cell r="C653" t="str">
            <v>Template de desconto FLAT bundle - Fixo - Varejo - Ganho Tributário Cross</v>
          </cell>
          <cell r="D653">
            <v>0.53720000000000001</v>
          </cell>
          <cell r="E653" t="str">
            <v>MKT-1-9831604244</v>
          </cell>
          <cell r="F653" t="str">
            <v>0T3T_REJ17_PCS-3PHipi_FLAT_FIXO_GT_53.72%</v>
          </cell>
        </row>
        <row r="654">
          <cell r="A654" t="str">
            <v>Oi Total Fixo + Banda Larga 30,2735Template de desconto FLAT bundle - Fixo - Varejo - Ganho Tributário Cross</v>
          </cell>
          <cell r="B654" t="str">
            <v>Oi Total Fixo + Banda Larga 3</v>
          </cell>
          <cell r="C654" t="str">
            <v>Template de desconto FLAT bundle - Fixo - Varejo - Ganho Tributário Cross</v>
          </cell>
          <cell r="D654">
            <v>0.27350000000000002</v>
          </cell>
          <cell r="E654" t="str">
            <v>MKT-1-9831586968</v>
          </cell>
          <cell r="F654" t="str">
            <v>0T3T_REJ17_PCS-2PFBL3_FLAT_FIXO_GT_27.35%</v>
          </cell>
        </row>
        <row r="655">
          <cell r="A655" t="str">
            <v>Oi Total Fixo + Banda Larga + TV 20,5372Template de desconto FLAT bundle - Fixo - Varejo - Ganho Tributário Cross</v>
          </cell>
          <cell r="B655" t="str">
            <v>Plano Oi Convergente Medium</v>
          </cell>
          <cell r="C655" t="str">
            <v>Template de desconto FLAT bundle - Fixo - Varejo - Ganho Tributário Cross</v>
          </cell>
          <cell r="D655">
            <v>0.53720000000000001</v>
          </cell>
          <cell r="E655" t="str">
            <v>MKT-1-9831604445</v>
          </cell>
          <cell r="F655" t="str">
            <v>0T3T_REJ17_PCS-3PMepi_FLAT_FIXO_GT_53.72%</v>
          </cell>
        </row>
        <row r="656">
          <cell r="A656" t="str">
            <v>Oi Total Fixo + Banda Larga + TV 10,5372Template de desconto FLAT bundle - Fixo - Varejo - Ganho Tributário Cross</v>
          </cell>
          <cell r="B656" t="str">
            <v>Plano Oi Convergente Low</v>
          </cell>
          <cell r="C656" t="str">
            <v>Template de desconto FLAT bundle - Fixo - Varejo - Ganho Tributário Cross</v>
          </cell>
          <cell r="D656">
            <v>0.53720000000000001</v>
          </cell>
          <cell r="E656" t="str">
            <v>MKT-1-9831604646</v>
          </cell>
          <cell r="F656" t="str">
            <v>0T3T_REJ17_PCS-3PLowpi_FLAT_FIXO_GT_53.72%</v>
          </cell>
        </row>
        <row r="657">
          <cell r="A657" t="str">
            <v>Oi Total Fixo + Banda Larga + TV 30,4713Template de desconto FLAT bundle - Fixo - Varejo - Ganho Tributário Cross</v>
          </cell>
          <cell r="B657" t="str">
            <v>Plano Oi Convergente High</v>
          </cell>
          <cell r="C657" t="str">
            <v>Template de desconto FLAT bundle - Fixo - Varejo - Ganho Tributário Cross</v>
          </cell>
          <cell r="D657">
            <v>0.47130000000000005</v>
          </cell>
          <cell r="E657" t="str">
            <v>MKT-1-9831604847</v>
          </cell>
          <cell r="F657" t="str">
            <v>0T3T_REJ17_PCS-3PHipi_FLAT_FIXO_GT_47.13%</v>
          </cell>
        </row>
        <row r="658">
          <cell r="A658" t="str">
            <v>Oi Total Fixo + Banda Larga 10,2735Template de desconto FLAT bundle - Fixo - Varejo - Ganho Tributário Cross</v>
          </cell>
          <cell r="B658" t="str">
            <v>Oi Total Fixo + Banda Larga 1</v>
          </cell>
          <cell r="C658" t="str">
            <v>Template de desconto FLAT bundle - Fixo - Varejo - Ganho Tributário Cross</v>
          </cell>
          <cell r="D658">
            <v>0.27350000000000002</v>
          </cell>
          <cell r="E658" t="str">
            <v>MKT-1-9831606429</v>
          </cell>
          <cell r="F658" t="str">
            <v>0T3T_REJ17_PCS-2PFBL1_FLAT_FIXO_GT_27.35%</v>
          </cell>
        </row>
        <row r="659">
          <cell r="A659" t="str">
            <v>Oi Total Fixo + Banda Larga + TV 20,4713Template de desconto FLAT bundle - Fixo - Varejo - Ganho Tributário Cross</v>
          </cell>
          <cell r="B659" t="str">
            <v>Plano Oi Convergente Medium</v>
          </cell>
          <cell r="C659" t="str">
            <v>Template de desconto FLAT bundle - Fixo - Varejo - Ganho Tributário Cross</v>
          </cell>
          <cell r="D659">
            <v>0.47130000000000005</v>
          </cell>
          <cell r="E659" t="str">
            <v>MKT-1-9831605058</v>
          </cell>
          <cell r="F659" t="str">
            <v>0T3T_REJ17_PCS-3PMepi_FLAT_FIXO_GT_47.13%</v>
          </cell>
        </row>
        <row r="660">
          <cell r="A660" t="str">
            <v>Oi Total Fixo + Banda Larga + TV 10,4713Template de desconto FLAT bundle - Fixo - Varejo - Ganho Tributário Cross</v>
          </cell>
          <cell r="B660" t="str">
            <v>Plano Oi Convergente Low</v>
          </cell>
          <cell r="C660" t="str">
            <v>Template de desconto FLAT bundle - Fixo - Varejo - Ganho Tributário Cross</v>
          </cell>
          <cell r="D660">
            <v>0.47130000000000005</v>
          </cell>
          <cell r="E660" t="str">
            <v>MKT-1-9831613259</v>
          </cell>
          <cell r="F660" t="str">
            <v>0T3T_REJ17_PCS-3PLowpi_FLAT_FIXO_GT_47.13%</v>
          </cell>
        </row>
        <row r="661">
          <cell r="A661" t="str">
            <v>Oi Total Fixo + Banda Larga + TV 30,6032Template de desconto FLAT bundle - Fixo - Varejo - Ganho Tributário Cross</v>
          </cell>
          <cell r="B661" t="str">
            <v>Plano Oi Convergente High</v>
          </cell>
          <cell r="C661" t="str">
            <v>Template de desconto FLAT bundle - Fixo - Varejo - Ganho Tributário Cross</v>
          </cell>
          <cell r="D661">
            <v>0.60319999999999996</v>
          </cell>
          <cell r="E661" t="str">
            <v>MKT-1-9831613460</v>
          </cell>
          <cell r="F661" t="str">
            <v>0T3T_REJ17_PCS-3PHipi_FLAT_FIXO_GT_60.32%</v>
          </cell>
        </row>
        <row r="662">
          <cell r="A662" t="str">
            <v>Oi Total Fixo + Banda Larga + TV 20,6032Template de desconto FLAT bundle - Fixo - Varejo - Ganho Tributário Cross</v>
          </cell>
          <cell r="B662" t="str">
            <v>Plano Oi Convergente Medium</v>
          </cell>
          <cell r="C662" t="str">
            <v>Template de desconto FLAT bundle - Fixo - Varejo - Ganho Tributário Cross</v>
          </cell>
          <cell r="D662">
            <v>0.60319999999999996</v>
          </cell>
          <cell r="E662" t="str">
            <v>MKT-1-9831613661</v>
          </cell>
          <cell r="F662" t="str">
            <v>0T3T_REJ17_PCS-3PMepi_FLAT_FIXO_GT_60.32%</v>
          </cell>
        </row>
        <row r="663">
          <cell r="A663" t="str">
            <v>Oi Total Fixo + Banda Larga 20,2735Template de desconto FLAT bundle - Fixo - Varejo - Ganho Tributário Cross</v>
          </cell>
          <cell r="B663" t="str">
            <v>Oi Total Fixo + Banda Larga 2</v>
          </cell>
          <cell r="C663" t="str">
            <v>Template de desconto FLAT bundle - Fixo - Varejo - Ganho Tributário Cross</v>
          </cell>
          <cell r="D663">
            <v>0.27350000000000002</v>
          </cell>
          <cell r="E663" t="str">
            <v>MKT-1-9831607010</v>
          </cell>
          <cell r="F663" t="str">
            <v>0T3T_REJ17_PCS-2PFBL2_FLAT_FIXO_GT_27.35%</v>
          </cell>
        </row>
        <row r="664">
          <cell r="A664" t="str">
            <v>Oi Total Fixo + Banda Larga + TV 10,6032Template de desconto FLAT bundle - Fixo - Varejo - Ganho Tributário Cross</v>
          </cell>
          <cell r="B664" t="str">
            <v>Plano Oi Convergente Low</v>
          </cell>
          <cell r="C664" t="str">
            <v>Template de desconto FLAT bundle - Fixo - Varejo - Ganho Tributário Cross</v>
          </cell>
          <cell r="D664">
            <v>0.60319999999999996</v>
          </cell>
          <cell r="E664" t="str">
            <v>MKT-1-9831613862</v>
          </cell>
          <cell r="F664" t="str">
            <v>0T3T_REJ17_PCS-3PLowpi_FLAT_FIXO_GT_60.32%</v>
          </cell>
        </row>
        <row r="665">
          <cell r="A665" t="str">
            <v>Oi Total Fixo + Banda Larga + TV 30,6691Template de desconto FLAT bundle - Fixo - Varejo - Ganho Tributário Cross</v>
          </cell>
          <cell r="B665" t="str">
            <v>Plano Oi Convergente High</v>
          </cell>
          <cell r="C665" t="str">
            <v>Template de desconto FLAT bundle - Fixo - Varejo - Ganho Tributário Cross</v>
          </cell>
          <cell r="D665">
            <v>0.66909999999999992</v>
          </cell>
          <cell r="E665" t="str">
            <v>MKT-1-9831614063</v>
          </cell>
          <cell r="F665" t="str">
            <v>0T3T_REJ17_PCS-3PHipi_FLAT_FIXO_GT_66.91%</v>
          </cell>
        </row>
        <row r="666">
          <cell r="A666" t="str">
            <v>Oi Total Fixo +  TV 10,6691Template de desconto FLAT bundle - Fixo - Varejo - Ganho Tributário Cross</v>
          </cell>
          <cell r="B666" t="str">
            <v>Plano Oi Internet Total Low</v>
          </cell>
          <cell r="C666" t="str">
            <v>Template de desconto FLAT bundle - Fixo - Varejo - Ganho Tributário Cross</v>
          </cell>
          <cell r="D666">
            <v>0.66909999999999992</v>
          </cell>
          <cell r="E666" t="str">
            <v>MKT-1-9831619731</v>
          </cell>
          <cell r="F666" t="str">
            <v>0T3T_REJ17_CFG-2Plowpi_FLAT_FIXO_GT_66.91%</v>
          </cell>
        </row>
        <row r="667">
          <cell r="A667" t="str">
            <v>Oi Total Fixo + Banda Larga + TV 20,6691Template de desconto FLAT bundle - Fixo - Varejo - Ganho Tributário Cross</v>
          </cell>
          <cell r="B667" t="str">
            <v>Plano Oi Convergente Medium</v>
          </cell>
          <cell r="C667" t="str">
            <v>Template de desconto FLAT bundle - Fixo - Varejo - Ganho Tributário Cross</v>
          </cell>
          <cell r="D667">
            <v>0.66909999999999992</v>
          </cell>
          <cell r="E667" t="str">
            <v>MKT-1-9831630264</v>
          </cell>
          <cell r="F667" t="str">
            <v>0T3T_REJ17_PCS-3PMepi_FLAT_FIXO_GT_66.91%</v>
          </cell>
        </row>
        <row r="668">
          <cell r="A668" t="str">
            <v>Oi Total Fixo + Banda Larga + TV 10,6691Template de desconto FLAT bundle - Fixo - Varejo - Ganho Tributário Cross</v>
          </cell>
          <cell r="B668" t="str">
            <v>Plano Oi Convergente Low</v>
          </cell>
          <cell r="C668" t="str">
            <v>Template de desconto FLAT bundle - Fixo - Varejo - Ganho Tributário Cross</v>
          </cell>
          <cell r="D668">
            <v>0.66909999999999992</v>
          </cell>
          <cell r="E668" t="str">
            <v>MKT-1-9831630465</v>
          </cell>
          <cell r="F668" t="str">
            <v>0T3T_REJ17_PCS-3PLowpi_FLAT_FIXO_GT_66.91%</v>
          </cell>
        </row>
        <row r="669">
          <cell r="A669" t="str">
            <v>Oi Total Fixo +  TV 30,4054Template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0.40539999999999998</v>
          </cell>
          <cell r="E669" t="str">
            <v>MKT-1-9831630666</v>
          </cell>
          <cell r="F669" t="str">
            <v>0T3T_REJ17_PCS-2PHipi_FLAT_FIXO_GT_40.54%</v>
          </cell>
        </row>
        <row r="670">
          <cell r="A670" t="str">
            <v>Oi Total Fixo +  TV 20,4054Template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0.40539999999999998</v>
          </cell>
          <cell r="E670" t="str">
            <v>MKT-1-9831630867</v>
          </cell>
          <cell r="F670" t="str">
            <v>0T3T_REJ17_PCS-2PMepi_FLAT_FIXO_GT_40.54%</v>
          </cell>
        </row>
        <row r="671">
          <cell r="A671" t="str">
            <v>Oi Total Fixo +  TV 10,4054Template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0.40539999999999998</v>
          </cell>
          <cell r="E671" t="str">
            <v>MKT-1-9831631068</v>
          </cell>
          <cell r="F671" t="str">
            <v>0T3T_REJ17_CFG-2Plowpi_FLAT_FIXO_GT_40.54%</v>
          </cell>
        </row>
        <row r="672">
          <cell r="A672" t="str">
            <v>Oi Total Fixo +  TV 30,5372Template de desconto FLAT bundle - Fixo - Varejo - Ganho Tributário Cross</v>
          </cell>
          <cell r="B672" t="str">
            <v>Plano Oi Internet Total High</v>
          </cell>
          <cell r="C672" t="str">
            <v>Template de desconto FLAT bundle - Fixo - Varejo - Ganho Tributário Cross</v>
          </cell>
          <cell r="D672">
            <v>0.53720000000000001</v>
          </cell>
          <cell r="E672" t="str">
            <v>MKT-1-9831645269</v>
          </cell>
          <cell r="F672" t="str">
            <v>0T3T_REJ17_PCS-2PHipi_FLAT_FIXO_GT_53.72%</v>
          </cell>
        </row>
        <row r="673">
          <cell r="A673" t="str">
            <v>Oi Total Fixo +  TV 20,5372Template de desconto FLAT bundle - Fixo - Varejo - Ganho Tributário Cross</v>
          </cell>
          <cell r="B673" t="str">
            <v>Plano Oi Internet Total Medium</v>
          </cell>
          <cell r="C673" t="str">
            <v>Template de desconto FLAT bundle - Fixo - Varejo - Ganho Tributário Cross</v>
          </cell>
          <cell r="D673">
            <v>0.53720000000000001</v>
          </cell>
          <cell r="E673" t="str">
            <v>MKT-1-9831645470</v>
          </cell>
          <cell r="F673" t="str">
            <v>0T3T_REJ17_PCS-2PMepi_FLAT_FIXO_GT_53.72%</v>
          </cell>
        </row>
        <row r="674">
          <cell r="A674" t="str">
            <v>Oi Total Fixo +  TV 10,5372Template de desconto FLAT bundle - Fixo - Varejo - Ganho Tributário Cross</v>
          </cell>
          <cell r="B674" t="str">
            <v>Plano Oi Internet Total Low</v>
          </cell>
          <cell r="C674" t="str">
            <v>Template de desconto FLAT bundle - Fixo - Varejo - Ganho Tributário Cross</v>
          </cell>
          <cell r="D674">
            <v>0.53720000000000001</v>
          </cell>
          <cell r="E674" t="str">
            <v>MKT-1-9831645671</v>
          </cell>
          <cell r="F674" t="str">
            <v>0T3T_REJ17_CFG-2Plowpi_FLAT_FIXO_GT_53.72%</v>
          </cell>
        </row>
        <row r="675">
          <cell r="A675" t="str">
            <v>Oi Total Fixo +  TV 30,4713Template de desconto FLAT bundle - Fixo - Varejo - Ganho Tributário Cross</v>
          </cell>
          <cell r="B675" t="str">
            <v>Plano Oi Internet Total High</v>
          </cell>
          <cell r="C675" t="str">
            <v>Template de desconto FLAT bundle - Fixo - Varejo - Ganho Tributário Cross</v>
          </cell>
          <cell r="D675">
            <v>0.47130000000000005</v>
          </cell>
          <cell r="E675" t="str">
            <v>MKT-1-9831645872</v>
          </cell>
          <cell r="F675" t="str">
            <v>0T3T_REJ17_PCS-2PHipi_FLAT_FIXO_GT_47.13%</v>
          </cell>
        </row>
        <row r="676">
          <cell r="A676" t="str">
            <v>Oi Total Fixo +  TV 20,4713Template de desconto FLAT bundle - Fixo - Varejo - Ganho Tributário Cross</v>
          </cell>
          <cell r="B676" t="str">
            <v>Plano Oi Internet Total Medium</v>
          </cell>
          <cell r="C676" t="str">
            <v>Template de desconto FLAT bundle - Fixo - Varejo - Ganho Tributário Cross</v>
          </cell>
          <cell r="D676">
            <v>0.47130000000000005</v>
          </cell>
          <cell r="E676" t="str">
            <v>MKT-1-9831646073</v>
          </cell>
          <cell r="F676" t="str">
            <v>0T3T_REJ17_PCS-2PMepi_FLAT_FIXO_GT_47.13%</v>
          </cell>
        </row>
        <row r="677">
          <cell r="A677" t="str">
            <v>Oi Total Fixo +  TV 10,4713Template de desconto FLAT bundle - Fixo - Varejo - Ganho Tributário Cross</v>
          </cell>
          <cell r="B677" t="str">
            <v>Plano Oi Internet Total Low</v>
          </cell>
          <cell r="C677" t="str">
            <v>Template de desconto FLAT bundle - Fixo - Varejo - Ganho Tributário Cross</v>
          </cell>
          <cell r="D677">
            <v>0.47130000000000005</v>
          </cell>
          <cell r="E677" t="str">
            <v>MKT-1-9831660274</v>
          </cell>
          <cell r="F677" t="str">
            <v>0T3T_REJ17_CFG-2Plowpi_FLAT_FIXO_GT_47.13%</v>
          </cell>
        </row>
        <row r="678">
          <cell r="A678" t="str">
            <v>Oi Total Fixo +  TV 20,6691Template de desconto FLAT bundle - Fixo - Varejo - Ganho Tributário Cross</v>
          </cell>
          <cell r="B678" t="str">
            <v>Plano Oi Internet Total Medium</v>
          </cell>
          <cell r="C678" t="str">
            <v>Template de desconto FLAT bundle - Fixo - Varejo - Ganho Tributário Cross</v>
          </cell>
          <cell r="D678">
            <v>0.66909999999999992</v>
          </cell>
          <cell r="E678" t="str">
            <v>MKT-1-9831631302</v>
          </cell>
          <cell r="F678" t="str">
            <v>0T3T_REJ17_PCS-2PMepi_FLAT_FIXO_GT_66.91%</v>
          </cell>
        </row>
        <row r="679">
          <cell r="A679" t="str">
            <v>Oi Total Fixo +  TV 30,6032Template de desconto FLAT bundle - Fixo - Varejo - Ganho Tributário Cross</v>
          </cell>
          <cell r="B679" t="str">
            <v>Plano Oi Internet Total High</v>
          </cell>
          <cell r="C679" t="str">
            <v>Template de desconto FLAT bundle - Fixo - Varejo - Ganho Tributário Cross</v>
          </cell>
          <cell r="D679">
            <v>0.60319999999999996</v>
          </cell>
          <cell r="E679" t="str">
            <v>MKT-1-9831660475</v>
          </cell>
          <cell r="F679" t="str">
            <v>0T3T_REJ17_PCS-2PHipi_FLAT_FIXO_GT_60.32%</v>
          </cell>
        </row>
        <row r="680">
          <cell r="A680" t="str">
            <v>Oi Total Fixo +  TV 20,6032Template de desconto FLAT bundle - Fixo - Varejo - Ganho Tributário Cross</v>
          </cell>
          <cell r="B680" t="str">
            <v>Plano Oi Internet Total Medium</v>
          </cell>
          <cell r="C680" t="str">
            <v>Template de desconto FLAT bundle - Fixo - Varejo - Ganho Tributário Cross</v>
          </cell>
          <cell r="D680">
            <v>0.60319999999999996</v>
          </cell>
          <cell r="E680" t="str">
            <v>MKT-1-9831660676</v>
          </cell>
          <cell r="F680" t="str">
            <v>0T3T_REJ17_PCS-2PMepi_FLAT_FIXO_GT_60.32%</v>
          </cell>
        </row>
        <row r="681">
          <cell r="A681" t="str">
            <v>Oi Total Fixo +  TV 10,6032Template de desconto FLAT bundle - Fixo - Varejo - Ganho Tributário Cross</v>
          </cell>
          <cell r="B681" t="str">
            <v>Plano Oi Internet Total Low</v>
          </cell>
          <cell r="C681" t="str">
            <v>Template de desconto FLAT bundle - Fixo - Varejo - Ganho Tributário Cross</v>
          </cell>
          <cell r="D681">
            <v>0.60319999999999996</v>
          </cell>
          <cell r="E681" t="str">
            <v>MKT-1-9831660877</v>
          </cell>
          <cell r="F681" t="str">
            <v>0T3T_REJ17_CFG-2Plowpi_FLAT_FIXO_GT_60.32%</v>
          </cell>
        </row>
        <row r="682">
          <cell r="A682" t="str">
            <v>Oi Total Fixo +  TV 30,6691Template de desconto FLAT bundle - Fixo - Varejo - Ganho Tributário Cross</v>
          </cell>
          <cell r="B682" t="str">
            <v>Plano Oi Internet Total High</v>
          </cell>
          <cell r="C682" t="str">
            <v>Template de desconto FLAT bundle - Fixo - Varejo - Ganho Tributário Cross</v>
          </cell>
          <cell r="D682">
            <v>0.66909999999999992</v>
          </cell>
          <cell r="E682" t="str">
            <v>MKT-1-9831649868</v>
          </cell>
          <cell r="F682" t="str">
            <v>0T3T_REJ17_PCS-2PHipi_FLAT_FIXO_GT_66.91%</v>
          </cell>
        </row>
        <row r="683">
          <cell r="A683" t="str">
            <v>Oi Total Fixo + Banda Larga 20,6446Template de desconto FLAT bundle - Velox XDSL - Varejo</v>
          </cell>
          <cell r="B683" t="str">
            <v>Oi Total Fixo + Banda Larga 2</v>
          </cell>
          <cell r="C683" t="str">
            <v>Template de desconto FLAT bundle - Velox XDSL - Varejo</v>
          </cell>
          <cell r="D683">
            <v>0.64459999999999995</v>
          </cell>
          <cell r="E683" t="str">
            <v>MKT-1-9831894722</v>
          </cell>
          <cell r="F683" t="str">
            <v>0T3T_REJ17_PCS-2PFBL2_FLAT_BL_64.46%</v>
          </cell>
        </row>
        <row r="684">
          <cell r="A684" t="str">
            <v>Oi Total Fixo + Banda Larga 10,6446Template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0.64459999999999995</v>
          </cell>
          <cell r="E684" t="str">
            <v>MKT-1-9831894419</v>
          </cell>
          <cell r="F684" t="str">
            <v>0T3T_REJ17_PCS-2PFBL1_FLAT_BL_64.46%</v>
          </cell>
        </row>
        <row r="685">
          <cell r="A685" t="str">
            <v>Oi Total Fixo + Banda Larga 30,5259Template de desconto FLAT bundle - Velox XDSL - Varejo</v>
          </cell>
          <cell r="B685" t="str">
            <v>Oi Total Fixo + Banda Larga 3</v>
          </cell>
          <cell r="C685" t="str">
            <v>Template de desconto FLAT bundle - Velox XDSL - Varejo</v>
          </cell>
          <cell r="D685">
            <v>0.52590000000000003</v>
          </cell>
          <cell r="E685" t="str">
            <v>MKT-1-9831894196</v>
          </cell>
          <cell r="F685" t="str">
            <v>0T3T_REJ17_PCS-2PFBL3_FLAT_BL_52.59%</v>
          </cell>
        </row>
        <row r="686">
          <cell r="A686" t="str">
            <v>Oi Total Fixo + Banda Larga 30,6446Template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0.64459999999999995</v>
          </cell>
          <cell r="E686" t="str">
            <v>MKT-1-9831876006</v>
          </cell>
          <cell r="F686" t="str">
            <v>0T3T_REJ17_PCS-2PFBL3_FLAT_BL_64.46%</v>
          </cell>
        </row>
        <row r="687">
          <cell r="A687" t="str">
            <v>Oi Total Fixo + Banda Larga 10,5734Template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0.57340000000000002</v>
          </cell>
          <cell r="E687" t="str">
            <v>MKT-1-9831875903</v>
          </cell>
          <cell r="F687" t="str">
            <v>0T3T_REJ17_PCS-2PFBL1_FLAT_BL_57.34%</v>
          </cell>
        </row>
        <row r="688">
          <cell r="A688" t="str">
            <v>Oi Total Fixo + Banda Larga 20,5734Template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0.57340000000000002</v>
          </cell>
          <cell r="E688" t="str">
            <v>MKT-1-9831875810</v>
          </cell>
          <cell r="F688" t="str">
            <v>0T3T_REJ17_PCS-2PFBL2_FLAT_BL_57.34%</v>
          </cell>
        </row>
        <row r="689">
          <cell r="A689" t="str">
            <v>Oi Total Fixo + Banda Larga 30,5734Template de desconto FLAT bundle - Velox XDSL - Varejo</v>
          </cell>
          <cell r="B689" t="str">
            <v>Oi Total Fixo + Banda Larga 3</v>
          </cell>
          <cell r="C689" t="str">
            <v>Template de desconto FLAT bundle - Velox XDSL - Varejo</v>
          </cell>
          <cell r="D689">
            <v>0.57340000000000002</v>
          </cell>
          <cell r="E689" t="str">
            <v>MKT-1-9831875537</v>
          </cell>
          <cell r="F689" t="str">
            <v>0T3T_REJ17_PCS-2PFBL3_FLAT_BL_57.34%</v>
          </cell>
        </row>
        <row r="690">
          <cell r="A690" t="str">
            <v>Oi Total Fixo + Banda Larga 10,7156Template de desconto FLAT bundle - Velox XDSL - Varejo</v>
          </cell>
          <cell r="B690" t="str">
            <v>Oi Total Fixo + Banda Larga 1</v>
          </cell>
          <cell r="C690" t="str">
            <v>Template de desconto FLAT bundle - Velox XDSL - Varejo</v>
          </cell>
          <cell r="D690">
            <v>0.71560000000000001</v>
          </cell>
          <cell r="E690" t="str">
            <v>MKT-1-9831875444</v>
          </cell>
          <cell r="F690" t="str">
            <v>0T3T_REJ17_PCS-2PFBL1_FLAT_BL_71.56%</v>
          </cell>
        </row>
        <row r="691">
          <cell r="A691" t="str">
            <v>Oi Total Fixo + Banda Larga 20,7156Template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0.71560000000000001</v>
          </cell>
          <cell r="E691" t="str">
            <v>MKT-1-9831875351</v>
          </cell>
          <cell r="F691" t="str">
            <v>0T3T_REJ17_PCS-2PFBL2_FLAT_BL_71.56%</v>
          </cell>
        </row>
        <row r="692">
          <cell r="A692" t="str">
            <v>Oi Total Fixo + Banda Larga 30,7156Template de desconto FLAT bundle - Velox XDSL - Varejo</v>
          </cell>
          <cell r="B692" t="str">
            <v>Oi Total Fixo + Banda Larga 3</v>
          </cell>
          <cell r="C692" t="str">
            <v>Template de desconto FLAT bundle - Velox XDSL - Varejo</v>
          </cell>
          <cell r="D692">
            <v>0.71560000000000001</v>
          </cell>
          <cell r="E692" t="str">
            <v>MKT-1-9831868250</v>
          </cell>
          <cell r="F692" t="str">
            <v>0T3T_REJ17_PCS-2PFBL3_FLAT_BL_71.56%</v>
          </cell>
        </row>
        <row r="693">
          <cell r="A693" t="str">
            <v>Oi Total Fixo + Banda Larga 10,6681Template de desconto FLAT bundle - Velox XDSL - Varejo</v>
          </cell>
          <cell r="B693" t="str">
            <v>Oi Total Fixo + Banda Larga 1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MKT-1-9831868157</v>
          </cell>
          <cell r="F693" t="str">
            <v>0T3T_REJ17_PCS-2PFBL1_FLAT_BL_66.81%</v>
          </cell>
        </row>
        <row r="694">
          <cell r="A694" t="str">
            <v>Oi Total Fixo + Banda Larga 20,5259Template de desconto FLAT bundle - Velox XDSL - Varejo</v>
          </cell>
          <cell r="B694" t="str">
            <v>Oi Total Fixo + Banda Larga 2</v>
          </cell>
          <cell r="C694" t="str">
            <v>Template de desconto FLAT bundle - Velox XDSL - Varejo</v>
          </cell>
          <cell r="D694">
            <v>0.52590000000000003</v>
          </cell>
          <cell r="E694" t="str">
            <v>MKT-1-9831864093</v>
          </cell>
          <cell r="F694" t="str">
            <v>0T3T_REJ17_PCS-2PFBL2_FLAT_BL_52.59%</v>
          </cell>
        </row>
        <row r="695">
          <cell r="A695" t="str">
            <v>Oi Total Fixo + Banda Larga 10,5259Template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0.52590000000000003</v>
          </cell>
          <cell r="E695" t="str">
            <v>MKT-1-9831863930</v>
          </cell>
          <cell r="F695" t="str">
            <v>0T3T_REJ17_PCS-2PFBL1_FLAT_BL_52.59%</v>
          </cell>
        </row>
        <row r="696">
          <cell r="A696" t="str">
            <v>Oi Total Fixo + Banda Larga 30,6051Template de desconto FLAT bundle - Velox XDSL - Varejo</v>
          </cell>
          <cell r="B696" t="str">
            <v>Oi Total Fixo + Banda Larga 3</v>
          </cell>
          <cell r="C696" t="str">
            <v>Template de desconto FLAT bundle - Velox XDSL - Varejo</v>
          </cell>
          <cell r="D696">
            <v>0.60509999999999997</v>
          </cell>
          <cell r="E696" t="str">
            <v>MKT-1-9831863787</v>
          </cell>
          <cell r="F696" t="str">
            <v>0T3T_REJ17_PCS-2PFBL3_FLAT_BL_60.51%</v>
          </cell>
        </row>
        <row r="697">
          <cell r="A697" t="str">
            <v>Oi Total Fixo + Banda Larga 20,6051Template de desconto FLAT bundle - Velox XDSL - Varejo</v>
          </cell>
          <cell r="B697" t="str">
            <v>Oi Total Fixo + Banda Larga 2</v>
          </cell>
          <cell r="C697" t="str">
            <v>Template de desconto FLAT bundle - Velox XDSL - Varejo</v>
          </cell>
          <cell r="D697">
            <v>0.60509999999999997</v>
          </cell>
          <cell r="E697" t="str">
            <v>MKT-1-9831863674</v>
          </cell>
          <cell r="F697" t="str">
            <v>0T3T_REJ17_PCS-2PFBL2_FLAT_BL_60.51%</v>
          </cell>
        </row>
        <row r="698">
          <cell r="A698" t="str">
            <v>Oi Total Fixo + Banda Larga 10,6051Template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0.60509999999999997</v>
          </cell>
          <cell r="E698" t="str">
            <v>MKT-1-9831863581</v>
          </cell>
          <cell r="F698" t="str">
            <v>0T3T_REJ17_PCS-2PFBL1_FLAT_BL_60.51%</v>
          </cell>
        </row>
        <row r="699">
          <cell r="A699" t="str">
            <v>Oi Total Fixo + Banda Larga 20,6681Template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0.66810000000000003</v>
          </cell>
          <cell r="E699" t="str">
            <v>MKT-1-9831741064</v>
          </cell>
          <cell r="F699" t="str">
            <v>0T3T_REJ17_PCS-2PFBL2_FLAT_BL_66.81%</v>
          </cell>
        </row>
        <row r="700">
          <cell r="A700" t="str">
            <v>Oi Total Fixo + Banda Larga 30,6681Template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0.66810000000000003</v>
          </cell>
          <cell r="E700" t="str">
            <v>MKT-1-9831740971</v>
          </cell>
          <cell r="F700" t="str">
            <v>0T3T_REJ17_PCS-2PFBL3_FLAT_BL_66.81%</v>
          </cell>
        </row>
        <row r="701">
          <cell r="A701" t="str">
            <v>Oi Total Fixo + Banda Larga 10,7867Template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0.78670000000000007</v>
          </cell>
          <cell r="E701" t="str">
            <v>MKT-1-9831740878</v>
          </cell>
          <cell r="F701" t="str">
            <v>0T3T_REJ17_PCS-2PFBL1_FLAT_BL_78.67%</v>
          </cell>
        </row>
        <row r="702">
          <cell r="A702" t="str">
            <v>Oi Total Fixo + Banda Larga 20,7867Template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0.78670000000000007</v>
          </cell>
          <cell r="E702" t="str">
            <v>MKT-1-9831740785</v>
          </cell>
          <cell r="F702" t="str">
            <v>0T3T_REJ17_PCS-2PFBL2_FLAT_BL_78.67%</v>
          </cell>
        </row>
        <row r="703">
          <cell r="A703" t="str">
            <v>Oi Total Fixo + Banda Larga 30,7867Template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0.78670000000000007</v>
          </cell>
          <cell r="E703" t="str">
            <v>MKT-1-9831740692</v>
          </cell>
          <cell r="F703" t="str">
            <v>0T3T_REJ17_PCS-2PFBL3_FLAT_BL_78.67%</v>
          </cell>
        </row>
        <row r="704">
          <cell r="A704" t="str">
            <v>Oi Total Fixo + Banda Larga 10,7511Template de desconto FLAT bundle - Velox XDSL - Varejo</v>
          </cell>
          <cell r="B704" t="str">
            <v>Oi Total Fixo + Banda Larga 1</v>
          </cell>
          <cell r="C704" t="str">
            <v>Template de desconto FLAT bundle - Velox XDSL - Varejo</v>
          </cell>
          <cell r="D704">
            <v>0.75109999999999999</v>
          </cell>
          <cell r="E704" t="str">
            <v>MKT-1-9831740599</v>
          </cell>
          <cell r="F704" t="str">
            <v>0T3T_REJ17_PCS-2PFBL1_FLAT_BL_75.11%</v>
          </cell>
        </row>
        <row r="705">
          <cell r="A705" t="str">
            <v>Oi Total Fixo + Banda Larga 20,7511Template de desconto FLAT bundle - Velox XDSL - Varejo</v>
          </cell>
          <cell r="B705" t="str">
            <v>Oi Total Fixo + Banda Larga 2</v>
          </cell>
          <cell r="C705" t="str">
            <v>Template de desconto FLAT bundle - Velox XDSL - Varejo</v>
          </cell>
          <cell r="D705">
            <v>0.75109999999999999</v>
          </cell>
          <cell r="E705" t="str">
            <v>MKT-1-9831740506</v>
          </cell>
          <cell r="F705" t="str">
            <v>0T3T_REJ17_PCS-2PFBL2_FLAT_BL_75.11%</v>
          </cell>
        </row>
        <row r="706">
          <cell r="A706" t="str">
            <v>Oi Total Fixo + Banda Larga 30,7511Template de desconto FLAT bundle - Velox XDSL - Varejo</v>
          </cell>
          <cell r="B706" t="str">
            <v>Oi Total Fixo + Banda Larga 3</v>
          </cell>
          <cell r="C706" t="str">
            <v>Template de desconto FLAT bundle - Velox XDSL - Varejo</v>
          </cell>
          <cell r="D706">
            <v>0.75109999999999999</v>
          </cell>
          <cell r="E706" t="str">
            <v>MKT-1-9831740403</v>
          </cell>
          <cell r="F706" t="str">
            <v>0T3T_REJ17_PCS-2PFBL3_FLAT_BL_75.11%</v>
          </cell>
        </row>
        <row r="707">
          <cell r="A707" t="str">
            <v>Oi Total Fixo + Banda Larga 10,7155Template de desconto FLAT bundle - Velox XDSL - Varejo</v>
          </cell>
          <cell r="B707" t="str">
            <v>Oi Total Fixo + Banda Larga 1</v>
          </cell>
          <cell r="C707" t="str">
            <v>Template de desconto FLAT bundle - Velox XDSL - Varejo</v>
          </cell>
          <cell r="D707">
            <v>0.71550000000000002</v>
          </cell>
          <cell r="E707" t="str">
            <v>MKT-1-9831740310</v>
          </cell>
          <cell r="F707" t="str">
            <v>0T3T_REJ17_PCS-2PFBL1_FLAT_BL_71.55%</v>
          </cell>
        </row>
        <row r="708">
          <cell r="A708" t="str">
            <v>Oi Total Fixo + Banda Larga 20,7155Template de desconto FLAT bundle - Velox XDSL - Varejo</v>
          </cell>
          <cell r="B708" t="str">
            <v>Oi Total Fixo + Banda Larga 2</v>
          </cell>
          <cell r="C708" t="str">
            <v>Template de desconto FLAT bundle - Velox XDSL - Varejo</v>
          </cell>
          <cell r="D708">
            <v>0.71550000000000002</v>
          </cell>
          <cell r="E708" t="str">
            <v>MKT-1-9831740217</v>
          </cell>
          <cell r="F708" t="str">
            <v>0T3T_REJ17_PCS-2PFBL2_FLAT_BL_71.55%</v>
          </cell>
        </row>
        <row r="709">
          <cell r="A709" t="str">
            <v>Oi Total Fixo + Banda Larga 30,7155Template de desconto FLAT bundle - Velox XDSL - Varejo</v>
          </cell>
          <cell r="B709" t="str">
            <v>Oi Total Fixo + Banda Larga 3</v>
          </cell>
          <cell r="C709" t="str">
            <v>Template de desconto FLAT bundle - Velox XDSL - Varejo</v>
          </cell>
          <cell r="D709">
            <v>0.71550000000000002</v>
          </cell>
          <cell r="E709" t="str">
            <v>MKT-1-9831740124</v>
          </cell>
          <cell r="F709" t="str">
            <v>0T3T_REJ17_PCS-2PFBL3_FLAT_BL_71.55%</v>
          </cell>
        </row>
        <row r="710">
          <cell r="A710" t="str">
            <v>Oi Total Fixo + Banda Larga + TV 10,64Template de desconto FLAT bundle - Velox XDSL - Varejo</v>
          </cell>
          <cell r="B710" t="str">
            <v>Plano Oi Convergente Low</v>
          </cell>
          <cell r="C710" t="str">
            <v>Template de desconto FLAT bundle - Velox XDSL - Varejo</v>
          </cell>
          <cell r="D710">
            <v>0.64</v>
          </cell>
          <cell r="E710" t="str">
            <v>MKT-1-9831720031</v>
          </cell>
          <cell r="F710" t="str">
            <v>0T3T_REJ17_PCS-3PLowpi_FLAT_BL_64.00%</v>
          </cell>
        </row>
        <row r="711">
          <cell r="A711" t="str">
            <v>Oi Total Fixo + Banda Larga + TV 20,64Template de desconto FLAT bundle - Velox XDSL - Varejo</v>
          </cell>
          <cell r="B711" t="str">
            <v>Plano Oi Convergente Medium</v>
          </cell>
          <cell r="C711" t="str">
            <v>Template de desconto FLAT bundle - Velox XDSL - Varejo</v>
          </cell>
          <cell r="D711">
            <v>0.64</v>
          </cell>
          <cell r="E711" t="str">
            <v>MKT-1-9831719938</v>
          </cell>
          <cell r="F711" t="str">
            <v>0T3T_REJ17_PCS-3PMepi_FLAT_BL_64.00%</v>
          </cell>
        </row>
        <row r="712">
          <cell r="A712" t="str">
            <v>Oi Total Fixo + Banda Larga + TV 30,64Template de desconto FLAT bundle - Velox XDSL - Varejo</v>
          </cell>
          <cell r="B712" t="str">
            <v>Plano Oi Convergente High</v>
          </cell>
          <cell r="C712" t="str">
            <v>Template de desconto FLAT bundle - Velox XDSL - Varejo</v>
          </cell>
          <cell r="D712">
            <v>0.64</v>
          </cell>
          <cell r="E712" t="str">
            <v>MKT-1-9831719845</v>
          </cell>
          <cell r="F712" t="str">
            <v>0T3T_REJ17_PCS-3PHipi_FLAT_BL_64.00%</v>
          </cell>
        </row>
        <row r="713">
          <cell r="A713" t="str">
            <v>Oi Total Fixo + Banda Larga + TV 10,5368Template de desconto FLAT bundle - Velox XDSL - Varejo</v>
          </cell>
          <cell r="B713" t="str">
            <v>Plano Oi Convergente Low</v>
          </cell>
          <cell r="C713" t="str">
            <v>Template de desconto FLAT bundle - Velox XDSL - Varejo</v>
          </cell>
          <cell r="D713">
            <v>0.53679999999999994</v>
          </cell>
          <cell r="E713" t="str">
            <v>MKT-1-9831719752</v>
          </cell>
          <cell r="F713" t="str">
            <v>0T3T_REJ17_PCS-3PLowpi_FLAT_BL_53.68%</v>
          </cell>
        </row>
        <row r="714">
          <cell r="A714" t="str">
            <v>Oi Total Fixo + Banda Larga + TV 10,6449Template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0.64489999999999992</v>
          </cell>
          <cell r="E714" t="str">
            <v>MKT-1-9831719659</v>
          </cell>
          <cell r="F714" t="str">
            <v>0T3T_REJ17_PCS-3PLowpi_FLAT_BL_64.49%</v>
          </cell>
        </row>
        <row r="715">
          <cell r="A715" t="str">
            <v>Oi Total Fixo + Banda Larga + TV 20,6449Template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0.64489999999999992</v>
          </cell>
          <cell r="E715" t="str">
            <v>MKT-1-9831719566</v>
          </cell>
          <cell r="F715" t="str">
            <v>0T3T_REJ17_PCS-3PMepi_FLAT_BL_64.49%</v>
          </cell>
        </row>
        <row r="716">
          <cell r="A716" t="str">
            <v>Oi Total Fixo + Banda Larga + TV 30,6449Template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0.64489999999999992</v>
          </cell>
          <cell r="E716" t="str">
            <v>MKT-1-9831719473</v>
          </cell>
          <cell r="F716" t="str">
            <v>0T3T_REJ17_PCS-3PHipi_FLAT_BL_64.49%</v>
          </cell>
        </row>
        <row r="717">
          <cell r="A717" t="str">
            <v>Oi Total Fixo + Banda Larga + TV 10,6448Template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0.64480000000000004</v>
          </cell>
          <cell r="E717" t="str">
            <v>MKT-1-9831719380</v>
          </cell>
          <cell r="F717" t="str">
            <v>0T3T_REJ17_PCS-3PLowpi_FLAT_BL_64.48%</v>
          </cell>
        </row>
        <row r="718">
          <cell r="A718" t="str">
            <v>Oi Total Fixo + Banda Larga + TV 20,6448Template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0.64480000000000004</v>
          </cell>
          <cell r="E718" t="str">
            <v>MKT-1-9831719287</v>
          </cell>
          <cell r="F718" t="str">
            <v>0T3T_REJ17_PCS-3PMepi_FLAT_BL_64.48%</v>
          </cell>
        </row>
        <row r="719">
          <cell r="A719" t="str">
            <v>Oi Total Fixo + Banda Larga + TV 30,6448Template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0.64480000000000004</v>
          </cell>
          <cell r="E719" t="str">
            <v>MKT-1-9831719194</v>
          </cell>
          <cell r="F719" t="str">
            <v>0T3T_REJ17_PCS-3PHipi_FLAT_BL_64.48%</v>
          </cell>
        </row>
        <row r="720">
          <cell r="A720" t="str">
            <v>Oi Total Fixo + Banda Larga + TV 10,6842Template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0.68420000000000003</v>
          </cell>
          <cell r="E720" t="str">
            <v>MKT-1-9831719101</v>
          </cell>
          <cell r="F720" t="str">
            <v>0T3T_REJ17_PCS-3PLowpi_FLAT_BL_68.42%</v>
          </cell>
        </row>
        <row r="721">
          <cell r="A721" t="str">
            <v>Oi Total Fixo + Banda Larga + TV 20,6842Template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0.68420000000000003</v>
          </cell>
          <cell r="E721" t="str">
            <v>MKT-1-9831688008</v>
          </cell>
          <cell r="F721" t="str">
            <v>0T3T_REJ17_PCS-3PMepi_FLAT_BL_68.42%</v>
          </cell>
        </row>
        <row r="722">
          <cell r="A722" t="str">
            <v>Oi Total Fixo + Banda Larga + TV 30,6842Template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0.68420000000000003</v>
          </cell>
          <cell r="E722" t="str">
            <v>MKT-1-9831687915</v>
          </cell>
          <cell r="F722" t="str">
            <v>0T3T_REJ17_PCS-3PHipi_FLAT_BL_68.42%</v>
          </cell>
        </row>
        <row r="723">
          <cell r="A723" t="str">
            <v>Oi Total Fixo + Banda Larga + TV 10,7158Template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0.71579999999999999</v>
          </cell>
          <cell r="E723" t="str">
            <v>MKT-1-9831687822</v>
          </cell>
          <cell r="F723" t="str">
            <v>0T3T_REJ17_PCS-3PLowpi_FLAT_BL_71.58%</v>
          </cell>
        </row>
        <row r="724">
          <cell r="A724" t="str">
            <v>Oi Total Fixo + Banda Larga + TV 20,7158Template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0.71579999999999999</v>
          </cell>
          <cell r="E724" t="str">
            <v>MKT-1-9831687729</v>
          </cell>
          <cell r="F724" t="str">
            <v>0T3T_REJ17_PCS-3PMepi_FLAT_BL_71.58%</v>
          </cell>
        </row>
        <row r="725">
          <cell r="A725" t="str">
            <v>Oi Total Fixo + Banda Larga + TV 30,7158Template de desconto FLAT bundle - Velox XDSL - Varejo</v>
          </cell>
          <cell r="B725" t="str">
            <v>Plano Oi Convergente High</v>
          </cell>
          <cell r="C725" t="str">
            <v>Template de desconto FLAT bundle - Velox XDSL - Varejo</v>
          </cell>
          <cell r="D725">
            <v>0.71579999999999999</v>
          </cell>
          <cell r="E725" t="str">
            <v>MKT-1-9831687636</v>
          </cell>
          <cell r="F725" t="str">
            <v>0T3T_REJ17_PCS-3PHipi_FLAT_BL_71.58%</v>
          </cell>
        </row>
        <row r="726">
          <cell r="A726" t="str">
            <v>Oi Total Fixo + Banda Larga + TV 10,7631Template de desconto FLAT bundle - Velox XDSL - Varejo</v>
          </cell>
          <cell r="B726" t="str">
            <v>Plano Oi Convergente Low</v>
          </cell>
          <cell r="C726" t="str">
            <v>Template de desconto FLAT bundle - Velox XDSL - Varejo</v>
          </cell>
          <cell r="D726">
            <v>0.7631</v>
          </cell>
          <cell r="E726" t="str">
            <v>MKT-1-9831687543</v>
          </cell>
          <cell r="F726" t="str">
            <v>0T3T_REJ17_PCS-3PLowpi_FLAT_BL_76.31%</v>
          </cell>
        </row>
        <row r="727">
          <cell r="A727" t="str">
            <v>Oi Total Fixo + Banda Larga + TV 20,7631Template de desconto FLAT bundle - Velox XDSL - Varejo</v>
          </cell>
          <cell r="B727" t="str">
            <v>Plano Oi Convergente Medium</v>
          </cell>
          <cell r="C727" t="str">
            <v>Template de desconto FLAT bundle - Velox XDSL - Varejo</v>
          </cell>
          <cell r="D727">
            <v>0.7631</v>
          </cell>
          <cell r="E727" t="str">
            <v>MKT-1-9831687450</v>
          </cell>
          <cell r="F727" t="str">
            <v>0T3T_REJ17_PCS-3PMepi_FLAT_BL_76.31%</v>
          </cell>
        </row>
        <row r="728">
          <cell r="A728" t="str">
            <v>Oi Total Fixo + Banda Larga + TV 30,7631Template de desconto FLAT bundle - Velox XDSL - Varejo</v>
          </cell>
          <cell r="B728" t="str">
            <v>Plano Oi Convergente High</v>
          </cell>
          <cell r="C728" t="str">
            <v>Template de desconto FLAT bundle - Velox XDSL - Varejo</v>
          </cell>
          <cell r="D728">
            <v>0.7631</v>
          </cell>
          <cell r="E728" t="str">
            <v>MKT-1-9831687357</v>
          </cell>
          <cell r="F728" t="str">
            <v>0T3T_REJ17_PCS-3PHipi_FLAT_BL_76.31%</v>
          </cell>
        </row>
        <row r="729">
          <cell r="A729" t="str">
            <v>Oi Total Fixo + Banda Larga + TV 10,8223Template de desconto FLAT bundle - Velox XDSL - Varejo</v>
          </cell>
          <cell r="B729" t="str">
            <v>Plano Oi Convergente Low</v>
          </cell>
          <cell r="C729" t="str">
            <v>Template de desconto FLAT bundle - Velox XDSL - Varejo</v>
          </cell>
          <cell r="D729">
            <v>0.82230000000000003</v>
          </cell>
          <cell r="E729" t="str">
            <v>MKT-1-9831687264</v>
          </cell>
          <cell r="F729" t="str">
            <v>0T3T_REJ17_PCS-3PLowpi_FLAT_BL_82.23%</v>
          </cell>
        </row>
        <row r="730">
          <cell r="A730" t="str">
            <v>Oi Total Fixo + Banda Larga + TV 20,8223Template de desconto FLAT bundle - Velox XDSL - Varejo</v>
          </cell>
          <cell r="B730" t="str">
            <v>Plano Oi Convergente Medium</v>
          </cell>
          <cell r="C730" t="str">
            <v>Template de desconto FLAT bundle - Velox XDSL - Varejo</v>
          </cell>
          <cell r="D730">
            <v>0.82230000000000003</v>
          </cell>
          <cell r="E730" t="str">
            <v>MKT-1-9831687171</v>
          </cell>
          <cell r="F730" t="str">
            <v>0T3T_REJ17_PCS-3PMepi_FLAT_BL_82.23%</v>
          </cell>
        </row>
        <row r="731">
          <cell r="A731" t="str">
            <v>Oi Total Fixo + Banda Larga 30,4667Template de desconto FLAT bundle - Velox XDSL - Varejo</v>
          </cell>
          <cell r="B731" t="str">
            <v>Oi Total Fixo + Banda Larga 3</v>
          </cell>
          <cell r="C731" t="str">
            <v>Template de desconto FLAT bundle - Velox XDSL - Varejo</v>
          </cell>
          <cell r="D731">
            <v>0.4667</v>
          </cell>
          <cell r="E731" t="str">
            <v>MKT-1-9831678577</v>
          </cell>
          <cell r="F731" t="str">
            <v>0T3T_REJ17_PCS-2PFBL3_FLAT_BL_46.67%</v>
          </cell>
        </row>
        <row r="732">
          <cell r="A732" t="str">
            <v>Oi Total Fixo + Banda Larga + TV 30,8223Template de desconto FLAT bundle - Velox XDSL - Varejo</v>
          </cell>
          <cell r="B732" t="str">
            <v>Plano Oi Convergente High</v>
          </cell>
          <cell r="C732" t="str">
            <v>Template de desconto FLAT bundle - Velox XDSL - Varejo</v>
          </cell>
          <cell r="D732">
            <v>0.82230000000000003</v>
          </cell>
          <cell r="E732" t="str">
            <v>MKT-1-9831661078</v>
          </cell>
          <cell r="F732" t="str">
            <v>0T3T_REJ17_PCS-3PHipi_FLAT_BL_82.23%</v>
          </cell>
        </row>
        <row r="733">
          <cell r="A733" t="str">
            <v>Oi Total Fixo + Banda Larga 20,4667Template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0.4667</v>
          </cell>
          <cell r="E733" t="str">
            <v>MKT-1-9831653844</v>
          </cell>
          <cell r="F733" t="str">
            <v>0T3T_REJ17_PCS-2PFBL2_FLAT_BL_46.67%</v>
          </cell>
        </row>
        <row r="734">
          <cell r="A734" t="str">
            <v>Oi Total Fixo + Banda Larga 10,4667Template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0.4667</v>
          </cell>
          <cell r="E734" t="str">
            <v>MKT-1-9831653681</v>
          </cell>
          <cell r="F734" t="str">
            <v>0T3T_REJ17_PCS-2PFBL1_FLAT_BL_46.67%</v>
          </cell>
        </row>
        <row r="735">
          <cell r="A735" t="str">
            <v>Oi Total Fixo + Banda Larga 30,5557Template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0.55569999999999997</v>
          </cell>
          <cell r="E735" t="str">
            <v>MKT-1-9831653248</v>
          </cell>
          <cell r="F735" t="str">
            <v>0T3T_REJ17_PCS-2PFBL3_FLAT_BL_55.57%</v>
          </cell>
        </row>
        <row r="736">
          <cell r="A736" t="str">
            <v>Oi Total Fixo + Banda Larga 20,5557Template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0.55569999999999997</v>
          </cell>
          <cell r="E736" t="str">
            <v>MKT-1-9831653155</v>
          </cell>
          <cell r="F736" t="str">
            <v>0T3T_REJ17_PCS-2PFBL2_FLAT_BL_55.57%</v>
          </cell>
        </row>
        <row r="737">
          <cell r="A737" t="str">
            <v>Oi Total Fixo + Banda Larga 10,5557Template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0.55569999999999997</v>
          </cell>
          <cell r="E737" t="str">
            <v>MKT-1-9831632000</v>
          </cell>
          <cell r="F737" t="str">
            <v>0T3T_REJ17_PCS-2PFBL1_FLAT_BL_55.57%</v>
          </cell>
        </row>
        <row r="738">
          <cell r="A738" t="str">
            <v>Oi Total Fixo + Banda Larga 30,4413Template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0.44130000000000003</v>
          </cell>
          <cell r="E738" t="str">
            <v>MKT-1-9831631597</v>
          </cell>
          <cell r="F738" t="str">
            <v>0T3T_REJ17_PCS-2PFBL3_FLAT_BL_44.13%</v>
          </cell>
        </row>
        <row r="739">
          <cell r="A739" t="str">
            <v>Oi Total Fixo + Banda Larga 20,4413Template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0.44130000000000003</v>
          </cell>
          <cell r="E739" t="str">
            <v>MKT-1-9831619844</v>
          </cell>
          <cell r="F739" t="str">
            <v>0T3T_REJ17_PCS-2PFBL2_FLAT_BL_44.13%</v>
          </cell>
        </row>
        <row r="740">
          <cell r="A740" t="str">
            <v>Oi Total Fixo + Banda Larga 10,4413Template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0.44130000000000003</v>
          </cell>
          <cell r="E740" t="str">
            <v>MKT-1-9831619681</v>
          </cell>
          <cell r="F740" t="str">
            <v>0T3T_REJ17_PCS-2PFBL1_FLAT_BL_44.13%</v>
          </cell>
        </row>
        <row r="741">
          <cell r="A741" t="str">
            <v>Oi Total Fixo + Banda Larga 30,5431Template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0.54310000000000003</v>
          </cell>
          <cell r="E741" t="str">
            <v>MKT-1-9831619118</v>
          </cell>
          <cell r="F741" t="str">
            <v>0T3T_REJ17_PCS-2PFBL3_FLAT_BL_54.31%</v>
          </cell>
        </row>
        <row r="742">
          <cell r="A742" t="str">
            <v>Oi Total Fixo + Banda Larga 20,5431Template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0.54310000000000003</v>
          </cell>
          <cell r="E742" t="str">
            <v>MKT-1-9831606755</v>
          </cell>
          <cell r="F742" t="str">
            <v>0T3T_REJ17_PCS-2PFBL2_FLAT_BL_54.31%</v>
          </cell>
        </row>
        <row r="743">
          <cell r="A743" t="str">
            <v>Oi Total Fixo + Banda Larga 10,5431Template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0.54310000000000003</v>
          </cell>
          <cell r="E743" t="str">
            <v>MKT-1-9831606582</v>
          </cell>
          <cell r="F743" t="str">
            <v>0T3T_REJ17_PCS-2PFBL1_FLAT_BL_54.31%</v>
          </cell>
        </row>
        <row r="744">
          <cell r="A744" t="str">
            <v>Oi Total Fixo + Banda Larga 30,4337Template de desconto FLAT bundle - Velox XDSL - Varejo</v>
          </cell>
          <cell r="B744" t="str">
            <v>Oi Total Fixo + Banda Larga 3</v>
          </cell>
          <cell r="C744" t="str">
            <v>Template de desconto FLAT bundle - Velox XDSL - Varejo</v>
          </cell>
          <cell r="D744">
            <v>0.43369999999999997</v>
          </cell>
          <cell r="E744" t="str">
            <v>MKT-1-9831586659</v>
          </cell>
          <cell r="F744" t="str">
            <v>0T3T_REJ17_PCS-2PFBL3_FLAT_BL_43.37%</v>
          </cell>
        </row>
        <row r="745">
          <cell r="A745" t="str">
            <v>Oi Total Fixo + Banda Larga 20,4337Template de desconto FLAT bundle - Velox XDSL - Varejo</v>
          </cell>
          <cell r="B745" t="str">
            <v>Oi Total Fixo + Banda Larga 2</v>
          </cell>
          <cell r="C745" t="str">
            <v>Template de desconto FLAT bundle - Velox XDSL - Varejo</v>
          </cell>
          <cell r="D745">
            <v>0.43369999999999997</v>
          </cell>
          <cell r="E745" t="str">
            <v>MKT-1-9831586226</v>
          </cell>
          <cell r="F745" t="str">
            <v>0T3T_REJ17_PCS-2PFBL2_FLAT_BL_43.37%</v>
          </cell>
        </row>
        <row r="746">
          <cell r="A746" t="str">
            <v>Oi Total Fixo + Banda Larga 10,4337Template de desconto FLAT bundle - Velox XDSL - Varejo</v>
          </cell>
          <cell r="B746" t="str">
            <v>Oi Total Fixo + Banda Larga 1</v>
          </cell>
          <cell r="C746" t="str">
            <v>Template de desconto FLAT bundle - Velox XDSL - Varejo</v>
          </cell>
          <cell r="D746">
            <v>0.43369999999999997</v>
          </cell>
          <cell r="E746" t="str">
            <v>MKT-1-9831572993</v>
          </cell>
          <cell r="F746" t="str">
            <v>0T3T_REJ17_PCS-2PFBL1_FLAT_BL_43.37%</v>
          </cell>
        </row>
        <row r="747">
          <cell r="A747" t="str">
            <v>Oi Total Fixo + Banda Larga 30,5368Template de desconto FLAT bundle - Velox XDSL - Varejo</v>
          </cell>
          <cell r="B747" t="str">
            <v>Oi Total Fixo + Banda Larga 3</v>
          </cell>
          <cell r="C747" t="str">
            <v>Template de desconto FLAT bundle - Velox XDSL - Varejo</v>
          </cell>
          <cell r="D747">
            <v>0.53679999999999994</v>
          </cell>
          <cell r="E747" t="str">
            <v>MKT-1-9831520000</v>
          </cell>
          <cell r="F747" t="str">
            <v>0T3T_REJ17_PCS-2PFBL3_FLAT_BL_53.68%</v>
          </cell>
        </row>
        <row r="748">
          <cell r="A748" t="str">
            <v>Oi Total Fixo + Banda Larga 20,5368Template de desconto FLAT bundle - Velox XDSL - Varejo</v>
          </cell>
          <cell r="B748" t="str">
            <v>Oi Total Fixo + Banda Larga 2</v>
          </cell>
          <cell r="C748" t="str">
            <v>Template de desconto FLAT bundle - Velox XDSL - Varejo</v>
          </cell>
          <cell r="D748">
            <v>0.53679999999999994</v>
          </cell>
          <cell r="E748" t="str">
            <v>MKT-1-9831519377</v>
          </cell>
          <cell r="F748" t="str">
            <v>0T3T_REJ17_PCS-2PFBL2_FLAT_BL_53.68%</v>
          </cell>
        </row>
        <row r="749">
          <cell r="A749" t="str">
            <v>Oi Total Fixo + Banda Larga 10,5368Template de desconto FLAT bundle - Velox XDSL - Varejo</v>
          </cell>
          <cell r="B749" t="str">
            <v>Oi Total Fixo + Banda Larga 1</v>
          </cell>
          <cell r="C749" t="str">
            <v>Template de desconto FLAT bundle - Velox XDSL - Varejo</v>
          </cell>
          <cell r="D749">
            <v>0.53679999999999994</v>
          </cell>
          <cell r="E749" t="str">
            <v>MKT-1-9831439634</v>
          </cell>
          <cell r="F749" t="str">
            <v>0T3T_REJ17_PCS-2PFBL1_FLAT_BL_53.68%</v>
          </cell>
        </row>
        <row r="750">
          <cell r="A750" t="e">
            <v>#N/A</v>
          </cell>
        </row>
        <row r="751">
          <cell r="A751" t="e">
            <v>#N/A</v>
          </cell>
        </row>
        <row r="752">
          <cell r="A752" t="e">
            <v>#N/A</v>
          </cell>
        </row>
        <row r="753">
          <cell r="A753" t="e">
            <v>#N/A</v>
          </cell>
        </row>
        <row r="754">
          <cell r="A754" t="e">
            <v>#N/A</v>
          </cell>
        </row>
        <row r="755">
          <cell r="A755" t="e">
            <v>#N/A</v>
          </cell>
        </row>
        <row r="756">
          <cell r="A756" t="e">
            <v>#N/A</v>
          </cell>
        </row>
        <row r="757">
          <cell r="A757" t="e">
            <v>#N/A</v>
          </cell>
        </row>
        <row r="758">
          <cell r="A758" t="e">
            <v>#N/A</v>
          </cell>
        </row>
        <row r="759">
          <cell r="A759" t="e">
            <v>#N/A</v>
          </cell>
        </row>
        <row r="760">
          <cell r="A760" t="e">
            <v>#N/A</v>
          </cell>
        </row>
        <row r="761">
          <cell r="A761" t="e">
            <v>#N/A</v>
          </cell>
        </row>
        <row r="762">
          <cell r="A762" t="e">
            <v>#N/A</v>
          </cell>
        </row>
        <row r="763">
          <cell r="A763" t="e">
            <v>#N/A</v>
          </cell>
        </row>
        <row r="764">
          <cell r="A764" t="e">
            <v>#N/A</v>
          </cell>
        </row>
        <row r="765">
          <cell r="A765" t="e">
            <v>#N/A</v>
          </cell>
        </row>
        <row r="766">
          <cell r="A766" t="e">
            <v>#N/A</v>
          </cell>
        </row>
        <row r="767">
          <cell r="A767" t="e">
            <v>#N/A</v>
          </cell>
        </row>
        <row r="768">
          <cell r="A768" t="e">
            <v>#N/A</v>
          </cell>
        </row>
        <row r="769">
          <cell r="A769" t="e">
            <v>#N/A</v>
          </cell>
        </row>
        <row r="770">
          <cell r="A770" t="e">
            <v>#N/A</v>
          </cell>
        </row>
        <row r="771">
          <cell r="A771" t="e">
            <v>#N/A</v>
          </cell>
        </row>
        <row r="772">
          <cell r="A772" t="e">
            <v>#N/A</v>
          </cell>
        </row>
        <row r="773">
          <cell r="A773" t="e">
            <v>#N/A</v>
          </cell>
        </row>
        <row r="774">
          <cell r="A774" t="e">
            <v>#N/A</v>
          </cell>
        </row>
        <row r="775">
          <cell r="A775" t="e">
            <v>#N/A</v>
          </cell>
        </row>
        <row r="776">
          <cell r="A776" t="e">
            <v>#N/A</v>
          </cell>
        </row>
        <row r="777">
          <cell r="A777" t="e">
            <v>#N/A</v>
          </cell>
        </row>
        <row r="778">
          <cell r="A778" t="e">
            <v>#N/A</v>
          </cell>
        </row>
        <row r="779">
          <cell r="A779" t="e">
            <v>#N/A</v>
          </cell>
        </row>
        <row r="780">
          <cell r="A780" t="e">
            <v>#N/A</v>
          </cell>
        </row>
        <row r="781">
          <cell r="A781" t="e">
            <v>#N/A</v>
          </cell>
        </row>
        <row r="782">
          <cell r="A782" t="e">
            <v>#N/A</v>
          </cell>
        </row>
        <row r="783">
          <cell r="A783" t="e">
            <v>#N/A</v>
          </cell>
        </row>
        <row r="784">
          <cell r="A784" t="e">
            <v>#N/A</v>
          </cell>
        </row>
        <row r="785">
          <cell r="A785" t="e">
            <v>#N/A</v>
          </cell>
        </row>
        <row r="786">
          <cell r="A786" t="e">
            <v>#N/A</v>
          </cell>
        </row>
        <row r="787">
          <cell r="A787" t="e">
            <v>#N/A</v>
          </cell>
        </row>
        <row r="788">
          <cell r="A788" t="e">
            <v>#N/A</v>
          </cell>
        </row>
        <row r="789">
          <cell r="A789" t="e">
            <v>#N/A</v>
          </cell>
        </row>
        <row r="790">
          <cell r="A790" t="e">
            <v>#N/A</v>
          </cell>
        </row>
        <row r="791">
          <cell r="A791" t="e">
            <v>#N/A</v>
          </cell>
        </row>
        <row r="792">
          <cell r="A792" t="e">
            <v>#N/A</v>
          </cell>
        </row>
        <row r="793">
          <cell r="A793" t="e">
            <v>#N/A</v>
          </cell>
        </row>
        <row r="794">
          <cell r="A794" t="e">
            <v>#N/A</v>
          </cell>
        </row>
        <row r="795">
          <cell r="A795" t="e">
            <v>#N/A</v>
          </cell>
        </row>
        <row r="796">
          <cell r="A796" t="e">
            <v>#N/A</v>
          </cell>
        </row>
        <row r="797">
          <cell r="A797" t="e">
            <v>#N/A</v>
          </cell>
        </row>
        <row r="798">
          <cell r="A798" t="e">
            <v>#N/A</v>
          </cell>
        </row>
        <row r="799">
          <cell r="A799" t="e">
            <v>#N/A</v>
          </cell>
        </row>
        <row r="800">
          <cell r="A800" t="e">
            <v>#N/A</v>
          </cell>
        </row>
        <row r="801">
          <cell r="A801" t="e">
            <v>#N/A</v>
          </cell>
        </row>
        <row r="802">
          <cell r="A802" t="e">
            <v>#N/A</v>
          </cell>
        </row>
        <row r="803">
          <cell r="A803" t="e">
            <v>#N/A</v>
          </cell>
        </row>
        <row r="804">
          <cell r="A804" t="e">
            <v>#N/A</v>
          </cell>
        </row>
        <row r="805">
          <cell r="A805" t="e">
            <v>#N/A</v>
          </cell>
        </row>
        <row r="806">
          <cell r="A806" t="e">
            <v>#N/A</v>
          </cell>
        </row>
        <row r="807">
          <cell r="A807" t="e">
            <v>#N/A</v>
          </cell>
        </row>
        <row r="808">
          <cell r="A808" t="e">
            <v>#N/A</v>
          </cell>
        </row>
        <row r="809">
          <cell r="A809" t="e">
            <v>#N/A</v>
          </cell>
        </row>
        <row r="810">
          <cell r="A810" t="e">
            <v>#N/A</v>
          </cell>
        </row>
        <row r="811">
          <cell r="A811" t="e">
            <v>#N/A</v>
          </cell>
        </row>
        <row r="812">
          <cell r="A812" t="e">
            <v>#N/A</v>
          </cell>
        </row>
        <row r="813">
          <cell r="A813" t="e">
            <v>#N/A</v>
          </cell>
        </row>
        <row r="814">
          <cell r="A814" t="e">
            <v>#N/A</v>
          </cell>
        </row>
        <row r="815">
          <cell r="A815" t="e">
            <v>#N/A</v>
          </cell>
        </row>
        <row r="816">
          <cell r="A816" t="e">
            <v>#N/A</v>
          </cell>
        </row>
        <row r="817">
          <cell r="A817" t="e">
            <v>#N/A</v>
          </cell>
        </row>
        <row r="818">
          <cell r="A818" t="e">
            <v>#N/A</v>
          </cell>
        </row>
        <row r="819">
          <cell r="A819" t="e">
            <v>#N/A</v>
          </cell>
        </row>
        <row r="820">
          <cell r="A820" t="e">
            <v>#N/A</v>
          </cell>
        </row>
        <row r="821">
          <cell r="A821" t="e">
            <v>#N/A</v>
          </cell>
        </row>
        <row r="822">
          <cell r="A822" t="e">
            <v>#N/A</v>
          </cell>
        </row>
        <row r="823">
          <cell r="A823" t="e">
            <v>#N/A</v>
          </cell>
        </row>
        <row r="824">
          <cell r="A824" t="e">
            <v>#N/A</v>
          </cell>
        </row>
        <row r="825">
          <cell r="A825" t="e">
            <v>#N/A</v>
          </cell>
        </row>
        <row r="826">
          <cell r="A826" t="e">
            <v>#N/A</v>
          </cell>
        </row>
        <row r="827">
          <cell r="A827" t="e">
            <v>#N/A</v>
          </cell>
        </row>
        <row r="828">
          <cell r="A828" t="e">
            <v>#N/A</v>
          </cell>
        </row>
        <row r="829">
          <cell r="A829" t="e">
            <v>#N/A</v>
          </cell>
        </row>
        <row r="830">
          <cell r="A830" t="e">
            <v>#N/A</v>
          </cell>
        </row>
        <row r="831">
          <cell r="A831" t="e">
            <v>#N/A</v>
          </cell>
        </row>
        <row r="832">
          <cell r="A832" t="e">
            <v>#N/A</v>
          </cell>
        </row>
        <row r="833">
          <cell r="A833" t="e">
            <v>#N/A</v>
          </cell>
        </row>
        <row r="834">
          <cell r="A834" t="e">
            <v>#N/A</v>
          </cell>
        </row>
        <row r="835">
          <cell r="A835" t="e">
            <v>#N/A</v>
          </cell>
        </row>
        <row r="836">
          <cell r="A836" t="e">
            <v>#N/A</v>
          </cell>
        </row>
        <row r="837">
          <cell r="A837" t="e">
            <v>#N/A</v>
          </cell>
        </row>
        <row r="838">
          <cell r="A838" t="e">
            <v>#N/A</v>
          </cell>
        </row>
        <row r="839">
          <cell r="A839" t="e">
            <v>#N/A</v>
          </cell>
        </row>
        <row r="840">
          <cell r="A840" t="e">
            <v>#N/A</v>
          </cell>
        </row>
        <row r="841">
          <cell r="A841" t="e">
            <v>#N/A</v>
          </cell>
        </row>
        <row r="842">
          <cell r="A842" t="e">
            <v>#N/A</v>
          </cell>
        </row>
        <row r="843">
          <cell r="A843" t="e">
            <v>#N/A</v>
          </cell>
        </row>
        <row r="844">
          <cell r="A844" t="e">
            <v>#N/A</v>
          </cell>
        </row>
        <row r="845">
          <cell r="A845" t="e">
            <v>#N/A</v>
          </cell>
        </row>
        <row r="846">
          <cell r="A846" t="e">
            <v>#N/A</v>
          </cell>
        </row>
        <row r="847">
          <cell r="A847" t="e">
            <v>#N/A</v>
          </cell>
        </row>
        <row r="848">
          <cell r="A848" t="e">
            <v>#N/A</v>
          </cell>
        </row>
        <row r="849">
          <cell r="A849" t="e">
            <v>#N/A</v>
          </cell>
        </row>
        <row r="850">
          <cell r="A850" t="e">
            <v>#N/A</v>
          </cell>
        </row>
        <row r="851">
          <cell r="A851" t="e">
            <v>#N/A</v>
          </cell>
        </row>
        <row r="852">
          <cell r="A852" t="e">
            <v>#N/A</v>
          </cell>
        </row>
        <row r="853">
          <cell r="A853" t="e">
            <v>#N/A</v>
          </cell>
        </row>
        <row r="854">
          <cell r="A854" t="e">
            <v>#N/A</v>
          </cell>
        </row>
        <row r="855">
          <cell r="A855" t="e">
            <v>#N/A</v>
          </cell>
        </row>
        <row r="856">
          <cell r="A856" t="e">
            <v>#N/A</v>
          </cell>
        </row>
        <row r="857">
          <cell r="A857" t="e">
            <v>#N/A</v>
          </cell>
        </row>
        <row r="858">
          <cell r="A858" t="e">
            <v>#N/A</v>
          </cell>
        </row>
        <row r="859">
          <cell r="A859" t="e">
            <v>#N/A</v>
          </cell>
        </row>
        <row r="860">
          <cell r="A860" t="e">
            <v>#N/A</v>
          </cell>
        </row>
        <row r="861">
          <cell r="A861" t="e">
            <v>#N/A</v>
          </cell>
        </row>
        <row r="862">
          <cell r="A862" t="e">
            <v>#N/A</v>
          </cell>
        </row>
        <row r="863">
          <cell r="A863" t="e">
            <v>#N/A</v>
          </cell>
        </row>
        <row r="864">
          <cell r="A864" t="e">
            <v>#N/A</v>
          </cell>
        </row>
        <row r="865">
          <cell r="A865" t="e">
            <v>#N/A</v>
          </cell>
        </row>
        <row r="866">
          <cell r="A866" t="e">
            <v>#N/A</v>
          </cell>
        </row>
        <row r="867">
          <cell r="A867" t="e">
            <v>#N/A</v>
          </cell>
        </row>
        <row r="868">
          <cell r="A868" t="e">
            <v>#N/A</v>
          </cell>
        </row>
        <row r="869">
          <cell r="A869" t="e">
            <v>#N/A</v>
          </cell>
        </row>
        <row r="870">
          <cell r="A870" t="e">
            <v>#N/A</v>
          </cell>
        </row>
        <row r="871">
          <cell r="A871" t="e">
            <v>#N/A</v>
          </cell>
        </row>
        <row r="872">
          <cell r="A872" t="e">
            <v>#N/A</v>
          </cell>
        </row>
        <row r="873">
          <cell r="A873" t="e">
            <v>#N/A</v>
          </cell>
        </row>
        <row r="874">
          <cell r="A874" t="e">
            <v>#N/A</v>
          </cell>
        </row>
        <row r="875">
          <cell r="A875" t="e">
            <v>#N/A</v>
          </cell>
        </row>
        <row r="876">
          <cell r="A876" t="e">
            <v>#N/A</v>
          </cell>
        </row>
        <row r="877">
          <cell r="A877" t="e">
            <v>#N/A</v>
          </cell>
        </row>
        <row r="878">
          <cell r="A878" t="e">
            <v>#N/A</v>
          </cell>
        </row>
        <row r="879">
          <cell r="A879" t="e">
            <v>#N/A</v>
          </cell>
        </row>
        <row r="880">
          <cell r="A880" t="e">
            <v>#N/A</v>
          </cell>
        </row>
        <row r="881">
          <cell r="A881" t="e">
            <v>#N/A</v>
          </cell>
        </row>
        <row r="882">
          <cell r="A882" t="e">
            <v>#N/A</v>
          </cell>
        </row>
        <row r="883">
          <cell r="A883" t="e">
            <v>#N/A</v>
          </cell>
        </row>
        <row r="884">
          <cell r="A884" t="e">
            <v>#N/A</v>
          </cell>
        </row>
        <row r="885">
          <cell r="A885" t="e">
            <v>#N/A</v>
          </cell>
        </row>
        <row r="886">
          <cell r="A886" t="e">
            <v>#N/A</v>
          </cell>
        </row>
        <row r="887">
          <cell r="A887" t="e">
            <v>#N/A</v>
          </cell>
        </row>
        <row r="888">
          <cell r="A888" t="e">
            <v>#N/A</v>
          </cell>
        </row>
        <row r="889">
          <cell r="A889" t="e">
            <v>#N/A</v>
          </cell>
        </row>
        <row r="890">
          <cell r="A890" t="e">
            <v>#N/A</v>
          </cell>
        </row>
        <row r="891">
          <cell r="A891" t="e">
            <v>#N/A</v>
          </cell>
        </row>
        <row r="892">
          <cell r="A892" t="e">
            <v>#N/A</v>
          </cell>
        </row>
        <row r="893">
          <cell r="A893" t="e">
            <v>#N/A</v>
          </cell>
        </row>
        <row r="894">
          <cell r="A894" t="e">
            <v>#N/A</v>
          </cell>
        </row>
        <row r="895">
          <cell r="A895" t="e">
            <v>#N/A</v>
          </cell>
        </row>
        <row r="896">
          <cell r="A896" t="e">
            <v>#N/A</v>
          </cell>
        </row>
        <row r="897">
          <cell r="A897" t="e">
            <v>#N/A</v>
          </cell>
        </row>
        <row r="898">
          <cell r="A898" t="e">
            <v>#N/A</v>
          </cell>
        </row>
        <row r="899">
          <cell r="A899" t="e">
            <v>#N/A</v>
          </cell>
        </row>
        <row r="900">
          <cell r="A900" t="e">
            <v>#N/A</v>
          </cell>
        </row>
        <row r="901">
          <cell r="A901" t="e">
            <v>#N/A</v>
          </cell>
        </row>
        <row r="902">
          <cell r="A902" t="e">
            <v>#N/A</v>
          </cell>
        </row>
        <row r="903">
          <cell r="A903" t="e">
            <v>#N/A</v>
          </cell>
        </row>
        <row r="904">
          <cell r="A904" t="e">
            <v>#N/A</v>
          </cell>
        </row>
        <row r="905">
          <cell r="A905" t="e">
            <v>#N/A</v>
          </cell>
        </row>
        <row r="906">
          <cell r="A906" t="e">
            <v>#N/A</v>
          </cell>
        </row>
        <row r="907">
          <cell r="A907" t="e">
            <v>#N/A</v>
          </cell>
        </row>
        <row r="908">
          <cell r="A908" t="e">
            <v>#N/A</v>
          </cell>
        </row>
        <row r="909">
          <cell r="A909" t="e">
            <v>#N/A</v>
          </cell>
        </row>
        <row r="910">
          <cell r="A910" t="e">
            <v>#N/A</v>
          </cell>
        </row>
        <row r="911">
          <cell r="A911" t="e">
            <v>#N/A</v>
          </cell>
        </row>
        <row r="912">
          <cell r="A912" t="e">
            <v>#N/A</v>
          </cell>
        </row>
        <row r="913">
          <cell r="A913" t="e">
            <v>#N/A</v>
          </cell>
        </row>
        <row r="914">
          <cell r="A914" t="e">
            <v>#N/A</v>
          </cell>
        </row>
        <row r="915">
          <cell r="A915" t="e">
            <v>#N/A</v>
          </cell>
        </row>
        <row r="916">
          <cell r="A916" t="e">
            <v>#N/A</v>
          </cell>
        </row>
        <row r="917">
          <cell r="A917" t="e">
            <v>#N/A</v>
          </cell>
        </row>
        <row r="918">
          <cell r="A918" t="e">
            <v>#N/A</v>
          </cell>
        </row>
        <row r="919">
          <cell r="A919" t="e">
            <v>#N/A</v>
          </cell>
        </row>
        <row r="920">
          <cell r="A920" t="e">
            <v>#N/A</v>
          </cell>
        </row>
        <row r="921">
          <cell r="A921" t="e">
            <v>#N/A</v>
          </cell>
        </row>
        <row r="922">
          <cell r="A922" t="e">
            <v>#N/A</v>
          </cell>
        </row>
        <row r="923">
          <cell r="A923" t="e">
            <v>#N/A</v>
          </cell>
        </row>
        <row r="924">
          <cell r="A924" t="e">
            <v>#N/A</v>
          </cell>
        </row>
        <row r="925">
          <cell r="A925" t="e">
            <v>#N/A</v>
          </cell>
        </row>
        <row r="926">
          <cell r="A926" t="e">
            <v>#N/A</v>
          </cell>
        </row>
        <row r="927">
          <cell r="A927" t="e">
            <v>#N/A</v>
          </cell>
        </row>
        <row r="928">
          <cell r="A928" t="e">
            <v>#N/A</v>
          </cell>
        </row>
        <row r="929">
          <cell r="A929" t="e">
            <v>#N/A</v>
          </cell>
        </row>
        <row r="930">
          <cell r="A930" t="e">
            <v>#N/A</v>
          </cell>
        </row>
        <row r="931">
          <cell r="A931" t="e">
            <v>#N/A</v>
          </cell>
        </row>
        <row r="932">
          <cell r="A932" t="e">
            <v>#N/A</v>
          </cell>
        </row>
        <row r="933">
          <cell r="A933" t="e">
            <v>#N/A</v>
          </cell>
        </row>
        <row r="934">
          <cell r="A934" t="e">
            <v>#N/A</v>
          </cell>
        </row>
        <row r="935">
          <cell r="A935" t="e">
            <v>#N/A</v>
          </cell>
        </row>
        <row r="936">
          <cell r="A936" t="e">
            <v>#N/A</v>
          </cell>
        </row>
        <row r="937">
          <cell r="A937" t="e">
            <v>#N/A</v>
          </cell>
        </row>
        <row r="938">
          <cell r="A938" t="e">
            <v>#N/A</v>
          </cell>
        </row>
        <row r="939">
          <cell r="A939" t="e">
            <v>#N/A</v>
          </cell>
        </row>
        <row r="940">
          <cell r="A940" t="e">
            <v>#N/A</v>
          </cell>
        </row>
        <row r="941">
          <cell r="A941" t="e">
            <v>#N/A</v>
          </cell>
        </row>
        <row r="942">
          <cell r="A942" t="e">
            <v>#N/A</v>
          </cell>
        </row>
        <row r="943">
          <cell r="A943" t="e">
            <v>#N/A</v>
          </cell>
        </row>
        <row r="944">
          <cell r="A944" t="e">
            <v>#N/A</v>
          </cell>
        </row>
        <row r="945">
          <cell r="A945" t="e">
            <v>#N/A</v>
          </cell>
        </row>
        <row r="946">
          <cell r="A946" t="e">
            <v>#N/A</v>
          </cell>
        </row>
        <row r="947">
          <cell r="A947" t="e">
            <v>#N/A</v>
          </cell>
        </row>
        <row r="948">
          <cell r="A948" t="e">
            <v>#N/A</v>
          </cell>
        </row>
        <row r="949">
          <cell r="A949" t="e">
            <v>#N/A</v>
          </cell>
        </row>
        <row r="950">
          <cell r="A950" t="e">
            <v>#N/A</v>
          </cell>
        </row>
        <row r="951">
          <cell r="A951" t="e">
            <v>#N/A</v>
          </cell>
        </row>
        <row r="952">
          <cell r="A952" t="e">
            <v>#N/A</v>
          </cell>
        </row>
        <row r="953">
          <cell r="A953" t="e">
            <v>#N/A</v>
          </cell>
        </row>
        <row r="954">
          <cell r="A954" t="e">
            <v>#N/A</v>
          </cell>
        </row>
        <row r="955">
          <cell r="A955" t="e">
            <v>#N/A</v>
          </cell>
        </row>
        <row r="956">
          <cell r="A956" t="e">
            <v>#N/A</v>
          </cell>
        </row>
        <row r="957">
          <cell r="A957" t="e">
            <v>#N/A</v>
          </cell>
        </row>
        <row r="958">
          <cell r="A958" t="e">
            <v>#N/A</v>
          </cell>
        </row>
        <row r="959">
          <cell r="A959" t="e">
            <v>#N/A</v>
          </cell>
        </row>
        <row r="960">
          <cell r="A960" t="e">
            <v>#N/A</v>
          </cell>
        </row>
        <row r="961">
          <cell r="A961" t="e">
            <v>#N/A</v>
          </cell>
        </row>
        <row r="962">
          <cell r="A962" t="e">
            <v>#N/A</v>
          </cell>
        </row>
        <row r="963">
          <cell r="A963" t="e">
            <v>#N/A</v>
          </cell>
        </row>
        <row r="964">
          <cell r="A964" t="e">
            <v>#N/A</v>
          </cell>
        </row>
        <row r="965">
          <cell r="A965" t="e">
            <v>#N/A</v>
          </cell>
        </row>
        <row r="966">
          <cell r="A966" t="e">
            <v>#N/A</v>
          </cell>
        </row>
        <row r="967">
          <cell r="A967" t="e">
            <v>#N/A</v>
          </cell>
        </row>
        <row r="968">
          <cell r="A968" t="e">
            <v>#N/A</v>
          </cell>
        </row>
        <row r="969">
          <cell r="A969" t="e">
            <v>#N/A</v>
          </cell>
        </row>
        <row r="970">
          <cell r="A970" t="e">
            <v>#N/A</v>
          </cell>
        </row>
        <row r="971">
          <cell r="A971" t="e">
            <v>#N/A</v>
          </cell>
        </row>
        <row r="972">
          <cell r="A972" t="e">
            <v>#N/A</v>
          </cell>
        </row>
        <row r="973">
          <cell r="A973" t="e">
            <v>#N/A</v>
          </cell>
        </row>
        <row r="974">
          <cell r="A974" t="e">
            <v>#N/A</v>
          </cell>
        </row>
        <row r="975">
          <cell r="A975" t="e">
            <v>#N/A</v>
          </cell>
        </row>
        <row r="976">
          <cell r="A976" t="e">
            <v>#N/A</v>
          </cell>
        </row>
        <row r="977">
          <cell r="A977" t="e">
            <v>#N/A</v>
          </cell>
        </row>
        <row r="978">
          <cell r="A978" t="e">
            <v>#N/A</v>
          </cell>
        </row>
        <row r="979">
          <cell r="A979" t="e">
            <v>#N/A</v>
          </cell>
        </row>
        <row r="980">
          <cell r="A980" t="e">
            <v>#N/A</v>
          </cell>
        </row>
        <row r="981">
          <cell r="A981" t="e">
            <v>#N/A</v>
          </cell>
        </row>
        <row r="982">
          <cell r="A982" t="e">
            <v>#N/A</v>
          </cell>
        </row>
        <row r="983">
          <cell r="A983" t="e">
            <v>#N/A</v>
          </cell>
        </row>
        <row r="984">
          <cell r="A984" t="e">
            <v>#N/A</v>
          </cell>
        </row>
        <row r="985">
          <cell r="A985" t="e">
            <v>#N/A</v>
          </cell>
        </row>
        <row r="986">
          <cell r="A986" t="e">
            <v>#N/A</v>
          </cell>
        </row>
        <row r="987">
          <cell r="A987" t="e">
            <v>#N/A</v>
          </cell>
        </row>
        <row r="988">
          <cell r="A988" t="e">
            <v>#N/A</v>
          </cell>
        </row>
        <row r="989">
          <cell r="A989" t="e">
            <v>#N/A</v>
          </cell>
        </row>
        <row r="990">
          <cell r="A990" t="e">
            <v>#N/A</v>
          </cell>
        </row>
        <row r="991">
          <cell r="A991" t="e">
            <v>#N/A</v>
          </cell>
        </row>
        <row r="992">
          <cell r="A992" t="e">
            <v>#N/A</v>
          </cell>
        </row>
        <row r="993">
          <cell r="A993" t="e">
            <v>#N/A</v>
          </cell>
        </row>
        <row r="994">
          <cell r="A994" t="e">
            <v>#N/A</v>
          </cell>
        </row>
        <row r="995">
          <cell r="A995" t="e">
            <v>#N/A</v>
          </cell>
        </row>
        <row r="996">
          <cell r="A996" t="e">
            <v>#N/A</v>
          </cell>
        </row>
        <row r="997">
          <cell r="A997" t="e">
            <v>#N/A</v>
          </cell>
        </row>
        <row r="998">
          <cell r="A998" t="e">
            <v>#N/A</v>
          </cell>
        </row>
        <row r="999">
          <cell r="A999" t="e">
            <v>#N/A</v>
          </cell>
        </row>
        <row r="1000">
          <cell r="A1000" t="e">
            <v>#N/A</v>
          </cell>
        </row>
        <row r="1001">
          <cell r="A1001" t="e">
            <v>#N/A</v>
          </cell>
        </row>
        <row r="1002">
          <cell r="A1002" t="e">
            <v>#N/A</v>
          </cell>
        </row>
        <row r="1003">
          <cell r="A1003" t="e">
            <v>#N/A</v>
          </cell>
        </row>
        <row r="1004">
          <cell r="A1004" t="e">
            <v>#N/A</v>
          </cell>
        </row>
        <row r="1005">
          <cell r="A1005" t="e">
            <v>#N/A</v>
          </cell>
        </row>
        <row r="1006">
          <cell r="A1006" t="e">
            <v>#N/A</v>
          </cell>
        </row>
        <row r="1007">
          <cell r="A1007" t="e">
            <v>#N/A</v>
          </cell>
        </row>
        <row r="1008">
          <cell r="A1008" t="e">
            <v>#N/A</v>
          </cell>
        </row>
        <row r="1009">
          <cell r="A1009" t="e">
            <v>#N/A</v>
          </cell>
        </row>
        <row r="1010">
          <cell r="A1010" t="e">
            <v>#N/A</v>
          </cell>
        </row>
        <row r="1011">
          <cell r="A1011" t="e">
            <v>#N/A</v>
          </cell>
        </row>
        <row r="1012">
          <cell r="A1012" t="e">
            <v>#N/A</v>
          </cell>
        </row>
        <row r="1013">
          <cell r="A1013" t="e">
            <v>#N/A</v>
          </cell>
        </row>
        <row r="1014">
          <cell r="A1014" t="e">
            <v>#N/A</v>
          </cell>
        </row>
        <row r="1015">
          <cell r="A1015" t="e">
            <v>#N/A</v>
          </cell>
        </row>
        <row r="1016">
          <cell r="A1016" t="e">
            <v>#N/A</v>
          </cell>
        </row>
        <row r="1017">
          <cell r="A1017" t="e">
            <v>#N/A</v>
          </cell>
        </row>
        <row r="1018">
          <cell r="A1018" t="e">
            <v>#N/A</v>
          </cell>
        </row>
        <row r="1019">
          <cell r="A1019" t="e">
            <v>#N/A</v>
          </cell>
        </row>
        <row r="1020">
          <cell r="A1020" t="e">
            <v>#N/A</v>
          </cell>
        </row>
        <row r="1021">
          <cell r="A1021" t="e">
            <v>#N/A</v>
          </cell>
        </row>
        <row r="1022">
          <cell r="A1022" t="e">
            <v>#N/A</v>
          </cell>
        </row>
        <row r="1023">
          <cell r="A1023" t="e">
            <v>#N/A</v>
          </cell>
        </row>
        <row r="1024">
          <cell r="A1024" t="e">
            <v>#N/A</v>
          </cell>
        </row>
        <row r="1025">
          <cell r="A1025" t="e">
            <v>#N/A</v>
          </cell>
        </row>
        <row r="1026">
          <cell r="A1026" t="e">
            <v>#N/A</v>
          </cell>
        </row>
        <row r="1027">
          <cell r="A1027" t="e">
            <v>#N/A</v>
          </cell>
        </row>
        <row r="1028">
          <cell r="A1028" t="e">
            <v>#N/A</v>
          </cell>
        </row>
        <row r="1029">
          <cell r="A1029" t="e">
            <v>#N/A</v>
          </cell>
        </row>
        <row r="1030">
          <cell r="A1030" t="e">
            <v>#N/A</v>
          </cell>
        </row>
        <row r="1031">
          <cell r="A1031" t="e">
            <v>#N/A</v>
          </cell>
        </row>
        <row r="1032">
          <cell r="A1032" t="e">
            <v>#N/A</v>
          </cell>
        </row>
        <row r="1033">
          <cell r="A1033" t="e">
            <v>#N/A</v>
          </cell>
        </row>
        <row r="1034">
          <cell r="A1034" t="e">
            <v>#N/A</v>
          </cell>
        </row>
        <row r="1035">
          <cell r="A1035" t="e">
            <v>#N/A</v>
          </cell>
        </row>
        <row r="1036">
          <cell r="A1036" t="e">
            <v>#N/A</v>
          </cell>
        </row>
        <row r="1037">
          <cell r="A1037" t="e">
            <v>#N/A</v>
          </cell>
        </row>
        <row r="1038">
          <cell r="A1038" t="e">
            <v>#N/A</v>
          </cell>
        </row>
        <row r="1039">
          <cell r="A1039" t="e">
            <v>#N/A</v>
          </cell>
        </row>
        <row r="1040">
          <cell r="A1040" t="e">
            <v>#N/A</v>
          </cell>
        </row>
        <row r="1041">
          <cell r="A1041" t="e">
            <v>#N/A</v>
          </cell>
        </row>
        <row r="1042">
          <cell r="A1042" t="e">
            <v>#N/A</v>
          </cell>
        </row>
        <row r="1043">
          <cell r="A1043" t="e">
            <v>#N/A</v>
          </cell>
        </row>
        <row r="1044">
          <cell r="A1044" t="e">
            <v>#N/A</v>
          </cell>
        </row>
        <row r="1045">
          <cell r="A1045" t="e">
            <v>#N/A</v>
          </cell>
        </row>
        <row r="1046">
          <cell r="A1046" t="e">
            <v>#N/A</v>
          </cell>
        </row>
        <row r="1047">
          <cell r="A1047" t="e">
            <v>#N/A</v>
          </cell>
        </row>
        <row r="1048">
          <cell r="A1048" t="e">
            <v>#N/A</v>
          </cell>
        </row>
        <row r="1049">
          <cell r="A1049" t="e">
            <v>#N/A</v>
          </cell>
        </row>
        <row r="1050">
          <cell r="A1050" t="e">
            <v>#N/A</v>
          </cell>
        </row>
        <row r="1051">
          <cell r="A1051" t="e">
            <v>#N/A</v>
          </cell>
        </row>
        <row r="1052">
          <cell r="A1052" t="e">
            <v>#N/A</v>
          </cell>
        </row>
        <row r="1053">
          <cell r="A1053" t="e">
            <v>#N/A</v>
          </cell>
        </row>
        <row r="1054">
          <cell r="A1054" t="e">
            <v>#N/A</v>
          </cell>
        </row>
        <row r="1055">
          <cell r="A1055" t="e">
            <v>#N/A</v>
          </cell>
        </row>
        <row r="1056">
          <cell r="A1056" t="e">
            <v>#N/A</v>
          </cell>
        </row>
        <row r="1057">
          <cell r="A1057" t="e">
            <v>#N/A</v>
          </cell>
        </row>
        <row r="1058">
          <cell r="A1058" t="e">
            <v>#N/A</v>
          </cell>
        </row>
        <row r="1059">
          <cell r="A1059" t="e">
            <v>#N/A</v>
          </cell>
        </row>
        <row r="1060">
          <cell r="A1060" t="e">
            <v>#N/A</v>
          </cell>
        </row>
        <row r="1061">
          <cell r="A1061" t="e">
            <v>#N/A</v>
          </cell>
        </row>
        <row r="1062">
          <cell r="A1062" t="e">
            <v>#N/A</v>
          </cell>
        </row>
        <row r="1063">
          <cell r="A1063" t="e">
            <v>#N/A</v>
          </cell>
        </row>
        <row r="1064">
          <cell r="A1064" t="e">
            <v>#N/A</v>
          </cell>
        </row>
        <row r="1065">
          <cell r="A1065" t="e">
            <v>#N/A</v>
          </cell>
        </row>
        <row r="1066">
          <cell r="A1066" t="e">
            <v>#N/A</v>
          </cell>
        </row>
        <row r="1067">
          <cell r="A1067" t="e">
            <v>#N/A</v>
          </cell>
        </row>
        <row r="1068">
          <cell r="A1068" t="e">
            <v>#N/A</v>
          </cell>
        </row>
        <row r="1069">
          <cell r="A1069" t="e">
            <v>#N/A</v>
          </cell>
        </row>
        <row r="1070">
          <cell r="A1070" t="e">
            <v>#N/A</v>
          </cell>
        </row>
        <row r="1071">
          <cell r="A1071" t="e">
            <v>#N/A</v>
          </cell>
        </row>
        <row r="1072">
          <cell r="A1072" t="e">
            <v>#N/A</v>
          </cell>
        </row>
        <row r="1073">
          <cell r="A1073" t="e">
            <v>#N/A</v>
          </cell>
        </row>
        <row r="1074">
          <cell r="A1074" t="e">
            <v>#N/A</v>
          </cell>
        </row>
        <row r="1075">
          <cell r="A1075" t="e">
            <v>#N/A</v>
          </cell>
        </row>
        <row r="1076">
          <cell r="A1076" t="e">
            <v>#N/A</v>
          </cell>
        </row>
        <row r="1077">
          <cell r="A1077" t="e">
            <v>#N/A</v>
          </cell>
        </row>
        <row r="1078">
          <cell r="A1078" t="e">
            <v>#N/A</v>
          </cell>
        </row>
        <row r="1079">
          <cell r="A1079" t="e">
            <v>#N/A</v>
          </cell>
        </row>
        <row r="1080">
          <cell r="A1080" t="e">
            <v>#N/A</v>
          </cell>
        </row>
        <row r="1081">
          <cell r="A1081" t="e">
            <v>#N/A</v>
          </cell>
        </row>
        <row r="1082">
          <cell r="A1082" t="e">
            <v>#N/A</v>
          </cell>
        </row>
        <row r="1083">
          <cell r="A1083" t="e">
            <v>#N/A</v>
          </cell>
        </row>
        <row r="1084">
          <cell r="A1084" t="e">
            <v>#N/A</v>
          </cell>
        </row>
        <row r="1085">
          <cell r="A1085" t="e">
            <v>#N/A</v>
          </cell>
        </row>
        <row r="1086">
          <cell r="A1086" t="e">
            <v>#N/A</v>
          </cell>
        </row>
        <row r="1087">
          <cell r="A1087" t="e">
            <v>#N/A</v>
          </cell>
        </row>
        <row r="1088">
          <cell r="A1088" t="e">
            <v>#N/A</v>
          </cell>
        </row>
        <row r="1089">
          <cell r="A1089" t="e">
            <v>#N/A</v>
          </cell>
        </row>
        <row r="1090">
          <cell r="A1090" t="e">
            <v>#N/A</v>
          </cell>
        </row>
        <row r="1091">
          <cell r="A1091" t="e">
            <v>#N/A</v>
          </cell>
        </row>
        <row r="1092">
          <cell r="A1092" t="e">
            <v>#N/A</v>
          </cell>
        </row>
        <row r="1093">
          <cell r="A1093" t="e">
            <v>#N/A</v>
          </cell>
        </row>
        <row r="1094">
          <cell r="A1094" t="e">
            <v>#N/A</v>
          </cell>
        </row>
        <row r="1095">
          <cell r="A1095" t="e">
            <v>#N/A</v>
          </cell>
        </row>
        <row r="1096">
          <cell r="A1096" t="e">
            <v>#N/A</v>
          </cell>
        </row>
        <row r="1097">
          <cell r="A1097" t="e">
            <v>#N/A</v>
          </cell>
        </row>
        <row r="1098">
          <cell r="A1098" t="e">
            <v>#N/A</v>
          </cell>
        </row>
        <row r="1099">
          <cell r="A1099" t="e">
            <v>#N/A</v>
          </cell>
        </row>
        <row r="1100">
          <cell r="A1100" t="e">
            <v>#N/A</v>
          </cell>
        </row>
        <row r="1101">
          <cell r="A1101" t="e">
            <v>#N/A</v>
          </cell>
        </row>
        <row r="1102">
          <cell r="A1102" t="e">
            <v>#N/A</v>
          </cell>
        </row>
        <row r="1103">
          <cell r="A1103" t="e">
            <v>#N/A</v>
          </cell>
        </row>
        <row r="1104">
          <cell r="A1104" t="e">
            <v>#N/A</v>
          </cell>
        </row>
        <row r="1105">
          <cell r="A1105" t="e">
            <v>#N/A</v>
          </cell>
        </row>
        <row r="1106">
          <cell r="A1106" t="e">
            <v>#N/A</v>
          </cell>
        </row>
        <row r="1107">
          <cell r="A1107" t="e">
            <v>#N/A</v>
          </cell>
        </row>
        <row r="1108">
          <cell r="A1108" t="e">
            <v>#N/A</v>
          </cell>
        </row>
        <row r="1109">
          <cell r="A1109" t="e">
            <v>#N/A</v>
          </cell>
        </row>
        <row r="1110">
          <cell r="A1110" t="e">
            <v>#N/A</v>
          </cell>
        </row>
        <row r="1111">
          <cell r="A1111" t="e">
            <v>#N/A</v>
          </cell>
        </row>
        <row r="1112">
          <cell r="A1112" t="e">
            <v>#N/A</v>
          </cell>
        </row>
        <row r="1113">
          <cell r="A1113" t="e">
            <v>#N/A</v>
          </cell>
        </row>
        <row r="1114">
          <cell r="A1114" t="e">
            <v>#N/A</v>
          </cell>
        </row>
        <row r="1115">
          <cell r="A1115" t="e">
            <v>#N/A</v>
          </cell>
        </row>
        <row r="1116">
          <cell r="A1116" t="e">
            <v>#N/A</v>
          </cell>
        </row>
        <row r="1117">
          <cell r="A1117" t="e">
            <v>#N/A</v>
          </cell>
        </row>
        <row r="1118">
          <cell r="A1118" t="e">
            <v>#N/A</v>
          </cell>
        </row>
        <row r="1119">
          <cell r="A1119" t="e">
            <v>#N/A</v>
          </cell>
        </row>
        <row r="1120">
          <cell r="A1120" t="e">
            <v>#N/A</v>
          </cell>
        </row>
        <row r="1121">
          <cell r="A1121" t="e">
            <v>#N/A</v>
          </cell>
        </row>
        <row r="1122">
          <cell r="A1122" t="e">
            <v>#N/A</v>
          </cell>
        </row>
        <row r="1123">
          <cell r="A1123" t="e">
            <v>#N/A</v>
          </cell>
        </row>
        <row r="1124">
          <cell r="A1124" t="e">
            <v>#N/A</v>
          </cell>
        </row>
        <row r="1125">
          <cell r="A1125" t="e">
            <v>#N/A</v>
          </cell>
        </row>
        <row r="1126">
          <cell r="A1126" t="e">
            <v>#N/A</v>
          </cell>
        </row>
        <row r="1127">
          <cell r="A1127" t="e">
            <v>#N/A</v>
          </cell>
        </row>
        <row r="1128">
          <cell r="A1128" t="e">
            <v>#N/A</v>
          </cell>
        </row>
        <row r="1129">
          <cell r="A1129" t="e">
            <v>#N/A</v>
          </cell>
        </row>
        <row r="1130">
          <cell r="A1130" t="e">
            <v>#N/A</v>
          </cell>
        </row>
        <row r="1131">
          <cell r="A1131" t="e">
            <v>#N/A</v>
          </cell>
        </row>
        <row r="1132">
          <cell r="A1132" t="e">
            <v>#N/A</v>
          </cell>
        </row>
        <row r="1133">
          <cell r="A1133" t="e">
            <v>#N/A</v>
          </cell>
        </row>
        <row r="1134">
          <cell r="A1134" t="e">
            <v>#N/A</v>
          </cell>
        </row>
        <row r="1135">
          <cell r="A1135" t="e">
            <v>#N/A</v>
          </cell>
        </row>
        <row r="1136">
          <cell r="A1136" t="e">
            <v>#N/A</v>
          </cell>
        </row>
        <row r="1137">
          <cell r="A1137" t="e">
            <v>#N/A</v>
          </cell>
        </row>
        <row r="1138">
          <cell r="A1138" t="e">
            <v>#N/A</v>
          </cell>
        </row>
        <row r="1139">
          <cell r="A1139" t="e">
            <v>#N/A</v>
          </cell>
        </row>
        <row r="1140">
          <cell r="A1140" t="e">
            <v>#N/A</v>
          </cell>
        </row>
        <row r="1141">
          <cell r="A1141" t="e">
            <v>#N/A</v>
          </cell>
        </row>
        <row r="1142">
          <cell r="A1142" t="e">
            <v>#N/A</v>
          </cell>
        </row>
        <row r="1143">
          <cell r="A1143" t="e">
            <v>#N/A</v>
          </cell>
        </row>
        <row r="1144">
          <cell r="A1144" t="e">
            <v>#N/A</v>
          </cell>
        </row>
        <row r="1145">
          <cell r="A1145" t="e">
            <v>#N/A</v>
          </cell>
        </row>
        <row r="1146">
          <cell r="A1146" t="e">
            <v>#N/A</v>
          </cell>
        </row>
        <row r="1147">
          <cell r="A1147" t="e">
            <v>#N/A</v>
          </cell>
        </row>
        <row r="1148">
          <cell r="A1148" t="e">
            <v>#N/A</v>
          </cell>
        </row>
        <row r="1149">
          <cell r="A1149" t="e">
            <v>#N/A</v>
          </cell>
        </row>
        <row r="1150">
          <cell r="A1150" t="e">
            <v>#N/A</v>
          </cell>
        </row>
        <row r="1151">
          <cell r="A1151" t="e">
            <v>#N/A</v>
          </cell>
        </row>
        <row r="1152">
          <cell r="A1152" t="e">
            <v>#N/A</v>
          </cell>
        </row>
        <row r="1153">
          <cell r="A1153" t="e">
            <v>#N/A</v>
          </cell>
        </row>
        <row r="1154">
          <cell r="A1154" t="e">
            <v>#N/A</v>
          </cell>
        </row>
        <row r="1155">
          <cell r="A1155" t="e">
            <v>#N/A</v>
          </cell>
        </row>
        <row r="1156">
          <cell r="A1156" t="e">
            <v>#N/A</v>
          </cell>
        </row>
        <row r="1157">
          <cell r="A1157" t="e">
            <v>#N/A</v>
          </cell>
        </row>
        <row r="1158">
          <cell r="A1158" t="e">
            <v>#N/A</v>
          </cell>
        </row>
        <row r="1159">
          <cell r="A1159" t="e">
            <v>#N/A</v>
          </cell>
        </row>
        <row r="1160">
          <cell r="A1160" t="e">
            <v>#N/A</v>
          </cell>
        </row>
        <row r="1161">
          <cell r="A1161" t="e">
            <v>#N/A</v>
          </cell>
        </row>
        <row r="1162">
          <cell r="A1162" t="e">
            <v>#N/A</v>
          </cell>
        </row>
        <row r="1163">
          <cell r="A1163" t="e">
            <v>#N/A</v>
          </cell>
        </row>
        <row r="1164">
          <cell r="A1164" t="e">
            <v>#N/A</v>
          </cell>
        </row>
        <row r="1165">
          <cell r="A1165" t="e">
            <v>#N/A</v>
          </cell>
        </row>
        <row r="1166">
          <cell r="A1166" t="e">
            <v>#N/A</v>
          </cell>
        </row>
        <row r="1167">
          <cell r="A1167" t="e">
            <v>#N/A</v>
          </cell>
        </row>
        <row r="1168">
          <cell r="A1168" t="e">
            <v>#N/A</v>
          </cell>
        </row>
        <row r="1169">
          <cell r="A1169" t="e">
            <v>#N/A</v>
          </cell>
        </row>
        <row r="1170">
          <cell r="A1170" t="e">
            <v>#N/A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X16"/>
  <sheetViews>
    <sheetView tabSelected="1" workbookViewId="0">
      <selection activeCell="AK18" sqref="AK18"/>
    </sheetView>
  </sheetViews>
  <sheetFormatPr defaultRowHeight="15" x14ac:dyDescent="0.25"/>
  <cols>
    <col min="1" max="1" width="11" bestFit="1" customWidth="1"/>
    <col min="2" max="2" width="18.42578125" customWidth="1"/>
    <col min="3" max="3" width="15" bestFit="1" customWidth="1"/>
    <col min="4" max="4" width="28.5703125" bestFit="1" customWidth="1"/>
    <col min="5" max="5" width="27.5703125" bestFit="1" customWidth="1"/>
    <col min="6" max="6" width="14.85546875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30" bestFit="1" customWidth="1"/>
    <col min="14" max="14" width="16.28515625" bestFit="1" customWidth="1"/>
    <col min="15" max="15" width="26.42578125" bestFit="1" customWidth="1"/>
    <col min="16" max="16" width="15.5703125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bestFit="1" customWidth="1"/>
    <col min="29" max="29" width="22.7109375" bestFit="1" customWidth="1"/>
    <col min="30" max="30" width="28.5703125" bestFit="1" customWidth="1"/>
    <col min="31" max="31" width="32.5703125" bestFit="1" customWidth="1"/>
    <col min="32" max="32" width="30.28515625" bestFit="1" customWidth="1"/>
    <col min="33" max="34" width="50" bestFit="1" customWidth="1"/>
    <col min="35" max="35" width="26.85546875" bestFit="1" customWidth="1"/>
    <col min="36" max="36" width="15.140625" bestFit="1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6.7109375" bestFit="1" customWidth="1"/>
    <col min="45" max="45" width="14" bestFit="1" customWidth="1"/>
    <col min="46" max="46" width="18.42578125" bestFit="1" customWidth="1"/>
    <col min="47" max="47" width="161.5703125" hidden="1" customWidth="1"/>
    <col min="48" max="48" width="14.42578125" bestFit="1" customWidth="1"/>
    <col min="49" max="49" width="3" bestFit="1" customWidth="1"/>
    <col min="50" max="50" width="166" bestFit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315</v>
      </c>
      <c r="Q3" s="4" t="s">
        <v>15</v>
      </c>
      <c r="R3" s="5" t="s">
        <v>316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28</v>
      </c>
      <c r="AF3" s="5" t="s">
        <v>29</v>
      </c>
      <c r="AG3" s="5" t="s">
        <v>317</v>
      </c>
      <c r="AH3" s="5" t="s">
        <v>318</v>
      </c>
      <c r="AI3" s="5" t="s">
        <v>38</v>
      </c>
      <c r="AJ3" s="5" t="s">
        <v>39</v>
      </c>
      <c r="AK3" s="5" t="s">
        <v>40</v>
      </c>
      <c r="AL3" s="5" t="s">
        <v>41</v>
      </c>
      <c r="AM3" s="5" t="s">
        <v>42</v>
      </c>
      <c r="AN3" s="5" t="s">
        <v>43</v>
      </c>
      <c r="AO3" s="5" t="s">
        <v>44</v>
      </c>
      <c r="AP3" s="5" t="s">
        <v>45</v>
      </c>
      <c r="AQ3" s="5" t="s">
        <v>46</v>
      </c>
      <c r="AR3" s="5" t="s">
        <v>47</v>
      </c>
      <c r="AS3" s="5" t="s">
        <v>48</v>
      </c>
    </row>
    <row r="4" spans="1:50" x14ac:dyDescent="0.25">
      <c r="A4" s="6" t="s">
        <v>49</v>
      </c>
      <c r="B4" s="7" t="s">
        <v>319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8" t="s">
        <v>59</v>
      </c>
      <c r="P4" s="9" t="s">
        <v>320</v>
      </c>
      <c r="Q4" s="10"/>
      <c r="R4" s="5" t="s">
        <v>321</v>
      </c>
      <c r="S4" s="5" t="s">
        <v>60</v>
      </c>
      <c r="T4" s="5" t="s">
        <v>61</v>
      </c>
      <c r="U4" s="5" t="s">
        <v>62</v>
      </c>
      <c r="V4" s="5" t="s">
        <v>63</v>
      </c>
      <c r="W4" s="5" t="s">
        <v>64</v>
      </c>
      <c r="X4" s="5" t="s">
        <v>65</v>
      </c>
      <c r="Y4" s="5" t="s">
        <v>66</v>
      </c>
      <c r="Z4" s="5" t="s">
        <v>67</v>
      </c>
      <c r="AA4" s="5" t="s">
        <v>68</v>
      </c>
      <c r="AB4" s="5" t="s">
        <v>69</v>
      </c>
      <c r="AC4" s="5" t="s">
        <v>26</v>
      </c>
      <c r="AD4" s="5" t="s">
        <v>70</v>
      </c>
      <c r="AE4" s="5" t="s">
        <v>71</v>
      </c>
      <c r="AF4" s="5" t="s">
        <v>29</v>
      </c>
      <c r="AG4" s="5" t="s">
        <v>322</v>
      </c>
      <c r="AH4" s="5" t="s">
        <v>323</v>
      </c>
      <c r="AI4" s="5" t="s">
        <v>38</v>
      </c>
      <c r="AJ4" s="5" t="s">
        <v>80</v>
      </c>
      <c r="AK4" s="5" t="s">
        <v>81</v>
      </c>
      <c r="AL4" s="5" t="s">
        <v>82</v>
      </c>
      <c r="AM4" s="5" t="s">
        <v>42</v>
      </c>
      <c r="AN4" s="5" t="s">
        <v>43</v>
      </c>
      <c r="AO4" s="5" t="s">
        <v>44</v>
      </c>
      <c r="AP4" s="5" t="s">
        <v>45</v>
      </c>
      <c r="AQ4" s="5" t="s">
        <v>83</v>
      </c>
      <c r="AR4" s="5" t="s">
        <v>84</v>
      </c>
      <c r="AS4" s="5" t="s">
        <v>48</v>
      </c>
    </row>
    <row r="5" spans="1:50" x14ac:dyDescent="0.25">
      <c r="C5" t="s">
        <v>333</v>
      </c>
      <c r="D5">
        <v>99999</v>
      </c>
      <c r="K5" t="s">
        <v>340</v>
      </c>
      <c r="N5" t="s">
        <v>334</v>
      </c>
      <c r="O5" t="s">
        <v>335</v>
      </c>
      <c r="S5">
        <v>124.9</v>
      </c>
      <c r="V5">
        <v>10</v>
      </c>
      <c r="W5">
        <v>0</v>
      </c>
      <c r="X5">
        <v>0</v>
      </c>
      <c r="Z5">
        <v>0</v>
      </c>
      <c r="AA5">
        <v>114.9</v>
      </c>
      <c r="AB5">
        <v>0</v>
      </c>
      <c r="AC5" t="s">
        <v>339</v>
      </c>
      <c r="AG5" t="s">
        <v>336</v>
      </c>
      <c r="AH5" t="s">
        <v>336</v>
      </c>
      <c r="AI5" t="s">
        <v>337</v>
      </c>
      <c r="AJ5">
        <v>99999</v>
      </c>
      <c r="AK5">
        <v>99999</v>
      </c>
      <c r="AL5">
        <v>480</v>
      </c>
      <c r="AM5" t="b">
        <v>1</v>
      </c>
      <c r="AN5" t="b">
        <v>1</v>
      </c>
      <c r="AQ5" t="s">
        <v>338</v>
      </c>
      <c r="AS5">
        <v>12</v>
      </c>
      <c r="AU5" t="s">
        <v>341</v>
      </c>
      <c r="AW5">
        <v>12</v>
      </c>
      <c r="AX5" t="s">
        <v>327</v>
      </c>
    </row>
    <row r="6" spans="1:50" x14ac:dyDescent="0.25">
      <c r="C6" t="s">
        <v>333</v>
      </c>
      <c r="D6">
        <v>99999</v>
      </c>
      <c r="K6" t="s">
        <v>340</v>
      </c>
      <c r="N6" t="s">
        <v>334</v>
      </c>
      <c r="O6" t="s">
        <v>335</v>
      </c>
      <c r="S6">
        <v>144.9</v>
      </c>
      <c r="V6">
        <v>10</v>
      </c>
      <c r="W6">
        <v>0</v>
      </c>
      <c r="X6">
        <v>0</v>
      </c>
      <c r="Z6">
        <v>0</v>
      </c>
      <c r="AA6">
        <v>134.9</v>
      </c>
      <c r="AB6">
        <v>0</v>
      </c>
      <c r="AC6" t="s">
        <v>346</v>
      </c>
      <c r="AG6" t="s">
        <v>344</v>
      </c>
      <c r="AH6" t="s">
        <v>344</v>
      </c>
      <c r="AI6" t="s">
        <v>345</v>
      </c>
      <c r="AJ6">
        <v>99999</v>
      </c>
      <c r="AK6">
        <v>99999</v>
      </c>
      <c r="AL6">
        <v>480</v>
      </c>
      <c r="AM6" t="b">
        <v>1</v>
      </c>
      <c r="AN6" t="b">
        <v>1</v>
      </c>
      <c r="AQ6" t="s">
        <v>338</v>
      </c>
      <c r="AS6">
        <v>12</v>
      </c>
      <c r="AU6" t="s">
        <v>348</v>
      </c>
      <c r="AW6">
        <v>12</v>
      </c>
      <c r="AX6" t="s">
        <v>331</v>
      </c>
    </row>
    <row r="7" spans="1:50" x14ac:dyDescent="0.25">
      <c r="C7" t="s">
        <v>333</v>
      </c>
      <c r="D7">
        <v>99999</v>
      </c>
      <c r="K7" t="s">
        <v>340</v>
      </c>
      <c r="N7" t="s">
        <v>334</v>
      </c>
      <c r="O7" t="s">
        <v>335</v>
      </c>
      <c r="S7">
        <v>169.9</v>
      </c>
      <c r="V7">
        <v>10</v>
      </c>
      <c r="W7">
        <v>0</v>
      </c>
      <c r="X7">
        <v>0</v>
      </c>
      <c r="Z7">
        <v>0</v>
      </c>
      <c r="AA7">
        <v>159.9</v>
      </c>
      <c r="AB7">
        <v>0</v>
      </c>
      <c r="AC7" t="s">
        <v>352</v>
      </c>
      <c r="AG7" t="s">
        <v>350</v>
      </c>
      <c r="AH7" t="s">
        <v>350</v>
      </c>
      <c r="AI7" t="s">
        <v>351</v>
      </c>
      <c r="AJ7">
        <v>99999</v>
      </c>
      <c r="AK7">
        <v>99999</v>
      </c>
      <c r="AL7">
        <v>480</v>
      </c>
      <c r="AM7" t="b">
        <v>1</v>
      </c>
      <c r="AN7" t="b">
        <v>1</v>
      </c>
      <c r="AQ7" t="s">
        <v>338</v>
      </c>
      <c r="AS7">
        <v>12</v>
      </c>
      <c r="AU7" t="s">
        <v>354</v>
      </c>
      <c r="AW7">
        <v>12</v>
      </c>
      <c r="AX7" t="s">
        <v>325</v>
      </c>
    </row>
    <row r="8" spans="1:50" x14ac:dyDescent="0.25">
      <c r="C8" t="s">
        <v>333</v>
      </c>
      <c r="D8">
        <v>99999</v>
      </c>
      <c r="K8" t="s">
        <v>340</v>
      </c>
      <c r="N8" t="s">
        <v>334</v>
      </c>
      <c r="O8" t="s">
        <v>335</v>
      </c>
      <c r="S8">
        <v>169.9</v>
      </c>
      <c r="V8">
        <v>10</v>
      </c>
      <c r="W8">
        <v>0</v>
      </c>
      <c r="X8">
        <v>0</v>
      </c>
      <c r="Z8">
        <v>0</v>
      </c>
      <c r="AA8">
        <v>159.9</v>
      </c>
      <c r="AB8">
        <v>0</v>
      </c>
      <c r="AC8" t="s">
        <v>352</v>
      </c>
      <c r="AG8" t="s">
        <v>356</v>
      </c>
      <c r="AH8" t="s">
        <v>356</v>
      </c>
      <c r="AI8" t="s">
        <v>351</v>
      </c>
      <c r="AJ8">
        <v>99999</v>
      </c>
      <c r="AK8">
        <v>99999</v>
      </c>
      <c r="AL8">
        <v>480</v>
      </c>
      <c r="AM8" t="b">
        <v>1</v>
      </c>
      <c r="AN8" t="b">
        <v>1</v>
      </c>
      <c r="AQ8" t="s">
        <v>338</v>
      </c>
      <c r="AS8">
        <v>12</v>
      </c>
      <c r="AU8" t="s">
        <v>358</v>
      </c>
      <c r="AW8">
        <v>12</v>
      </c>
      <c r="AX8" t="s">
        <v>329</v>
      </c>
    </row>
    <row r="9" spans="1:50" x14ac:dyDescent="0.25">
      <c r="C9" t="s">
        <v>333</v>
      </c>
      <c r="D9">
        <v>99999</v>
      </c>
      <c r="K9" t="s">
        <v>342</v>
      </c>
      <c r="N9" t="s">
        <v>334</v>
      </c>
      <c r="O9" t="s">
        <v>335</v>
      </c>
      <c r="S9">
        <v>154.9</v>
      </c>
      <c r="V9">
        <v>10</v>
      </c>
      <c r="W9">
        <v>0</v>
      </c>
      <c r="X9">
        <v>0</v>
      </c>
      <c r="Z9">
        <v>0</v>
      </c>
      <c r="AA9">
        <v>144.9</v>
      </c>
      <c r="AB9">
        <v>0</v>
      </c>
      <c r="AC9" t="s">
        <v>339</v>
      </c>
      <c r="AG9" t="s">
        <v>336</v>
      </c>
      <c r="AH9" t="s">
        <v>336</v>
      </c>
      <c r="AI9" t="s">
        <v>337</v>
      </c>
      <c r="AJ9">
        <v>99999</v>
      </c>
      <c r="AK9">
        <v>99999</v>
      </c>
      <c r="AL9">
        <v>480</v>
      </c>
      <c r="AM9" t="b">
        <v>1</v>
      </c>
      <c r="AN9" t="b">
        <v>1</v>
      </c>
      <c r="AQ9" t="s">
        <v>338</v>
      </c>
      <c r="AS9">
        <v>12</v>
      </c>
      <c r="AU9" t="s">
        <v>343</v>
      </c>
      <c r="AW9">
        <v>12</v>
      </c>
      <c r="AX9" t="s">
        <v>326</v>
      </c>
    </row>
    <row r="10" spans="1:50" x14ac:dyDescent="0.25">
      <c r="C10" t="s">
        <v>333</v>
      </c>
      <c r="D10">
        <v>99999</v>
      </c>
      <c r="K10" t="s">
        <v>342</v>
      </c>
      <c r="N10" t="s">
        <v>334</v>
      </c>
      <c r="O10" t="s">
        <v>335</v>
      </c>
      <c r="S10">
        <v>174.9</v>
      </c>
      <c r="V10">
        <v>10</v>
      </c>
      <c r="W10">
        <v>0</v>
      </c>
      <c r="X10">
        <v>0</v>
      </c>
      <c r="Z10">
        <v>0</v>
      </c>
      <c r="AA10">
        <v>164.9</v>
      </c>
      <c r="AB10">
        <v>0</v>
      </c>
      <c r="AC10" t="s">
        <v>346</v>
      </c>
      <c r="AG10" t="s">
        <v>344</v>
      </c>
      <c r="AH10" t="s">
        <v>344</v>
      </c>
      <c r="AI10" t="s">
        <v>345</v>
      </c>
      <c r="AJ10">
        <v>99999</v>
      </c>
      <c r="AK10">
        <v>99999</v>
      </c>
      <c r="AL10">
        <v>480</v>
      </c>
      <c r="AM10" t="b">
        <v>1</v>
      </c>
      <c r="AN10" t="b">
        <v>1</v>
      </c>
      <c r="AQ10" t="s">
        <v>338</v>
      </c>
      <c r="AS10">
        <v>12</v>
      </c>
      <c r="AU10" t="s">
        <v>349</v>
      </c>
      <c r="AW10">
        <v>12</v>
      </c>
      <c r="AX10" t="s">
        <v>330</v>
      </c>
    </row>
    <row r="11" spans="1:50" x14ac:dyDescent="0.25">
      <c r="C11" t="s">
        <v>333</v>
      </c>
      <c r="D11">
        <v>99999</v>
      </c>
      <c r="K11" t="s">
        <v>342</v>
      </c>
      <c r="N11" t="s">
        <v>334</v>
      </c>
      <c r="O11" t="s">
        <v>335</v>
      </c>
      <c r="S11">
        <v>199.9</v>
      </c>
      <c r="V11">
        <v>10</v>
      </c>
      <c r="W11">
        <v>0</v>
      </c>
      <c r="X11">
        <v>0</v>
      </c>
      <c r="Z11">
        <v>0</v>
      </c>
      <c r="AA11">
        <v>189.9</v>
      </c>
      <c r="AB11">
        <v>0</v>
      </c>
      <c r="AC11" t="s">
        <v>352</v>
      </c>
      <c r="AG11" t="s">
        <v>350</v>
      </c>
      <c r="AH11" t="s">
        <v>350</v>
      </c>
      <c r="AI11" t="s">
        <v>351</v>
      </c>
      <c r="AJ11">
        <v>99999</v>
      </c>
      <c r="AK11">
        <v>99999</v>
      </c>
      <c r="AL11">
        <v>480</v>
      </c>
      <c r="AM11" t="b">
        <v>1</v>
      </c>
      <c r="AN11" t="b">
        <v>1</v>
      </c>
      <c r="AQ11" t="s">
        <v>338</v>
      </c>
      <c r="AS11">
        <v>12</v>
      </c>
      <c r="AU11" t="s">
        <v>355</v>
      </c>
      <c r="AW11">
        <v>12</v>
      </c>
      <c r="AX11" t="s">
        <v>324</v>
      </c>
    </row>
    <row r="12" spans="1:50" x14ac:dyDescent="0.25">
      <c r="C12" t="s">
        <v>333</v>
      </c>
      <c r="D12">
        <v>99999</v>
      </c>
      <c r="K12" t="s">
        <v>342</v>
      </c>
      <c r="N12" t="s">
        <v>334</v>
      </c>
      <c r="O12" t="s">
        <v>335</v>
      </c>
      <c r="S12">
        <v>199.9</v>
      </c>
      <c r="V12">
        <v>10</v>
      </c>
      <c r="W12">
        <v>0</v>
      </c>
      <c r="X12">
        <v>0</v>
      </c>
      <c r="Z12">
        <v>0</v>
      </c>
      <c r="AA12">
        <v>189.9</v>
      </c>
      <c r="AB12">
        <v>0</v>
      </c>
      <c r="AC12" t="s">
        <v>352</v>
      </c>
      <c r="AG12" t="s">
        <v>356</v>
      </c>
      <c r="AH12" t="s">
        <v>356</v>
      </c>
      <c r="AI12" t="s">
        <v>351</v>
      </c>
      <c r="AJ12">
        <v>99999</v>
      </c>
      <c r="AK12">
        <v>99999</v>
      </c>
      <c r="AL12">
        <v>480</v>
      </c>
      <c r="AM12" t="b">
        <v>1</v>
      </c>
      <c r="AN12" t="b">
        <v>1</v>
      </c>
      <c r="AQ12" t="s">
        <v>338</v>
      </c>
      <c r="AS12">
        <v>12</v>
      </c>
      <c r="AU12" t="s">
        <v>359</v>
      </c>
      <c r="AW12">
        <v>12</v>
      </c>
      <c r="AX12" t="s">
        <v>328</v>
      </c>
    </row>
    <row r="13" spans="1:50" x14ac:dyDescent="0.25">
      <c r="C13" t="s">
        <v>333</v>
      </c>
      <c r="D13">
        <v>99999</v>
      </c>
      <c r="K13" t="s">
        <v>332</v>
      </c>
      <c r="N13" t="s">
        <v>334</v>
      </c>
      <c r="O13" t="s">
        <v>335</v>
      </c>
      <c r="S13">
        <v>119.9</v>
      </c>
      <c r="V13">
        <v>10</v>
      </c>
      <c r="W13">
        <v>0</v>
      </c>
      <c r="X13">
        <v>0</v>
      </c>
      <c r="Z13">
        <v>0</v>
      </c>
      <c r="AA13">
        <v>109.9</v>
      </c>
      <c r="AB13">
        <v>0</v>
      </c>
      <c r="AC13" t="s">
        <v>346</v>
      </c>
      <c r="AG13" t="s">
        <v>344</v>
      </c>
      <c r="AH13" t="s">
        <v>344</v>
      </c>
      <c r="AI13" t="s">
        <v>345</v>
      </c>
      <c r="AJ13">
        <v>99999</v>
      </c>
      <c r="AK13">
        <v>99999</v>
      </c>
      <c r="AL13">
        <v>480</v>
      </c>
      <c r="AM13" t="b">
        <v>1</v>
      </c>
      <c r="AN13" t="b">
        <v>1</v>
      </c>
      <c r="AQ13" t="s">
        <v>338</v>
      </c>
      <c r="AS13">
        <v>12</v>
      </c>
      <c r="AU13" t="s">
        <v>347</v>
      </c>
      <c r="AW13">
        <v>12</v>
      </c>
    </row>
    <row r="14" spans="1:50" x14ac:dyDescent="0.25">
      <c r="C14" t="s">
        <v>333</v>
      </c>
      <c r="D14">
        <v>99999</v>
      </c>
      <c r="K14" t="s">
        <v>332</v>
      </c>
      <c r="N14" t="s">
        <v>334</v>
      </c>
      <c r="O14" t="s">
        <v>335</v>
      </c>
      <c r="S14">
        <v>144.9</v>
      </c>
      <c r="V14">
        <v>10</v>
      </c>
      <c r="W14">
        <v>0</v>
      </c>
      <c r="X14">
        <v>0</v>
      </c>
      <c r="Z14">
        <v>0</v>
      </c>
      <c r="AA14">
        <v>134.9</v>
      </c>
      <c r="AB14">
        <v>0</v>
      </c>
      <c r="AC14" t="s">
        <v>352</v>
      </c>
      <c r="AG14" t="s">
        <v>350</v>
      </c>
      <c r="AH14" t="s">
        <v>350</v>
      </c>
      <c r="AI14" t="s">
        <v>351</v>
      </c>
      <c r="AJ14">
        <v>99999</v>
      </c>
      <c r="AK14">
        <v>99999</v>
      </c>
      <c r="AL14">
        <v>480</v>
      </c>
      <c r="AM14" t="b">
        <v>1</v>
      </c>
      <c r="AN14" t="b">
        <v>1</v>
      </c>
      <c r="AQ14" t="s">
        <v>338</v>
      </c>
      <c r="AS14">
        <v>12</v>
      </c>
      <c r="AU14" t="s">
        <v>353</v>
      </c>
    </row>
    <row r="15" spans="1:50" x14ac:dyDescent="0.25">
      <c r="C15" t="s">
        <v>333</v>
      </c>
      <c r="D15">
        <v>99999</v>
      </c>
      <c r="K15" t="s">
        <v>332</v>
      </c>
      <c r="N15" t="s">
        <v>334</v>
      </c>
      <c r="O15" t="s">
        <v>335</v>
      </c>
      <c r="S15">
        <v>144.9</v>
      </c>
      <c r="V15">
        <v>10</v>
      </c>
      <c r="W15">
        <v>0</v>
      </c>
      <c r="X15">
        <v>0</v>
      </c>
      <c r="Z15">
        <v>0</v>
      </c>
      <c r="AA15">
        <v>134.9</v>
      </c>
      <c r="AB15">
        <v>0</v>
      </c>
      <c r="AC15" t="s">
        <v>352</v>
      </c>
      <c r="AG15" t="s">
        <v>356</v>
      </c>
      <c r="AH15" t="s">
        <v>356</v>
      </c>
      <c r="AI15" t="s">
        <v>351</v>
      </c>
      <c r="AJ15">
        <v>99999</v>
      </c>
      <c r="AK15">
        <v>99999</v>
      </c>
      <c r="AL15">
        <v>480</v>
      </c>
      <c r="AM15" t="b">
        <v>1</v>
      </c>
      <c r="AN15" t="b">
        <v>1</v>
      </c>
      <c r="AQ15" t="s">
        <v>338</v>
      </c>
      <c r="AS15">
        <v>12</v>
      </c>
      <c r="AU15" t="s">
        <v>357</v>
      </c>
    </row>
    <row r="16" spans="1:50" x14ac:dyDescent="0.25">
      <c r="C16" t="s">
        <v>333</v>
      </c>
      <c r="D16">
        <v>99999</v>
      </c>
      <c r="K16" t="s">
        <v>332</v>
      </c>
      <c r="N16" t="s">
        <v>334</v>
      </c>
      <c r="O16" t="s">
        <v>335</v>
      </c>
      <c r="S16">
        <v>99.9</v>
      </c>
      <c r="V16">
        <v>10</v>
      </c>
      <c r="W16">
        <v>0</v>
      </c>
      <c r="X16">
        <v>0</v>
      </c>
      <c r="Z16">
        <v>0</v>
      </c>
      <c r="AA16">
        <v>89.9</v>
      </c>
      <c r="AB16">
        <v>0</v>
      </c>
      <c r="AC16" t="s">
        <v>339</v>
      </c>
      <c r="AG16" t="s">
        <v>336</v>
      </c>
      <c r="AH16" t="s">
        <v>336</v>
      </c>
      <c r="AI16" t="s">
        <v>337</v>
      </c>
      <c r="AJ16">
        <v>99999</v>
      </c>
      <c r="AK16">
        <v>99999</v>
      </c>
      <c r="AL16">
        <v>480</v>
      </c>
      <c r="AM16" t="b">
        <v>1</v>
      </c>
      <c r="AN16" t="b">
        <v>1</v>
      </c>
      <c r="AQ16" t="s">
        <v>338</v>
      </c>
      <c r="AS16">
        <v>12</v>
      </c>
    </row>
  </sheetData>
  <autoFilter ref="A4:AX280" xr:uid="{00000000-0009-0000-0000-000000000000}"/>
  <sortState ref="A5:AU16">
    <sortCondition ref="AU5"/>
    <sortCondition ref="S5"/>
  </sortState>
  <dataConsolidate link="1"/>
  <dataValidations count="1">
    <dataValidation type="list" showInputMessage="1" error="Please select a valid value" promptTitle="select a value" sqref="Q3:Q4" xr:uid="{B2DE28E6-3936-43B1-8A06-885264BC093F}">
      <formula1>dddddd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2:AX116"/>
  <sheetViews>
    <sheetView topLeftCell="L1" workbookViewId="0">
      <selection activeCell="R8" sqref="R8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16.28515625" customWidth="1"/>
    <col min="15" max="15" width="24.1406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38.140625" customWidth="1"/>
    <col min="34" max="34" width="48.85546875" bestFit="1" customWidth="1"/>
    <col min="35" max="35" width="34.28515625" customWidth="1"/>
    <col min="36" max="36" width="34.42578125" customWidth="1"/>
    <col min="37" max="37" width="34.5703125" customWidth="1"/>
    <col min="38" max="38" width="48.85546875" bestFit="1" customWidth="1"/>
    <col min="39" max="39" width="26.85546875" bestFit="1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1.28515625" bestFit="1" customWidth="1"/>
    <col min="48" max="48" width="14.42578125" customWidth="1"/>
    <col min="49" max="49" width="11.7109375" customWidth="1"/>
    <col min="50" max="50" width="60.140625" hidden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4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5" t="s">
        <v>25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5" t="s">
        <v>45</v>
      </c>
      <c r="AU3" s="5" t="s">
        <v>46</v>
      </c>
      <c r="AV3" s="5" t="s">
        <v>47</v>
      </c>
      <c r="AW3" s="5" t="s">
        <v>48</v>
      </c>
    </row>
    <row r="4" spans="1:50" x14ac:dyDescent="0.25">
      <c r="A4" s="6" t="s">
        <v>49</v>
      </c>
      <c r="B4" s="7" t="s">
        <v>1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9" t="s">
        <v>59</v>
      </c>
      <c r="P4" s="10"/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69</v>
      </c>
      <c r="AA4" s="5" t="s">
        <v>26</v>
      </c>
      <c r="AB4" s="5" t="s">
        <v>70</v>
      </c>
      <c r="AC4" s="5" t="s">
        <v>71</v>
      </c>
      <c r="AD4" s="5" t="s">
        <v>29</v>
      </c>
      <c r="AE4" s="5" t="s">
        <v>72</v>
      </c>
      <c r="AF4" s="5" t="s">
        <v>73</v>
      </c>
      <c r="AG4" s="5" t="s">
        <v>74</v>
      </c>
      <c r="AH4" s="5" t="s">
        <v>75</v>
      </c>
      <c r="AI4" s="5" t="s">
        <v>76</v>
      </c>
      <c r="AJ4" s="5" t="s">
        <v>77</v>
      </c>
      <c r="AK4" s="5" t="s">
        <v>78</v>
      </c>
      <c r="AL4" s="5" t="s">
        <v>79</v>
      </c>
      <c r="AM4" s="5" t="s">
        <v>38</v>
      </c>
      <c r="AN4" s="5" t="s">
        <v>80</v>
      </c>
      <c r="AO4" s="5" t="s">
        <v>81</v>
      </c>
      <c r="AP4" s="5" t="s">
        <v>82</v>
      </c>
      <c r="AQ4" s="5" t="s">
        <v>42</v>
      </c>
      <c r="AR4" s="5" t="s">
        <v>43</v>
      </c>
      <c r="AS4" s="5" t="s">
        <v>44</v>
      </c>
      <c r="AT4" s="5" t="s">
        <v>45</v>
      </c>
      <c r="AU4" s="5" t="s">
        <v>83</v>
      </c>
      <c r="AV4" s="5" t="s">
        <v>84</v>
      </c>
      <c r="AW4" s="5" t="s">
        <v>48</v>
      </c>
    </row>
    <row r="5" spans="1:50" x14ac:dyDescent="0.25">
      <c r="AX5" t="s">
        <v>304</v>
      </c>
    </row>
    <row r="6" spans="1:50" x14ac:dyDescent="0.25">
      <c r="AX6" t="s">
        <v>90</v>
      </c>
    </row>
    <row r="7" spans="1:50" x14ac:dyDescent="0.25">
      <c r="AX7" t="s">
        <v>85</v>
      </c>
    </row>
    <row r="8" spans="1:50" x14ac:dyDescent="0.25">
      <c r="AX8" t="s">
        <v>89</v>
      </c>
    </row>
    <row r="9" spans="1:50" x14ac:dyDescent="0.25">
      <c r="AX9" t="s">
        <v>304</v>
      </c>
    </row>
    <row r="10" spans="1:50" x14ac:dyDescent="0.25">
      <c r="AX10" t="s">
        <v>90</v>
      </c>
    </row>
    <row r="11" spans="1:50" x14ac:dyDescent="0.25">
      <c r="AX11" t="s">
        <v>85</v>
      </c>
    </row>
    <row r="12" spans="1:50" x14ac:dyDescent="0.25">
      <c r="AX12" t="s">
        <v>89</v>
      </c>
    </row>
    <row r="13" spans="1:50" x14ac:dyDescent="0.25">
      <c r="AX13" t="s">
        <v>304</v>
      </c>
    </row>
    <row r="14" spans="1:50" x14ac:dyDescent="0.25">
      <c r="AX14" t="s">
        <v>90</v>
      </c>
    </row>
    <row r="15" spans="1:50" x14ac:dyDescent="0.25">
      <c r="AX15" t="s">
        <v>85</v>
      </c>
    </row>
    <row r="16" spans="1:50" x14ac:dyDescent="0.25">
      <c r="AX16" t="s">
        <v>89</v>
      </c>
    </row>
    <row r="17" spans="50:50" x14ac:dyDescent="0.25">
      <c r="AX17" t="s">
        <v>304</v>
      </c>
    </row>
    <row r="18" spans="50:50" x14ac:dyDescent="0.25">
      <c r="AX18" t="s">
        <v>90</v>
      </c>
    </row>
    <row r="19" spans="50:50" x14ac:dyDescent="0.25">
      <c r="AX19" t="s">
        <v>85</v>
      </c>
    </row>
    <row r="20" spans="50:50" x14ac:dyDescent="0.25">
      <c r="AX20" t="s">
        <v>89</v>
      </c>
    </row>
    <row r="21" spans="50:50" x14ac:dyDescent="0.25">
      <c r="AX21" t="s">
        <v>305</v>
      </c>
    </row>
    <row r="22" spans="50:50" x14ac:dyDescent="0.25">
      <c r="AX22" t="s">
        <v>92</v>
      </c>
    </row>
    <row r="23" spans="50:50" x14ac:dyDescent="0.25">
      <c r="AX23" t="s">
        <v>86</v>
      </c>
    </row>
    <row r="24" spans="50:50" x14ac:dyDescent="0.25">
      <c r="AX24" t="s">
        <v>91</v>
      </c>
    </row>
    <row r="25" spans="50:50" x14ac:dyDescent="0.25">
      <c r="AX25" t="s">
        <v>305</v>
      </c>
    </row>
    <row r="26" spans="50:50" x14ac:dyDescent="0.25">
      <c r="AX26" t="s">
        <v>92</v>
      </c>
    </row>
    <row r="27" spans="50:50" x14ac:dyDescent="0.25">
      <c r="AX27" t="s">
        <v>86</v>
      </c>
    </row>
    <row r="28" spans="50:50" x14ac:dyDescent="0.25">
      <c r="AX28" t="s">
        <v>91</v>
      </c>
    </row>
    <row r="29" spans="50:50" x14ac:dyDescent="0.25">
      <c r="AX29" t="s">
        <v>305</v>
      </c>
    </row>
    <row r="30" spans="50:50" x14ac:dyDescent="0.25">
      <c r="AX30" t="s">
        <v>92</v>
      </c>
    </row>
    <row r="31" spans="50:50" x14ac:dyDescent="0.25">
      <c r="AX31" t="s">
        <v>86</v>
      </c>
    </row>
    <row r="32" spans="50:50" x14ac:dyDescent="0.25">
      <c r="AX32" t="s">
        <v>91</v>
      </c>
    </row>
    <row r="33" spans="50:50" x14ac:dyDescent="0.25">
      <c r="AX33" t="s">
        <v>306</v>
      </c>
    </row>
    <row r="34" spans="50:50" x14ac:dyDescent="0.25">
      <c r="AX34" t="s">
        <v>92</v>
      </c>
    </row>
    <row r="35" spans="50:50" x14ac:dyDescent="0.25">
      <c r="AX35" t="s">
        <v>86</v>
      </c>
    </row>
    <row r="36" spans="50:50" x14ac:dyDescent="0.25">
      <c r="AX36" t="s">
        <v>91</v>
      </c>
    </row>
    <row r="37" spans="50:50" x14ac:dyDescent="0.25">
      <c r="AX37" t="s">
        <v>306</v>
      </c>
    </row>
    <row r="38" spans="50:50" x14ac:dyDescent="0.25">
      <c r="AX38" t="s">
        <v>92</v>
      </c>
    </row>
    <row r="39" spans="50:50" x14ac:dyDescent="0.25">
      <c r="AX39" t="s">
        <v>86</v>
      </c>
    </row>
    <row r="40" spans="50:50" x14ac:dyDescent="0.25">
      <c r="AX40" t="s">
        <v>91</v>
      </c>
    </row>
    <row r="41" spans="50:50" x14ac:dyDescent="0.25">
      <c r="AX41" t="s">
        <v>306</v>
      </c>
    </row>
    <row r="42" spans="50:50" x14ac:dyDescent="0.25">
      <c r="AX42" t="s">
        <v>92</v>
      </c>
    </row>
    <row r="43" spans="50:50" x14ac:dyDescent="0.25">
      <c r="AX43" t="s">
        <v>86</v>
      </c>
    </row>
    <row r="44" spans="50:50" x14ac:dyDescent="0.25">
      <c r="AX44" t="s">
        <v>91</v>
      </c>
    </row>
    <row r="45" spans="50:50" x14ac:dyDescent="0.25">
      <c r="AX45" t="s">
        <v>307</v>
      </c>
    </row>
    <row r="46" spans="50:50" x14ac:dyDescent="0.25">
      <c r="AX46" t="s">
        <v>94</v>
      </c>
    </row>
    <row r="47" spans="50:50" x14ac:dyDescent="0.25">
      <c r="AX47" t="s">
        <v>87</v>
      </c>
    </row>
    <row r="48" spans="50:50" x14ac:dyDescent="0.25">
      <c r="AX48" t="s">
        <v>93</v>
      </c>
    </row>
    <row r="49" spans="50:50" x14ac:dyDescent="0.25">
      <c r="AX49" t="s">
        <v>307</v>
      </c>
    </row>
    <row r="50" spans="50:50" x14ac:dyDescent="0.25">
      <c r="AX50" t="s">
        <v>94</v>
      </c>
    </row>
    <row r="51" spans="50:50" x14ac:dyDescent="0.25">
      <c r="AX51" t="s">
        <v>87</v>
      </c>
    </row>
    <row r="52" spans="50:50" x14ac:dyDescent="0.25">
      <c r="AX52" t="s">
        <v>93</v>
      </c>
    </row>
    <row r="53" spans="50:50" x14ac:dyDescent="0.25">
      <c r="AX53" t="s">
        <v>308</v>
      </c>
    </row>
    <row r="54" spans="50:50" x14ac:dyDescent="0.25">
      <c r="AX54" t="s">
        <v>96</v>
      </c>
    </row>
    <row r="55" spans="50:50" x14ac:dyDescent="0.25">
      <c r="AX55" t="s">
        <v>88</v>
      </c>
    </row>
    <row r="56" spans="50:50" x14ac:dyDescent="0.25">
      <c r="AX56" t="s">
        <v>95</v>
      </c>
    </row>
    <row r="57" spans="50:50" x14ac:dyDescent="0.25">
      <c r="AX57" t="s">
        <v>309</v>
      </c>
    </row>
    <row r="58" spans="50:50" x14ac:dyDescent="0.25">
      <c r="AX58" t="s">
        <v>92</v>
      </c>
    </row>
    <row r="59" spans="50:50" x14ac:dyDescent="0.25">
      <c r="AX59" t="s">
        <v>86</v>
      </c>
    </row>
    <row r="60" spans="50:50" x14ac:dyDescent="0.25">
      <c r="AX60" t="s">
        <v>91</v>
      </c>
    </row>
    <row r="61" spans="50:50" x14ac:dyDescent="0.25">
      <c r="AX61" t="s">
        <v>309</v>
      </c>
    </row>
    <row r="62" spans="50:50" x14ac:dyDescent="0.25">
      <c r="AX62" t="s">
        <v>92</v>
      </c>
    </row>
    <row r="63" spans="50:50" x14ac:dyDescent="0.25">
      <c r="AX63" t="s">
        <v>86</v>
      </c>
    </row>
    <row r="64" spans="50:50" x14ac:dyDescent="0.25">
      <c r="AX64" t="s">
        <v>91</v>
      </c>
    </row>
    <row r="65" spans="50:50" x14ac:dyDescent="0.25">
      <c r="AX65" t="s">
        <v>309</v>
      </c>
    </row>
    <row r="66" spans="50:50" x14ac:dyDescent="0.25">
      <c r="AX66" t="s">
        <v>92</v>
      </c>
    </row>
    <row r="67" spans="50:50" x14ac:dyDescent="0.25">
      <c r="AX67" t="s">
        <v>86</v>
      </c>
    </row>
    <row r="68" spans="50:50" x14ac:dyDescent="0.25">
      <c r="AX68" t="s">
        <v>91</v>
      </c>
    </row>
    <row r="69" spans="50:50" x14ac:dyDescent="0.25">
      <c r="AX69" t="s">
        <v>310</v>
      </c>
    </row>
    <row r="70" spans="50:50" x14ac:dyDescent="0.25">
      <c r="AX70" t="s">
        <v>94</v>
      </c>
    </row>
    <row r="71" spans="50:50" x14ac:dyDescent="0.25">
      <c r="AX71" t="s">
        <v>87</v>
      </c>
    </row>
    <row r="72" spans="50:50" x14ac:dyDescent="0.25">
      <c r="AX72" t="s">
        <v>93</v>
      </c>
    </row>
    <row r="73" spans="50:50" x14ac:dyDescent="0.25">
      <c r="AX73" t="s">
        <v>310</v>
      </c>
    </row>
    <row r="74" spans="50:50" x14ac:dyDescent="0.25">
      <c r="AX74" t="s">
        <v>94</v>
      </c>
    </row>
    <row r="75" spans="50:50" x14ac:dyDescent="0.25">
      <c r="AX75" t="s">
        <v>87</v>
      </c>
    </row>
    <row r="76" spans="50:50" x14ac:dyDescent="0.25">
      <c r="AX76" t="s">
        <v>93</v>
      </c>
    </row>
    <row r="77" spans="50:50" x14ac:dyDescent="0.25">
      <c r="AX77" t="s">
        <v>311</v>
      </c>
    </row>
    <row r="78" spans="50:50" x14ac:dyDescent="0.25">
      <c r="AX78" t="s">
        <v>96</v>
      </c>
    </row>
    <row r="79" spans="50:50" x14ac:dyDescent="0.25">
      <c r="AX79" t="s">
        <v>88</v>
      </c>
    </row>
    <row r="80" spans="50:50" x14ac:dyDescent="0.25">
      <c r="AX80" t="s">
        <v>95</v>
      </c>
    </row>
    <row r="81" spans="50:50" x14ac:dyDescent="0.25">
      <c r="AX81" t="s">
        <v>312</v>
      </c>
    </row>
    <row r="82" spans="50:50" x14ac:dyDescent="0.25">
      <c r="AX82" t="s">
        <v>92</v>
      </c>
    </row>
    <row r="83" spans="50:50" x14ac:dyDescent="0.25">
      <c r="AX83" t="s">
        <v>86</v>
      </c>
    </row>
    <row r="84" spans="50:50" x14ac:dyDescent="0.25">
      <c r="AX84" t="s">
        <v>91</v>
      </c>
    </row>
    <row r="85" spans="50:50" x14ac:dyDescent="0.25">
      <c r="AX85" t="s">
        <v>312</v>
      </c>
    </row>
    <row r="86" spans="50:50" x14ac:dyDescent="0.25">
      <c r="AX86" t="s">
        <v>92</v>
      </c>
    </row>
    <row r="87" spans="50:50" x14ac:dyDescent="0.25">
      <c r="AX87" t="s">
        <v>86</v>
      </c>
    </row>
    <row r="88" spans="50:50" x14ac:dyDescent="0.25">
      <c r="AX88" t="s">
        <v>91</v>
      </c>
    </row>
    <row r="89" spans="50:50" x14ac:dyDescent="0.25">
      <c r="AX89" t="s">
        <v>312</v>
      </c>
    </row>
    <row r="90" spans="50:50" x14ac:dyDescent="0.25">
      <c r="AX90" t="s">
        <v>92</v>
      </c>
    </row>
    <row r="91" spans="50:50" x14ac:dyDescent="0.25">
      <c r="AX91" t="s">
        <v>86</v>
      </c>
    </row>
    <row r="92" spans="50:50" x14ac:dyDescent="0.25">
      <c r="AX92" t="s">
        <v>91</v>
      </c>
    </row>
    <row r="93" spans="50:50" x14ac:dyDescent="0.25">
      <c r="AX93" t="s">
        <v>313</v>
      </c>
    </row>
    <row r="94" spans="50:50" x14ac:dyDescent="0.25">
      <c r="AX94" t="s">
        <v>92</v>
      </c>
    </row>
    <row r="95" spans="50:50" x14ac:dyDescent="0.25">
      <c r="AX95" t="s">
        <v>86</v>
      </c>
    </row>
    <row r="96" spans="50:50" x14ac:dyDescent="0.25">
      <c r="AX96" t="s">
        <v>91</v>
      </c>
    </row>
    <row r="97" spans="50:50" x14ac:dyDescent="0.25">
      <c r="AX97" t="s">
        <v>313</v>
      </c>
    </row>
    <row r="98" spans="50:50" x14ac:dyDescent="0.25">
      <c r="AX98" t="s">
        <v>92</v>
      </c>
    </row>
    <row r="99" spans="50:50" x14ac:dyDescent="0.25">
      <c r="AX99" t="s">
        <v>86</v>
      </c>
    </row>
    <row r="100" spans="50:50" x14ac:dyDescent="0.25">
      <c r="AX100" t="s">
        <v>91</v>
      </c>
    </row>
    <row r="101" spans="50:50" x14ac:dyDescent="0.25">
      <c r="AX101" t="s">
        <v>313</v>
      </c>
    </row>
    <row r="102" spans="50:50" x14ac:dyDescent="0.25">
      <c r="AX102" t="s">
        <v>92</v>
      </c>
    </row>
    <row r="103" spans="50:50" x14ac:dyDescent="0.25">
      <c r="AX103" t="s">
        <v>86</v>
      </c>
    </row>
    <row r="104" spans="50:50" x14ac:dyDescent="0.25">
      <c r="AX104" t="s">
        <v>91</v>
      </c>
    </row>
    <row r="105" spans="50:50" x14ac:dyDescent="0.25">
      <c r="AX105" t="s">
        <v>314</v>
      </c>
    </row>
    <row r="106" spans="50:50" x14ac:dyDescent="0.25">
      <c r="AX106" t="s">
        <v>92</v>
      </c>
    </row>
    <row r="107" spans="50:50" x14ac:dyDescent="0.25">
      <c r="AX107" t="s">
        <v>86</v>
      </c>
    </row>
    <row r="108" spans="50:50" x14ac:dyDescent="0.25">
      <c r="AX108" t="s">
        <v>91</v>
      </c>
    </row>
    <row r="109" spans="50:50" x14ac:dyDescent="0.25">
      <c r="AX109" t="s">
        <v>314</v>
      </c>
    </row>
    <row r="110" spans="50:50" x14ac:dyDescent="0.25">
      <c r="AX110" t="s">
        <v>92</v>
      </c>
    </row>
    <row r="111" spans="50:50" x14ac:dyDescent="0.25">
      <c r="AX111" t="s">
        <v>86</v>
      </c>
    </row>
    <row r="112" spans="50:50" x14ac:dyDescent="0.25">
      <c r="AX112" t="s">
        <v>91</v>
      </c>
    </row>
    <row r="113" spans="50:50" x14ac:dyDescent="0.25">
      <c r="AX113" t="s">
        <v>314</v>
      </c>
    </row>
    <row r="114" spans="50:50" x14ac:dyDescent="0.25">
      <c r="AX114" t="s">
        <v>92</v>
      </c>
    </row>
    <row r="115" spans="50:50" x14ac:dyDescent="0.25">
      <c r="AX115" t="s">
        <v>86</v>
      </c>
    </row>
    <row r="116" spans="50:50" x14ac:dyDescent="0.25">
      <c r="AX116" t="s">
        <v>91</v>
      </c>
    </row>
  </sheetData>
  <sortState ref="A4:AX4">
    <sortCondition ref="AX4"/>
    <sortCondition ref="Q4"/>
  </sortState>
  <dataConsolidate/>
  <dataValidations count="1">
    <dataValidation type="list" showInputMessage="1" error="Please select a valid value" promptTitle="select a value" sqref="P3:P4" xr:uid="{00000000-0002-0000-0100-000000000000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B22"/>
  <sheetViews>
    <sheetView topLeftCell="EH7" workbookViewId="0">
      <selection activeCell="ET6" sqref="ET6"/>
    </sheetView>
  </sheetViews>
  <sheetFormatPr defaultRowHeight="15" x14ac:dyDescent="0.25"/>
  <cols>
    <col min="150" max="150" width="12.7109375" bestFit="1" customWidth="1"/>
    <col min="151" max="151" width="31.28515625" bestFit="1" customWidth="1"/>
  </cols>
  <sheetData>
    <row r="1" spans="1:158" ht="30.75" customHeight="1" thickBot="1" x14ac:dyDescent="0.3">
      <c r="A1" s="11" t="s">
        <v>97</v>
      </c>
      <c r="B1" s="11" t="s">
        <v>98</v>
      </c>
      <c r="C1" s="11" t="s">
        <v>99</v>
      </c>
      <c r="D1" s="11" t="s">
        <v>100</v>
      </c>
      <c r="E1" s="158" t="s">
        <v>101</v>
      </c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 t="s">
        <v>102</v>
      </c>
      <c r="AN1" s="158"/>
      <c r="AO1" s="158"/>
      <c r="AP1" s="159" t="s">
        <v>103</v>
      </c>
      <c r="AQ1" s="159"/>
      <c r="AR1" s="159" t="s">
        <v>104</v>
      </c>
      <c r="AS1" s="159"/>
      <c r="AT1" s="159"/>
      <c r="AU1" s="159"/>
      <c r="AV1" s="159"/>
      <c r="AW1" s="159"/>
      <c r="AX1" s="159"/>
      <c r="AY1" s="159" t="s">
        <v>105</v>
      </c>
      <c r="AZ1" s="159"/>
      <c r="BA1" s="159"/>
      <c r="BB1" s="155" t="s">
        <v>106</v>
      </c>
      <c r="BC1" s="156"/>
      <c r="BD1" s="157"/>
      <c r="BE1" s="163" t="s">
        <v>107</v>
      </c>
      <c r="BF1" s="164"/>
      <c r="BG1" s="164"/>
      <c r="BH1" s="165"/>
      <c r="BI1" s="166" t="str">
        <f>"Preço Fixo
"&amp;DOLLAR([3]ARBOR!C2,2)</f>
        <v>Preço Fixo
$75.84</v>
      </c>
      <c r="BJ1" s="167"/>
      <c r="BK1" s="167"/>
      <c r="BL1" s="167"/>
      <c r="BM1" s="168"/>
      <c r="BN1" s="163" t="s">
        <v>108</v>
      </c>
      <c r="BO1" s="164"/>
      <c r="BP1" s="164"/>
      <c r="BQ1" s="165"/>
      <c r="BR1" s="160" t="str">
        <f>"Assinatura Velox 300Kb (PCS-30874g)
"&amp;DOLLAR(VLOOKUP("PCS-30874g",[3]ARBOR!$A:$C,3,0),2)</f>
        <v>Assinatura Velox 300Kb (PCS-30874g)
$96.93</v>
      </c>
      <c r="BS1" s="161"/>
      <c r="BT1" s="161"/>
      <c r="BU1" s="162"/>
      <c r="BV1" s="160" t="str">
        <f>"Assinatura Velox 600Kb (PCS-30577g)
"&amp;DOLLAR(VLOOKUP("PCS-30577g",[3]ARBOR!$A:$C,3,0),2)</f>
        <v>Assinatura Velox 600Kb (PCS-30577g)
$96.93</v>
      </c>
      <c r="BW1" s="161"/>
      <c r="BX1" s="161"/>
      <c r="BY1" s="162"/>
      <c r="BZ1" s="160" t="str">
        <f>"Assinatura Velox 1Mb (PCS-30604g)
"&amp;DOLLAR(VLOOKUP("PCS-30604g",[3]ARBOR!$A:$C,3,0),2)</f>
        <v>Assinatura Velox 1Mb (PCS-30604g)
$96.93</v>
      </c>
      <c r="CA1" s="161"/>
      <c r="CB1" s="161"/>
      <c r="CC1" s="162"/>
      <c r="CD1" s="160" t="str">
        <f>"Assinatura Velox 2Mb (PCS-30631g)
"&amp;DOLLAR(VLOOKUP("PCS-30631g",[3]ARBOR!$A:$C,3,0),2)</f>
        <v>Assinatura Velox 2Mb (PCS-30631g)
$98.26</v>
      </c>
      <c r="CE1" s="161"/>
      <c r="CF1" s="161"/>
      <c r="CG1" s="162"/>
      <c r="CH1" s="160" t="str">
        <f>"Assinatura Velox 5Mb (PCS-30658g)
"&amp;DOLLAR(VLOOKUP("PCS-30658g",[3]ARBOR!$A:$C,3,0),2)</f>
        <v>Assinatura Velox 5Mb (PCS-30658g)
$112.31</v>
      </c>
      <c r="CI1" s="161"/>
      <c r="CJ1" s="161"/>
      <c r="CK1" s="162"/>
      <c r="CL1" s="160" t="str">
        <f>"Assinatura Velox 10Mb (PCS-30685g)
"&amp;DOLLAR(VLOOKUP("PCS-30685g",[3]ARBOR!$A:$C,3,0),2)</f>
        <v>Assinatura Velox 10Mb (PCS-30685g)
$126.34</v>
      </c>
      <c r="CM1" s="161"/>
      <c r="CN1" s="161"/>
      <c r="CO1" s="162"/>
      <c r="CP1" s="160" t="str">
        <f>"Assinatura Velox 15Mb (PCS-30712g)
"&amp;DOLLAR(VLOOKUP("PCS-30712g",[3]ARBOR!$A:$C,3,0),2)</f>
        <v>Assinatura Velox 15Mb (PCS-30712g)
$140.38</v>
      </c>
      <c r="CQ1" s="161"/>
      <c r="CR1" s="161"/>
      <c r="CS1" s="162"/>
      <c r="CT1" s="160" t="str">
        <f>"Assinatura Velox 20Mb (PCS-30739g)
"&amp;DOLLAR(VLOOKUP("PCS-30739g",[3]ARBOR!$A:$C,3,0),2)</f>
        <v>Assinatura Velox 20Mb (PCS-30739g)
$210.58</v>
      </c>
      <c r="CU1" s="161"/>
      <c r="CV1" s="161"/>
      <c r="CW1" s="161"/>
      <c r="CX1" s="161"/>
      <c r="CY1" s="161"/>
      <c r="CZ1" s="161"/>
      <c r="DA1" s="162"/>
      <c r="DB1" s="160" t="str">
        <f>"Assinatura Velox 25Mb (PCS-30766g)
"&amp;DOLLAR(VLOOKUP("PCS-30766g",[3]ARBOR!$A:$C,3,0),2)</f>
        <v>Assinatura Velox 25Mb (PCS-30766g)
$280.77</v>
      </c>
      <c r="DC1" s="161"/>
      <c r="DD1" s="161"/>
      <c r="DE1" s="161"/>
      <c r="DF1" s="161"/>
      <c r="DG1" s="161"/>
      <c r="DH1" s="161"/>
      <c r="DI1" s="162"/>
      <c r="DJ1" s="160" t="str">
        <f>"Assinatura Velox 30Mb (PCS-30793g)
"&amp;DOLLAR(VLOOKUP("PCS-30793g",[3]ARBOR!$A:$C,3,0),2)</f>
        <v>Assinatura Velox 30Mb (PCS-30793g)
$280.77</v>
      </c>
      <c r="DK1" s="161"/>
      <c r="DL1" s="161"/>
      <c r="DM1" s="161"/>
      <c r="DN1" s="161"/>
      <c r="DO1" s="161"/>
      <c r="DP1" s="161"/>
      <c r="DQ1" s="162"/>
      <c r="DR1" s="166" t="str">
        <f>"Assinatura Velox 35Mb (PCS-30820g)
"&amp;DOLLAR(VLOOKUP("PCS-30820g",[3]ARBOR!$A:$C,3,0),2)</f>
        <v>Assinatura Velox 35Mb (PCS-30820g)
$280.77</v>
      </c>
      <c r="DS1" s="167"/>
      <c r="DT1" s="167"/>
      <c r="DU1" s="167"/>
      <c r="DV1" s="167"/>
      <c r="DW1" s="167"/>
      <c r="DX1" s="167"/>
      <c r="DY1" s="168"/>
      <c r="DZ1" s="172" t="str">
        <f>"Oi Internet Móvel Substituta 10GB (PCS-21448p2)
"&amp;DOLLAR(VLOOKUP("PCS-21448p2",[3]ARBOR!$A:$C,3,0),2)</f>
        <v>Oi Internet Móvel Substituta 10GB (PCS-21448p2)
$127.90</v>
      </c>
      <c r="EA1" s="173"/>
      <c r="EB1" s="174"/>
      <c r="EC1" s="175" t="str">
        <f>"Benefício SVA Indeterminado 
"&amp;DOLLAR(VLOOKUP("SVA",[3]ARBOR!$A:$C,3,0),2)</f>
        <v>Benefício SVA Indeterminado 
$21.43</v>
      </c>
      <c r="ED1" s="176"/>
      <c r="EE1" s="176"/>
      <c r="EF1" s="176"/>
      <c r="EG1" s="176"/>
      <c r="EH1" s="176"/>
      <c r="EI1" s="177"/>
      <c r="EJ1" s="11" t="s">
        <v>109</v>
      </c>
      <c r="EK1" s="178" t="s">
        <v>110</v>
      </c>
      <c r="EL1" s="179"/>
      <c r="EM1" s="179"/>
      <c r="EN1" s="178" t="s">
        <v>110</v>
      </c>
      <c r="EO1" s="179"/>
      <c r="EP1" s="179"/>
      <c r="EQ1" s="12" t="s">
        <v>111</v>
      </c>
      <c r="ER1" s="13" t="s">
        <v>112</v>
      </c>
      <c r="ES1" s="169" t="s">
        <v>113</v>
      </c>
      <c r="ET1" s="170"/>
      <c r="EU1" s="170"/>
      <c r="EV1" s="170"/>
      <c r="EW1" s="170"/>
      <c r="EX1" s="170"/>
      <c r="EY1" s="170"/>
      <c r="EZ1" s="170"/>
      <c r="FA1" s="170"/>
      <c r="FB1" s="171"/>
    </row>
    <row r="2" spans="1:158" ht="157.5" customHeight="1" thickBot="1" x14ac:dyDescent="0.3">
      <c r="A2" s="14" t="s">
        <v>114</v>
      </c>
      <c r="B2" s="14" t="s">
        <v>115</v>
      </c>
      <c r="C2" s="14" t="s">
        <v>116</v>
      </c>
      <c r="D2" s="14" t="s">
        <v>117</v>
      </c>
      <c r="E2" s="15" t="s">
        <v>118</v>
      </c>
      <c r="F2" s="15" t="s">
        <v>119</v>
      </c>
      <c r="G2" s="15" t="s">
        <v>120</v>
      </c>
      <c r="H2" s="15" t="s">
        <v>121</v>
      </c>
      <c r="I2" s="15" t="s">
        <v>122</v>
      </c>
      <c r="J2" s="15" t="s">
        <v>123</v>
      </c>
      <c r="K2" s="15" t="s">
        <v>124</v>
      </c>
      <c r="L2" s="15" t="s">
        <v>125</v>
      </c>
      <c r="M2" s="15" t="s">
        <v>126</v>
      </c>
      <c r="N2" s="15" t="s">
        <v>127</v>
      </c>
      <c r="O2" s="15" t="s">
        <v>128</v>
      </c>
      <c r="P2" s="15" t="s">
        <v>129</v>
      </c>
      <c r="Q2" s="15" t="s">
        <v>130</v>
      </c>
      <c r="R2" s="15" t="s">
        <v>131</v>
      </c>
      <c r="S2" s="15" t="s">
        <v>132</v>
      </c>
      <c r="T2" s="15" t="s">
        <v>133</v>
      </c>
      <c r="U2" s="15" t="s">
        <v>134</v>
      </c>
      <c r="V2" s="15" t="s">
        <v>135</v>
      </c>
      <c r="W2" s="16" t="s">
        <v>136</v>
      </c>
      <c r="X2" s="15" t="s">
        <v>137</v>
      </c>
      <c r="Y2" s="15" t="s">
        <v>138</v>
      </c>
      <c r="Z2" s="15" t="s">
        <v>139</v>
      </c>
      <c r="AA2" s="15" t="s">
        <v>140</v>
      </c>
      <c r="AB2" s="15" t="s">
        <v>141</v>
      </c>
      <c r="AC2" s="15" t="s">
        <v>142</v>
      </c>
      <c r="AD2" s="15" t="s">
        <v>143</v>
      </c>
      <c r="AE2" s="15" t="s">
        <v>144</v>
      </c>
      <c r="AF2" s="15" t="s">
        <v>145</v>
      </c>
      <c r="AG2" s="15" t="s">
        <v>146</v>
      </c>
      <c r="AH2" s="15" t="s">
        <v>147</v>
      </c>
      <c r="AI2" s="15" t="s">
        <v>148</v>
      </c>
      <c r="AJ2" s="16"/>
      <c r="AK2" s="16" t="s">
        <v>149</v>
      </c>
      <c r="AL2" s="15" t="s">
        <v>150</v>
      </c>
      <c r="AM2" s="17" t="s">
        <v>151</v>
      </c>
      <c r="AN2" s="14" t="s">
        <v>152</v>
      </c>
      <c r="AO2" s="14" t="s">
        <v>153</v>
      </c>
      <c r="AP2" s="14" t="s">
        <v>154</v>
      </c>
      <c r="AQ2" s="14" t="s">
        <v>155</v>
      </c>
      <c r="AR2" s="17" t="s">
        <v>156</v>
      </c>
      <c r="AS2" s="17" t="s">
        <v>157</v>
      </c>
      <c r="AT2" s="17" t="s">
        <v>158</v>
      </c>
      <c r="AU2" s="17" t="s">
        <v>159</v>
      </c>
      <c r="AV2" s="17" t="s">
        <v>160</v>
      </c>
      <c r="AW2" s="17" t="s">
        <v>161</v>
      </c>
      <c r="AX2" s="17" t="s">
        <v>162</v>
      </c>
      <c r="AY2" s="18" t="s">
        <v>163</v>
      </c>
      <c r="AZ2" s="19" t="s">
        <v>164</v>
      </c>
      <c r="BA2" s="19" t="s">
        <v>165</v>
      </c>
      <c r="BB2" s="17" t="s">
        <v>166</v>
      </c>
      <c r="BC2" s="14" t="s">
        <v>167</v>
      </c>
      <c r="BD2" s="17" t="s">
        <v>168</v>
      </c>
      <c r="BE2" s="20" t="s">
        <v>169</v>
      </c>
      <c r="BF2" s="17" t="s">
        <v>170</v>
      </c>
      <c r="BG2" s="21" t="s">
        <v>171</v>
      </c>
      <c r="BH2" s="22" t="s">
        <v>172</v>
      </c>
      <c r="BI2" s="21" t="s">
        <v>173</v>
      </c>
      <c r="BJ2" s="23" t="s">
        <v>174</v>
      </c>
      <c r="BK2" s="17" t="s">
        <v>170</v>
      </c>
      <c r="BL2" s="20" t="s">
        <v>175</v>
      </c>
      <c r="BM2" s="24" t="s">
        <v>176</v>
      </c>
      <c r="BN2" s="20" t="s">
        <v>169</v>
      </c>
      <c r="BO2" s="17" t="s">
        <v>170</v>
      </c>
      <c r="BP2" s="21" t="s">
        <v>171</v>
      </c>
      <c r="BQ2" s="22" t="s">
        <v>172</v>
      </c>
      <c r="BR2" s="17" t="s">
        <v>177</v>
      </c>
      <c r="BS2" s="14" t="s">
        <v>173</v>
      </c>
      <c r="BT2" s="14" t="s">
        <v>178</v>
      </c>
      <c r="BU2" s="17" t="s">
        <v>170</v>
      </c>
      <c r="BV2" s="17" t="s">
        <v>177</v>
      </c>
      <c r="BW2" s="14" t="s">
        <v>173</v>
      </c>
      <c r="BX2" s="14" t="s">
        <v>178</v>
      </c>
      <c r="BY2" s="17" t="s">
        <v>170</v>
      </c>
      <c r="BZ2" s="17" t="s">
        <v>177</v>
      </c>
      <c r="CA2" s="14" t="s">
        <v>173</v>
      </c>
      <c r="CB2" s="14" t="s">
        <v>178</v>
      </c>
      <c r="CC2" s="17" t="s">
        <v>170</v>
      </c>
      <c r="CD2" s="17" t="s">
        <v>177</v>
      </c>
      <c r="CE2" s="14" t="s">
        <v>173</v>
      </c>
      <c r="CF2" s="14" t="s">
        <v>178</v>
      </c>
      <c r="CG2" s="17" t="s">
        <v>170</v>
      </c>
      <c r="CH2" s="17" t="s">
        <v>177</v>
      </c>
      <c r="CI2" s="14" t="s">
        <v>173</v>
      </c>
      <c r="CJ2" s="14" t="s">
        <v>178</v>
      </c>
      <c r="CK2" s="17" t="s">
        <v>170</v>
      </c>
      <c r="CL2" s="17" t="s">
        <v>177</v>
      </c>
      <c r="CM2" s="14" t="s">
        <v>173</v>
      </c>
      <c r="CN2" s="14" t="s">
        <v>178</v>
      </c>
      <c r="CO2" s="17" t="s">
        <v>170</v>
      </c>
      <c r="CP2" s="17" t="s">
        <v>177</v>
      </c>
      <c r="CQ2" s="14" t="s">
        <v>173</v>
      </c>
      <c r="CR2" s="14" t="s">
        <v>178</v>
      </c>
      <c r="CS2" s="17" t="s">
        <v>170</v>
      </c>
      <c r="CT2" s="17" t="s">
        <v>177</v>
      </c>
      <c r="CU2" s="14" t="s">
        <v>173</v>
      </c>
      <c r="CV2" s="14" t="s">
        <v>178</v>
      </c>
      <c r="CW2" s="17" t="s">
        <v>170</v>
      </c>
      <c r="CX2" s="25" t="s">
        <v>173</v>
      </c>
      <c r="CY2" s="25" t="s">
        <v>179</v>
      </c>
      <c r="CZ2" s="25" t="s">
        <v>178</v>
      </c>
      <c r="DA2" s="26" t="s">
        <v>170</v>
      </c>
      <c r="DB2" s="17" t="s">
        <v>177</v>
      </c>
      <c r="DC2" s="14" t="s">
        <v>173</v>
      </c>
      <c r="DD2" s="14" t="s">
        <v>178</v>
      </c>
      <c r="DE2" s="17" t="s">
        <v>170</v>
      </c>
      <c r="DF2" s="25" t="s">
        <v>173</v>
      </c>
      <c r="DG2" s="25" t="s">
        <v>179</v>
      </c>
      <c r="DH2" s="25" t="s">
        <v>178</v>
      </c>
      <c r="DI2" s="26" t="s">
        <v>170</v>
      </c>
      <c r="DJ2" s="17" t="s">
        <v>177</v>
      </c>
      <c r="DK2" s="14" t="s">
        <v>173</v>
      </c>
      <c r="DL2" s="14" t="s">
        <v>178</v>
      </c>
      <c r="DM2" s="17" t="s">
        <v>170</v>
      </c>
      <c r="DN2" s="25" t="s">
        <v>173</v>
      </c>
      <c r="DO2" s="25" t="s">
        <v>179</v>
      </c>
      <c r="DP2" s="25" t="s">
        <v>178</v>
      </c>
      <c r="DQ2" s="26" t="s">
        <v>170</v>
      </c>
      <c r="DR2" s="17" t="s">
        <v>177</v>
      </c>
      <c r="DS2" s="14" t="s">
        <v>173</v>
      </c>
      <c r="DT2" s="14" t="s">
        <v>178</v>
      </c>
      <c r="DU2" s="17" t="s">
        <v>170</v>
      </c>
      <c r="DV2" s="25" t="s">
        <v>173</v>
      </c>
      <c r="DW2" s="25" t="s">
        <v>179</v>
      </c>
      <c r="DX2" s="25" t="s">
        <v>178</v>
      </c>
      <c r="DY2" s="26" t="s">
        <v>170</v>
      </c>
      <c r="DZ2" s="27" t="s">
        <v>173</v>
      </c>
      <c r="EA2" s="27" t="s">
        <v>180</v>
      </c>
      <c r="EB2" s="17" t="s">
        <v>170</v>
      </c>
      <c r="EC2" s="28" t="s">
        <v>173</v>
      </c>
      <c r="ED2" s="29" t="s">
        <v>178</v>
      </c>
      <c r="EE2" s="29" t="s">
        <v>170</v>
      </c>
      <c r="EF2" s="28" t="s">
        <v>181</v>
      </c>
      <c r="EG2" s="28" t="s">
        <v>182</v>
      </c>
      <c r="EH2" s="29" t="s">
        <v>178</v>
      </c>
      <c r="EI2" s="29" t="s">
        <v>170</v>
      </c>
      <c r="EJ2" s="14" t="s">
        <v>183</v>
      </c>
      <c r="EK2" s="30" t="s">
        <v>184</v>
      </c>
      <c r="EL2" s="31" t="s">
        <v>185</v>
      </c>
      <c r="EM2" s="31" t="s">
        <v>170</v>
      </c>
      <c r="EN2" s="30" t="s">
        <v>184</v>
      </c>
      <c r="EO2" s="31" t="s">
        <v>185</v>
      </c>
      <c r="EP2" s="31" t="s">
        <v>170</v>
      </c>
      <c r="EQ2" s="32" t="s">
        <v>186</v>
      </c>
      <c r="ER2" s="33" t="s">
        <v>187</v>
      </c>
      <c r="ES2" s="34" t="s">
        <v>188</v>
      </c>
      <c r="ET2" s="35" t="s">
        <v>189</v>
      </c>
      <c r="EU2" s="35" t="s">
        <v>190</v>
      </c>
      <c r="EV2" s="35" t="s">
        <v>191</v>
      </c>
      <c r="EW2" s="35" t="s">
        <v>192</v>
      </c>
      <c r="EX2" s="35" t="s">
        <v>193</v>
      </c>
      <c r="EY2" s="35" t="s">
        <v>194</v>
      </c>
      <c r="EZ2" s="35" t="s">
        <v>195</v>
      </c>
      <c r="FA2" s="35" t="s">
        <v>196</v>
      </c>
      <c r="FB2" s="36" t="s">
        <v>197</v>
      </c>
    </row>
    <row r="3" spans="1:158" x14ac:dyDescent="0.25">
      <c r="A3" s="37" t="s">
        <v>198</v>
      </c>
      <c r="B3" s="38" t="s">
        <v>199</v>
      </c>
      <c r="C3" s="38" t="s">
        <v>200</v>
      </c>
      <c r="D3" s="39" t="s">
        <v>201</v>
      </c>
      <c r="E3" s="40" t="s">
        <v>202</v>
      </c>
      <c r="F3" s="41" t="s">
        <v>202</v>
      </c>
      <c r="G3" s="41" t="s">
        <v>202</v>
      </c>
      <c r="H3" s="41" t="s">
        <v>202</v>
      </c>
      <c r="I3" s="41"/>
      <c r="J3" s="41" t="s">
        <v>202</v>
      </c>
      <c r="K3" s="41" t="s">
        <v>202</v>
      </c>
      <c r="L3" s="41" t="s">
        <v>202</v>
      </c>
      <c r="M3" s="41" t="s">
        <v>202</v>
      </c>
      <c r="N3" s="41" t="s">
        <v>202</v>
      </c>
      <c r="O3" s="41" t="s">
        <v>202</v>
      </c>
      <c r="P3" s="41" t="s">
        <v>202</v>
      </c>
      <c r="Q3" s="41" t="s">
        <v>202</v>
      </c>
      <c r="R3" s="41" t="s">
        <v>202</v>
      </c>
      <c r="S3" s="41" t="s">
        <v>202</v>
      </c>
      <c r="T3" s="42" t="s">
        <v>202</v>
      </c>
      <c r="U3" s="41" t="s">
        <v>202</v>
      </c>
      <c r="V3" s="42" t="s">
        <v>202</v>
      </c>
      <c r="W3" s="41" t="s">
        <v>202</v>
      </c>
      <c r="X3" s="41" t="s">
        <v>202</v>
      </c>
      <c r="Y3" s="41" t="s">
        <v>202</v>
      </c>
      <c r="Z3" s="41" t="s">
        <v>202</v>
      </c>
      <c r="AA3" s="42" t="s">
        <v>202</v>
      </c>
      <c r="AB3" s="41"/>
      <c r="AC3" s="43"/>
      <c r="AD3" s="41"/>
      <c r="AE3" s="41"/>
      <c r="AF3" s="41" t="s">
        <v>202</v>
      </c>
      <c r="AG3" s="41" t="s">
        <v>202</v>
      </c>
      <c r="AH3" s="41" t="s">
        <v>202</v>
      </c>
      <c r="AI3" s="41"/>
      <c r="AJ3" s="41"/>
      <c r="AK3" s="41"/>
      <c r="AL3" s="44"/>
      <c r="AM3" s="45" t="s">
        <v>203</v>
      </c>
      <c r="AN3" s="46" t="s">
        <v>204</v>
      </c>
      <c r="AO3" s="46" t="s">
        <v>205</v>
      </c>
      <c r="AP3" s="47">
        <v>42912</v>
      </c>
      <c r="AQ3" s="48">
        <v>43004</v>
      </c>
      <c r="AR3" s="49" t="s">
        <v>206</v>
      </c>
      <c r="AS3" s="50" t="s">
        <v>206</v>
      </c>
      <c r="AT3" s="51"/>
      <c r="AU3" s="51" t="s">
        <v>207</v>
      </c>
      <c r="AV3" s="51">
        <v>20</v>
      </c>
      <c r="AW3" s="51">
        <v>10000</v>
      </c>
      <c r="AX3" s="52" t="s">
        <v>208</v>
      </c>
      <c r="AY3" s="53" t="s">
        <v>209</v>
      </c>
      <c r="AZ3" s="54" t="s">
        <v>209</v>
      </c>
      <c r="BA3" s="55" t="s">
        <v>209</v>
      </c>
      <c r="BB3" s="45" t="s">
        <v>203</v>
      </c>
      <c r="BC3" s="56" t="s">
        <v>210</v>
      </c>
      <c r="BD3" s="57" t="str">
        <f>IF(BC3="Oi Total Fixo + Banda Larga 1","PCS-2PFBL1",IF(BC3="Oi Total Fixo + Banda Larga 2","PCS-2PFBL2",IF(BC3="Oi Total Fixo + Banda Larga 3","PCS-2PFBL3","")))</f>
        <v>PCS-2PFBL1</v>
      </c>
      <c r="BE3" s="58" t="s">
        <v>201</v>
      </c>
      <c r="BF3" s="59" t="s">
        <v>211</v>
      </c>
      <c r="BG3" s="60">
        <v>12</v>
      </c>
      <c r="BH3" s="61">
        <v>144</v>
      </c>
      <c r="BI3" s="62">
        <v>70.010000000000005</v>
      </c>
      <c r="BJ3" s="63">
        <f>IF(BI3=0,"",IF(BI3=VLOOKUP("FIXO",[3]ARBOR!$A:$C,3,0),0.0001,IF(BI3&gt;VLOOKUP("FIXO",[3]ARBOR!$A:$C,3,0),"Maior que CAP!",IF((DOLLAR(BI3+(VLOOKUP("FIXO",[3]ARBOR!$A:$C,3,0)*-TRUNC(BI3/VLOOKUP("FIXO",[3]ARBOR!$A:$C,3,0)-1,4)),6))&lt;&gt;(DOLLAR(VLOOKUP("FIXO",[3]ARBOR!$A:$C,3,0),6)),-TRUNC(BI3/VLOOKUP("FIXO",[3]ARBOR!$A:$C,3,0)-1,4)+0.0001,-TRUNC(BI3/VLOOKUP("FIXO",[3]ARBOR!$A:$C,3,0)-1,4)))))</f>
        <v>7.6899999999999996E-2</v>
      </c>
      <c r="BK3" s="64" t="str">
        <f>IF(ISERROR(IF(BJ3="","",VLOOKUP(($BC3&amp;BJ3&amp;"Template de desconto FLAT bundle - Fixo - Varejo - Ganho Tributário Cross"),[3]BENEFICIOS!$A:$E,5,0))),"Criar",IF(BJ3="","",VLOOKUP(($BC3&amp;BJ3&amp;"Template de desconto FLAT bundle - Fixo - Varejo - Ganho Tributário Cross"),[3]BENEFICIOS!$A:$E,5,0)))</f>
        <v>Criar</v>
      </c>
      <c r="BL3" s="65" t="s">
        <v>212</v>
      </c>
      <c r="BM3" s="66" t="s">
        <v>213</v>
      </c>
      <c r="BN3" s="58" t="s">
        <v>201</v>
      </c>
      <c r="BO3" s="59" t="s">
        <v>214</v>
      </c>
      <c r="BP3" s="67">
        <v>12</v>
      </c>
      <c r="BQ3" s="67">
        <v>60</v>
      </c>
      <c r="BR3" s="68" t="s">
        <v>173</v>
      </c>
      <c r="BS3" s="69">
        <v>84.9</v>
      </c>
      <c r="BT3" s="63">
        <f>IF(BS3=0,"",IF(BS3=VLOOKUP("PCS-30874g",[3]ARBOR!$A:$C,3,0),0.0001,IF(BS3&gt;VLOOKUP("PCS-30874g",[3]ARBOR!$A:$C,3,0),"Maior que CAP!",IF((DOLLAR(BS3+(VLOOKUP("PCS-30874g",[3]ARBOR!$A:$C,3,0)*-TRUNC(BS3/VLOOKUP("PCS-30874g",[3]ARBOR!$A:$C,3,0)-1,4)),6))&lt;&gt;(DOLLAR(VLOOKUP("PCS-30874g",[3]ARBOR!$A:$C,3,0),6)),-TRUNC(BS3/VLOOKUP("PCS-30874g",[3]ARBOR!$A:$C,3,0)-1,4)+0.0001,-TRUNC(BS3/VLOOKUP("PCS-30874g",[3]ARBOR!$A:$C,3,0)-1,4)))))</f>
        <v>0.1242</v>
      </c>
      <c r="BU3" s="64" t="str">
        <f>IF(ISERROR(IF(BT3="","",VLOOKUP(($BC3&amp;BT3&amp;"Template de desconto FLAT bundle - Velox XDSL - Varejo"),[3]BENEFICIOS!$A:$E,5,0))),"Criar",IF(BT3="","",VLOOKUP(($BC3&amp;BT3&amp;"Template de desconto FLAT bundle - Velox XDSL - Varejo"),[3]BENEFICIOS!$A:$E,5,0)))</f>
        <v>Criar</v>
      </c>
      <c r="BV3" s="68" t="s">
        <v>173</v>
      </c>
      <c r="BW3" s="69">
        <v>84.9</v>
      </c>
      <c r="BX3" s="63">
        <f>IF(BW3=0,"",IF(BW3=VLOOKUP("PCS-30577g",[3]ARBOR!$A:$C,3,0),0.0001,IF(BW3&gt;VLOOKUP("PCS-30577g",[3]ARBOR!$A:$C,3,0),"Maior que CAP!",IF((DOLLAR(BW3+(VLOOKUP("PCS-30577g",[3]ARBOR!$A:$C,3,0)*-TRUNC(BW3/VLOOKUP("PCS-30577g",[3]ARBOR!$A:$C,3,0)-1,4)),6))&lt;&gt;(DOLLAR(VLOOKUP("PCS-30577g",[3]ARBOR!$A:$C,3,0),6)),-TRUNC(BW3/VLOOKUP("PCS-30577g",[3]ARBOR!$A:$C,3,0)-1,4)+0.0001,-TRUNC(BW3/VLOOKUP("PCS-30577g",[3]ARBOR!$A:$C,3,0)-1,4)))))</f>
        <v>0.1242</v>
      </c>
      <c r="BY3" s="64" t="str">
        <f>IF(ISERROR(IF(BX3="","",VLOOKUP(($BC3&amp;BX3&amp;"Template de desconto FLAT bundle - Velox XDSL - Varejo"),[3]BENEFICIOS!$A:$E,5,0))),"Criar",IF(BX3="","",VLOOKUP(($BC3&amp;BX3&amp;"Template de desconto FLAT bundle - Velox XDSL - Varejo"),[3]BENEFICIOS!$A:$E,5,0)))</f>
        <v>Criar</v>
      </c>
      <c r="BZ3" s="68" t="s">
        <v>173</v>
      </c>
      <c r="CA3" s="69">
        <v>84.9</v>
      </c>
      <c r="CB3" s="63">
        <f>IF(CA3=0,"",IF(CA3=VLOOKUP("PCS-30604g",[3]ARBOR!$A:$C,3,0),0.0001,IF(CA3&gt;VLOOKUP("PCS-30604g",[3]ARBOR!$A:$C,3,0),"Maior que CAP!",IF((DOLLAR(CA3+(VLOOKUP("PCS-30604g",[3]ARBOR!$A:$C,3,0)*-TRUNC(CA3/VLOOKUP("PCS-30604g",[3]ARBOR!$A:$C,3,0)-1,4)),6))&lt;&gt;(DOLLAR(VLOOKUP("PCS-30604g",[3]ARBOR!$A:$C,3,0),6)),-TRUNC(CA3/VLOOKUP("PCS-30604g",[3]ARBOR!$A:$C,3,0)-1,4)+0.0001,-TRUNC(CA3/VLOOKUP("PCS-30604g",[3]ARBOR!$A:$C,3,0)-1,4)))))</f>
        <v>0.1242</v>
      </c>
      <c r="CC3" s="64" t="str">
        <f>IF(ISERROR(IF(CB3="","",VLOOKUP(($BC3&amp;CB3&amp;"Template de desconto FLAT bundle - Velox XDSL - Varejo"),[3]BENEFICIOS!$A:$E,5,0))),"Criar",IF(CB3="","",VLOOKUP(($BC3&amp;CB3&amp;"Template de desconto FLAT bundle - Velox XDSL - Varejo"),[3]BENEFICIOS!$A:$E,5,0)))</f>
        <v>Criar</v>
      </c>
      <c r="CD3" s="68" t="s">
        <v>173</v>
      </c>
      <c r="CE3" s="69">
        <v>84.9</v>
      </c>
      <c r="CF3" s="63">
        <f>IF(CE3=0,"",IF(CE3=VLOOKUP("PCS-30631g",[3]ARBOR!$A:$C,3,0),0.0001,IF(CE3&gt;VLOOKUP("PCS-30631g",[3]ARBOR!$A:$C,3,0),"Maior que CAP!",IF((DOLLAR(CE3+(VLOOKUP("PCS-30631g",[3]ARBOR!$A:$C,3,0)*-TRUNC(CE3/VLOOKUP("PCS-30631g",[3]ARBOR!$A:$C,3,0)-1,4)),6))&lt;&gt;(DOLLAR(VLOOKUP("PCS-30631g",[3]ARBOR!$A:$C,3,0),6)),-TRUNC(CE3/VLOOKUP("PCS-30631g",[3]ARBOR!$A:$C,3,0)-1,4)+0.0001,-TRUNC(CE3/VLOOKUP("PCS-30631g",[3]ARBOR!$A:$C,3,0)-1,4)))))</f>
        <v>0.13599999999999998</v>
      </c>
      <c r="CG3" s="64" t="str">
        <f>IF(ISERROR(IF(CF3="","",VLOOKUP(($BC3&amp;CF3&amp;"Template de desconto FLAT bundle - Velox XDSL - Varejo"),[3]BENEFICIOS!$A:$E,5,0))),"Criar",IF(CF3="","",VLOOKUP(($BC3&amp;CF3&amp;"Template de desconto FLAT bundle - Velox XDSL - Varejo"),[3]BENEFICIOS!$A:$E,5,0)))</f>
        <v>Criar</v>
      </c>
      <c r="CH3" s="68"/>
      <c r="CI3" s="69"/>
      <c r="CJ3" s="63" t="str">
        <f>IF(CI3=0,"",IF(CI3=VLOOKUP("PCS-30658g",[3]ARBOR!$A:$C,3,0),0.0001,IF(CI3&gt;VLOOKUP("PCS-30658g",[3]ARBOR!$A:$C,3,0),"Maior que CAP!",IF((DOLLAR(CI3+(VLOOKUP("PCS-30658g",[3]ARBOR!$A:$C,3,0)*-TRUNC(CI3/VLOOKUP("PCS-30658g",[3]ARBOR!$A:$C,3,0)-1,4)),6))&lt;&gt;(DOLLAR(VLOOKUP("PCS-30658g",[3]ARBOR!$A:$C,3,0),6)),-TRUNC(CI3/VLOOKUP("PCS-30658g",[3]ARBOR!$A:$C,3,0)-1,4)+0.0001,-TRUNC(CI3/VLOOKUP("PCS-30658g",[3]ARBOR!$A:$C,3,0)-1,4)))))</f>
        <v/>
      </c>
      <c r="CK3" s="64" t="str">
        <f>IF(ISERROR(IF(CJ3="","",VLOOKUP(($BC3&amp;CJ3&amp;"Template de desconto FLAT bundle - Velox XDSL - Varejo"),[3]BENEFICIOS!$A:$E,5,0))),"Criar",IF(CJ3="","",VLOOKUP(($BC3&amp;CJ3&amp;"Template de desconto FLAT bundle - Velox XDSL - Varejo"),[3]BENEFICIOS!$A:$E,5,0)))</f>
        <v/>
      </c>
      <c r="CL3" s="68"/>
      <c r="CM3" s="69"/>
      <c r="CN3" s="63" t="str">
        <f>IF(CM3=0,"",IF(CM3=VLOOKUP("PCS-30685g",[3]ARBOR!$A:$C,3,0),0.0001,IF(CM3&gt;VLOOKUP("PCS-30685g",[3]ARBOR!$A:$C,3,0),"Maior que CAP!",IF((DOLLAR(CM3+(VLOOKUP("PCS-30685g",[3]ARBOR!$A:$C,3,0)*-TRUNC(CM3/VLOOKUP("PCS-30685g",[3]ARBOR!$A:$C,3,0)-1,4)),6))&lt;&gt;(DOLLAR(VLOOKUP("PCS-30685g",[3]ARBOR!$A:$C,3,0),6)),-TRUNC(CM3/VLOOKUP("PCS-30685g",[3]ARBOR!$A:$C,3,0)-1,4)+0.0001,-TRUNC(CM3/VLOOKUP("PCS-30685g",[3]ARBOR!$A:$C,3,0)-1,4)))))</f>
        <v/>
      </c>
      <c r="CO3" s="64" t="str">
        <f>IF(ISERROR(IF(CN3="","",VLOOKUP(($BC3&amp;CN3&amp;"Template de desconto FLAT bundle - Velox XDSL - Varejo"),[3]BENEFICIOS!$A:$E,5,0))),"Criar",IF(CN3="","",VLOOKUP(($BC3&amp;CN3&amp;"Template de desconto FLAT bundle - Velox XDSL - Varejo"),[3]BENEFICIOS!$A:$E,5,0)))</f>
        <v/>
      </c>
      <c r="CP3" s="68"/>
      <c r="CQ3" s="69"/>
      <c r="CR3" s="63" t="str">
        <f>IF(CQ3=0,"",IF(CQ3=VLOOKUP("PCS-30712g",[3]ARBOR!$A:$C,3,0),0.0001,IF(CQ3&gt;VLOOKUP("PCS-30712g",[3]ARBOR!$A:$C,3,0),"Maior que CAP!",IF((DOLLAR(CQ3+(VLOOKUP("PCS-30712g",[3]ARBOR!$A:$C,3,0)*-TRUNC(CQ3/VLOOKUP("PCS-30712g",[3]ARBOR!$A:$C,3,0)-1,4)),6))&lt;&gt;(DOLLAR(VLOOKUP("PCS-30712g",[3]ARBOR!$A:$C,3,0),6)),-TRUNC(CQ3/VLOOKUP("PCS-30712g",[3]ARBOR!$A:$C,3,0)-1,4)+0.0001,-TRUNC(CQ3/VLOOKUP("PCS-30712g",[3]ARBOR!$A:$C,3,0)-1,4)))))</f>
        <v/>
      </c>
      <c r="CS3" s="64" t="str">
        <f>IF(ISERROR(IF(CR3="","",VLOOKUP(($BC3&amp;CR3&amp;"Template de desconto FLAT bundle - Velox XDSL - Varejo"),[3]BENEFICIOS!$A:$E,5,0))),"Criar",IF(CR3="","",VLOOKUP(($BC3&amp;CR3&amp;"Template de desconto FLAT bundle - Velox XDSL - Varejo"),[3]BENEFICIOS!$A:$E,5,0)))</f>
        <v/>
      </c>
      <c r="CT3" s="68"/>
      <c r="CU3" s="69"/>
      <c r="CV3" s="63" t="str">
        <f>IF(CU3=0,"",IF(CU3=VLOOKUP("PCS-30739g",[3]ARBOR!$A:$C,3,0),0.0001,IF(CU3&gt;VLOOKUP("PCS-30739g",[3]ARBOR!$A:$C,3,0),"Maior que CAP!",IF((DOLLAR(CU3+(VLOOKUP("PCS-30739g",[3]ARBOR!$A:$C,3,0)*-TRUNC(CU3/VLOOKUP("PCS-30739g",[3]ARBOR!$A:$C,3,0)-1,4)),6))&lt;&gt;(DOLLAR(VLOOKUP("PCS-30739g",[3]ARBOR!$A:$C,3,0),6)),-TRUNC(CU3/VLOOKUP("PCS-30739g",[3]ARBOR!$A:$C,3,0)-1,4)+0.0001,-TRUNC(CU3/VLOOKUP("PCS-30739g",[3]ARBOR!$A:$C,3,0)-1,4)))))</f>
        <v/>
      </c>
      <c r="CW3" s="64" t="str">
        <f>IF(ISERROR(IF(CV3="","",VLOOKUP(($BC3&amp;CV3&amp;"Template de desconto FLAT bundle - Velox XDSL - Varejo"),[3]BENEFICIOS!$A:$E,5,0))),"Criar",IF(CV3="","",VLOOKUP(($BC3&amp;CV3&amp;"Template de desconto FLAT bundle - Velox XDSL - Varejo"),[3]BENEFICIOS!$A:$E,5,0)))</f>
        <v/>
      </c>
      <c r="CX3" s="70"/>
      <c r="CY3" s="71"/>
      <c r="CZ3" s="63" t="str">
        <f>IF(CX3=0,"",IF(CX3=VLOOKUP("PCS-30739g",[3]ARBOR!$A:$C,3,0),0.0001,IF(CX3&gt;VLOOKUP("PCS-30739g",[3]ARBOR!$A:$C,3,0),"Maior que CAP!",IF((DOLLAR(CX3+(VLOOKUP("PCS-30739g",[3]ARBOR!$A:$C,3,0)*-TRUNC(CX3/VLOOKUP("PCS-30739g",[3]ARBOR!$A:$C,3,0)-1,4)),6))&lt;&gt;(DOLLAR(VLOOKUP("PCS-30739g",[3]ARBOR!$A:$C,3,0),6)),(-TRUNC(CX3/VLOOKUP("PCS-30739g",[3]ARBOR!$A:$C,3,0)-1,4)+0.0001)-CV3,-TRUNC(CX3/VLOOKUP("PCS-30739g",[3]ARBOR!$A:$C,3,0)-1,4)-CV3))))</f>
        <v/>
      </c>
      <c r="DA3" s="64" t="str">
        <f>IF(ISERROR(IF(CZ3="","",VLOOKUP(($BC3&amp;CZ3&amp;"Template de desconto percentual Bundle - Velox XDSL - Varejo"),[3]BENEFICIOS!$A:$E,5,0))),"Criar",IF(CZ3="","",VLOOKUP(($BC3&amp;CZ3&amp;"Template de desconto percentual Bundle - Velox XDSL - Varejo"),[3]BENEFICIOS!$A:$E,5,0)))</f>
        <v/>
      </c>
      <c r="DB3" s="68"/>
      <c r="DC3" s="69"/>
      <c r="DD3" s="63" t="str">
        <f>IF(DC3=0,"",IF(DC3=VLOOKUP("PCS-30766g",[3]ARBOR!$A:$C,3,0),0.0001,IF(DC3&gt;VLOOKUP("PCS-30766g",[3]ARBOR!$A:$C,3,0),"Maior que CAP!",IF((DOLLAR(DC3+(VLOOKUP("PCS-30766g",[3]ARBOR!$A:$C,3,0)*-TRUNC(DC3/VLOOKUP("PCS-30766g",[3]ARBOR!$A:$C,3,0)-1,4)),6))&lt;&gt;(DOLLAR(VLOOKUP("PCS-30766g",[3]ARBOR!$A:$C,3,0),6)),-TRUNC(DC3/VLOOKUP("PCS-30766g",[3]ARBOR!$A:$C,3,0)-1,4)+0.0001,-TRUNC(DC3/VLOOKUP("PCS-30766g",[3]ARBOR!$A:$C,3,0)-1,4)))))</f>
        <v/>
      </c>
      <c r="DE3" s="64" t="str">
        <f>IF(ISERROR(IF(DD3="","",VLOOKUP(($BC3&amp;DD3&amp;"Template de desconto FLAT bundle - Velox XDSL - Varejo"),[3]BENEFICIOS!$A:$E,5,0))),"Criar",IF(DD3="","",VLOOKUP(($BC3&amp;DD3&amp;"Template de desconto FLAT bundle - Velox XDSL - Varejo"),[3]BENEFICIOS!$A:$E,5,0)))</f>
        <v/>
      </c>
      <c r="DF3" s="70"/>
      <c r="DG3" s="71"/>
      <c r="DH3" s="63" t="str">
        <f>IF(DF3=0,"",IF(DF3=VLOOKUP("PCS-30766g",[3]ARBOR!$A:$C,3,0),0.0001,IF(DF3&gt;VLOOKUP("PCS-30766g",[3]ARBOR!$A:$C,3,0),"Maior que CAP!",IF((DOLLAR(DF3+(VLOOKUP("PCS-30766g",[3]ARBOR!$A:$C,3,0)*-TRUNC(DF3/VLOOKUP("PCS-30766g",[3]ARBOR!$A:$C,3,0)-1,4)),6))&lt;&gt;(DOLLAR(VLOOKUP("PCS-30766g",[3]ARBOR!$A:$C,3,0),6)),(-TRUNC(DF3/VLOOKUP("PCS-30766g",[3]ARBOR!$A:$C,3,0)-1,4)+0.0001)-DD3,-TRUNC(DF3/VLOOKUP("PCS-30766g",[3]ARBOR!$A:$C,3,0)-1,4)-DD3))))</f>
        <v/>
      </c>
      <c r="DI3" s="64" t="str">
        <f>IF(ISERROR(IF(DH3="","",VLOOKUP(($BC3&amp;DH3&amp;"Template de desconto percentual Bundle - Velox XDSL - Varejo"),[3]BENEFICIOS!$A:$E,5,0))),"Criar",IF(DH3="","",VLOOKUP(($BC3&amp;DH3&amp;"Template de desconto percentual Bundle - Velox XDSL - Varejo"),[3]BENEFICIOS!$A:$E,5,0)))</f>
        <v/>
      </c>
      <c r="DJ3" s="72"/>
      <c r="DK3" s="70"/>
      <c r="DL3" s="63" t="str">
        <f>IF(DK3=0,"",IF(DK3=VLOOKUP("PCS-30793g",[3]ARBOR!$A:$C,3,0),0.0001,IF(DK3&gt;VLOOKUP("PCS-30793g",[3]ARBOR!$A:$C,3,0),"Maior que CAP!",IF((DOLLAR(DK3+(VLOOKUP("PCS-30793g",[3]ARBOR!$A:$C,3,0)*-TRUNC(DK3/VLOOKUP("PCS-30793g",[3]ARBOR!$A:$C,3,0)-1,4)),6))&lt;&gt;(DOLLAR(VLOOKUP("PCS-30793g",[3]ARBOR!$A:$C,3,0),6)),-TRUNC(DK3/VLOOKUP("PCS-30793g",[3]ARBOR!$A:$C,3,0)-1,4)+0.0001,-TRUNC(DK3/VLOOKUP("PCS-30793g",[3]ARBOR!$A:$C,3,0)-1,4)))))</f>
        <v/>
      </c>
      <c r="DM3" s="64" t="str">
        <f>IF(ISERROR(IF(DL3="","",VLOOKUP(($BC3&amp;DL3&amp;"Template de desconto FLAT bundle - Velox XDSL - Varejo"),[3]BENEFICIOS!$A:$E,5,0))),"Criar",IF(DL3="","",VLOOKUP(($BC3&amp;DL3&amp;"Template de desconto FLAT bundle - Velox XDSL - Varejo"),[3]BENEFICIOS!$A:$E,5,0)))</f>
        <v/>
      </c>
      <c r="DN3" s="70"/>
      <c r="DO3" s="71"/>
      <c r="DP3" s="63" t="str">
        <f>IF(DN3=0,"",IF(DN3=VLOOKUP("PCS-30793g",[3]ARBOR!$A:$C,3,0),0.0001,IF(DN3&gt;VLOOKUP("PCS-30793g",[3]ARBOR!$A:$C,3,0),"Maior que CAP!",IF((DOLLAR(DN3+(VLOOKUP("PCS-30793g",[3]ARBOR!$A:$C,3,0)*-TRUNC(DN3/VLOOKUP("PCS-30793g",[3]ARBOR!$A:$C,3,0)-1,4)),6))&lt;&gt;(DOLLAR(VLOOKUP("PCS-30793g",[3]ARBOR!$A:$C,3,0),6)),(-TRUNC(DN3/VLOOKUP("PCS-30793g",[3]ARBOR!$A:$C,3,0)-1,4)+0.0001)-DL3,-TRUNC(DN3/VLOOKUP("PCS-30793g",[3]ARBOR!$A:$C,3,0)-1,4)-DL3))))</f>
        <v/>
      </c>
      <c r="DQ3" s="64" t="str">
        <f>IF(ISERROR(IF(DP3="","",VLOOKUP(($BC3&amp;DP3&amp;"Template de desconto percentual Bundle - Velox XDSL - Varejo"),[3]BENEFICIOS!$A:$E,5,0))),"Criar",IF(DP3="","",VLOOKUP(($BC3&amp;DP3&amp;"Template de desconto percentual Bundle - Velox XDSL - Varejo"),[3]BENEFICIOS!$A:$E,5,0)))</f>
        <v/>
      </c>
      <c r="DR3" s="68"/>
      <c r="DS3" s="69"/>
      <c r="DT3" s="63" t="str">
        <f>IF(DS3=0,"",IF(DS3=VLOOKUP("PCS-30820g",[3]ARBOR!$A:$C,3,0),0.0001,IF(DS3&gt;VLOOKUP("PCS-30820g",[3]ARBOR!$A:$C,3,0),"Maior que CAP!",IF((DOLLAR(DS3+(VLOOKUP("PCS-30820g",[3]ARBOR!$A:$C,3,0)*-TRUNC(DS3/VLOOKUP("PCS-30820g",[3]ARBOR!$A:$C,3,0)-1,4)),6))&lt;&gt;(DOLLAR(VLOOKUP("PCS-30820g",[3]ARBOR!$A:$C,3,0),6)),-TRUNC(DS3/VLOOKUP("PCS-30820g",[3]ARBOR!$A:$C,3,0)-1,4)+0.0001,-TRUNC(DS3/VLOOKUP("PCS-30820g",[3]ARBOR!$A:$C,3,0)-1,4)))))</f>
        <v/>
      </c>
      <c r="DU3" s="64" t="str">
        <f>IF(ISERROR(IF(DT3="","",VLOOKUP(($BC3&amp;DT3&amp;"Template de desconto FLAT bundle - Velox XDSL - Varejo"),[3]BENEFICIOS!$A:$E,5,0))),"Criar",IF(DT3="","",VLOOKUP(($BC3&amp;DT3&amp;"Template de desconto FLAT bundle - Velox XDSL - Varejo"),[3]BENEFICIOS!$A:$E,5,0)))</f>
        <v/>
      </c>
      <c r="DV3" s="70"/>
      <c r="DW3" s="71"/>
      <c r="DX3" s="63" t="str">
        <f>IF(DV3=0,"",IF(DV3=VLOOKUP("PCS-30820g",[3]ARBOR!$A:$C,3,0),0.0001,IF(DV3&gt;VLOOKUP("PCS-30820g",[3]ARBOR!$A:$C,3,0),"Maior que CAP!",IF((DOLLAR(DV3+(VLOOKUP("PCS-30820g",[3]ARBOR!$A:$C,3,0)*-TRUNC(DV3/VLOOKUP("PCS-30820g",[3]ARBOR!$A:$C,3,0)-1,4)),6))&lt;&gt;(DOLLAR(VLOOKUP("PCS-30820g",[3]ARBOR!$A:$C,3,0),6)),(-TRUNC(DV3/VLOOKUP("PCS-30820g",[3]ARBOR!$A:$C,3,0)-1,4)+0.0001)-DT3,-TRUNC(DV3/VLOOKUP("PCS-30820g",[3]ARBOR!$A:$C,3,0)-1,4)-DT3))))</f>
        <v/>
      </c>
      <c r="DY3" s="64" t="str">
        <f>IF(ISERROR(IF(DX3="","",VLOOKUP(($BC3&amp;DX3&amp;"Template de desconto percentual Bundle - Velox XDSL - Varejo"),[3]BENEFICIOS!$A:$E,5,0))),"Criar",IF(DX3="","",VLOOKUP(($BC3&amp;DX3&amp;"Template de desconto percentual Bundle - Velox XDSL - Varejo"),[3]BENEFICIOS!$A:$E,5,0)))</f>
        <v/>
      </c>
      <c r="DZ3" s="73"/>
      <c r="EA3" s="63" t="str">
        <f>IF(DZ3=0,"",IF(DZ3=VLOOKUP("PCS-21448p2",[3]ARBOR!$A:$C,3,0),0.0001,IF(DZ3&gt;VLOOKUP("PCS-21448p2",[3]ARBOR!$A:$C,3,0),"Maior que CAP!",IF((DOLLAR(DZ3+(VLOOKUP("PCS-21448p2",[3]ARBOR!$A:$C,3,0)*-TRUNC(DZ3/VLOOKUP("PCS-21448p2",[3]ARBOR!$A:$C,3,0)-1,4)),6))&lt;&gt;(DOLLAR(VLOOKUP("PCS-21448p2",[3]ARBOR!$A:$C,3,0),6)),-TRUNC(DZ3/VLOOKUP("PCS-21448p2",[3]ARBOR!$A:$C,3,0)-1,4)+0.0001,-TRUNC(DZ3/VLOOKUP("PCS-21448p2",[3]ARBOR!$A:$C,3,0)-1,4)))))</f>
        <v/>
      </c>
      <c r="EB3" s="64" t="str">
        <f>IF(ISERROR(IF(EA3="","",VLOOKUP(("Oi Conta Total Plug 10GB Downgrade"&amp;EA3&amp;"Template de desconto percentual BL Móvel - Internet Total - Varejo"),[3]BENEFICIOS!$A:$E,5,0))),"Criar",IF(EA3="","",VLOOKUP(("Oi Conta Total Plug 10GB Downgrade"&amp;EA3&amp;"Template de desconto percentual BL Móvel - Internet Total - Varejo"),[3]BENEFICIOS!$A:$E,5,0)))</f>
        <v/>
      </c>
      <c r="EC3" s="74">
        <v>16.5</v>
      </c>
      <c r="ED3" s="75">
        <f>IF(EC3=0,"",IF(EC3=VLOOKUP("SVA",[3]ARBOR!$A:$C,3,0),0.0001,IF(EC3&gt;VLOOKUP("SVA",[3]ARBOR!$A:$C,3,0),"Maior que CAP!",IF((DOLLAR(EC3+(VLOOKUP("SVA",[3]ARBOR!$A:$C,3,0)*-TRUNC(EC3/VLOOKUP("SVA",[3]ARBOR!$A:$C,3,0)-1,4)),6))&lt;&gt;(DOLLAR(VLOOKUP("SVA",[3]ARBOR!$A:$C,3,0),6)),-TRUNC(EC3/VLOOKUP("SVA",[3]ARBOR!$A:$C,3,0)-1,4)+0.0001,-TRUNC(EC3/VLOOKUP("SVA",[3]ARBOR!$A:$C,3,0)-1,4)))))</f>
        <v>0.2301</v>
      </c>
      <c r="EE3" s="76" t="s">
        <v>215</v>
      </c>
      <c r="EF3" s="77"/>
      <c r="EG3" s="78"/>
      <c r="EH3" s="79" t="str">
        <f>IF(EF3="Grátis",0.9999,"")</f>
        <v/>
      </c>
      <c r="EI3" s="76" t="str">
        <f>IF(EH3="S/Desc","S/Desc",IF(ISERROR(IF(EH3="","",VLOOKUP(($BC3&amp;EH3&amp;"Template Desc. % sobre Serviço SVA B2C"),[3]BENEFICIOS!$A:$G,5,0))),"Criar",IF(EH3="","",VLOOKUP(($BC3&amp;EH3&amp;"Template Desc. % sobre Serviço SVA B2C"),[3]BENEFICIOS!$A:$G,5,0))))</f>
        <v/>
      </c>
      <c r="EJ3" s="80" t="s">
        <v>209</v>
      </c>
      <c r="EK3" s="81" t="s">
        <v>216</v>
      </c>
      <c r="EL3" s="82" t="s">
        <v>217</v>
      </c>
      <c r="EM3" s="83" t="s">
        <v>218</v>
      </c>
      <c r="EN3" s="84"/>
      <c r="EO3" s="82"/>
      <c r="EP3" s="83"/>
      <c r="EQ3" s="85" t="s">
        <v>219</v>
      </c>
      <c r="ER3" s="86">
        <f>IF($BI3 = "", "", $BI3 + $CM3)</f>
        <v>70.010000000000005</v>
      </c>
      <c r="ES3" s="87" t="s">
        <v>220</v>
      </c>
      <c r="ET3" s="88" t="s">
        <v>226</v>
      </c>
      <c r="EU3" s="88" t="s">
        <v>227</v>
      </c>
      <c r="EV3" s="88"/>
      <c r="EW3" s="88"/>
      <c r="EX3" s="88"/>
      <c r="EY3" s="88"/>
      <c r="EZ3" s="88"/>
      <c r="FA3" s="88"/>
      <c r="FB3" s="89"/>
    </row>
    <row r="4" spans="1:158" x14ac:dyDescent="0.25">
      <c r="A4" s="90" t="s">
        <v>198</v>
      </c>
      <c r="B4" s="91" t="s">
        <v>199</v>
      </c>
      <c r="C4" s="91" t="s">
        <v>200</v>
      </c>
      <c r="D4" s="92" t="s">
        <v>201</v>
      </c>
      <c r="E4" s="93" t="s">
        <v>202</v>
      </c>
      <c r="F4" s="94" t="s">
        <v>202</v>
      </c>
      <c r="G4" s="94" t="s">
        <v>202</v>
      </c>
      <c r="H4" s="94" t="s">
        <v>202</v>
      </c>
      <c r="I4" s="94"/>
      <c r="J4" s="94" t="s">
        <v>202</v>
      </c>
      <c r="K4" s="94" t="s">
        <v>202</v>
      </c>
      <c r="L4" s="94" t="s">
        <v>202</v>
      </c>
      <c r="M4" s="94" t="s">
        <v>202</v>
      </c>
      <c r="N4" s="94" t="s">
        <v>202</v>
      </c>
      <c r="O4" s="94" t="s">
        <v>202</v>
      </c>
      <c r="P4" s="94" t="s">
        <v>202</v>
      </c>
      <c r="Q4" s="94" t="s">
        <v>202</v>
      </c>
      <c r="R4" s="94" t="s">
        <v>202</v>
      </c>
      <c r="S4" s="94" t="s">
        <v>202</v>
      </c>
      <c r="T4" s="95" t="s">
        <v>202</v>
      </c>
      <c r="U4" s="94" t="s">
        <v>202</v>
      </c>
      <c r="V4" s="95" t="s">
        <v>202</v>
      </c>
      <c r="W4" s="94" t="s">
        <v>202</v>
      </c>
      <c r="X4" s="94" t="s">
        <v>202</v>
      </c>
      <c r="Y4" s="94" t="s">
        <v>202</v>
      </c>
      <c r="Z4" s="94" t="s">
        <v>202</v>
      </c>
      <c r="AA4" s="95" t="s">
        <v>202</v>
      </c>
      <c r="AB4" s="94"/>
      <c r="AC4" s="96"/>
      <c r="AD4" s="94"/>
      <c r="AE4" s="94"/>
      <c r="AF4" s="94" t="s">
        <v>202</v>
      </c>
      <c r="AG4" s="94" t="s">
        <v>202</v>
      </c>
      <c r="AH4" s="94" t="s">
        <v>202</v>
      </c>
      <c r="AI4" s="94"/>
      <c r="AJ4" s="94"/>
      <c r="AK4" s="94"/>
      <c r="AL4" s="97"/>
      <c r="AM4" s="98" t="s">
        <v>221</v>
      </c>
      <c r="AN4" s="99" t="s">
        <v>204</v>
      </c>
      <c r="AO4" s="99" t="s">
        <v>222</v>
      </c>
      <c r="AP4" s="100">
        <v>42912</v>
      </c>
      <c r="AQ4" s="101">
        <v>43004</v>
      </c>
      <c r="AR4" s="102" t="s">
        <v>206</v>
      </c>
      <c r="AS4" s="103" t="s">
        <v>206</v>
      </c>
      <c r="AT4" s="104"/>
      <c r="AU4" s="104" t="s">
        <v>207</v>
      </c>
      <c r="AV4" s="104">
        <v>20</v>
      </c>
      <c r="AW4" s="104">
        <v>10000</v>
      </c>
      <c r="AX4" s="105" t="s">
        <v>208</v>
      </c>
      <c r="AY4" s="106" t="s">
        <v>209</v>
      </c>
      <c r="AZ4" s="107" t="s">
        <v>209</v>
      </c>
      <c r="BA4" s="108" t="s">
        <v>209</v>
      </c>
      <c r="BB4" s="98" t="s">
        <v>221</v>
      </c>
      <c r="BC4" s="109" t="s">
        <v>210</v>
      </c>
      <c r="BD4" s="110" t="str">
        <f t="shared" ref="BD4:BD22" si="0">IF(BC4="Oi Total Fixo + Banda Larga 1","PCS-2PFBL1",IF(BC4="Oi Total Fixo + Banda Larga 2","PCS-2PFBL2",IF(BC4="Oi Total Fixo + Banda Larga 3","PCS-2PFBL3","")))</f>
        <v>PCS-2PFBL1</v>
      </c>
      <c r="BE4" s="111" t="s">
        <v>201</v>
      </c>
      <c r="BF4" s="112" t="s">
        <v>211</v>
      </c>
      <c r="BG4" s="113">
        <v>12</v>
      </c>
      <c r="BH4" s="114">
        <v>144</v>
      </c>
      <c r="BI4" s="115">
        <v>70.010000000000005</v>
      </c>
      <c r="BJ4" s="116">
        <f>IF(BI4=0,"",IF(BI4=VLOOKUP("FIXO",[3]ARBOR!$A:$C,3,0),0.0001,IF(BI4&gt;VLOOKUP("FIXO",[3]ARBOR!$A:$C,3,0),"Maior que CAP!",IF((DOLLAR(BI4+(VLOOKUP("FIXO",[3]ARBOR!$A:$C,3,0)*-TRUNC(BI4/VLOOKUP("FIXO",[3]ARBOR!$A:$C,3,0)-1,4)),6))&lt;&gt;(DOLLAR(VLOOKUP("FIXO",[3]ARBOR!$A:$C,3,0),6)),-TRUNC(BI4/VLOOKUP("FIXO",[3]ARBOR!$A:$C,3,0)-1,4)+0.0001,-TRUNC(BI4/VLOOKUP("FIXO",[3]ARBOR!$A:$C,3,0)-1,4)))))</f>
        <v>7.6899999999999996E-2</v>
      </c>
      <c r="BK4" s="117" t="str">
        <f>IF(ISERROR(IF(BJ4="","",VLOOKUP(($BC4&amp;BJ4&amp;"Template de desconto FLAT bundle - Fixo - Varejo - Ganho Tributário Cross"),[3]BENEFICIOS!$A:$E,5,0))),"Criar",IF(BJ4="","",VLOOKUP(($BC4&amp;BJ4&amp;"Template de desconto FLAT bundle - Fixo - Varejo - Ganho Tributário Cross"),[3]BENEFICIOS!$A:$E,5,0)))</f>
        <v>Criar</v>
      </c>
      <c r="BL4" s="65" t="s">
        <v>212</v>
      </c>
      <c r="BM4" s="66" t="s">
        <v>213</v>
      </c>
      <c r="BN4" s="111" t="s">
        <v>201</v>
      </c>
      <c r="BO4" s="112" t="s">
        <v>214</v>
      </c>
      <c r="BP4" s="118">
        <v>12</v>
      </c>
      <c r="BQ4" s="118">
        <v>60</v>
      </c>
      <c r="BR4" s="119" t="s">
        <v>173</v>
      </c>
      <c r="BS4" s="120">
        <v>84.9</v>
      </c>
      <c r="BT4" s="116">
        <f>IF(BS4=0,"",IF(BS4=VLOOKUP("PCS-30874g",[3]ARBOR!$A:$C,3,0),0.0001,IF(BS4&gt;VLOOKUP("PCS-30874g",[3]ARBOR!$A:$C,3,0),"Maior que CAP!",IF((DOLLAR(BS4+(VLOOKUP("PCS-30874g",[3]ARBOR!$A:$C,3,0)*-TRUNC(BS4/VLOOKUP("PCS-30874g",[3]ARBOR!$A:$C,3,0)-1,4)),6))&lt;&gt;(DOLLAR(VLOOKUP("PCS-30874g",[3]ARBOR!$A:$C,3,0),6)),-TRUNC(BS4/VLOOKUP("PCS-30874g",[3]ARBOR!$A:$C,3,0)-1,4)+0.0001,-TRUNC(BS4/VLOOKUP("PCS-30874g",[3]ARBOR!$A:$C,3,0)-1,4)))))</f>
        <v>0.1242</v>
      </c>
      <c r="BU4" s="117" t="str">
        <f>IF(ISERROR(IF(BT4="","",VLOOKUP(($BC4&amp;BT4&amp;"Template de desconto FLAT bundle - Velox XDSL - Varejo"),[3]BENEFICIOS!$A:$E,5,0))),"Criar",IF(BT4="","",VLOOKUP(($BC4&amp;BT4&amp;"Template de desconto FLAT bundle - Velox XDSL - Varejo"),[3]BENEFICIOS!$A:$E,5,0)))</f>
        <v>Criar</v>
      </c>
      <c r="BV4" s="119" t="s">
        <v>173</v>
      </c>
      <c r="BW4" s="120">
        <v>84.9</v>
      </c>
      <c r="BX4" s="116">
        <f>IF(BW4=0,"",IF(BW4=VLOOKUP("PCS-30577g",[3]ARBOR!$A:$C,3,0),0.0001,IF(BW4&gt;VLOOKUP("PCS-30577g",[3]ARBOR!$A:$C,3,0),"Maior que CAP!",IF((DOLLAR(BW4+(VLOOKUP("PCS-30577g",[3]ARBOR!$A:$C,3,0)*-TRUNC(BW4/VLOOKUP("PCS-30577g",[3]ARBOR!$A:$C,3,0)-1,4)),6))&lt;&gt;(DOLLAR(VLOOKUP("PCS-30577g",[3]ARBOR!$A:$C,3,0),6)),-TRUNC(BW4/VLOOKUP("PCS-30577g",[3]ARBOR!$A:$C,3,0)-1,4)+0.0001,-TRUNC(BW4/VLOOKUP("PCS-30577g",[3]ARBOR!$A:$C,3,0)-1,4)))))</f>
        <v>0.1242</v>
      </c>
      <c r="BY4" s="117" t="str">
        <f>IF(ISERROR(IF(BX4="","",VLOOKUP(($BC4&amp;BX4&amp;"Template de desconto FLAT bundle - Velox XDSL - Varejo"),[3]BENEFICIOS!$A:$E,5,0))),"Criar",IF(BX4="","",VLOOKUP(($BC4&amp;BX4&amp;"Template de desconto FLAT bundle - Velox XDSL - Varejo"),[3]BENEFICIOS!$A:$E,5,0)))</f>
        <v>Criar</v>
      </c>
      <c r="BZ4" s="119" t="s">
        <v>173</v>
      </c>
      <c r="CA4" s="120">
        <v>84.9</v>
      </c>
      <c r="CB4" s="116">
        <f>IF(CA4=0,"",IF(CA4=VLOOKUP("PCS-30604g",[3]ARBOR!$A:$C,3,0),0.0001,IF(CA4&gt;VLOOKUP("PCS-30604g",[3]ARBOR!$A:$C,3,0),"Maior que CAP!",IF((DOLLAR(CA4+(VLOOKUP("PCS-30604g",[3]ARBOR!$A:$C,3,0)*-TRUNC(CA4/VLOOKUP("PCS-30604g",[3]ARBOR!$A:$C,3,0)-1,4)),6))&lt;&gt;(DOLLAR(VLOOKUP("PCS-30604g",[3]ARBOR!$A:$C,3,0),6)),-TRUNC(CA4/VLOOKUP("PCS-30604g",[3]ARBOR!$A:$C,3,0)-1,4)+0.0001,-TRUNC(CA4/VLOOKUP("PCS-30604g",[3]ARBOR!$A:$C,3,0)-1,4)))))</f>
        <v>0.1242</v>
      </c>
      <c r="CC4" s="117" t="str">
        <f>IF(ISERROR(IF(CB4="","",VLOOKUP(($BC4&amp;CB4&amp;"Template de desconto FLAT bundle - Velox XDSL - Varejo"),[3]BENEFICIOS!$A:$E,5,0))),"Criar",IF(CB4="","",VLOOKUP(($BC4&amp;CB4&amp;"Template de desconto FLAT bundle - Velox XDSL - Varejo"),[3]BENEFICIOS!$A:$E,5,0)))</f>
        <v>Criar</v>
      </c>
      <c r="CD4" s="119" t="s">
        <v>173</v>
      </c>
      <c r="CE4" s="120">
        <v>84.9</v>
      </c>
      <c r="CF4" s="116">
        <f>IF(CE4=0,"",IF(CE4=VLOOKUP("PCS-30631g",[3]ARBOR!$A:$C,3,0),0.0001,IF(CE4&gt;VLOOKUP("PCS-30631g",[3]ARBOR!$A:$C,3,0),"Maior que CAP!",IF((DOLLAR(CE4+(VLOOKUP("PCS-30631g",[3]ARBOR!$A:$C,3,0)*-TRUNC(CE4/VLOOKUP("PCS-30631g",[3]ARBOR!$A:$C,3,0)-1,4)),6))&lt;&gt;(DOLLAR(VLOOKUP("PCS-30631g",[3]ARBOR!$A:$C,3,0),6)),-TRUNC(CE4/VLOOKUP("PCS-30631g",[3]ARBOR!$A:$C,3,0)-1,4)+0.0001,-TRUNC(CE4/VLOOKUP("PCS-30631g",[3]ARBOR!$A:$C,3,0)-1,4)))))</f>
        <v>0.13599999999999998</v>
      </c>
      <c r="CG4" s="117" t="str">
        <f>IF(ISERROR(IF(CF4="","",VLOOKUP(($BC4&amp;CF4&amp;"Template de desconto FLAT bundle - Velox XDSL - Varejo"),[3]BENEFICIOS!$A:$E,5,0))),"Criar",IF(CF4="","",VLOOKUP(($BC4&amp;CF4&amp;"Template de desconto FLAT bundle - Velox XDSL - Varejo"),[3]BENEFICIOS!$A:$E,5,0)))</f>
        <v>Criar</v>
      </c>
      <c r="CH4" s="119"/>
      <c r="CI4" s="120"/>
      <c r="CJ4" s="116" t="str">
        <f>IF(CI4=0,"",IF(CI4=VLOOKUP("PCS-30658g",[3]ARBOR!$A:$C,3,0),0.0001,IF(CI4&gt;VLOOKUP("PCS-30658g",[3]ARBOR!$A:$C,3,0),"Maior que CAP!",IF((DOLLAR(CI4+(VLOOKUP("PCS-30658g",[3]ARBOR!$A:$C,3,0)*-TRUNC(CI4/VLOOKUP("PCS-30658g",[3]ARBOR!$A:$C,3,0)-1,4)),6))&lt;&gt;(DOLLAR(VLOOKUP("PCS-30658g",[3]ARBOR!$A:$C,3,0),6)),-TRUNC(CI4/VLOOKUP("PCS-30658g",[3]ARBOR!$A:$C,3,0)-1,4)+0.0001,-TRUNC(CI4/VLOOKUP("PCS-30658g",[3]ARBOR!$A:$C,3,0)-1,4)))))</f>
        <v/>
      </c>
      <c r="CK4" s="117" t="str">
        <f>IF(ISERROR(IF(CJ4="","",VLOOKUP(($BC4&amp;CJ4&amp;"Template de desconto FLAT bundle - Velox XDSL - Varejo"),[3]BENEFICIOS!$A:$E,5,0))),"Criar",IF(CJ4="","",VLOOKUP(($BC4&amp;CJ4&amp;"Template de desconto FLAT bundle - Velox XDSL - Varejo"),[3]BENEFICIOS!$A:$E,5,0)))</f>
        <v/>
      </c>
      <c r="CL4" s="119"/>
      <c r="CM4" s="120"/>
      <c r="CN4" s="116" t="str">
        <f>IF(CM4=0,"",IF(CM4=VLOOKUP("PCS-30685g",[3]ARBOR!$A:$C,3,0),0.0001,IF(CM4&gt;VLOOKUP("PCS-30685g",[3]ARBOR!$A:$C,3,0),"Maior que CAP!",IF((DOLLAR(CM4+(VLOOKUP("PCS-30685g",[3]ARBOR!$A:$C,3,0)*-TRUNC(CM4/VLOOKUP("PCS-30685g",[3]ARBOR!$A:$C,3,0)-1,4)),6))&lt;&gt;(DOLLAR(VLOOKUP("PCS-30685g",[3]ARBOR!$A:$C,3,0),6)),-TRUNC(CM4/VLOOKUP("PCS-30685g",[3]ARBOR!$A:$C,3,0)-1,4)+0.0001,-TRUNC(CM4/VLOOKUP("PCS-30685g",[3]ARBOR!$A:$C,3,0)-1,4)))))</f>
        <v/>
      </c>
      <c r="CO4" s="117" t="str">
        <f>IF(ISERROR(IF(CN4="","",VLOOKUP(($BC4&amp;CN4&amp;"Template de desconto FLAT bundle - Velox XDSL - Varejo"),[3]BENEFICIOS!$A:$E,5,0))),"Criar",IF(CN4="","",VLOOKUP(($BC4&amp;CN4&amp;"Template de desconto FLAT bundle - Velox XDSL - Varejo"),[3]BENEFICIOS!$A:$E,5,0)))</f>
        <v/>
      </c>
      <c r="CP4" s="119"/>
      <c r="CQ4" s="120"/>
      <c r="CR4" s="116" t="str">
        <f>IF(CQ4=0,"",IF(CQ4=VLOOKUP("PCS-30712g",[3]ARBOR!$A:$C,3,0),0.0001,IF(CQ4&gt;VLOOKUP("PCS-30712g",[3]ARBOR!$A:$C,3,0),"Maior que CAP!",IF((DOLLAR(CQ4+(VLOOKUP("PCS-30712g",[3]ARBOR!$A:$C,3,0)*-TRUNC(CQ4/VLOOKUP("PCS-30712g",[3]ARBOR!$A:$C,3,0)-1,4)),6))&lt;&gt;(DOLLAR(VLOOKUP("PCS-30712g",[3]ARBOR!$A:$C,3,0),6)),-TRUNC(CQ4/VLOOKUP("PCS-30712g",[3]ARBOR!$A:$C,3,0)-1,4)+0.0001,-TRUNC(CQ4/VLOOKUP("PCS-30712g",[3]ARBOR!$A:$C,3,0)-1,4)))))</f>
        <v/>
      </c>
      <c r="CS4" s="117" t="str">
        <f>IF(ISERROR(IF(CR4="","",VLOOKUP(($BC4&amp;CR4&amp;"Template de desconto FLAT bundle - Velox XDSL - Varejo"),[3]BENEFICIOS!$A:$E,5,0))),"Criar",IF(CR4="","",VLOOKUP(($BC4&amp;CR4&amp;"Template de desconto FLAT bundle - Velox XDSL - Varejo"),[3]BENEFICIOS!$A:$E,5,0)))</f>
        <v/>
      </c>
      <c r="CT4" s="119"/>
      <c r="CU4" s="120"/>
      <c r="CV4" s="116" t="str">
        <f>IF(CU4=0,"",IF(CU4=VLOOKUP("PCS-30739g",[3]ARBOR!$A:$C,3,0),0.0001,IF(CU4&gt;VLOOKUP("PCS-30739g",[3]ARBOR!$A:$C,3,0),"Maior que CAP!",IF((DOLLAR(CU4+(VLOOKUP("PCS-30739g",[3]ARBOR!$A:$C,3,0)*-TRUNC(CU4/VLOOKUP("PCS-30739g",[3]ARBOR!$A:$C,3,0)-1,4)),6))&lt;&gt;(DOLLAR(VLOOKUP("PCS-30739g",[3]ARBOR!$A:$C,3,0),6)),-TRUNC(CU4/VLOOKUP("PCS-30739g",[3]ARBOR!$A:$C,3,0)-1,4)+0.0001,-TRUNC(CU4/VLOOKUP("PCS-30739g",[3]ARBOR!$A:$C,3,0)-1,4)))))</f>
        <v/>
      </c>
      <c r="CW4" s="117" t="str">
        <f>IF(ISERROR(IF(CV4="","",VLOOKUP(($BC4&amp;CV4&amp;"Template de desconto FLAT bundle - Velox XDSL - Varejo"),[3]BENEFICIOS!$A:$E,5,0))),"Criar",IF(CV4="","",VLOOKUP(($BC4&amp;CV4&amp;"Template de desconto FLAT bundle - Velox XDSL - Varejo"),[3]BENEFICIOS!$A:$E,5,0)))</f>
        <v/>
      </c>
      <c r="CX4" s="121"/>
      <c r="CY4" s="122"/>
      <c r="CZ4" s="116" t="str">
        <f>IF(CX4=0,"",IF(CX4=VLOOKUP("PCS-30739g",[3]ARBOR!$A:$C,3,0),0.0001,IF(CX4&gt;VLOOKUP("PCS-30739g",[3]ARBOR!$A:$C,3,0),"Maior que CAP!",IF((DOLLAR(CX4+(VLOOKUP("PCS-30739g",[3]ARBOR!$A:$C,3,0)*-TRUNC(CX4/VLOOKUP("PCS-30739g",[3]ARBOR!$A:$C,3,0)-1,4)),6))&lt;&gt;(DOLLAR(VLOOKUP("PCS-30739g",[3]ARBOR!$A:$C,3,0),6)),(-TRUNC(CX4/VLOOKUP("PCS-30739g",[3]ARBOR!$A:$C,3,0)-1,4)+0.0001)-CV4,-TRUNC(CX4/VLOOKUP("PCS-30739g",[3]ARBOR!$A:$C,3,0)-1,4)-CV4))))</f>
        <v/>
      </c>
      <c r="DA4" s="117" t="str">
        <f>IF(ISERROR(IF(CZ4="","",VLOOKUP(($BC4&amp;CZ4&amp;"Template de desconto percentual Bundle - Velox XDSL - Varejo"),[3]BENEFICIOS!$A:$E,5,0))),"Criar",IF(CZ4="","",VLOOKUP(($BC4&amp;CZ4&amp;"Template de desconto percentual Bundle - Velox XDSL - Varejo"),[3]BENEFICIOS!$A:$E,5,0)))</f>
        <v/>
      </c>
      <c r="DB4" s="119"/>
      <c r="DC4" s="120"/>
      <c r="DD4" s="116" t="str">
        <f>IF(DC4=0,"",IF(DC4=VLOOKUP("PCS-30766g",[3]ARBOR!$A:$C,3,0),0.0001,IF(DC4&gt;VLOOKUP("PCS-30766g",[3]ARBOR!$A:$C,3,0),"Maior que CAP!",IF((DOLLAR(DC4+(VLOOKUP("PCS-30766g",[3]ARBOR!$A:$C,3,0)*-TRUNC(DC4/VLOOKUP("PCS-30766g",[3]ARBOR!$A:$C,3,0)-1,4)),6))&lt;&gt;(DOLLAR(VLOOKUP("PCS-30766g",[3]ARBOR!$A:$C,3,0),6)),-TRUNC(DC4/VLOOKUP("PCS-30766g",[3]ARBOR!$A:$C,3,0)-1,4)+0.0001,-TRUNC(DC4/VLOOKUP("PCS-30766g",[3]ARBOR!$A:$C,3,0)-1,4)))))</f>
        <v/>
      </c>
      <c r="DE4" s="117" t="str">
        <f>IF(ISERROR(IF(DD4="","",VLOOKUP(($BC4&amp;DD4&amp;"Template de desconto FLAT bundle - Velox XDSL - Varejo"),[3]BENEFICIOS!$A:$E,5,0))),"Criar",IF(DD4="","",VLOOKUP(($BC4&amp;DD4&amp;"Template de desconto FLAT bundle - Velox XDSL - Varejo"),[3]BENEFICIOS!$A:$E,5,0)))</f>
        <v/>
      </c>
      <c r="DF4" s="121"/>
      <c r="DG4" s="122"/>
      <c r="DH4" s="116" t="str">
        <f>IF(DF4=0,"",IF(DF4=VLOOKUP("PCS-30766g",[3]ARBOR!$A:$C,3,0),0.0001,IF(DF4&gt;VLOOKUP("PCS-30766g",[3]ARBOR!$A:$C,3,0),"Maior que CAP!",IF((DOLLAR(DF4+(VLOOKUP("PCS-30766g",[3]ARBOR!$A:$C,3,0)*-TRUNC(DF4/VLOOKUP("PCS-30766g",[3]ARBOR!$A:$C,3,0)-1,4)),6))&lt;&gt;(DOLLAR(VLOOKUP("PCS-30766g",[3]ARBOR!$A:$C,3,0),6)),(-TRUNC(DF4/VLOOKUP("PCS-30766g",[3]ARBOR!$A:$C,3,0)-1,4)+0.0001)-DD4,-TRUNC(DF4/VLOOKUP("PCS-30766g",[3]ARBOR!$A:$C,3,0)-1,4)-DD4))))</f>
        <v/>
      </c>
      <c r="DI4" s="117" t="str">
        <f>IF(ISERROR(IF(DH4="","",VLOOKUP(($BC4&amp;DH4&amp;"Template de desconto percentual Bundle - Velox XDSL - Varejo"),[3]BENEFICIOS!$A:$E,5,0))),"Criar",IF(DH4="","",VLOOKUP(($BC4&amp;DH4&amp;"Template de desconto percentual Bundle - Velox XDSL - Varejo"),[3]BENEFICIOS!$A:$E,5,0)))</f>
        <v/>
      </c>
      <c r="DJ4" s="123"/>
      <c r="DK4" s="121"/>
      <c r="DL4" s="116" t="str">
        <f>IF(DK4=0,"",IF(DK4=VLOOKUP("PCS-30793g",[3]ARBOR!$A:$C,3,0),0.0001,IF(DK4&gt;VLOOKUP("PCS-30793g",[3]ARBOR!$A:$C,3,0),"Maior que CAP!",IF((DOLLAR(DK4+(VLOOKUP("PCS-30793g",[3]ARBOR!$A:$C,3,0)*-TRUNC(DK4/VLOOKUP("PCS-30793g",[3]ARBOR!$A:$C,3,0)-1,4)),6))&lt;&gt;(DOLLAR(VLOOKUP("PCS-30793g",[3]ARBOR!$A:$C,3,0),6)),-TRUNC(DK4/VLOOKUP("PCS-30793g",[3]ARBOR!$A:$C,3,0)-1,4)+0.0001,-TRUNC(DK4/VLOOKUP("PCS-30793g",[3]ARBOR!$A:$C,3,0)-1,4)))))</f>
        <v/>
      </c>
      <c r="DM4" s="117" t="str">
        <f>IF(ISERROR(IF(DL4="","",VLOOKUP(($BC4&amp;DL4&amp;"Template de desconto FLAT bundle - Velox XDSL - Varejo"),[3]BENEFICIOS!$A:$E,5,0))),"Criar",IF(DL4="","",VLOOKUP(($BC4&amp;DL4&amp;"Template de desconto FLAT bundle - Velox XDSL - Varejo"),[3]BENEFICIOS!$A:$E,5,0)))</f>
        <v/>
      </c>
      <c r="DN4" s="121"/>
      <c r="DO4" s="122"/>
      <c r="DP4" s="116" t="str">
        <f>IF(DN4=0,"",IF(DN4=VLOOKUP("PCS-30793g",[3]ARBOR!$A:$C,3,0),0.0001,IF(DN4&gt;VLOOKUP("PCS-30793g",[3]ARBOR!$A:$C,3,0),"Maior que CAP!",IF((DOLLAR(DN4+(VLOOKUP("PCS-30793g",[3]ARBOR!$A:$C,3,0)*-TRUNC(DN4/VLOOKUP("PCS-30793g",[3]ARBOR!$A:$C,3,0)-1,4)),6))&lt;&gt;(DOLLAR(VLOOKUP("PCS-30793g",[3]ARBOR!$A:$C,3,0),6)),(-TRUNC(DN4/VLOOKUP("PCS-30793g",[3]ARBOR!$A:$C,3,0)-1,4)+0.0001)-DL4,-TRUNC(DN4/VLOOKUP("PCS-30793g",[3]ARBOR!$A:$C,3,0)-1,4)-DL4))))</f>
        <v/>
      </c>
      <c r="DQ4" s="117" t="str">
        <f>IF(ISERROR(IF(DP4="","",VLOOKUP(($BC4&amp;DP4&amp;"Template de desconto percentual Bundle - Velox XDSL - Varejo"),[3]BENEFICIOS!$A:$E,5,0))),"Criar",IF(DP4="","",VLOOKUP(($BC4&amp;DP4&amp;"Template de desconto percentual Bundle - Velox XDSL - Varejo"),[3]BENEFICIOS!$A:$E,5,0)))</f>
        <v/>
      </c>
      <c r="DR4" s="119"/>
      <c r="DS4" s="120"/>
      <c r="DT4" s="116" t="str">
        <f>IF(DS4=0,"",IF(DS4=VLOOKUP("PCS-30820g",[3]ARBOR!$A:$C,3,0),0.0001,IF(DS4&gt;VLOOKUP("PCS-30820g",[3]ARBOR!$A:$C,3,0),"Maior que CAP!",IF((DOLLAR(DS4+(VLOOKUP("PCS-30820g",[3]ARBOR!$A:$C,3,0)*-TRUNC(DS4/VLOOKUP("PCS-30820g",[3]ARBOR!$A:$C,3,0)-1,4)),6))&lt;&gt;(DOLLAR(VLOOKUP("PCS-30820g",[3]ARBOR!$A:$C,3,0),6)),-TRUNC(DS4/VLOOKUP("PCS-30820g",[3]ARBOR!$A:$C,3,0)-1,4)+0.0001,-TRUNC(DS4/VLOOKUP("PCS-30820g",[3]ARBOR!$A:$C,3,0)-1,4)))))</f>
        <v/>
      </c>
      <c r="DU4" s="117" t="str">
        <f>IF(ISERROR(IF(DT4="","",VLOOKUP(($BC4&amp;DT4&amp;"Template de desconto FLAT bundle - Velox XDSL - Varejo"),[3]BENEFICIOS!$A:$E,5,0))),"Criar",IF(DT4="","",VLOOKUP(($BC4&amp;DT4&amp;"Template de desconto FLAT bundle - Velox XDSL - Varejo"),[3]BENEFICIOS!$A:$E,5,0)))</f>
        <v/>
      </c>
      <c r="DV4" s="121"/>
      <c r="DW4" s="122"/>
      <c r="DX4" s="116" t="str">
        <f>IF(DV4=0,"",IF(DV4=VLOOKUP("PCS-30820g",[3]ARBOR!$A:$C,3,0),0.0001,IF(DV4&gt;VLOOKUP("PCS-30820g",[3]ARBOR!$A:$C,3,0),"Maior que CAP!",IF((DOLLAR(DV4+(VLOOKUP("PCS-30820g",[3]ARBOR!$A:$C,3,0)*-TRUNC(DV4/VLOOKUP("PCS-30820g",[3]ARBOR!$A:$C,3,0)-1,4)),6))&lt;&gt;(DOLLAR(VLOOKUP("PCS-30820g",[3]ARBOR!$A:$C,3,0),6)),(-TRUNC(DV4/VLOOKUP("PCS-30820g",[3]ARBOR!$A:$C,3,0)-1,4)+0.0001)-DT4,-TRUNC(DV4/VLOOKUP("PCS-30820g",[3]ARBOR!$A:$C,3,0)-1,4)-DT4))))</f>
        <v/>
      </c>
      <c r="DY4" s="117" t="str">
        <f>IF(ISERROR(IF(DX4="","",VLOOKUP(($BC4&amp;DX4&amp;"Template de desconto percentual Bundle - Velox XDSL - Varejo"),[3]BENEFICIOS!$A:$E,5,0))),"Criar",IF(DX4="","",VLOOKUP(($BC4&amp;DX4&amp;"Template de desconto percentual Bundle - Velox XDSL - Varejo"),[3]BENEFICIOS!$A:$E,5,0)))</f>
        <v/>
      </c>
      <c r="DZ4" s="124"/>
      <c r="EA4" s="116" t="str">
        <f>IF(DZ4=0,"",IF(DZ4=VLOOKUP("PCS-21448p2",[3]ARBOR!$A:$C,3,0),0.0001,IF(DZ4&gt;VLOOKUP("PCS-21448p2",[3]ARBOR!$A:$C,3,0),"Maior que CAP!",IF((DOLLAR(DZ4+(VLOOKUP("PCS-21448p2",[3]ARBOR!$A:$C,3,0)*-TRUNC(DZ4/VLOOKUP("PCS-21448p2",[3]ARBOR!$A:$C,3,0)-1,4)),6))&lt;&gt;(DOLLAR(VLOOKUP("PCS-21448p2",[3]ARBOR!$A:$C,3,0),6)),-TRUNC(DZ4/VLOOKUP("PCS-21448p2",[3]ARBOR!$A:$C,3,0)-1,4)+0.0001,-TRUNC(DZ4/VLOOKUP("PCS-21448p2",[3]ARBOR!$A:$C,3,0)-1,4)))))</f>
        <v/>
      </c>
      <c r="EB4" s="117" t="str">
        <f>IF(ISERROR(IF(EA4="","",VLOOKUP(("Oi Conta Total Plug 10GB Downgrade"&amp;EA4&amp;"Template de desconto percentual BL Móvel - Internet Total - Varejo"),[3]BENEFICIOS!$A:$E,5,0))),"Criar",IF(EA4="","",VLOOKUP(("Oi Conta Total Plug 10GB Downgrade"&amp;EA4&amp;"Template de desconto percentual BL Móvel - Internet Total - Varejo"),[3]BENEFICIOS!$A:$E,5,0)))</f>
        <v/>
      </c>
      <c r="EC4" s="125">
        <v>16.5</v>
      </c>
      <c r="ED4" s="126">
        <f>IF(EC4=0,"",IF(EC4=VLOOKUP("SVA",[3]ARBOR!$A:$C,3,0),0.0001,IF(EC4&gt;VLOOKUP("SVA",[3]ARBOR!$A:$C,3,0),"Maior que CAP!",IF((DOLLAR(EC4+(VLOOKUP("SVA",[3]ARBOR!$A:$C,3,0)*-TRUNC(EC4/VLOOKUP("SVA",[3]ARBOR!$A:$C,3,0)-1,4)),6))&lt;&gt;(DOLLAR(VLOOKUP("SVA",[3]ARBOR!$A:$C,3,0),6)),-TRUNC(EC4/VLOOKUP("SVA",[3]ARBOR!$A:$C,3,0)-1,4)+0.0001,-TRUNC(EC4/VLOOKUP("SVA",[3]ARBOR!$A:$C,3,0)-1,4)))))</f>
        <v>0.2301</v>
      </c>
      <c r="EE4" s="127" t="s">
        <v>215</v>
      </c>
      <c r="EF4" s="128"/>
      <c r="EG4" s="129"/>
      <c r="EH4" s="130" t="str">
        <f t="shared" ref="EH4:EH22" si="1">IF(EF4="Grátis",0.9999,"")</f>
        <v/>
      </c>
      <c r="EI4" s="127" t="str">
        <f>IF(EH4="S/Desc","S/Desc",IF(ISERROR(IF(EH4="","",VLOOKUP(($BC4&amp;EH4&amp;"Template Desc. % sobre Serviço SVA B2C"),[3]BENEFICIOS!$A:$G,5,0))),"Criar",IF(EH4="","",VLOOKUP(($BC4&amp;EH4&amp;"Template Desc. % sobre Serviço SVA B2C"),[3]BENEFICIOS!$A:$G,5,0))))</f>
        <v/>
      </c>
      <c r="EJ4" s="131" t="s">
        <v>209</v>
      </c>
      <c r="EK4" s="132" t="s">
        <v>223</v>
      </c>
      <c r="EL4" s="133" t="s">
        <v>224</v>
      </c>
      <c r="EM4" s="134" t="s">
        <v>225</v>
      </c>
      <c r="EN4" s="135"/>
      <c r="EO4" s="133"/>
      <c r="EP4" s="134"/>
      <c r="EQ4" s="136" t="s">
        <v>219</v>
      </c>
      <c r="ER4" s="137">
        <f t="shared" ref="ER4:ER22" si="2">IF($BI4 = "", "", $BI4 + $CM4)</f>
        <v>70.010000000000005</v>
      </c>
      <c r="ES4" s="138" t="s">
        <v>220</v>
      </c>
      <c r="ET4" s="139" t="s">
        <v>228</v>
      </c>
      <c r="EU4" s="139" t="s">
        <v>227</v>
      </c>
      <c r="EV4" s="139"/>
      <c r="EW4" s="139"/>
      <c r="EX4" s="139"/>
      <c r="EY4" s="139"/>
      <c r="EZ4" s="139"/>
      <c r="FA4" s="139"/>
      <c r="FB4" s="140"/>
    </row>
    <row r="5" spans="1:158" x14ac:dyDescent="0.25">
      <c r="A5" s="90" t="s">
        <v>198</v>
      </c>
      <c r="B5" s="91" t="s">
        <v>199</v>
      </c>
      <c r="C5" s="91" t="s">
        <v>200</v>
      </c>
      <c r="D5" s="92" t="s">
        <v>201</v>
      </c>
      <c r="E5" s="93" t="s">
        <v>202</v>
      </c>
      <c r="F5" s="94" t="s">
        <v>202</v>
      </c>
      <c r="G5" s="94" t="s">
        <v>202</v>
      </c>
      <c r="H5" s="94" t="s">
        <v>202</v>
      </c>
      <c r="I5" s="94"/>
      <c r="J5" s="94" t="s">
        <v>202</v>
      </c>
      <c r="K5" s="94" t="s">
        <v>202</v>
      </c>
      <c r="L5" s="94" t="s">
        <v>202</v>
      </c>
      <c r="M5" s="94" t="s">
        <v>202</v>
      </c>
      <c r="N5" s="94" t="s">
        <v>202</v>
      </c>
      <c r="O5" s="94" t="s">
        <v>202</v>
      </c>
      <c r="P5" s="94" t="s">
        <v>202</v>
      </c>
      <c r="Q5" s="94" t="s">
        <v>202</v>
      </c>
      <c r="R5" s="94" t="s">
        <v>202</v>
      </c>
      <c r="S5" s="94" t="s">
        <v>202</v>
      </c>
      <c r="T5" s="95" t="s">
        <v>202</v>
      </c>
      <c r="U5" s="94" t="s">
        <v>202</v>
      </c>
      <c r="V5" s="95" t="s">
        <v>202</v>
      </c>
      <c r="W5" s="94" t="s">
        <v>202</v>
      </c>
      <c r="X5" s="94" t="s">
        <v>202</v>
      </c>
      <c r="Y5" s="94" t="s">
        <v>202</v>
      </c>
      <c r="Z5" s="94" t="s">
        <v>202</v>
      </c>
      <c r="AA5" s="95" t="s">
        <v>202</v>
      </c>
      <c r="AB5" s="94"/>
      <c r="AC5" s="141"/>
      <c r="AD5" s="95"/>
      <c r="AE5" s="94"/>
      <c r="AF5" s="94" t="s">
        <v>202</v>
      </c>
      <c r="AG5" s="94" t="s">
        <v>202</v>
      </c>
      <c r="AH5" s="94" t="s">
        <v>202</v>
      </c>
      <c r="AI5" s="94"/>
      <c r="AJ5" s="94"/>
      <c r="AK5" s="94"/>
      <c r="AL5" s="97"/>
      <c r="AM5" s="98" t="s">
        <v>229</v>
      </c>
      <c r="AN5" s="99" t="s">
        <v>204</v>
      </c>
      <c r="AO5" s="99" t="s">
        <v>205</v>
      </c>
      <c r="AP5" s="100">
        <v>42912</v>
      </c>
      <c r="AQ5" s="101">
        <v>43004</v>
      </c>
      <c r="AR5" s="102" t="s">
        <v>206</v>
      </c>
      <c r="AS5" s="103" t="s">
        <v>206</v>
      </c>
      <c r="AT5" s="104"/>
      <c r="AU5" s="104" t="s">
        <v>207</v>
      </c>
      <c r="AV5" s="104">
        <v>20</v>
      </c>
      <c r="AW5" s="104">
        <v>10000</v>
      </c>
      <c r="AX5" s="105" t="s">
        <v>208</v>
      </c>
      <c r="AY5" s="106" t="s">
        <v>209</v>
      </c>
      <c r="AZ5" s="107" t="s">
        <v>209</v>
      </c>
      <c r="BA5" s="108" t="s">
        <v>209</v>
      </c>
      <c r="BB5" s="98" t="s">
        <v>229</v>
      </c>
      <c r="BC5" s="109" t="s">
        <v>210</v>
      </c>
      <c r="BD5" s="110" t="str">
        <f t="shared" si="0"/>
        <v>PCS-2PFBL1</v>
      </c>
      <c r="BE5" s="111" t="s">
        <v>201</v>
      </c>
      <c r="BF5" s="112" t="s">
        <v>211</v>
      </c>
      <c r="BG5" s="113">
        <v>12</v>
      </c>
      <c r="BH5" s="114">
        <v>144</v>
      </c>
      <c r="BI5" s="115">
        <v>70.010000000000005</v>
      </c>
      <c r="BJ5" s="116">
        <f>IF(BI5=0,"",IF(BI5=VLOOKUP("FIXO",[3]ARBOR!$A:$C,3,0),0.0001,IF(BI5&gt;VLOOKUP("FIXO",[3]ARBOR!$A:$C,3,0),"Maior que CAP!",IF((DOLLAR(BI5+(VLOOKUP("FIXO",[3]ARBOR!$A:$C,3,0)*-TRUNC(BI5/VLOOKUP("FIXO",[3]ARBOR!$A:$C,3,0)-1,4)),6))&lt;&gt;(DOLLAR(VLOOKUP("FIXO",[3]ARBOR!$A:$C,3,0),6)),-TRUNC(BI5/VLOOKUP("FIXO",[3]ARBOR!$A:$C,3,0)-1,4)+0.0001,-TRUNC(BI5/VLOOKUP("FIXO",[3]ARBOR!$A:$C,3,0)-1,4)))))</f>
        <v>7.6899999999999996E-2</v>
      </c>
      <c r="BK5" s="117" t="str">
        <f>IF(ISERROR(IF(BJ5="","",VLOOKUP(($BC5&amp;BJ5&amp;"Template de desconto FLAT bundle - Fixo - Varejo - Ganho Tributário Cross"),[3]BENEFICIOS!$A:$E,5,0))),"Criar",IF(BJ5="","",VLOOKUP(($BC5&amp;BJ5&amp;"Template de desconto FLAT bundle - Fixo - Varejo - Ganho Tributário Cross"),[3]BENEFICIOS!$A:$E,5,0)))</f>
        <v>Criar</v>
      </c>
      <c r="BL5" s="65" t="s">
        <v>212</v>
      </c>
      <c r="BM5" s="66" t="s">
        <v>213</v>
      </c>
      <c r="BN5" s="111" t="s">
        <v>201</v>
      </c>
      <c r="BO5" s="112" t="s">
        <v>214</v>
      </c>
      <c r="BP5" s="118">
        <v>12</v>
      </c>
      <c r="BQ5" s="118">
        <v>60</v>
      </c>
      <c r="BR5" s="142" t="s">
        <v>230</v>
      </c>
      <c r="BS5" s="120">
        <v>84.9</v>
      </c>
      <c r="BT5" s="116">
        <f>IF(BS5=0,"",IF(BS5=VLOOKUP("PCS-30874g",[3]ARBOR!$A:$C,3,0),0.0001,IF(BS5&gt;VLOOKUP("PCS-30874g",[3]ARBOR!$A:$C,3,0),"Maior que CAP!",IF((DOLLAR(BS5+(VLOOKUP("PCS-30874g",[3]ARBOR!$A:$C,3,0)*-TRUNC(BS5/VLOOKUP("PCS-30874g",[3]ARBOR!$A:$C,3,0)-1,4)),6))&lt;&gt;(DOLLAR(VLOOKUP("PCS-30874g",[3]ARBOR!$A:$C,3,0),6)),-TRUNC(BS5/VLOOKUP("PCS-30874g",[3]ARBOR!$A:$C,3,0)-1,4)+0.0001,-TRUNC(BS5/VLOOKUP("PCS-30874g",[3]ARBOR!$A:$C,3,0)-1,4)))))</f>
        <v>0.1242</v>
      </c>
      <c r="BU5" s="117" t="str">
        <f>IF(ISERROR(IF(BT5="","",VLOOKUP(($BC5&amp;BT5&amp;"Template de desconto FLAT bundle - Velox XDSL - Varejo"),[3]BENEFICIOS!$A:$E,5,0))),"Criar",IF(BT5="","",VLOOKUP(($BC5&amp;BT5&amp;"Template de desconto FLAT bundle - Velox XDSL - Varejo"),[3]BENEFICIOS!$A:$E,5,0)))</f>
        <v>Criar</v>
      </c>
      <c r="BV5" s="142" t="s">
        <v>230</v>
      </c>
      <c r="BW5" s="120">
        <v>84.9</v>
      </c>
      <c r="BX5" s="116">
        <f>IF(BW5=0,"",IF(BW5=VLOOKUP("PCS-30577g",[3]ARBOR!$A:$C,3,0),0.0001,IF(BW5&gt;VLOOKUP("PCS-30577g",[3]ARBOR!$A:$C,3,0),"Maior que CAP!",IF((DOLLAR(BW5+(VLOOKUP("PCS-30577g",[3]ARBOR!$A:$C,3,0)*-TRUNC(BW5/VLOOKUP("PCS-30577g",[3]ARBOR!$A:$C,3,0)-1,4)),6))&lt;&gt;(DOLLAR(VLOOKUP("PCS-30577g",[3]ARBOR!$A:$C,3,0),6)),-TRUNC(BW5/VLOOKUP("PCS-30577g",[3]ARBOR!$A:$C,3,0)-1,4)+0.0001,-TRUNC(BW5/VLOOKUP("PCS-30577g",[3]ARBOR!$A:$C,3,0)-1,4)))))</f>
        <v>0.1242</v>
      </c>
      <c r="BY5" s="117" t="str">
        <f>IF(ISERROR(IF(BX5="","",VLOOKUP(($BC5&amp;BX5&amp;"Template de desconto FLAT bundle - Velox XDSL - Varejo"),[3]BENEFICIOS!$A:$E,5,0))),"Criar",IF(BX5="","",VLOOKUP(($BC5&amp;BX5&amp;"Template de desconto FLAT bundle - Velox XDSL - Varejo"),[3]BENEFICIOS!$A:$E,5,0)))</f>
        <v>Criar</v>
      </c>
      <c r="BZ5" s="142" t="s">
        <v>230</v>
      </c>
      <c r="CA5" s="120">
        <v>84.9</v>
      </c>
      <c r="CB5" s="116">
        <f>IF(CA5=0,"",IF(CA5=VLOOKUP("PCS-30604g",[3]ARBOR!$A:$C,3,0),0.0001,IF(CA5&gt;VLOOKUP("PCS-30604g",[3]ARBOR!$A:$C,3,0),"Maior que CAP!",IF((DOLLAR(CA5+(VLOOKUP("PCS-30604g",[3]ARBOR!$A:$C,3,0)*-TRUNC(CA5/VLOOKUP("PCS-30604g",[3]ARBOR!$A:$C,3,0)-1,4)),6))&lt;&gt;(DOLLAR(VLOOKUP("PCS-30604g",[3]ARBOR!$A:$C,3,0),6)),-TRUNC(CA5/VLOOKUP("PCS-30604g",[3]ARBOR!$A:$C,3,0)-1,4)+0.0001,-TRUNC(CA5/VLOOKUP("PCS-30604g",[3]ARBOR!$A:$C,3,0)-1,4)))))</f>
        <v>0.1242</v>
      </c>
      <c r="CC5" s="117" t="str">
        <f>IF(ISERROR(IF(CB5="","",VLOOKUP(($BC5&amp;CB5&amp;"Template de desconto FLAT bundle - Velox XDSL - Varejo"),[3]BENEFICIOS!$A:$E,5,0))),"Criar",IF(CB5="","",VLOOKUP(($BC5&amp;CB5&amp;"Template de desconto FLAT bundle - Velox XDSL - Varejo"),[3]BENEFICIOS!$A:$E,5,0)))</f>
        <v>Criar</v>
      </c>
      <c r="CD5" s="142" t="s">
        <v>230</v>
      </c>
      <c r="CE5" s="120">
        <v>84.9</v>
      </c>
      <c r="CF5" s="116">
        <f>IF(CE5=0,"",IF(CE5=VLOOKUP("PCS-30631g",[3]ARBOR!$A:$C,3,0),0.0001,IF(CE5&gt;VLOOKUP("PCS-30631g",[3]ARBOR!$A:$C,3,0),"Maior que CAP!",IF((DOLLAR(CE5+(VLOOKUP("PCS-30631g",[3]ARBOR!$A:$C,3,0)*-TRUNC(CE5/VLOOKUP("PCS-30631g",[3]ARBOR!$A:$C,3,0)-1,4)),6))&lt;&gt;(DOLLAR(VLOOKUP("PCS-30631g",[3]ARBOR!$A:$C,3,0),6)),-TRUNC(CE5/VLOOKUP("PCS-30631g",[3]ARBOR!$A:$C,3,0)-1,4)+0.0001,-TRUNC(CE5/VLOOKUP("PCS-30631g",[3]ARBOR!$A:$C,3,0)-1,4)))))</f>
        <v>0.13599999999999998</v>
      </c>
      <c r="CG5" s="117" t="str">
        <f>IF(ISERROR(IF(CF5="","",VLOOKUP(($BC5&amp;CF5&amp;"Template de desconto FLAT bundle - Velox XDSL - Varejo"),[3]BENEFICIOS!$A:$E,5,0))),"Criar",IF(CF5="","",VLOOKUP(($BC5&amp;CF5&amp;"Template de desconto FLAT bundle - Velox XDSL - Varejo"),[3]BENEFICIOS!$A:$E,5,0)))</f>
        <v>Criar</v>
      </c>
      <c r="CH5" s="119" t="s">
        <v>173</v>
      </c>
      <c r="CI5" s="120">
        <v>89.9</v>
      </c>
      <c r="CJ5" s="116">
        <f>IF(CI5=0,"",IF(CI5=VLOOKUP("PCS-30658g",[3]ARBOR!$A:$C,3,0),0.0001,IF(CI5&gt;VLOOKUP("PCS-30658g",[3]ARBOR!$A:$C,3,0),"Maior que CAP!",IF((DOLLAR(CI5+(VLOOKUP("PCS-30658g",[3]ARBOR!$A:$C,3,0)*-TRUNC(CI5/VLOOKUP("PCS-30658g",[3]ARBOR!$A:$C,3,0)-1,4)),6))&lt;&gt;(DOLLAR(VLOOKUP("PCS-30658g",[3]ARBOR!$A:$C,3,0),6)),-TRUNC(CI5/VLOOKUP("PCS-30658g",[3]ARBOR!$A:$C,3,0)-1,4)+0.0001,-TRUNC(CI5/VLOOKUP("PCS-30658g",[3]ARBOR!$A:$C,3,0)-1,4)))))</f>
        <v>0.1996</v>
      </c>
      <c r="CK5" s="117" t="str">
        <f>IF(ISERROR(IF(CJ5="","",VLOOKUP(($BC5&amp;CJ5&amp;"Template de desconto FLAT bundle - Velox XDSL - Varejo"),[3]BENEFICIOS!$A:$E,5,0))),"Criar",IF(CJ5="","",VLOOKUP(($BC5&amp;CJ5&amp;"Template de desconto FLAT bundle - Velox XDSL - Varejo"),[3]BENEFICIOS!$A:$E,5,0)))</f>
        <v>Criar</v>
      </c>
      <c r="CL5" s="119" t="s">
        <v>173</v>
      </c>
      <c r="CM5" s="120">
        <v>89.9</v>
      </c>
      <c r="CN5" s="116">
        <f>IF(CM5=0,"",IF(CM5=VLOOKUP("PCS-30685g",[3]ARBOR!$A:$C,3,0),0.0001,IF(CM5&gt;VLOOKUP("PCS-30685g",[3]ARBOR!$A:$C,3,0),"Maior que CAP!",IF((DOLLAR(CM5+(VLOOKUP("PCS-30685g",[3]ARBOR!$A:$C,3,0)*-TRUNC(CM5/VLOOKUP("PCS-30685g",[3]ARBOR!$A:$C,3,0)-1,4)),6))&lt;&gt;(DOLLAR(VLOOKUP("PCS-30685g",[3]ARBOR!$A:$C,3,0),6)),-TRUNC(CM5/VLOOKUP("PCS-30685g",[3]ARBOR!$A:$C,3,0)-1,4)+0.0001,-TRUNC(CM5/VLOOKUP("PCS-30685g",[3]ARBOR!$A:$C,3,0)-1,4)))))</f>
        <v>0.28849999999999998</v>
      </c>
      <c r="CO5" s="117" t="str">
        <f>IF(ISERROR(IF(CN5="","",VLOOKUP(($BC5&amp;CN5&amp;"Template de desconto FLAT bundle - Velox XDSL - Varejo"),[3]BENEFICIOS!$A:$E,5,0))),"Criar",IF(CN5="","",VLOOKUP(($BC5&amp;CN5&amp;"Template de desconto FLAT bundle - Velox XDSL - Varejo"),[3]BENEFICIOS!$A:$E,5,0)))</f>
        <v>Criar</v>
      </c>
      <c r="CP5" s="119" t="s">
        <v>173</v>
      </c>
      <c r="CQ5" s="120">
        <v>89.9</v>
      </c>
      <c r="CR5" s="116">
        <f>IF(CQ5=0,"",IF(CQ5=VLOOKUP("PCS-30712g",[3]ARBOR!$A:$C,3,0),0.0001,IF(CQ5&gt;VLOOKUP("PCS-30712g",[3]ARBOR!$A:$C,3,0),"Maior que CAP!",IF((DOLLAR(CQ5+(VLOOKUP("PCS-30712g",[3]ARBOR!$A:$C,3,0)*-TRUNC(CQ5/VLOOKUP("PCS-30712g",[3]ARBOR!$A:$C,3,0)-1,4)),6))&lt;&gt;(DOLLAR(VLOOKUP("PCS-30712g",[3]ARBOR!$A:$C,3,0),6)),-TRUNC(CQ5/VLOOKUP("PCS-30712g",[3]ARBOR!$A:$C,3,0)-1,4)+0.0001,-TRUNC(CQ5/VLOOKUP("PCS-30712g",[3]ARBOR!$A:$C,3,0)-1,4)))))</f>
        <v>0.35959999999999998</v>
      </c>
      <c r="CS5" s="117" t="str">
        <f>IF(ISERROR(IF(CR5="","",VLOOKUP(($BC5&amp;CR5&amp;"Template de desconto FLAT bundle - Velox XDSL - Varejo"),[3]BENEFICIOS!$A:$E,5,0))),"Criar",IF(CR5="","",VLOOKUP(($BC5&amp;CR5&amp;"Template de desconto FLAT bundle - Velox XDSL - Varejo"),[3]BENEFICIOS!$A:$E,5,0)))</f>
        <v>Criar</v>
      </c>
      <c r="CT5" s="119" t="s">
        <v>173</v>
      </c>
      <c r="CU5" s="120">
        <v>99.9</v>
      </c>
      <c r="CV5" s="116">
        <f>IF(CU5=0,"",IF(CU5=VLOOKUP("PCS-30739g",[3]ARBOR!$A:$C,3,0),0.0001,IF(CU5&gt;VLOOKUP("PCS-30739g",[3]ARBOR!$A:$C,3,0),"Maior que CAP!",IF((DOLLAR(CU5+(VLOOKUP("PCS-30739g",[3]ARBOR!$A:$C,3,0)*-TRUNC(CU5/VLOOKUP("PCS-30739g",[3]ARBOR!$A:$C,3,0)-1,4)),6))&lt;&gt;(DOLLAR(VLOOKUP("PCS-30739g",[3]ARBOR!$A:$C,3,0),6)),-TRUNC(CU5/VLOOKUP("PCS-30739g",[3]ARBOR!$A:$C,3,0)-1,4)+0.0001,-TRUNC(CU5/VLOOKUP("PCS-30739g",[3]ARBOR!$A:$C,3,0)-1,4)))))</f>
        <v>0.52559999999999996</v>
      </c>
      <c r="CW5" s="117" t="str">
        <f>IF(ISERROR(IF(CV5="","",VLOOKUP(($BC5&amp;CV5&amp;"Template de desconto FLAT bundle - Velox XDSL - Varejo"),[3]BENEFICIOS!$A:$E,5,0))),"Criar",IF(CV5="","",VLOOKUP(($BC5&amp;CV5&amp;"Template de desconto FLAT bundle - Velox XDSL - Varejo"),[3]BENEFICIOS!$A:$E,5,0)))</f>
        <v>Criar</v>
      </c>
      <c r="CX5" s="121"/>
      <c r="CY5" s="122"/>
      <c r="CZ5" s="116" t="str">
        <f>IF(CX5=0,"",IF(CX5=VLOOKUP("PCS-30739g",[3]ARBOR!$A:$C,3,0),0.0001,IF(CX5&gt;VLOOKUP("PCS-30739g",[3]ARBOR!$A:$C,3,0),"Maior que CAP!",IF((DOLLAR(CX5+(VLOOKUP("PCS-30739g",[3]ARBOR!$A:$C,3,0)*-TRUNC(CX5/VLOOKUP("PCS-30739g",[3]ARBOR!$A:$C,3,0)-1,4)),6))&lt;&gt;(DOLLAR(VLOOKUP("PCS-30739g",[3]ARBOR!$A:$C,3,0),6)),(-TRUNC(CX5/VLOOKUP("PCS-30739g",[3]ARBOR!$A:$C,3,0)-1,4)+0.0001)-CV5,-TRUNC(CX5/VLOOKUP("PCS-30739g",[3]ARBOR!$A:$C,3,0)-1,4)-CV5))))</f>
        <v/>
      </c>
      <c r="DA5" s="117" t="str">
        <f>IF(ISERROR(IF(CZ5="","",VLOOKUP(($BC5&amp;CZ5&amp;"Template de desconto percentual Bundle - Velox XDSL - Varejo"),[3]BENEFICIOS!$A:$E,5,0))),"Criar",IF(CZ5="","",VLOOKUP(($BC5&amp;CZ5&amp;"Template de desconto percentual Bundle - Velox XDSL - Varejo"),[3]BENEFICIOS!$A:$E,5,0)))</f>
        <v/>
      </c>
      <c r="DB5" s="119" t="s">
        <v>173</v>
      </c>
      <c r="DC5" s="120">
        <v>99.9</v>
      </c>
      <c r="DD5" s="116">
        <f>IF(DC5=0,"",IF(DC5=VLOOKUP("PCS-30766g",[3]ARBOR!$A:$C,3,0),0.0001,IF(DC5&gt;VLOOKUP("PCS-30766g",[3]ARBOR!$A:$C,3,0),"Maior que CAP!",IF((DOLLAR(DC5+(VLOOKUP("PCS-30766g",[3]ARBOR!$A:$C,3,0)*-TRUNC(DC5/VLOOKUP("PCS-30766g",[3]ARBOR!$A:$C,3,0)-1,4)),6))&lt;&gt;(DOLLAR(VLOOKUP("PCS-30766g",[3]ARBOR!$A:$C,3,0),6)),-TRUNC(DC5/VLOOKUP("PCS-30766g",[3]ARBOR!$A:$C,3,0)-1,4)+0.0001,-TRUNC(DC5/VLOOKUP("PCS-30766g",[3]ARBOR!$A:$C,3,0)-1,4)))))</f>
        <v>0.64419999999999999</v>
      </c>
      <c r="DE5" s="117" t="str">
        <f>IF(ISERROR(IF(DD5="","",VLOOKUP(($BC5&amp;DD5&amp;"Template de desconto FLAT bundle - Velox XDSL - Varejo"),[3]BENEFICIOS!$A:$E,5,0))),"Criar",IF(DD5="","",VLOOKUP(($BC5&amp;DD5&amp;"Template de desconto FLAT bundle - Velox XDSL - Varejo"),[3]BENEFICIOS!$A:$E,5,0)))</f>
        <v>Criar</v>
      </c>
      <c r="DF5" s="121"/>
      <c r="DG5" s="122"/>
      <c r="DH5" s="116" t="str">
        <f>IF(DF5=0,"",IF(DF5=VLOOKUP("PCS-30766g",[3]ARBOR!$A:$C,3,0),0.0001,IF(DF5&gt;VLOOKUP("PCS-30766g",[3]ARBOR!$A:$C,3,0),"Maior que CAP!",IF((DOLLAR(DF5+(VLOOKUP("PCS-30766g",[3]ARBOR!$A:$C,3,0)*-TRUNC(DF5/VLOOKUP("PCS-30766g",[3]ARBOR!$A:$C,3,0)-1,4)),6))&lt;&gt;(DOLLAR(VLOOKUP("PCS-30766g",[3]ARBOR!$A:$C,3,0),6)),(-TRUNC(DF5/VLOOKUP("PCS-30766g",[3]ARBOR!$A:$C,3,0)-1,4)+0.0001)-DD5,-TRUNC(DF5/VLOOKUP("PCS-30766g",[3]ARBOR!$A:$C,3,0)-1,4)-DD5))))</f>
        <v/>
      </c>
      <c r="DI5" s="117" t="str">
        <f>IF(ISERROR(IF(DH5="","",VLOOKUP(($BC5&amp;DH5&amp;"Template de desconto percentual Bundle - Velox XDSL - Varejo"),[3]BENEFICIOS!$A:$E,5,0))),"Criar",IF(DH5="","",VLOOKUP(($BC5&amp;DH5&amp;"Template de desconto percentual Bundle - Velox XDSL - Varejo"),[3]BENEFICIOS!$A:$E,5,0)))</f>
        <v/>
      </c>
      <c r="DJ5" s="123" t="s">
        <v>230</v>
      </c>
      <c r="DK5" s="121">
        <v>109.9</v>
      </c>
      <c r="DL5" s="116">
        <f>IF(DK5=0,"",IF(DK5=VLOOKUP("PCS-30793g",[3]ARBOR!$A:$C,3,0),0.0001,IF(DK5&gt;VLOOKUP("PCS-30793g",[3]ARBOR!$A:$C,3,0),"Maior que CAP!",IF((DOLLAR(DK5+(VLOOKUP("PCS-30793g",[3]ARBOR!$A:$C,3,0)*-TRUNC(DK5/VLOOKUP("PCS-30793g",[3]ARBOR!$A:$C,3,0)-1,4)),6))&lt;&gt;(DOLLAR(VLOOKUP("PCS-30793g",[3]ARBOR!$A:$C,3,0),6)),-TRUNC(DK5/VLOOKUP("PCS-30793g",[3]ARBOR!$A:$C,3,0)-1,4)+0.0001,-TRUNC(DK5/VLOOKUP("PCS-30793g",[3]ARBOR!$A:$C,3,0)-1,4)))))</f>
        <v>0.60860000000000003</v>
      </c>
      <c r="DM5" s="117" t="str">
        <f>IF(ISERROR(IF(DL5="","",VLOOKUP(($BC5&amp;DL5&amp;"Template de desconto FLAT bundle - Velox XDSL - Varejo"),[3]BENEFICIOS!$A:$E,5,0))),"Criar",IF(DL5="","",VLOOKUP(($BC5&amp;DL5&amp;"Template de desconto FLAT bundle - Velox XDSL - Varejo"),[3]BENEFICIOS!$A:$E,5,0)))</f>
        <v>Criar</v>
      </c>
      <c r="DN5" s="121"/>
      <c r="DO5" s="122"/>
      <c r="DP5" s="116" t="str">
        <f>IF(DN5=0,"",IF(DN5=VLOOKUP("PCS-30793g",[3]ARBOR!$A:$C,3,0),0.0001,IF(DN5&gt;VLOOKUP("PCS-30793g",[3]ARBOR!$A:$C,3,0),"Maior que CAP!",IF((DOLLAR(DN5+(VLOOKUP("PCS-30793g",[3]ARBOR!$A:$C,3,0)*-TRUNC(DN5/VLOOKUP("PCS-30793g",[3]ARBOR!$A:$C,3,0)-1,4)),6))&lt;&gt;(DOLLAR(VLOOKUP("PCS-30793g",[3]ARBOR!$A:$C,3,0),6)),(-TRUNC(DN5/VLOOKUP("PCS-30793g",[3]ARBOR!$A:$C,3,0)-1,4)+0.0001)-DL5,-TRUNC(DN5/VLOOKUP("PCS-30793g",[3]ARBOR!$A:$C,3,0)-1,4)-DL5))))</f>
        <v/>
      </c>
      <c r="DQ5" s="117" t="str">
        <f>IF(ISERROR(IF(DP5="","",VLOOKUP(($BC5&amp;DP5&amp;"Template de desconto percentual Bundle - Velox XDSL - Varejo"),[3]BENEFICIOS!$A:$E,5,0))),"Criar",IF(DP5="","",VLOOKUP(($BC5&amp;DP5&amp;"Template de desconto percentual Bundle - Velox XDSL - Varejo"),[3]BENEFICIOS!$A:$E,5,0)))</f>
        <v/>
      </c>
      <c r="DR5" s="123" t="s">
        <v>173</v>
      </c>
      <c r="DS5" s="121">
        <v>109.9</v>
      </c>
      <c r="DT5" s="116">
        <f>IF(DS5=0,"",IF(DS5=VLOOKUP("PCS-30820g",[3]ARBOR!$A:$C,3,0),0.0001,IF(DS5&gt;VLOOKUP("PCS-30820g",[3]ARBOR!$A:$C,3,0),"Maior que CAP!",IF((DOLLAR(DS5+(VLOOKUP("PCS-30820g",[3]ARBOR!$A:$C,3,0)*-TRUNC(DS5/VLOOKUP("PCS-30820g",[3]ARBOR!$A:$C,3,0)-1,4)),6))&lt;&gt;(DOLLAR(VLOOKUP("PCS-30820g",[3]ARBOR!$A:$C,3,0),6)),-TRUNC(DS5/VLOOKUP("PCS-30820g",[3]ARBOR!$A:$C,3,0)-1,4)+0.0001,-TRUNC(DS5/VLOOKUP("PCS-30820g",[3]ARBOR!$A:$C,3,0)-1,4)))))</f>
        <v>0.60860000000000003</v>
      </c>
      <c r="DU5" s="117" t="str">
        <f>IF(ISERROR(IF(DT5="","",VLOOKUP(($BC5&amp;DT5&amp;"Template de desconto FLAT bundle - Velox XDSL - Varejo"),[3]BENEFICIOS!$A:$E,5,0))),"Criar",IF(DT5="","",VLOOKUP(($BC5&amp;DT5&amp;"Template de desconto FLAT bundle - Velox XDSL - Varejo"),[3]BENEFICIOS!$A:$E,5,0)))</f>
        <v>Criar</v>
      </c>
      <c r="DV5" s="121"/>
      <c r="DW5" s="122"/>
      <c r="DX5" s="116" t="str">
        <f>IF(DV5=0,"",IF(DV5=VLOOKUP("PCS-30820g",[3]ARBOR!$A:$C,3,0),0.0001,IF(DV5&gt;VLOOKUP("PCS-30820g",[3]ARBOR!$A:$C,3,0),"Maior que CAP!",IF((DOLLAR(DV5+(VLOOKUP("PCS-30820g",[3]ARBOR!$A:$C,3,0)*-TRUNC(DV5/VLOOKUP("PCS-30820g",[3]ARBOR!$A:$C,3,0)-1,4)),6))&lt;&gt;(DOLLAR(VLOOKUP("PCS-30820g",[3]ARBOR!$A:$C,3,0),6)),(-TRUNC(DV5/VLOOKUP("PCS-30820g",[3]ARBOR!$A:$C,3,0)-1,4)+0.0001)-DT5,-TRUNC(DV5/VLOOKUP("PCS-30820g",[3]ARBOR!$A:$C,3,0)-1,4)-DT5))))</f>
        <v/>
      </c>
      <c r="DY5" s="117" t="str">
        <f>IF(ISERROR(IF(DX5="","",VLOOKUP(($BC5&amp;DX5&amp;"Template de desconto percentual Bundle - Velox XDSL - Varejo"),[3]BENEFICIOS!$A:$E,5,0))),"Criar",IF(DX5="","",VLOOKUP(($BC5&amp;DX5&amp;"Template de desconto percentual Bundle - Velox XDSL - Varejo"),[3]BENEFICIOS!$A:$E,5,0)))</f>
        <v/>
      </c>
      <c r="DZ5" s="124"/>
      <c r="EA5" s="116" t="str">
        <f>IF(DZ5=0,"",IF(DZ5=VLOOKUP("PCS-21448p2",[3]ARBOR!$A:$C,3,0),0.0001,IF(DZ5&gt;VLOOKUP("PCS-21448p2",[3]ARBOR!$A:$C,3,0),"Maior que CAP!",IF((DOLLAR(DZ5+(VLOOKUP("PCS-21448p2",[3]ARBOR!$A:$C,3,0)*-TRUNC(DZ5/VLOOKUP("PCS-21448p2",[3]ARBOR!$A:$C,3,0)-1,4)),6))&lt;&gt;(DOLLAR(VLOOKUP("PCS-21448p2",[3]ARBOR!$A:$C,3,0),6)),-TRUNC(DZ5/VLOOKUP("PCS-21448p2",[3]ARBOR!$A:$C,3,0)-1,4)+0.0001,-TRUNC(DZ5/VLOOKUP("PCS-21448p2",[3]ARBOR!$A:$C,3,0)-1,4)))))</f>
        <v/>
      </c>
      <c r="EB5" s="117" t="str">
        <f>IF(ISERROR(IF(EA5="","",VLOOKUP(("Oi Conta Total Plug 10GB Downgrade"&amp;EA5&amp;"Template de desconto percentual BL Móvel - Internet Total - Varejo"),[3]BENEFICIOS!$A:$E,5,0))),"Criar",IF(EA5="","",VLOOKUP(("Oi Conta Total Plug 10GB Downgrade"&amp;EA5&amp;"Template de desconto percentual BL Móvel - Internet Total - Varejo"),[3]BENEFICIOS!$A:$E,5,0)))</f>
        <v/>
      </c>
      <c r="EC5" s="125">
        <v>19.899999999999999</v>
      </c>
      <c r="ED5" s="126">
        <f>IF(EC5=0,"",IF(EC5=VLOOKUP("SVA",[3]ARBOR!$A:$C,3,0),0.0001,IF(EC5&gt;VLOOKUP("SVA",[3]ARBOR!$A:$C,3,0),"Maior que CAP!",IF((DOLLAR(EC5+(VLOOKUP("SVA",[3]ARBOR!$A:$C,3,0)*-TRUNC(EC5/VLOOKUP("SVA",[3]ARBOR!$A:$C,3,0)-1,4)),6))&lt;&gt;(DOLLAR(VLOOKUP("SVA",[3]ARBOR!$A:$C,3,0),6)),-TRUNC(EC5/VLOOKUP("SVA",[3]ARBOR!$A:$C,3,0)-1,4)+0.0001,-TRUNC(EC5/VLOOKUP("SVA",[3]ARBOR!$A:$C,3,0)-1,4)))))</f>
        <v>7.1400000000000005E-2</v>
      </c>
      <c r="EE5" s="127" t="s">
        <v>231</v>
      </c>
      <c r="EF5" s="128"/>
      <c r="EG5" s="129"/>
      <c r="EH5" s="130" t="str">
        <f t="shared" si="1"/>
        <v/>
      </c>
      <c r="EI5" s="127" t="str">
        <f>IF(EH5="S/Desc","S/Desc",IF(ISERROR(IF(EH5="","",VLOOKUP(($BC5&amp;EH5&amp;"Template Desc. % sobre Serviço SVA B2C"),[3]BENEFICIOS!$A:$G,5,0))),"Criar",IF(EH5="","",VLOOKUP(($BC5&amp;EH5&amp;"Template Desc. % sobre Serviço SVA B2C"),[3]BENEFICIOS!$A:$G,5,0))))</f>
        <v/>
      </c>
      <c r="EJ5" s="131" t="s">
        <v>209</v>
      </c>
      <c r="EK5" s="132" t="s">
        <v>216</v>
      </c>
      <c r="EL5" s="133" t="s">
        <v>217</v>
      </c>
      <c r="EM5" s="134" t="s">
        <v>218</v>
      </c>
      <c r="EN5" s="135"/>
      <c r="EO5" s="133"/>
      <c r="EP5" s="134"/>
      <c r="EQ5" s="136" t="s">
        <v>219</v>
      </c>
      <c r="ER5" s="137">
        <f t="shared" si="2"/>
        <v>159.91000000000003</v>
      </c>
      <c r="ES5" s="138" t="s">
        <v>220</v>
      </c>
      <c r="ET5" s="139" t="s">
        <v>232</v>
      </c>
      <c r="EU5" s="139" t="s">
        <v>227</v>
      </c>
      <c r="EV5" s="139"/>
      <c r="EW5" s="139"/>
      <c r="EX5" s="139"/>
      <c r="EY5" s="139"/>
      <c r="EZ5" s="139"/>
      <c r="FA5" s="139"/>
      <c r="FB5" s="140"/>
    </row>
    <row r="6" spans="1:158" x14ac:dyDescent="0.25">
      <c r="A6" s="90" t="s">
        <v>198</v>
      </c>
      <c r="B6" s="91" t="s">
        <v>199</v>
      </c>
      <c r="C6" s="91" t="s">
        <v>200</v>
      </c>
      <c r="D6" s="92" t="s">
        <v>201</v>
      </c>
      <c r="E6" s="93" t="s">
        <v>202</v>
      </c>
      <c r="F6" s="94" t="s">
        <v>202</v>
      </c>
      <c r="G6" s="94" t="s">
        <v>202</v>
      </c>
      <c r="H6" s="94" t="s">
        <v>202</v>
      </c>
      <c r="I6" s="94"/>
      <c r="J6" s="94" t="s">
        <v>202</v>
      </c>
      <c r="K6" s="94" t="s">
        <v>202</v>
      </c>
      <c r="L6" s="94" t="s">
        <v>202</v>
      </c>
      <c r="M6" s="94" t="s">
        <v>202</v>
      </c>
      <c r="N6" s="94" t="s">
        <v>202</v>
      </c>
      <c r="O6" s="94" t="s">
        <v>202</v>
      </c>
      <c r="P6" s="94" t="s">
        <v>202</v>
      </c>
      <c r="Q6" s="94" t="s">
        <v>202</v>
      </c>
      <c r="R6" s="94" t="s">
        <v>202</v>
      </c>
      <c r="S6" s="94" t="s">
        <v>202</v>
      </c>
      <c r="T6" s="95" t="s">
        <v>202</v>
      </c>
      <c r="U6" s="94" t="s">
        <v>202</v>
      </c>
      <c r="V6" s="95" t="s">
        <v>202</v>
      </c>
      <c r="W6" s="94" t="s">
        <v>202</v>
      </c>
      <c r="X6" s="94" t="s">
        <v>202</v>
      </c>
      <c r="Y6" s="94" t="s">
        <v>202</v>
      </c>
      <c r="Z6" s="94" t="s">
        <v>202</v>
      </c>
      <c r="AA6" s="95" t="s">
        <v>202</v>
      </c>
      <c r="AB6" s="94"/>
      <c r="AC6" s="141"/>
      <c r="AD6" s="95"/>
      <c r="AE6" s="94"/>
      <c r="AF6" s="94" t="s">
        <v>202</v>
      </c>
      <c r="AG6" s="94" t="s">
        <v>202</v>
      </c>
      <c r="AH6" s="94" t="s">
        <v>202</v>
      </c>
      <c r="AI6" s="94"/>
      <c r="AJ6" s="94"/>
      <c r="AK6" s="94"/>
      <c r="AL6" s="97"/>
      <c r="AM6" s="98" t="s">
        <v>233</v>
      </c>
      <c r="AN6" s="99" t="s">
        <v>204</v>
      </c>
      <c r="AO6" s="99" t="s">
        <v>222</v>
      </c>
      <c r="AP6" s="100">
        <v>42912</v>
      </c>
      <c r="AQ6" s="101">
        <v>43004</v>
      </c>
      <c r="AR6" s="102" t="s">
        <v>206</v>
      </c>
      <c r="AS6" s="103" t="s">
        <v>206</v>
      </c>
      <c r="AT6" s="104"/>
      <c r="AU6" s="104" t="s">
        <v>207</v>
      </c>
      <c r="AV6" s="104">
        <v>20</v>
      </c>
      <c r="AW6" s="104">
        <v>10000</v>
      </c>
      <c r="AX6" s="105" t="s">
        <v>208</v>
      </c>
      <c r="AY6" s="106" t="s">
        <v>209</v>
      </c>
      <c r="AZ6" s="107" t="s">
        <v>209</v>
      </c>
      <c r="BA6" s="108" t="s">
        <v>209</v>
      </c>
      <c r="BB6" s="98" t="s">
        <v>233</v>
      </c>
      <c r="BC6" s="109" t="s">
        <v>210</v>
      </c>
      <c r="BD6" s="110" t="str">
        <f t="shared" si="0"/>
        <v>PCS-2PFBL1</v>
      </c>
      <c r="BE6" s="111" t="s">
        <v>201</v>
      </c>
      <c r="BF6" s="112" t="s">
        <v>211</v>
      </c>
      <c r="BG6" s="113">
        <v>12</v>
      </c>
      <c r="BH6" s="114">
        <v>144</v>
      </c>
      <c r="BI6" s="115">
        <v>70.010000000000005</v>
      </c>
      <c r="BJ6" s="116">
        <f>IF(BI6=0,"",IF(BI6=VLOOKUP("FIXO",[3]ARBOR!$A:$C,3,0),0.0001,IF(BI6&gt;VLOOKUP("FIXO",[3]ARBOR!$A:$C,3,0),"Maior que CAP!",IF((DOLLAR(BI6+(VLOOKUP("FIXO",[3]ARBOR!$A:$C,3,0)*-TRUNC(BI6/VLOOKUP("FIXO",[3]ARBOR!$A:$C,3,0)-1,4)),6))&lt;&gt;(DOLLAR(VLOOKUP("FIXO",[3]ARBOR!$A:$C,3,0),6)),-TRUNC(BI6/VLOOKUP("FIXO",[3]ARBOR!$A:$C,3,0)-1,4)+0.0001,-TRUNC(BI6/VLOOKUP("FIXO",[3]ARBOR!$A:$C,3,0)-1,4)))))</f>
        <v>7.6899999999999996E-2</v>
      </c>
      <c r="BK6" s="117" t="str">
        <f>IF(ISERROR(IF(BJ6="","",VLOOKUP(($BC6&amp;BJ6&amp;"Template de desconto FLAT bundle - Fixo - Varejo - Ganho Tributário Cross"),[3]BENEFICIOS!$A:$E,5,0))),"Criar",IF(BJ6="","",VLOOKUP(($BC6&amp;BJ6&amp;"Template de desconto FLAT bundle - Fixo - Varejo - Ganho Tributário Cross"),[3]BENEFICIOS!$A:$E,5,0)))</f>
        <v>Criar</v>
      </c>
      <c r="BL6" s="65" t="s">
        <v>212</v>
      </c>
      <c r="BM6" s="66" t="s">
        <v>213</v>
      </c>
      <c r="BN6" s="111" t="s">
        <v>201</v>
      </c>
      <c r="BO6" s="112" t="s">
        <v>214</v>
      </c>
      <c r="BP6" s="118">
        <v>12</v>
      </c>
      <c r="BQ6" s="118">
        <v>60</v>
      </c>
      <c r="BR6" s="142" t="s">
        <v>230</v>
      </c>
      <c r="BS6" s="120">
        <v>84.9</v>
      </c>
      <c r="BT6" s="116">
        <f>IF(BS6=0,"",IF(BS6=VLOOKUP("PCS-30874g",[3]ARBOR!$A:$C,3,0),0.0001,IF(BS6&gt;VLOOKUP("PCS-30874g",[3]ARBOR!$A:$C,3,0),"Maior que CAP!",IF((DOLLAR(BS6+(VLOOKUP("PCS-30874g",[3]ARBOR!$A:$C,3,0)*-TRUNC(BS6/VLOOKUP("PCS-30874g",[3]ARBOR!$A:$C,3,0)-1,4)),6))&lt;&gt;(DOLLAR(VLOOKUP("PCS-30874g",[3]ARBOR!$A:$C,3,0),6)),-TRUNC(BS6/VLOOKUP("PCS-30874g",[3]ARBOR!$A:$C,3,0)-1,4)+0.0001,-TRUNC(BS6/VLOOKUP("PCS-30874g",[3]ARBOR!$A:$C,3,0)-1,4)))))</f>
        <v>0.1242</v>
      </c>
      <c r="BU6" s="117" t="str">
        <f>IF(ISERROR(IF(BT6="","",VLOOKUP(($BC6&amp;BT6&amp;"Template de desconto FLAT bundle - Velox XDSL - Varejo"),[3]BENEFICIOS!$A:$E,5,0))),"Criar",IF(BT6="","",VLOOKUP(($BC6&amp;BT6&amp;"Template de desconto FLAT bundle - Velox XDSL - Varejo"),[3]BENEFICIOS!$A:$E,5,0)))</f>
        <v>Criar</v>
      </c>
      <c r="BV6" s="142" t="s">
        <v>230</v>
      </c>
      <c r="BW6" s="120">
        <v>84.9</v>
      </c>
      <c r="BX6" s="116">
        <f>IF(BW6=0,"",IF(BW6=VLOOKUP("PCS-30577g",[3]ARBOR!$A:$C,3,0),0.0001,IF(BW6&gt;VLOOKUP("PCS-30577g",[3]ARBOR!$A:$C,3,0),"Maior que CAP!",IF((DOLLAR(BW6+(VLOOKUP("PCS-30577g",[3]ARBOR!$A:$C,3,0)*-TRUNC(BW6/VLOOKUP("PCS-30577g",[3]ARBOR!$A:$C,3,0)-1,4)),6))&lt;&gt;(DOLLAR(VLOOKUP("PCS-30577g",[3]ARBOR!$A:$C,3,0),6)),-TRUNC(BW6/VLOOKUP("PCS-30577g",[3]ARBOR!$A:$C,3,0)-1,4)+0.0001,-TRUNC(BW6/VLOOKUP("PCS-30577g",[3]ARBOR!$A:$C,3,0)-1,4)))))</f>
        <v>0.1242</v>
      </c>
      <c r="BY6" s="117" t="str">
        <f>IF(ISERROR(IF(BX6="","",VLOOKUP(($BC6&amp;BX6&amp;"Template de desconto FLAT bundle - Velox XDSL - Varejo"),[3]BENEFICIOS!$A:$E,5,0))),"Criar",IF(BX6="","",VLOOKUP(($BC6&amp;BX6&amp;"Template de desconto FLAT bundle - Velox XDSL - Varejo"),[3]BENEFICIOS!$A:$E,5,0)))</f>
        <v>Criar</v>
      </c>
      <c r="BZ6" s="142" t="s">
        <v>230</v>
      </c>
      <c r="CA6" s="120">
        <v>84.9</v>
      </c>
      <c r="CB6" s="116">
        <f>IF(CA6=0,"",IF(CA6=VLOOKUP("PCS-30604g",[3]ARBOR!$A:$C,3,0),0.0001,IF(CA6&gt;VLOOKUP("PCS-30604g",[3]ARBOR!$A:$C,3,0),"Maior que CAP!",IF((DOLLAR(CA6+(VLOOKUP("PCS-30604g",[3]ARBOR!$A:$C,3,0)*-TRUNC(CA6/VLOOKUP("PCS-30604g",[3]ARBOR!$A:$C,3,0)-1,4)),6))&lt;&gt;(DOLLAR(VLOOKUP("PCS-30604g",[3]ARBOR!$A:$C,3,0),6)),-TRUNC(CA6/VLOOKUP("PCS-30604g",[3]ARBOR!$A:$C,3,0)-1,4)+0.0001,-TRUNC(CA6/VLOOKUP("PCS-30604g",[3]ARBOR!$A:$C,3,0)-1,4)))))</f>
        <v>0.1242</v>
      </c>
      <c r="CC6" s="117" t="str">
        <f>IF(ISERROR(IF(CB6="","",VLOOKUP(($BC6&amp;CB6&amp;"Template de desconto FLAT bundle - Velox XDSL - Varejo"),[3]BENEFICIOS!$A:$E,5,0))),"Criar",IF(CB6="","",VLOOKUP(($BC6&amp;CB6&amp;"Template de desconto FLAT bundle - Velox XDSL - Varejo"),[3]BENEFICIOS!$A:$E,5,0)))</f>
        <v>Criar</v>
      </c>
      <c r="CD6" s="142" t="s">
        <v>230</v>
      </c>
      <c r="CE6" s="120">
        <v>84.9</v>
      </c>
      <c r="CF6" s="116">
        <f>IF(CE6=0,"",IF(CE6=VLOOKUP("PCS-30631g",[3]ARBOR!$A:$C,3,0),0.0001,IF(CE6&gt;VLOOKUP("PCS-30631g",[3]ARBOR!$A:$C,3,0),"Maior que CAP!",IF((DOLLAR(CE6+(VLOOKUP("PCS-30631g",[3]ARBOR!$A:$C,3,0)*-TRUNC(CE6/VLOOKUP("PCS-30631g",[3]ARBOR!$A:$C,3,0)-1,4)),6))&lt;&gt;(DOLLAR(VLOOKUP("PCS-30631g",[3]ARBOR!$A:$C,3,0),6)),-TRUNC(CE6/VLOOKUP("PCS-30631g",[3]ARBOR!$A:$C,3,0)-1,4)+0.0001,-TRUNC(CE6/VLOOKUP("PCS-30631g",[3]ARBOR!$A:$C,3,0)-1,4)))))</f>
        <v>0.13599999999999998</v>
      </c>
      <c r="CG6" s="117" t="str">
        <f>IF(ISERROR(IF(CF6="","",VLOOKUP(($BC6&amp;CF6&amp;"Template de desconto FLAT bundle - Velox XDSL - Varejo"),[3]BENEFICIOS!$A:$E,5,0))),"Criar",IF(CF6="","",VLOOKUP(($BC6&amp;CF6&amp;"Template de desconto FLAT bundle - Velox XDSL - Varejo"),[3]BENEFICIOS!$A:$E,5,0)))</f>
        <v>Criar</v>
      </c>
      <c r="CH6" s="119" t="s">
        <v>173</v>
      </c>
      <c r="CI6" s="120">
        <v>89.9</v>
      </c>
      <c r="CJ6" s="116">
        <f>IF(CI6=0,"",IF(CI6=VLOOKUP("PCS-30658g",[3]ARBOR!$A:$C,3,0),0.0001,IF(CI6&gt;VLOOKUP("PCS-30658g",[3]ARBOR!$A:$C,3,0),"Maior que CAP!",IF((DOLLAR(CI6+(VLOOKUP("PCS-30658g",[3]ARBOR!$A:$C,3,0)*-TRUNC(CI6/VLOOKUP("PCS-30658g",[3]ARBOR!$A:$C,3,0)-1,4)),6))&lt;&gt;(DOLLAR(VLOOKUP("PCS-30658g",[3]ARBOR!$A:$C,3,0),6)),-TRUNC(CI6/VLOOKUP("PCS-30658g",[3]ARBOR!$A:$C,3,0)-1,4)+0.0001,-TRUNC(CI6/VLOOKUP("PCS-30658g",[3]ARBOR!$A:$C,3,0)-1,4)))))</f>
        <v>0.1996</v>
      </c>
      <c r="CK6" s="117" t="str">
        <f>IF(ISERROR(IF(CJ6="","",VLOOKUP(($BC6&amp;CJ6&amp;"Template de desconto FLAT bundle - Velox XDSL - Varejo"),[3]BENEFICIOS!$A:$E,5,0))),"Criar",IF(CJ6="","",VLOOKUP(($BC6&amp;CJ6&amp;"Template de desconto FLAT bundle - Velox XDSL - Varejo"),[3]BENEFICIOS!$A:$E,5,0)))</f>
        <v>Criar</v>
      </c>
      <c r="CL6" s="119" t="s">
        <v>173</v>
      </c>
      <c r="CM6" s="120">
        <v>89.9</v>
      </c>
      <c r="CN6" s="116">
        <f>IF(CM6=0,"",IF(CM6=VLOOKUP("PCS-30685g",[3]ARBOR!$A:$C,3,0),0.0001,IF(CM6&gt;VLOOKUP("PCS-30685g",[3]ARBOR!$A:$C,3,0),"Maior que CAP!",IF((DOLLAR(CM6+(VLOOKUP("PCS-30685g",[3]ARBOR!$A:$C,3,0)*-TRUNC(CM6/VLOOKUP("PCS-30685g",[3]ARBOR!$A:$C,3,0)-1,4)),6))&lt;&gt;(DOLLAR(VLOOKUP("PCS-30685g",[3]ARBOR!$A:$C,3,0),6)),-TRUNC(CM6/VLOOKUP("PCS-30685g",[3]ARBOR!$A:$C,3,0)-1,4)+0.0001,-TRUNC(CM6/VLOOKUP("PCS-30685g",[3]ARBOR!$A:$C,3,0)-1,4)))))</f>
        <v>0.28849999999999998</v>
      </c>
      <c r="CO6" s="117" t="str">
        <f>IF(ISERROR(IF(CN6="","",VLOOKUP(($BC6&amp;CN6&amp;"Template de desconto FLAT bundle - Velox XDSL - Varejo"),[3]BENEFICIOS!$A:$E,5,0))),"Criar",IF(CN6="","",VLOOKUP(($BC6&amp;CN6&amp;"Template de desconto FLAT bundle - Velox XDSL - Varejo"),[3]BENEFICIOS!$A:$E,5,0)))</f>
        <v>Criar</v>
      </c>
      <c r="CP6" s="119" t="s">
        <v>173</v>
      </c>
      <c r="CQ6" s="120">
        <v>89.9</v>
      </c>
      <c r="CR6" s="116">
        <f>IF(CQ6=0,"",IF(CQ6=VLOOKUP("PCS-30712g",[3]ARBOR!$A:$C,3,0),0.0001,IF(CQ6&gt;VLOOKUP("PCS-30712g",[3]ARBOR!$A:$C,3,0),"Maior que CAP!",IF((DOLLAR(CQ6+(VLOOKUP("PCS-30712g",[3]ARBOR!$A:$C,3,0)*-TRUNC(CQ6/VLOOKUP("PCS-30712g",[3]ARBOR!$A:$C,3,0)-1,4)),6))&lt;&gt;(DOLLAR(VLOOKUP("PCS-30712g",[3]ARBOR!$A:$C,3,0),6)),-TRUNC(CQ6/VLOOKUP("PCS-30712g",[3]ARBOR!$A:$C,3,0)-1,4)+0.0001,-TRUNC(CQ6/VLOOKUP("PCS-30712g",[3]ARBOR!$A:$C,3,0)-1,4)))))</f>
        <v>0.35959999999999998</v>
      </c>
      <c r="CS6" s="117" t="str">
        <f>IF(ISERROR(IF(CR6="","",VLOOKUP(($BC6&amp;CR6&amp;"Template de desconto FLAT bundle - Velox XDSL - Varejo"),[3]BENEFICIOS!$A:$E,5,0))),"Criar",IF(CR6="","",VLOOKUP(($BC6&amp;CR6&amp;"Template de desconto FLAT bundle - Velox XDSL - Varejo"),[3]BENEFICIOS!$A:$E,5,0)))</f>
        <v>Criar</v>
      </c>
      <c r="CT6" s="119" t="s">
        <v>173</v>
      </c>
      <c r="CU6" s="120">
        <v>99.9</v>
      </c>
      <c r="CV6" s="116">
        <f>IF(CU6=0,"",IF(CU6=VLOOKUP("PCS-30739g",[3]ARBOR!$A:$C,3,0),0.0001,IF(CU6&gt;VLOOKUP("PCS-30739g",[3]ARBOR!$A:$C,3,0),"Maior que CAP!",IF((DOLLAR(CU6+(VLOOKUP("PCS-30739g",[3]ARBOR!$A:$C,3,0)*-TRUNC(CU6/VLOOKUP("PCS-30739g",[3]ARBOR!$A:$C,3,0)-1,4)),6))&lt;&gt;(DOLLAR(VLOOKUP("PCS-30739g",[3]ARBOR!$A:$C,3,0),6)),-TRUNC(CU6/VLOOKUP("PCS-30739g",[3]ARBOR!$A:$C,3,0)-1,4)+0.0001,-TRUNC(CU6/VLOOKUP("PCS-30739g",[3]ARBOR!$A:$C,3,0)-1,4)))))</f>
        <v>0.52559999999999996</v>
      </c>
      <c r="CW6" s="117" t="str">
        <f>IF(ISERROR(IF(CV6="","",VLOOKUP(($BC6&amp;CV6&amp;"Template de desconto FLAT bundle - Velox XDSL - Varejo"),[3]BENEFICIOS!$A:$E,5,0))),"Criar",IF(CV6="","",VLOOKUP(($BC6&amp;CV6&amp;"Template de desconto FLAT bundle - Velox XDSL - Varejo"),[3]BENEFICIOS!$A:$E,5,0)))</f>
        <v>Criar</v>
      </c>
      <c r="CX6" s="121"/>
      <c r="CY6" s="122"/>
      <c r="CZ6" s="116" t="str">
        <f>IF(CX6=0,"",IF(CX6=VLOOKUP("PCS-30739g",[3]ARBOR!$A:$C,3,0),0.0001,IF(CX6&gt;VLOOKUP("PCS-30739g",[3]ARBOR!$A:$C,3,0),"Maior que CAP!",IF((DOLLAR(CX6+(VLOOKUP("PCS-30739g",[3]ARBOR!$A:$C,3,0)*-TRUNC(CX6/VLOOKUP("PCS-30739g",[3]ARBOR!$A:$C,3,0)-1,4)),6))&lt;&gt;(DOLLAR(VLOOKUP("PCS-30739g",[3]ARBOR!$A:$C,3,0),6)),(-TRUNC(CX6/VLOOKUP("PCS-30739g",[3]ARBOR!$A:$C,3,0)-1,4)+0.0001)-CV6,-TRUNC(CX6/VLOOKUP("PCS-30739g",[3]ARBOR!$A:$C,3,0)-1,4)-CV6))))</f>
        <v/>
      </c>
      <c r="DA6" s="117" t="str">
        <f>IF(ISERROR(IF(CZ6="","",VLOOKUP(($BC6&amp;CZ6&amp;"Template de desconto percentual Bundle - Velox XDSL - Varejo"),[3]BENEFICIOS!$A:$E,5,0))),"Criar",IF(CZ6="","",VLOOKUP(($BC6&amp;CZ6&amp;"Template de desconto percentual Bundle - Velox XDSL - Varejo"),[3]BENEFICIOS!$A:$E,5,0)))</f>
        <v/>
      </c>
      <c r="DB6" s="119" t="s">
        <v>173</v>
      </c>
      <c r="DC6" s="120">
        <v>99.9</v>
      </c>
      <c r="DD6" s="116">
        <f>IF(DC6=0,"",IF(DC6=VLOOKUP("PCS-30766g",[3]ARBOR!$A:$C,3,0),0.0001,IF(DC6&gt;VLOOKUP("PCS-30766g",[3]ARBOR!$A:$C,3,0),"Maior que CAP!",IF((DOLLAR(DC6+(VLOOKUP("PCS-30766g",[3]ARBOR!$A:$C,3,0)*-TRUNC(DC6/VLOOKUP("PCS-30766g",[3]ARBOR!$A:$C,3,0)-1,4)),6))&lt;&gt;(DOLLAR(VLOOKUP("PCS-30766g",[3]ARBOR!$A:$C,3,0),6)),-TRUNC(DC6/VLOOKUP("PCS-30766g",[3]ARBOR!$A:$C,3,0)-1,4)+0.0001,-TRUNC(DC6/VLOOKUP("PCS-30766g",[3]ARBOR!$A:$C,3,0)-1,4)))))</f>
        <v>0.64419999999999999</v>
      </c>
      <c r="DE6" s="117" t="str">
        <f>IF(ISERROR(IF(DD6="","",VLOOKUP(($BC6&amp;DD6&amp;"Template de desconto FLAT bundle - Velox XDSL - Varejo"),[3]BENEFICIOS!$A:$E,5,0))),"Criar",IF(DD6="","",VLOOKUP(($BC6&amp;DD6&amp;"Template de desconto FLAT bundle - Velox XDSL - Varejo"),[3]BENEFICIOS!$A:$E,5,0)))</f>
        <v>Criar</v>
      </c>
      <c r="DF6" s="121"/>
      <c r="DG6" s="122"/>
      <c r="DH6" s="116" t="str">
        <f>IF(DF6=0,"",IF(DF6=VLOOKUP("PCS-30766g",[3]ARBOR!$A:$C,3,0),0.0001,IF(DF6&gt;VLOOKUP("PCS-30766g",[3]ARBOR!$A:$C,3,0),"Maior que CAP!",IF((DOLLAR(DF6+(VLOOKUP("PCS-30766g",[3]ARBOR!$A:$C,3,0)*-TRUNC(DF6/VLOOKUP("PCS-30766g",[3]ARBOR!$A:$C,3,0)-1,4)),6))&lt;&gt;(DOLLAR(VLOOKUP("PCS-30766g",[3]ARBOR!$A:$C,3,0),6)),(-TRUNC(DF6/VLOOKUP("PCS-30766g",[3]ARBOR!$A:$C,3,0)-1,4)+0.0001)-DD6,-TRUNC(DF6/VLOOKUP("PCS-30766g",[3]ARBOR!$A:$C,3,0)-1,4)-DD6))))</f>
        <v/>
      </c>
      <c r="DI6" s="117" t="str">
        <f>IF(ISERROR(IF(DH6="","",VLOOKUP(($BC6&amp;DH6&amp;"Template de desconto percentual Bundle - Velox XDSL - Varejo"),[3]BENEFICIOS!$A:$E,5,0))),"Criar",IF(DH6="","",VLOOKUP(($BC6&amp;DH6&amp;"Template de desconto percentual Bundle - Velox XDSL - Varejo"),[3]BENEFICIOS!$A:$E,5,0)))</f>
        <v/>
      </c>
      <c r="DJ6" s="123" t="s">
        <v>230</v>
      </c>
      <c r="DK6" s="121">
        <v>109.9</v>
      </c>
      <c r="DL6" s="116">
        <f>IF(DK6=0,"",IF(DK6=VLOOKUP("PCS-30793g",[3]ARBOR!$A:$C,3,0),0.0001,IF(DK6&gt;VLOOKUP("PCS-30793g",[3]ARBOR!$A:$C,3,0),"Maior que CAP!",IF((DOLLAR(DK6+(VLOOKUP("PCS-30793g",[3]ARBOR!$A:$C,3,0)*-TRUNC(DK6/VLOOKUP("PCS-30793g",[3]ARBOR!$A:$C,3,0)-1,4)),6))&lt;&gt;(DOLLAR(VLOOKUP("PCS-30793g",[3]ARBOR!$A:$C,3,0),6)),-TRUNC(DK6/VLOOKUP("PCS-30793g",[3]ARBOR!$A:$C,3,0)-1,4)+0.0001,-TRUNC(DK6/VLOOKUP("PCS-30793g",[3]ARBOR!$A:$C,3,0)-1,4)))))</f>
        <v>0.60860000000000003</v>
      </c>
      <c r="DM6" s="117" t="str">
        <f>IF(ISERROR(IF(DL6="","",VLOOKUP(($BC6&amp;DL6&amp;"Template de desconto FLAT bundle - Velox XDSL - Varejo"),[3]BENEFICIOS!$A:$E,5,0))),"Criar",IF(DL6="","",VLOOKUP(($BC6&amp;DL6&amp;"Template de desconto FLAT bundle - Velox XDSL - Varejo"),[3]BENEFICIOS!$A:$E,5,0)))</f>
        <v>Criar</v>
      </c>
      <c r="DN6" s="121"/>
      <c r="DO6" s="122"/>
      <c r="DP6" s="116" t="str">
        <f>IF(DN6=0,"",IF(DN6=VLOOKUP("PCS-30793g",[3]ARBOR!$A:$C,3,0),0.0001,IF(DN6&gt;VLOOKUP("PCS-30793g",[3]ARBOR!$A:$C,3,0),"Maior que CAP!",IF((DOLLAR(DN6+(VLOOKUP("PCS-30793g",[3]ARBOR!$A:$C,3,0)*-TRUNC(DN6/VLOOKUP("PCS-30793g",[3]ARBOR!$A:$C,3,0)-1,4)),6))&lt;&gt;(DOLLAR(VLOOKUP("PCS-30793g",[3]ARBOR!$A:$C,3,0),6)),(-TRUNC(DN6/VLOOKUP("PCS-30793g",[3]ARBOR!$A:$C,3,0)-1,4)+0.0001)-DL6,-TRUNC(DN6/VLOOKUP("PCS-30793g",[3]ARBOR!$A:$C,3,0)-1,4)-DL6))))</f>
        <v/>
      </c>
      <c r="DQ6" s="117" t="str">
        <f>IF(ISERROR(IF(DP6="","",VLOOKUP(($BC6&amp;DP6&amp;"Template de desconto percentual Bundle - Velox XDSL - Varejo"),[3]BENEFICIOS!$A:$E,5,0))),"Criar",IF(DP6="","",VLOOKUP(($BC6&amp;DP6&amp;"Template de desconto percentual Bundle - Velox XDSL - Varejo"),[3]BENEFICIOS!$A:$E,5,0)))</f>
        <v/>
      </c>
      <c r="DR6" s="123" t="s">
        <v>173</v>
      </c>
      <c r="DS6" s="121">
        <v>109.9</v>
      </c>
      <c r="DT6" s="116">
        <f>IF(DS6=0,"",IF(DS6=VLOOKUP("PCS-30820g",[3]ARBOR!$A:$C,3,0),0.0001,IF(DS6&gt;VLOOKUP("PCS-30820g",[3]ARBOR!$A:$C,3,0),"Maior que CAP!",IF((DOLLAR(DS6+(VLOOKUP("PCS-30820g",[3]ARBOR!$A:$C,3,0)*-TRUNC(DS6/VLOOKUP("PCS-30820g",[3]ARBOR!$A:$C,3,0)-1,4)),6))&lt;&gt;(DOLLAR(VLOOKUP("PCS-30820g",[3]ARBOR!$A:$C,3,0),6)),-TRUNC(DS6/VLOOKUP("PCS-30820g",[3]ARBOR!$A:$C,3,0)-1,4)+0.0001,-TRUNC(DS6/VLOOKUP("PCS-30820g",[3]ARBOR!$A:$C,3,0)-1,4)))))</f>
        <v>0.60860000000000003</v>
      </c>
      <c r="DU6" s="117" t="str">
        <f>IF(ISERROR(IF(DT6="","",VLOOKUP(($BC6&amp;DT6&amp;"Template de desconto FLAT bundle - Velox XDSL - Varejo"),[3]BENEFICIOS!$A:$E,5,0))),"Criar",IF(DT6="","",VLOOKUP(($BC6&amp;DT6&amp;"Template de desconto FLAT bundle - Velox XDSL - Varejo"),[3]BENEFICIOS!$A:$E,5,0)))</f>
        <v>Criar</v>
      </c>
      <c r="DV6" s="121"/>
      <c r="DW6" s="122"/>
      <c r="DX6" s="116" t="str">
        <f>IF(DV6=0,"",IF(DV6=VLOOKUP("PCS-30820g",[3]ARBOR!$A:$C,3,0),0.0001,IF(DV6&gt;VLOOKUP("PCS-30820g",[3]ARBOR!$A:$C,3,0),"Maior que CAP!",IF((DOLLAR(DV6+(VLOOKUP("PCS-30820g",[3]ARBOR!$A:$C,3,0)*-TRUNC(DV6/VLOOKUP("PCS-30820g",[3]ARBOR!$A:$C,3,0)-1,4)),6))&lt;&gt;(DOLLAR(VLOOKUP("PCS-30820g",[3]ARBOR!$A:$C,3,0),6)),(-TRUNC(DV6/VLOOKUP("PCS-30820g",[3]ARBOR!$A:$C,3,0)-1,4)+0.0001)-DT6,-TRUNC(DV6/VLOOKUP("PCS-30820g",[3]ARBOR!$A:$C,3,0)-1,4)-DT6))))</f>
        <v/>
      </c>
      <c r="DY6" s="117" t="str">
        <f>IF(ISERROR(IF(DX6="","",VLOOKUP(($BC6&amp;DX6&amp;"Template de desconto percentual Bundle - Velox XDSL - Varejo"),[3]BENEFICIOS!$A:$E,5,0))),"Criar",IF(DX6="","",VLOOKUP(($BC6&amp;DX6&amp;"Template de desconto percentual Bundle - Velox XDSL - Varejo"),[3]BENEFICIOS!$A:$E,5,0)))</f>
        <v/>
      </c>
      <c r="DZ6" s="124"/>
      <c r="EA6" s="116" t="str">
        <f>IF(DZ6=0,"",IF(DZ6=VLOOKUP("PCS-21448p2",[3]ARBOR!$A:$C,3,0),0.0001,IF(DZ6&gt;VLOOKUP("PCS-21448p2",[3]ARBOR!$A:$C,3,0),"Maior que CAP!",IF((DOLLAR(DZ6+(VLOOKUP("PCS-21448p2",[3]ARBOR!$A:$C,3,0)*-TRUNC(DZ6/VLOOKUP("PCS-21448p2",[3]ARBOR!$A:$C,3,0)-1,4)),6))&lt;&gt;(DOLLAR(VLOOKUP("PCS-21448p2",[3]ARBOR!$A:$C,3,0),6)),-TRUNC(DZ6/VLOOKUP("PCS-21448p2",[3]ARBOR!$A:$C,3,0)-1,4)+0.0001,-TRUNC(DZ6/VLOOKUP("PCS-21448p2",[3]ARBOR!$A:$C,3,0)-1,4)))))</f>
        <v/>
      </c>
      <c r="EB6" s="117" t="str">
        <f>IF(ISERROR(IF(EA6="","",VLOOKUP(("Oi Conta Total Plug 10GB Downgrade"&amp;EA6&amp;"Template de desconto percentual BL Móvel - Internet Total - Varejo"),[3]BENEFICIOS!$A:$E,5,0))),"Criar",IF(EA6="","",VLOOKUP(("Oi Conta Total Plug 10GB Downgrade"&amp;EA6&amp;"Template de desconto percentual BL Móvel - Internet Total - Varejo"),[3]BENEFICIOS!$A:$E,5,0)))</f>
        <v/>
      </c>
      <c r="EC6" s="125">
        <v>19.899999999999999</v>
      </c>
      <c r="ED6" s="126">
        <f>IF(EC6=0,"",IF(EC6=VLOOKUP("SVA",[3]ARBOR!$A:$C,3,0),0.0001,IF(EC6&gt;VLOOKUP("SVA",[3]ARBOR!$A:$C,3,0),"Maior que CAP!",IF((DOLLAR(EC6+(VLOOKUP("SVA",[3]ARBOR!$A:$C,3,0)*-TRUNC(EC6/VLOOKUP("SVA",[3]ARBOR!$A:$C,3,0)-1,4)),6))&lt;&gt;(DOLLAR(VLOOKUP("SVA",[3]ARBOR!$A:$C,3,0),6)),-TRUNC(EC6/VLOOKUP("SVA",[3]ARBOR!$A:$C,3,0)-1,4)+0.0001,-TRUNC(EC6/VLOOKUP("SVA",[3]ARBOR!$A:$C,3,0)-1,4)))))</f>
        <v>7.1400000000000005E-2</v>
      </c>
      <c r="EE6" s="127" t="s">
        <v>231</v>
      </c>
      <c r="EF6" s="128"/>
      <c r="EG6" s="129"/>
      <c r="EH6" s="130" t="str">
        <f t="shared" si="1"/>
        <v/>
      </c>
      <c r="EI6" s="127" t="str">
        <f>IF(EH6="S/Desc","S/Desc",IF(ISERROR(IF(EH6="","",VLOOKUP(($BC6&amp;EH6&amp;"Template Desc. % sobre Serviço SVA B2C"),[3]BENEFICIOS!$A:$G,5,0))),"Criar",IF(EH6="","",VLOOKUP(($BC6&amp;EH6&amp;"Template Desc. % sobre Serviço SVA B2C"),[3]BENEFICIOS!$A:$G,5,0))))</f>
        <v/>
      </c>
      <c r="EJ6" s="131" t="s">
        <v>209</v>
      </c>
      <c r="EK6" s="132" t="s">
        <v>223</v>
      </c>
      <c r="EL6" s="133" t="s">
        <v>224</v>
      </c>
      <c r="EM6" s="134" t="s">
        <v>225</v>
      </c>
      <c r="EN6" s="135"/>
      <c r="EO6" s="133"/>
      <c r="EP6" s="134"/>
      <c r="EQ6" s="136" t="s">
        <v>219</v>
      </c>
      <c r="ER6" s="137">
        <f t="shared" si="2"/>
        <v>159.91000000000003</v>
      </c>
      <c r="ES6" s="138" t="s">
        <v>220</v>
      </c>
      <c r="ET6" s="139" t="s">
        <v>234</v>
      </c>
      <c r="EU6" s="139" t="s">
        <v>227</v>
      </c>
      <c r="EV6" s="139"/>
      <c r="EW6" s="139"/>
      <c r="EX6" s="139"/>
      <c r="EY6" s="139"/>
      <c r="EZ6" s="139"/>
      <c r="FA6" s="139"/>
      <c r="FB6" s="140"/>
    </row>
    <row r="7" spans="1:158" x14ac:dyDescent="0.25">
      <c r="A7" s="90" t="s">
        <v>198</v>
      </c>
      <c r="B7" s="91" t="s">
        <v>199</v>
      </c>
      <c r="C7" s="91" t="s">
        <v>200</v>
      </c>
      <c r="D7" s="92" t="s">
        <v>201</v>
      </c>
      <c r="E7" s="93" t="s">
        <v>202</v>
      </c>
      <c r="F7" s="94" t="s">
        <v>202</v>
      </c>
      <c r="G7" s="94" t="s">
        <v>202</v>
      </c>
      <c r="H7" s="94" t="s">
        <v>202</v>
      </c>
      <c r="I7" s="94"/>
      <c r="J7" s="94" t="s">
        <v>202</v>
      </c>
      <c r="K7" s="94" t="s">
        <v>202</v>
      </c>
      <c r="L7" s="94" t="s">
        <v>202</v>
      </c>
      <c r="M7" s="94" t="s">
        <v>202</v>
      </c>
      <c r="N7" s="94" t="s">
        <v>202</v>
      </c>
      <c r="O7" s="94" t="s">
        <v>202</v>
      </c>
      <c r="P7" s="94" t="s">
        <v>202</v>
      </c>
      <c r="Q7" s="94" t="s">
        <v>202</v>
      </c>
      <c r="R7" s="94" t="s">
        <v>202</v>
      </c>
      <c r="S7" s="94" t="s">
        <v>202</v>
      </c>
      <c r="T7" s="95" t="s">
        <v>202</v>
      </c>
      <c r="U7" s="94" t="s">
        <v>202</v>
      </c>
      <c r="V7" s="95" t="s">
        <v>202</v>
      </c>
      <c r="W7" s="94" t="s">
        <v>202</v>
      </c>
      <c r="X7" s="94" t="s">
        <v>202</v>
      </c>
      <c r="Y7" s="94" t="s">
        <v>202</v>
      </c>
      <c r="Z7" s="94" t="s">
        <v>202</v>
      </c>
      <c r="AA7" s="95" t="s">
        <v>202</v>
      </c>
      <c r="AB7" s="94"/>
      <c r="AC7" s="141"/>
      <c r="AD7" s="95"/>
      <c r="AE7" s="94"/>
      <c r="AF7" s="94" t="s">
        <v>202</v>
      </c>
      <c r="AG7" s="94" t="s">
        <v>202</v>
      </c>
      <c r="AH7" s="94" t="s">
        <v>202</v>
      </c>
      <c r="AI7" s="94"/>
      <c r="AJ7" s="94"/>
      <c r="AK7" s="94"/>
      <c r="AL7" s="97"/>
      <c r="AM7" s="98" t="s">
        <v>235</v>
      </c>
      <c r="AN7" s="99" t="s">
        <v>204</v>
      </c>
      <c r="AO7" s="99" t="s">
        <v>236</v>
      </c>
      <c r="AP7" s="100">
        <v>42912</v>
      </c>
      <c r="AQ7" s="101">
        <v>43004</v>
      </c>
      <c r="AR7" s="102" t="s">
        <v>206</v>
      </c>
      <c r="AS7" s="103" t="s">
        <v>206</v>
      </c>
      <c r="AT7" s="104"/>
      <c r="AU7" s="104" t="s">
        <v>207</v>
      </c>
      <c r="AV7" s="104">
        <v>20</v>
      </c>
      <c r="AW7" s="104">
        <v>10000</v>
      </c>
      <c r="AX7" s="105" t="s">
        <v>208</v>
      </c>
      <c r="AY7" s="106" t="s">
        <v>209</v>
      </c>
      <c r="AZ7" s="107" t="s">
        <v>209</v>
      </c>
      <c r="BA7" s="108" t="s">
        <v>209</v>
      </c>
      <c r="BB7" s="98" t="s">
        <v>235</v>
      </c>
      <c r="BC7" s="109" t="s">
        <v>237</v>
      </c>
      <c r="BD7" s="110" t="str">
        <f t="shared" si="0"/>
        <v>PCS-2PFBL2</v>
      </c>
      <c r="BE7" s="111" t="s">
        <v>201</v>
      </c>
      <c r="BF7" s="112" t="s">
        <v>211</v>
      </c>
      <c r="BG7" s="113">
        <v>12</v>
      </c>
      <c r="BH7" s="114">
        <v>144</v>
      </c>
      <c r="BI7" s="115">
        <v>70.010000000000005</v>
      </c>
      <c r="BJ7" s="116">
        <f>IF(BI7=0,"",IF(BI7=VLOOKUP("FIXO",[3]ARBOR!$A:$C,3,0),0.0001,IF(BI7&gt;VLOOKUP("FIXO",[3]ARBOR!$A:$C,3,0),"Maior que CAP!",IF((DOLLAR(BI7+(VLOOKUP("FIXO",[3]ARBOR!$A:$C,3,0)*-TRUNC(BI7/VLOOKUP("FIXO",[3]ARBOR!$A:$C,3,0)-1,4)),6))&lt;&gt;(DOLLAR(VLOOKUP("FIXO",[3]ARBOR!$A:$C,3,0),6)),-TRUNC(BI7/VLOOKUP("FIXO",[3]ARBOR!$A:$C,3,0)-1,4)+0.0001,-TRUNC(BI7/VLOOKUP("FIXO",[3]ARBOR!$A:$C,3,0)-1,4)))))</f>
        <v>7.6899999999999996E-2</v>
      </c>
      <c r="BK7" s="117" t="str">
        <f>IF(ISERROR(IF(BJ7="","",VLOOKUP(($BC7&amp;BJ7&amp;"Template de desconto FLAT bundle - Fixo - Varejo - Ganho Tributário Cross"),[3]BENEFICIOS!$A:$E,5,0))),"Criar",IF(BJ7="","",VLOOKUP(($BC7&amp;BJ7&amp;"Template de desconto FLAT bundle - Fixo - Varejo - Ganho Tributário Cross"),[3]BENEFICIOS!$A:$E,5,0)))</f>
        <v>Criar</v>
      </c>
      <c r="BL7" s="65" t="s">
        <v>212</v>
      </c>
      <c r="BM7" s="66" t="s">
        <v>213</v>
      </c>
      <c r="BN7" s="111" t="s">
        <v>201</v>
      </c>
      <c r="BO7" s="112" t="s">
        <v>214</v>
      </c>
      <c r="BP7" s="143">
        <v>12</v>
      </c>
      <c r="BQ7" s="143">
        <v>60</v>
      </c>
      <c r="BR7" s="144" t="s">
        <v>230</v>
      </c>
      <c r="BS7" s="121">
        <v>84.9</v>
      </c>
      <c r="BT7" s="116">
        <f>IF(BS7=0,"",IF(BS7=VLOOKUP("PCS-30874g",[3]ARBOR!$A:$C,3,0),0.0001,IF(BS7&gt;VLOOKUP("PCS-30874g",[3]ARBOR!$A:$C,3,0),"Maior que CAP!",IF((DOLLAR(BS7+(VLOOKUP("PCS-30874g",[3]ARBOR!$A:$C,3,0)*-TRUNC(BS7/VLOOKUP("PCS-30874g",[3]ARBOR!$A:$C,3,0)-1,4)),6))&lt;&gt;(DOLLAR(VLOOKUP("PCS-30874g",[3]ARBOR!$A:$C,3,0),6)),-TRUNC(BS7/VLOOKUP("PCS-30874g",[3]ARBOR!$A:$C,3,0)-1,4)+0.0001,-TRUNC(BS7/VLOOKUP("PCS-30874g",[3]ARBOR!$A:$C,3,0)-1,4)))))</f>
        <v>0.1242</v>
      </c>
      <c r="BU7" s="117" t="str">
        <f>IF(ISERROR(IF(BT7="","",VLOOKUP(($BC7&amp;BT7&amp;"Template de desconto FLAT bundle - Velox XDSL - Varejo"),[3]BENEFICIOS!$A:$E,5,0))),"Criar",IF(BT7="","",VLOOKUP(($BC7&amp;BT7&amp;"Template de desconto FLAT bundle - Velox XDSL - Varejo"),[3]BENEFICIOS!$A:$E,5,0)))</f>
        <v>Criar</v>
      </c>
      <c r="BV7" s="144" t="s">
        <v>230</v>
      </c>
      <c r="BW7" s="121">
        <v>84.9</v>
      </c>
      <c r="BX7" s="116">
        <f>IF(BW7=0,"",IF(BW7=VLOOKUP("PCS-30577g",[3]ARBOR!$A:$C,3,0),0.0001,IF(BW7&gt;VLOOKUP("PCS-30577g",[3]ARBOR!$A:$C,3,0),"Maior que CAP!",IF((DOLLAR(BW7+(VLOOKUP("PCS-30577g",[3]ARBOR!$A:$C,3,0)*-TRUNC(BW7/VLOOKUP("PCS-30577g",[3]ARBOR!$A:$C,3,0)-1,4)),6))&lt;&gt;(DOLLAR(VLOOKUP("PCS-30577g",[3]ARBOR!$A:$C,3,0),6)),-TRUNC(BW7/VLOOKUP("PCS-30577g",[3]ARBOR!$A:$C,3,0)-1,4)+0.0001,-TRUNC(BW7/VLOOKUP("PCS-30577g",[3]ARBOR!$A:$C,3,0)-1,4)))))</f>
        <v>0.1242</v>
      </c>
      <c r="BY7" s="117" t="str">
        <f>IF(ISERROR(IF(BX7="","",VLOOKUP(($BC7&amp;BX7&amp;"Template de desconto FLAT bundle - Velox XDSL - Varejo"),[3]BENEFICIOS!$A:$E,5,0))),"Criar",IF(BX7="","",VLOOKUP(($BC7&amp;BX7&amp;"Template de desconto FLAT bundle - Velox XDSL - Varejo"),[3]BENEFICIOS!$A:$E,5,0)))</f>
        <v>Criar</v>
      </c>
      <c r="BZ7" s="144" t="s">
        <v>230</v>
      </c>
      <c r="CA7" s="121">
        <v>84.9</v>
      </c>
      <c r="CB7" s="116">
        <f>IF(CA7=0,"",IF(CA7=VLOOKUP("PCS-30604g",[3]ARBOR!$A:$C,3,0),0.0001,IF(CA7&gt;VLOOKUP("PCS-30604g",[3]ARBOR!$A:$C,3,0),"Maior que CAP!",IF((DOLLAR(CA7+(VLOOKUP("PCS-30604g",[3]ARBOR!$A:$C,3,0)*-TRUNC(CA7/VLOOKUP("PCS-30604g",[3]ARBOR!$A:$C,3,0)-1,4)),6))&lt;&gt;(DOLLAR(VLOOKUP("PCS-30604g",[3]ARBOR!$A:$C,3,0),6)),-TRUNC(CA7/VLOOKUP("PCS-30604g",[3]ARBOR!$A:$C,3,0)-1,4)+0.0001,-TRUNC(CA7/VLOOKUP("PCS-30604g",[3]ARBOR!$A:$C,3,0)-1,4)))))</f>
        <v>0.1242</v>
      </c>
      <c r="CC7" s="117" t="str">
        <f>IF(ISERROR(IF(CB7="","",VLOOKUP(($BC7&amp;CB7&amp;"Template de desconto FLAT bundle - Velox XDSL - Varejo"),[3]BENEFICIOS!$A:$E,5,0))),"Criar",IF(CB7="","",VLOOKUP(($BC7&amp;CB7&amp;"Template de desconto FLAT bundle - Velox XDSL - Varejo"),[3]BENEFICIOS!$A:$E,5,0)))</f>
        <v>Criar</v>
      </c>
      <c r="CD7" s="144" t="s">
        <v>230</v>
      </c>
      <c r="CE7" s="121">
        <v>84.9</v>
      </c>
      <c r="CF7" s="116">
        <f>IF(CE7=0,"",IF(CE7=VLOOKUP("PCS-30631g",[3]ARBOR!$A:$C,3,0),0.0001,IF(CE7&gt;VLOOKUP("PCS-30631g",[3]ARBOR!$A:$C,3,0),"Maior que CAP!",IF((DOLLAR(CE7+(VLOOKUP("PCS-30631g",[3]ARBOR!$A:$C,3,0)*-TRUNC(CE7/VLOOKUP("PCS-30631g",[3]ARBOR!$A:$C,3,0)-1,4)),6))&lt;&gt;(DOLLAR(VLOOKUP("PCS-30631g",[3]ARBOR!$A:$C,3,0),6)),-TRUNC(CE7/VLOOKUP("PCS-30631g",[3]ARBOR!$A:$C,3,0)-1,4)+0.0001,-TRUNC(CE7/VLOOKUP("PCS-30631g",[3]ARBOR!$A:$C,3,0)-1,4)))))</f>
        <v>0.13599999999999998</v>
      </c>
      <c r="CG7" s="117" t="str">
        <f>IF(ISERROR(IF(CF7="","",VLOOKUP(($BC7&amp;CF7&amp;"Template de desconto FLAT bundle - Velox XDSL - Varejo"),[3]BENEFICIOS!$A:$E,5,0))),"Criar",IF(CF7="","",VLOOKUP(($BC7&amp;CF7&amp;"Template de desconto FLAT bundle - Velox XDSL - Varejo"),[3]BENEFICIOS!$A:$E,5,0)))</f>
        <v>Criar</v>
      </c>
      <c r="CH7" s="123" t="s">
        <v>173</v>
      </c>
      <c r="CI7" s="121">
        <v>89.9</v>
      </c>
      <c r="CJ7" s="116">
        <f>IF(CI7=0,"",IF(CI7=VLOOKUP("PCS-30658g",[3]ARBOR!$A:$C,3,0),0.0001,IF(CI7&gt;VLOOKUP("PCS-30658g",[3]ARBOR!$A:$C,3,0),"Maior que CAP!",IF((DOLLAR(CI7+(VLOOKUP("PCS-30658g",[3]ARBOR!$A:$C,3,0)*-TRUNC(CI7/VLOOKUP("PCS-30658g",[3]ARBOR!$A:$C,3,0)-1,4)),6))&lt;&gt;(DOLLAR(VLOOKUP("PCS-30658g",[3]ARBOR!$A:$C,3,0),6)),-TRUNC(CI7/VLOOKUP("PCS-30658g",[3]ARBOR!$A:$C,3,0)-1,4)+0.0001,-TRUNC(CI7/VLOOKUP("PCS-30658g",[3]ARBOR!$A:$C,3,0)-1,4)))))</f>
        <v>0.1996</v>
      </c>
      <c r="CK7" s="117" t="str">
        <f>IF(ISERROR(IF(CJ7="","",VLOOKUP(($BC7&amp;CJ7&amp;"Template de desconto FLAT bundle - Velox XDSL - Varejo"),[3]BENEFICIOS!$A:$E,5,0))),"Criar",IF(CJ7="","",VLOOKUP(($BC7&amp;CJ7&amp;"Template de desconto FLAT bundle - Velox XDSL - Varejo"),[3]BENEFICIOS!$A:$E,5,0)))</f>
        <v>Criar</v>
      </c>
      <c r="CL7" s="123" t="s">
        <v>173</v>
      </c>
      <c r="CM7" s="121">
        <v>89.9</v>
      </c>
      <c r="CN7" s="116">
        <f>IF(CM7=0,"",IF(CM7=VLOOKUP("PCS-30685g",[3]ARBOR!$A:$C,3,0),0.0001,IF(CM7&gt;VLOOKUP("PCS-30685g",[3]ARBOR!$A:$C,3,0),"Maior que CAP!",IF((DOLLAR(CM7+(VLOOKUP("PCS-30685g",[3]ARBOR!$A:$C,3,0)*-TRUNC(CM7/VLOOKUP("PCS-30685g",[3]ARBOR!$A:$C,3,0)-1,4)),6))&lt;&gt;(DOLLAR(VLOOKUP("PCS-30685g",[3]ARBOR!$A:$C,3,0),6)),-TRUNC(CM7/VLOOKUP("PCS-30685g",[3]ARBOR!$A:$C,3,0)-1,4)+0.0001,-TRUNC(CM7/VLOOKUP("PCS-30685g",[3]ARBOR!$A:$C,3,0)-1,4)))))</f>
        <v>0.28849999999999998</v>
      </c>
      <c r="CO7" s="117" t="str">
        <f>IF(ISERROR(IF(CN7="","",VLOOKUP(($BC7&amp;CN7&amp;"Template de desconto FLAT bundle - Velox XDSL - Varejo"),[3]BENEFICIOS!$A:$E,5,0))),"Criar",IF(CN7="","",VLOOKUP(($BC7&amp;CN7&amp;"Template de desconto FLAT bundle - Velox XDSL - Varejo"),[3]BENEFICIOS!$A:$E,5,0)))</f>
        <v>Criar</v>
      </c>
      <c r="CP7" s="123" t="s">
        <v>173</v>
      </c>
      <c r="CQ7" s="121">
        <v>89.9</v>
      </c>
      <c r="CR7" s="116">
        <f>IF(CQ7=0,"",IF(CQ7=VLOOKUP("PCS-30712g",[3]ARBOR!$A:$C,3,0),0.0001,IF(CQ7&gt;VLOOKUP("PCS-30712g",[3]ARBOR!$A:$C,3,0),"Maior que CAP!",IF((DOLLAR(CQ7+(VLOOKUP("PCS-30712g",[3]ARBOR!$A:$C,3,0)*-TRUNC(CQ7/VLOOKUP("PCS-30712g",[3]ARBOR!$A:$C,3,0)-1,4)),6))&lt;&gt;(DOLLAR(VLOOKUP("PCS-30712g",[3]ARBOR!$A:$C,3,0),6)),-TRUNC(CQ7/VLOOKUP("PCS-30712g",[3]ARBOR!$A:$C,3,0)-1,4)+0.0001,-TRUNC(CQ7/VLOOKUP("PCS-30712g",[3]ARBOR!$A:$C,3,0)-1,4)))))</f>
        <v>0.35959999999999998</v>
      </c>
      <c r="CS7" s="117" t="str">
        <f>IF(ISERROR(IF(CR7="","",VLOOKUP(($BC7&amp;CR7&amp;"Template de desconto FLAT bundle - Velox XDSL - Varejo"),[3]BENEFICIOS!$A:$E,5,0))),"Criar",IF(CR7="","",VLOOKUP(($BC7&amp;CR7&amp;"Template de desconto FLAT bundle - Velox XDSL - Varejo"),[3]BENEFICIOS!$A:$E,5,0)))</f>
        <v>Criar</v>
      </c>
      <c r="CT7" s="123" t="s">
        <v>173</v>
      </c>
      <c r="CU7" s="121">
        <v>99.9</v>
      </c>
      <c r="CV7" s="116">
        <f>IF(CU7=0,"",IF(CU7=VLOOKUP("PCS-30739g",[3]ARBOR!$A:$C,3,0),0.0001,IF(CU7&gt;VLOOKUP("PCS-30739g",[3]ARBOR!$A:$C,3,0),"Maior que CAP!",IF((DOLLAR(CU7+(VLOOKUP("PCS-30739g",[3]ARBOR!$A:$C,3,0)*-TRUNC(CU7/VLOOKUP("PCS-30739g",[3]ARBOR!$A:$C,3,0)-1,4)),6))&lt;&gt;(DOLLAR(VLOOKUP("PCS-30739g",[3]ARBOR!$A:$C,3,0),6)),-TRUNC(CU7/VLOOKUP("PCS-30739g",[3]ARBOR!$A:$C,3,0)-1,4)+0.0001,-TRUNC(CU7/VLOOKUP("PCS-30739g",[3]ARBOR!$A:$C,3,0)-1,4)))))</f>
        <v>0.52559999999999996</v>
      </c>
      <c r="CW7" s="117" t="str">
        <f>IF(ISERROR(IF(CV7="","",VLOOKUP(($BC7&amp;CV7&amp;"Template de desconto FLAT bundle - Velox XDSL - Varejo"),[3]BENEFICIOS!$A:$E,5,0))),"Criar",IF(CV7="","",VLOOKUP(($BC7&amp;CV7&amp;"Template de desconto FLAT bundle - Velox XDSL - Varejo"),[3]BENEFICIOS!$A:$E,5,0)))</f>
        <v>Criar</v>
      </c>
      <c r="CX7" s="121"/>
      <c r="CY7" s="122"/>
      <c r="CZ7" s="116" t="str">
        <f>IF(CX7=0,"",IF(CX7=VLOOKUP("PCS-30739g",[3]ARBOR!$A:$C,3,0),0.0001,IF(CX7&gt;VLOOKUP("PCS-30739g",[3]ARBOR!$A:$C,3,0),"Maior que CAP!",IF((DOLLAR(CX7+(VLOOKUP("PCS-30739g",[3]ARBOR!$A:$C,3,0)*-TRUNC(CX7/VLOOKUP("PCS-30739g",[3]ARBOR!$A:$C,3,0)-1,4)),6))&lt;&gt;(DOLLAR(VLOOKUP("PCS-30739g",[3]ARBOR!$A:$C,3,0),6)),(-TRUNC(CX7/VLOOKUP("PCS-30739g",[3]ARBOR!$A:$C,3,0)-1,4)+0.0001)-CV7,-TRUNC(CX7/VLOOKUP("PCS-30739g",[3]ARBOR!$A:$C,3,0)-1,4)-CV7))))</f>
        <v/>
      </c>
      <c r="DA7" s="117" t="str">
        <f>IF(ISERROR(IF(CZ7="","",VLOOKUP(($BC7&amp;CZ7&amp;"Template de desconto percentual Bundle - Velox XDSL - Varejo"),[3]BENEFICIOS!$A:$E,5,0))),"Criar",IF(CZ7="","",VLOOKUP(($BC7&amp;CZ7&amp;"Template de desconto percentual Bundle - Velox XDSL - Varejo"),[3]BENEFICIOS!$A:$E,5,0)))</f>
        <v/>
      </c>
      <c r="DB7" s="123" t="s">
        <v>173</v>
      </c>
      <c r="DC7" s="121">
        <v>99.9</v>
      </c>
      <c r="DD7" s="116">
        <f>IF(DC7=0,"",IF(DC7=VLOOKUP("PCS-30766g",[3]ARBOR!$A:$C,3,0),0.0001,IF(DC7&gt;VLOOKUP("PCS-30766g",[3]ARBOR!$A:$C,3,0),"Maior que CAP!",IF((DOLLAR(DC7+(VLOOKUP("PCS-30766g",[3]ARBOR!$A:$C,3,0)*-TRUNC(DC7/VLOOKUP("PCS-30766g",[3]ARBOR!$A:$C,3,0)-1,4)),6))&lt;&gt;(DOLLAR(VLOOKUP("PCS-30766g",[3]ARBOR!$A:$C,3,0),6)),-TRUNC(DC7/VLOOKUP("PCS-30766g",[3]ARBOR!$A:$C,3,0)-1,4)+0.0001,-TRUNC(DC7/VLOOKUP("PCS-30766g",[3]ARBOR!$A:$C,3,0)-1,4)))))</f>
        <v>0.64419999999999999</v>
      </c>
      <c r="DE7" s="117" t="str">
        <f>IF(ISERROR(IF(DD7="","",VLOOKUP(($BC7&amp;DD7&amp;"Template de desconto FLAT bundle - Velox XDSL - Varejo"),[3]BENEFICIOS!$A:$E,5,0))),"Criar",IF(DD7="","",VLOOKUP(($BC7&amp;DD7&amp;"Template de desconto FLAT bundle - Velox XDSL - Varejo"),[3]BENEFICIOS!$A:$E,5,0)))</f>
        <v>Criar</v>
      </c>
      <c r="DF7" s="121"/>
      <c r="DG7" s="122"/>
      <c r="DH7" s="116" t="str">
        <f>IF(DF7=0,"",IF(DF7=VLOOKUP("PCS-30766g",[3]ARBOR!$A:$C,3,0),0.0001,IF(DF7&gt;VLOOKUP("PCS-30766g",[3]ARBOR!$A:$C,3,0),"Maior que CAP!",IF((DOLLAR(DF7+(VLOOKUP("PCS-30766g",[3]ARBOR!$A:$C,3,0)*-TRUNC(DF7/VLOOKUP("PCS-30766g",[3]ARBOR!$A:$C,3,0)-1,4)),6))&lt;&gt;(DOLLAR(VLOOKUP("PCS-30766g",[3]ARBOR!$A:$C,3,0),6)),(-TRUNC(DF7/VLOOKUP("PCS-30766g",[3]ARBOR!$A:$C,3,0)-1,4)+0.0001)-DD7,-TRUNC(DF7/VLOOKUP("PCS-30766g",[3]ARBOR!$A:$C,3,0)-1,4)-DD7))))</f>
        <v/>
      </c>
      <c r="DI7" s="117" t="str">
        <f>IF(ISERROR(IF(DH7="","",VLOOKUP(($BC7&amp;DH7&amp;"Template de desconto percentual Bundle - Velox XDSL - Varejo"),[3]BENEFICIOS!$A:$E,5,0))),"Criar",IF(DH7="","",VLOOKUP(($BC7&amp;DH7&amp;"Template de desconto percentual Bundle - Velox XDSL - Varejo"),[3]BENEFICIOS!$A:$E,5,0)))</f>
        <v/>
      </c>
      <c r="DJ7" s="123" t="s">
        <v>230</v>
      </c>
      <c r="DK7" s="121">
        <v>109.9</v>
      </c>
      <c r="DL7" s="116">
        <f>IF(DK7=0,"",IF(DK7=VLOOKUP("PCS-30793g",[3]ARBOR!$A:$C,3,0),0.0001,IF(DK7&gt;VLOOKUP("PCS-30793g",[3]ARBOR!$A:$C,3,0),"Maior que CAP!",IF((DOLLAR(DK7+(VLOOKUP("PCS-30793g",[3]ARBOR!$A:$C,3,0)*-TRUNC(DK7/VLOOKUP("PCS-30793g",[3]ARBOR!$A:$C,3,0)-1,4)),6))&lt;&gt;(DOLLAR(VLOOKUP("PCS-30793g",[3]ARBOR!$A:$C,3,0),6)),-TRUNC(DK7/VLOOKUP("PCS-30793g",[3]ARBOR!$A:$C,3,0)-1,4)+0.0001,-TRUNC(DK7/VLOOKUP("PCS-30793g",[3]ARBOR!$A:$C,3,0)-1,4)))))</f>
        <v>0.60860000000000003</v>
      </c>
      <c r="DM7" s="117" t="str">
        <f>IF(ISERROR(IF(DL7="","",VLOOKUP(($BC7&amp;DL7&amp;"Template de desconto FLAT bundle - Velox XDSL - Varejo"),[3]BENEFICIOS!$A:$E,5,0))),"Criar",IF(DL7="","",VLOOKUP(($BC7&amp;DL7&amp;"Template de desconto FLAT bundle - Velox XDSL - Varejo"),[3]BENEFICIOS!$A:$E,5,0)))</f>
        <v>Criar</v>
      </c>
      <c r="DN7" s="121"/>
      <c r="DO7" s="122"/>
      <c r="DP7" s="116" t="str">
        <f>IF(DN7=0,"",IF(DN7=VLOOKUP("PCS-30793g",[3]ARBOR!$A:$C,3,0),0.0001,IF(DN7&gt;VLOOKUP("PCS-30793g",[3]ARBOR!$A:$C,3,0),"Maior que CAP!",IF((DOLLAR(DN7+(VLOOKUP("PCS-30793g",[3]ARBOR!$A:$C,3,0)*-TRUNC(DN7/VLOOKUP("PCS-30793g",[3]ARBOR!$A:$C,3,0)-1,4)),6))&lt;&gt;(DOLLAR(VLOOKUP("PCS-30793g",[3]ARBOR!$A:$C,3,0),6)),(-TRUNC(DN7/VLOOKUP("PCS-30793g",[3]ARBOR!$A:$C,3,0)-1,4)+0.0001)-DL7,-TRUNC(DN7/VLOOKUP("PCS-30793g",[3]ARBOR!$A:$C,3,0)-1,4)-DL7))))</f>
        <v/>
      </c>
      <c r="DQ7" s="117" t="str">
        <f>IF(ISERROR(IF(DP7="","",VLOOKUP(($BC7&amp;DP7&amp;"Template de desconto percentual Bundle - Velox XDSL - Varejo"),[3]BENEFICIOS!$A:$E,5,0))),"Criar",IF(DP7="","",VLOOKUP(($BC7&amp;DP7&amp;"Template de desconto percentual Bundle - Velox XDSL - Varejo"),[3]BENEFICIOS!$A:$E,5,0)))</f>
        <v/>
      </c>
      <c r="DR7" s="123" t="s">
        <v>173</v>
      </c>
      <c r="DS7" s="121">
        <v>109.9</v>
      </c>
      <c r="DT7" s="116">
        <f>IF(DS7=0,"",IF(DS7=VLOOKUP("PCS-30820g",[3]ARBOR!$A:$C,3,0),0.0001,IF(DS7&gt;VLOOKUP("PCS-30820g",[3]ARBOR!$A:$C,3,0),"Maior que CAP!",IF((DOLLAR(DS7+(VLOOKUP("PCS-30820g",[3]ARBOR!$A:$C,3,0)*-TRUNC(DS7/VLOOKUP("PCS-30820g",[3]ARBOR!$A:$C,3,0)-1,4)),6))&lt;&gt;(DOLLAR(VLOOKUP("PCS-30820g",[3]ARBOR!$A:$C,3,0),6)),-TRUNC(DS7/VLOOKUP("PCS-30820g",[3]ARBOR!$A:$C,3,0)-1,4)+0.0001,-TRUNC(DS7/VLOOKUP("PCS-30820g",[3]ARBOR!$A:$C,3,0)-1,4)))))</f>
        <v>0.60860000000000003</v>
      </c>
      <c r="DU7" s="117" t="str">
        <f>IF(ISERROR(IF(DT7="","",VLOOKUP(($BC7&amp;DT7&amp;"Template de desconto FLAT bundle - Velox XDSL - Varejo"),[3]BENEFICIOS!$A:$E,5,0))),"Criar",IF(DT7="","",VLOOKUP(($BC7&amp;DT7&amp;"Template de desconto FLAT bundle - Velox XDSL - Varejo"),[3]BENEFICIOS!$A:$E,5,0)))</f>
        <v>Criar</v>
      </c>
      <c r="DV7" s="121"/>
      <c r="DW7" s="122"/>
      <c r="DX7" s="116" t="str">
        <f>IF(DV7=0,"",IF(DV7=VLOOKUP("PCS-30820g",[3]ARBOR!$A:$C,3,0),0.0001,IF(DV7&gt;VLOOKUP("PCS-30820g",[3]ARBOR!$A:$C,3,0),"Maior que CAP!",IF((DOLLAR(DV7+(VLOOKUP("PCS-30820g",[3]ARBOR!$A:$C,3,0)*-TRUNC(DV7/VLOOKUP("PCS-30820g",[3]ARBOR!$A:$C,3,0)-1,4)),6))&lt;&gt;(DOLLAR(VLOOKUP("PCS-30820g",[3]ARBOR!$A:$C,3,0),6)),(-TRUNC(DV7/VLOOKUP("PCS-30820g",[3]ARBOR!$A:$C,3,0)-1,4)+0.0001)-DT7,-TRUNC(DV7/VLOOKUP("PCS-30820g",[3]ARBOR!$A:$C,3,0)-1,4)-DT7))))</f>
        <v/>
      </c>
      <c r="DY7" s="117" t="str">
        <f>IF(ISERROR(IF(DX7="","",VLOOKUP(($BC7&amp;DX7&amp;"Template de desconto percentual Bundle - Velox XDSL - Varejo"),[3]BENEFICIOS!$A:$E,5,0))),"Criar",IF(DX7="","",VLOOKUP(($BC7&amp;DX7&amp;"Template de desconto percentual Bundle - Velox XDSL - Varejo"),[3]BENEFICIOS!$A:$E,5,0)))</f>
        <v/>
      </c>
      <c r="DZ7" s="124"/>
      <c r="EA7" s="116" t="str">
        <f>IF(DZ7=0,"",IF(DZ7=VLOOKUP("PCS-21448p2",[3]ARBOR!$A:$C,3,0),0.0001,IF(DZ7&gt;VLOOKUP("PCS-21448p2",[3]ARBOR!$A:$C,3,0),"Maior que CAP!",IF((DOLLAR(DZ7+(VLOOKUP("PCS-21448p2",[3]ARBOR!$A:$C,3,0)*-TRUNC(DZ7/VLOOKUP("PCS-21448p2",[3]ARBOR!$A:$C,3,0)-1,4)),6))&lt;&gt;(DOLLAR(VLOOKUP("PCS-21448p2",[3]ARBOR!$A:$C,3,0),6)),-TRUNC(DZ7/VLOOKUP("PCS-21448p2",[3]ARBOR!$A:$C,3,0)-1,4)+0.0001,-TRUNC(DZ7/VLOOKUP("PCS-21448p2",[3]ARBOR!$A:$C,3,0)-1,4)))))</f>
        <v/>
      </c>
      <c r="EB7" s="117" t="str">
        <f>IF(ISERROR(IF(EA7="","",VLOOKUP(("Oi Conta Total Plug 10GB Downgrade"&amp;EA7&amp;"Template de desconto percentual BL Móvel - Internet Total - Varejo"),[3]BENEFICIOS!$A:$E,5,0))),"Criar",IF(EA7="","",VLOOKUP(("Oi Conta Total Plug 10GB Downgrade"&amp;EA7&amp;"Template de desconto percentual BL Móvel - Internet Total - Varejo"),[3]BENEFICIOS!$A:$E,5,0)))</f>
        <v/>
      </c>
      <c r="EC7" s="145">
        <v>19.899999999999999</v>
      </c>
      <c r="ED7" s="126">
        <f>IF(EC7=0,"",IF(EC7=VLOOKUP("SVA",[3]ARBOR!$A:$C,3,0),0.0001,IF(EC7&gt;VLOOKUP("SVA",[3]ARBOR!$A:$C,3,0),"Maior que CAP!",IF((DOLLAR(EC7+(VLOOKUP("SVA",[3]ARBOR!$A:$C,3,0)*-TRUNC(EC7/VLOOKUP("SVA",[3]ARBOR!$A:$C,3,0)-1,4)),6))&lt;&gt;(DOLLAR(VLOOKUP("SVA",[3]ARBOR!$A:$C,3,0),6)),-TRUNC(EC7/VLOOKUP("SVA",[3]ARBOR!$A:$C,3,0)-1,4)+0.0001,-TRUNC(EC7/VLOOKUP("SVA",[3]ARBOR!$A:$C,3,0)-1,4)))))</f>
        <v>7.1400000000000005E-2</v>
      </c>
      <c r="EE7" s="127" t="s">
        <v>231</v>
      </c>
      <c r="EF7" s="128"/>
      <c r="EG7" s="129"/>
      <c r="EH7" s="130" t="str">
        <f t="shared" si="1"/>
        <v/>
      </c>
      <c r="EI7" s="127" t="str">
        <f>IF(EH7="S/Desc","S/Desc",IF(ISERROR(IF(EH7="","",VLOOKUP(($BC7&amp;EH7&amp;"Template Desc. % sobre Serviço SVA B2C"),[3]BENEFICIOS!$A:$G,5,0))),"Criar",IF(EH7="","",VLOOKUP(($BC7&amp;EH7&amp;"Template Desc. % sobre Serviço SVA B2C"),[3]BENEFICIOS!$A:$G,5,0))))</f>
        <v/>
      </c>
      <c r="EJ7" s="146" t="s">
        <v>209</v>
      </c>
      <c r="EK7" s="135" t="s">
        <v>216</v>
      </c>
      <c r="EL7" s="133" t="s">
        <v>217</v>
      </c>
      <c r="EM7" s="134" t="s">
        <v>218</v>
      </c>
      <c r="EN7" s="135"/>
      <c r="EO7" s="133"/>
      <c r="EP7" s="134"/>
      <c r="EQ7" s="136" t="s">
        <v>219</v>
      </c>
      <c r="ER7" s="137">
        <f t="shared" si="2"/>
        <v>159.91000000000003</v>
      </c>
      <c r="ES7" s="138" t="s">
        <v>220</v>
      </c>
      <c r="ET7" s="139" t="s">
        <v>238</v>
      </c>
      <c r="EU7" s="139" t="s">
        <v>227</v>
      </c>
      <c r="EV7" s="139"/>
      <c r="EW7" s="139"/>
      <c r="EX7" s="139"/>
      <c r="EY7" s="139"/>
      <c r="EZ7" s="139"/>
      <c r="FA7" s="139"/>
      <c r="FB7" s="140"/>
    </row>
    <row r="8" spans="1:158" x14ac:dyDescent="0.25">
      <c r="A8" s="90" t="s">
        <v>198</v>
      </c>
      <c r="B8" s="91" t="s">
        <v>199</v>
      </c>
      <c r="C8" s="91" t="s">
        <v>200</v>
      </c>
      <c r="D8" s="92" t="s">
        <v>201</v>
      </c>
      <c r="E8" s="93" t="s">
        <v>202</v>
      </c>
      <c r="F8" s="94" t="s">
        <v>202</v>
      </c>
      <c r="G8" s="94" t="s">
        <v>202</v>
      </c>
      <c r="H8" s="94" t="s">
        <v>202</v>
      </c>
      <c r="I8" s="94"/>
      <c r="J8" s="94" t="s">
        <v>202</v>
      </c>
      <c r="K8" s="94" t="s">
        <v>202</v>
      </c>
      <c r="L8" s="94" t="s">
        <v>202</v>
      </c>
      <c r="M8" s="94" t="s">
        <v>202</v>
      </c>
      <c r="N8" s="94" t="s">
        <v>202</v>
      </c>
      <c r="O8" s="94" t="s">
        <v>202</v>
      </c>
      <c r="P8" s="94" t="s">
        <v>202</v>
      </c>
      <c r="Q8" s="94" t="s">
        <v>202</v>
      </c>
      <c r="R8" s="94" t="s">
        <v>202</v>
      </c>
      <c r="S8" s="94" t="s">
        <v>202</v>
      </c>
      <c r="T8" s="95" t="s">
        <v>202</v>
      </c>
      <c r="U8" s="94" t="s">
        <v>202</v>
      </c>
      <c r="V8" s="95" t="s">
        <v>202</v>
      </c>
      <c r="W8" s="94" t="s">
        <v>202</v>
      </c>
      <c r="X8" s="94" t="s">
        <v>202</v>
      </c>
      <c r="Y8" s="94" t="s">
        <v>202</v>
      </c>
      <c r="Z8" s="94" t="s">
        <v>202</v>
      </c>
      <c r="AA8" s="95" t="s">
        <v>202</v>
      </c>
      <c r="AB8" s="94"/>
      <c r="AC8" s="141"/>
      <c r="AD8" s="95"/>
      <c r="AE8" s="94"/>
      <c r="AF8" s="94" t="s">
        <v>202</v>
      </c>
      <c r="AG8" s="94" t="s">
        <v>202</v>
      </c>
      <c r="AH8" s="94" t="s">
        <v>202</v>
      </c>
      <c r="AI8" s="94"/>
      <c r="AJ8" s="94"/>
      <c r="AK8" s="94"/>
      <c r="AL8" s="97"/>
      <c r="AM8" s="98" t="s">
        <v>239</v>
      </c>
      <c r="AN8" s="99" t="s">
        <v>204</v>
      </c>
      <c r="AO8" s="99" t="s">
        <v>240</v>
      </c>
      <c r="AP8" s="100">
        <v>42912</v>
      </c>
      <c r="AQ8" s="101">
        <v>43004</v>
      </c>
      <c r="AR8" s="102" t="s">
        <v>206</v>
      </c>
      <c r="AS8" s="103" t="s">
        <v>206</v>
      </c>
      <c r="AT8" s="104"/>
      <c r="AU8" s="104" t="s">
        <v>207</v>
      </c>
      <c r="AV8" s="104">
        <v>20</v>
      </c>
      <c r="AW8" s="104">
        <v>10000</v>
      </c>
      <c r="AX8" s="105" t="s">
        <v>208</v>
      </c>
      <c r="AY8" s="106" t="s">
        <v>209</v>
      </c>
      <c r="AZ8" s="107" t="s">
        <v>209</v>
      </c>
      <c r="BA8" s="108" t="s">
        <v>209</v>
      </c>
      <c r="BB8" s="98" t="s">
        <v>239</v>
      </c>
      <c r="BC8" s="109" t="s">
        <v>237</v>
      </c>
      <c r="BD8" s="110" t="str">
        <f t="shared" si="0"/>
        <v>PCS-2PFBL2</v>
      </c>
      <c r="BE8" s="111" t="s">
        <v>201</v>
      </c>
      <c r="BF8" s="112" t="s">
        <v>211</v>
      </c>
      <c r="BG8" s="113">
        <v>12</v>
      </c>
      <c r="BH8" s="114">
        <v>144</v>
      </c>
      <c r="BI8" s="115">
        <v>70.010000000000005</v>
      </c>
      <c r="BJ8" s="116">
        <f>IF(BI8=0,"",IF(BI8=VLOOKUP("FIXO",[3]ARBOR!$A:$C,3,0),0.0001,IF(BI8&gt;VLOOKUP("FIXO",[3]ARBOR!$A:$C,3,0),"Maior que CAP!",IF((DOLLAR(BI8+(VLOOKUP("FIXO",[3]ARBOR!$A:$C,3,0)*-TRUNC(BI8/VLOOKUP("FIXO",[3]ARBOR!$A:$C,3,0)-1,4)),6))&lt;&gt;(DOLLAR(VLOOKUP("FIXO",[3]ARBOR!$A:$C,3,0),6)),-TRUNC(BI8/VLOOKUP("FIXO",[3]ARBOR!$A:$C,3,0)-1,4)+0.0001,-TRUNC(BI8/VLOOKUP("FIXO",[3]ARBOR!$A:$C,3,0)-1,4)))))</f>
        <v>7.6899999999999996E-2</v>
      </c>
      <c r="BK8" s="117" t="str">
        <f>IF(ISERROR(IF(BJ8="","",VLOOKUP(($BC8&amp;BJ8&amp;"Template de desconto FLAT bundle - Fixo - Varejo - Ganho Tributário Cross"),[3]BENEFICIOS!$A:$E,5,0))),"Criar",IF(BJ8="","",VLOOKUP(($BC8&amp;BJ8&amp;"Template de desconto FLAT bundle - Fixo - Varejo - Ganho Tributário Cross"),[3]BENEFICIOS!$A:$E,5,0)))</f>
        <v>Criar</v>
      </c>
      <c r="BL8" s="65" t="s">
        <v>212</v>
      </c>
      <c r="BM8" s="66" t="s">
        <v>213</v>
      </c>
      <c r="BN8" s="111" t="s">
        <v>201</v>
      </c>
      <c r="BO8" s="112" t="s">
        <v>214</v>
      </c>
      <c r="BP8" s="143">
        <v>12</v>
      </c>
      <c r="BQ8" s="143">
        <v>60</v>
      </c>
      <c r="BR8" s="144" t="s">
        <v>230</v>
      </c>
      <c r="BS8" s="121">
        <v>84.9</v>
      </c>
      <c r="BT8" s="116">
        <f>IF(BS8=0,"",IF(BS8=VLOOKUP("PCS-30874g",[3]ARBOR!$A:$C,3,0),0.0001,IF(BS8&gt;VLOOKUP("PCS-30874g",[3]ARBOR!$A:$C,3,0),"Maior que CAP!",IF((DOLLAR(BS8+(VLOOKUP("PCS-30874g",[3]ARBOR!$A:$C,3,0)*-TRUNC(BS8/VLOOKUP("PCS-30874g",[3]ARBOR!$A:$C,3,0)-1,4)),6))&lt;&gt;(DOLLAR(VLOOKUP("PCS-30874g",[3]ARBOR!$A:$C,3,0),6)),-TRUNC(BS8/VLOOKUP("PCS-30874g",[3]ARBOR!$A:$C,3,0)-1,4)+0.0001,-TRUNC(BS8/VLOOKUP("PCS-30874g",[3]ARBOR!$A:$C,3,0)-1,4)))))</f>
        <v>0.1242</v>
      </c>
      <c r="BU8" s="117" t="str">
        <f>IF(ISERROR(IF(BT8="","",VLOOKUP(($BC8&amp;BT8&amp;"Template de desconto FLAT bundle - Velox XDSL - Varejo"),[3]BENEFICIOS!$A:$E,5,0))),"Criar",IF(BT8="","",VLOOKUP(($BC8&amp;BT8&amp;"Template de desconto FLAT bundle - Velox XDSL - Varejo"),[3]BENEFICIOS!$A:$E,5,0)))</f>
        <v>Criar</v>
      </c>
      <c r="BV8" s="144" t="s">
        <v>230</v>
      </c>
      <c r="BW8" s="121">
        <v>84.9</v>
      </c>
      <c r="BX8" s="116">
        <f>IF(BW8=0,"",IF(BW8=VLOOKUP("PCS-30577g",[3]ARBOR!$A:$C,3,0),0.0001,IF(BW8&gt;VLOOKUP("PCS-30577g",[3]ARBOR!$A:$C,3,0),"Maior que CAP!",IF((DOLLAR(BW8+(VLOOKUP("PCS-30577g",[3]ARBOR!$A:$C,3,0)*-TRUNC(BW8/VLOOKUP("PCS-30577g",[3]ARBOR!$A:$C,3,0)-1,4)),6))&lt;&gt;(DOLLAR(VLOOKUP("PCS-30577g",[3]ARBOR!$A:$C,3,0),6)),-TRUNC(BW8/VLOOKUP("PCS-30577g",[3]ARBOR!$A:$C,3,0)-1,4)+0.0001,-TRUNC(BW8/VLOOKUP("PCS-30577g",[3]ARBOR!$A:$C,3,0)-1,4)))))</f>
        <v>0.1242</v>
      </c>
      <c r="BY8" s="117" t="str">
        <f>IF(ISERROR(IF(BX8="","",VLOOKUP(($BC8&amp;BX8&amp;"Template de desconto FLAT bundle - Velox XDSL - Varejo"),[3]BENEFICIOS!$A:$E,5,0))),"Criar",IF(BX8="","",VLOOKUP(($BC8&amp;BX8&amp;"Template de desconto FLAT bundle - Velox XDSL - Varejo"),[3]BENEFICIOS!$A:$E,5,0)))</f>
        <v>Criar</v>
      </c>
      <c r="BZ8" s="144" t="s">
        <v>230</v>
      </c>
      <c r="CA8" s="121">
        <v>84.9</v>
      </c>
      <c r="CB8" s="116">
        <f>IF(CA8=0,"",IF(CA8=VLOOKUP("PCS-30604g",[3]ARBOR!$A:$C,3,0),0.0001,IF(CA8&gt;VLOOKUP("PCS-30604g",[3]ARBOR!$A:$C,3,0),"Maior que CAP!",IF((DOLLAR(CA8+(VLOOKUP("PCS-30604g",[3]ARBOR!$A:$C,3,0)*-TRUNC(CA8/VLOOKUP("PCS-30604g",[3]ARBOR!$A:$C,3,0)-1,4)),6))&lt;&gt;(DOLLAR(VLOOKUP("PCS-30604g",[3]ARBOR!$A:$C,3,0),6)),-TRUNC(CA8/VLOOKUP("PCS-30604g",[3]ARBOR!$A:$C,3,0)-1,4)+0.0001,-TRUNC(CA8/VLOOKUP("PCS-30604g",[3]ARBOR!$A:$C,3,0)-1,4)))))</f>
        <v>0.1242</v>
      </c>
      <c r="CC8" s="117" t="str">
        <f>IF(ISERROR(IF(CB8="","",VLOOKUP(($BC8&amp;CB8&amp;"Template de desconto FLAT bundle - Velox XDSL - Varejo"),[3]BENEFICIOS!$A:$E,5,0))),"Criar",IF(CB8="","",VLOOKUP(($BC8&amp;CB8&amp;"Template de desconto FLAT bundle - Velox XDSL - Varejo"),[3]BENEFICIOS!$A:$E,5,0)))</f>
        <v>Criar</v>
      </c>
      <c r="CD8" s="144" t="s">
        <v>230</v>
      </c>
      <c r="CE8" s="121">
        <v>84.9</v>
      </c>
      <c r="CF8" s="116">
        <f>IF(CE8=0,"",IF(CE8=VLOOKUP("PCS-30631g",[3]ARBOR!$A:$C,3,0),0.0001,IF(CE8&gt;VLOOKUP("PCS-30631g",[3]ARBOR!$A:$C,3,0),"Maior que CAP!",IF((DOLLAR(CE8+(VLOOKUP("PCS-30631g",[3]ARBOR!$A:$C,3,0)*-TRUNC(CE8/VLOOKUP("PCS-30631g",[3]ARBOR!$A:$C,3,0)-1,4)),6))&lt;&gt;(DOLLAR(VLOOKUP("PCS-30631g",[3]ARBOR!$A:$C,3,0),6)),-TRUNC(CE8/VLOOKUP("PCS-30631g",[3]ARBOR!$A:$C,3,0)-1,4)+0.0001,-TRUNC(CE8/VLOOKUP("PCS-30631g",[3]ARBOR!$A:$C,3,0)-1,4)))))</f>
        <v>0.13599999999999998</v>
      </c>
      <c r="CG8" s="117" t="str">
        <f>IF(ISERROR(IF(CF8="","",VLOOKUP(($BC8&amp;CF8&amp;"Template de desconto FLAT bundle - Velox XDSL - Varejo"),[3]BENEFICIOS!$A:$E,5,0))),"Criar",IF(CF8="","",VLOOKUP(($BC8&amp;CF8&amp;"Template de desconto FLAT bundle - Velox XDSL - Varejo"),[3]BENEFICIOS!$A:$E,5,0)))</f>
        <v>Criar</v>
      </c>
      <c r="CH8" s="123" t="s">
        <v>173</v>
      </c>
      <c r="CI8" s="121">
        <v>89.9</v>
      </c>
      <c r="CJ8" s="116">
        <f>IF(CI8=0,"",IF(CI8=VLOOKUP("PCS-30658g",[3]ARBOR!$A:$C,3,0),0.0001,IF(CI8&gt;VLOOKUP("PCS-30658g",[3]ARBOR!$A:$C,3,0),"Maior que CAP!",IF((DOLLAR(CI8+(VLOOKUP("PCS-30658g",[3]ARBOR!$A:$C,3,0)*-TRUNC(CI8/VLOOKUP("PCS-30658g",[3]ARBOR!$A:$C,3,0)-1,4)),6))&lt;&gt;(DOLLAR(VLOOKUP("PCS-30658g",[3]ARBOR!$A:$C,3,0),6)),-TRUNC(CI8/VLOOKUP("PCS-30658g",[3]ARBOR!$A:$C,3,0)-1,4)+0.0001,-TRUNC(CI8/VLOOKUP("PCS-30658g",[3]ARBOR!$A:$C,3,0)-1,4)))))</f>
        <v>0.1996</v>
      </c>
      <c r="CK8" s="117" t="str">
        <f>IF(ISERROR(IF(CJ8="","",VLOOKUP(($BC8&amp;CJ8&amp;"Template de desconto FLAT bundle - Velox XDSL - Varejo"),[3]BENEFICIOS!$A:$E,5,0))),"Criar",IF(CJ8="","",VLOOKUP(($BC8&amp;CJ8&amp;"Template de desconto FLAT bundle - Velox XDSL - Varejo"),[3]BENEFICIOS!$A:$E,5,0)))</f>
        <v>Criar</v>
      </c>
      <c r="CL8" s="123" t="s">
        <v>173</v>
      </c>
      <c r="CM8" s="121">
        <v>89.9</v>
      </c>
      <c r="CN8" s="116">
        <f>IF(CM8=0,"",IF(CM8=VLOOKUP("PCS-30685g",[3]ARBOR!$A:$C,3,0),0.0001,IF(CM8&gt;VLOOKUP("PCS-30685g",[3]ARBOR!$A:$C,3,0),"Maior que CAP!",IF((DOLLAR(CM8+(VLOOKUP("PCS-30685g",[3]ARBOR!$A:$C,3,0)*-TRUNC(CM8/VLOOKUP("PCS-30685g",[3]ARBOR!$A:$C,3,0)-1,4)),6))&lt;&gt;(DOLLAR(VLOOKUP("PCS-30685g",[3]ARBOR!$A:$C,3,0),6)),-TRUNC(CM8/VLOOKUP("PCS-30685g",[3]ARBOR!$A:$C,3,0)-1,4)+0.0001,-TRUNC(CM8/VLOOKUP("PCS-30685g",[3]ARBOR!$A:$C,3,0)-1,4)))))</f>
        <v>0.28849999999999998</v>
      </c>
      <c r="CO8" s="117" t="str">
        <f>IF(ISERROR(IF(CN8="","",VLOOKUP(($BC8&amp;CN8&amp;"Template de desconto FLAT bundle - Velox XDSL - Varejo"),[3]BENEFICIOS!$A:$E,5,0))),"Criar",IF(CN8="","",VLOOKUP(($BC8&amp;CN8&amp;"Template de desconto FLAT bundle - Velox XDSL - Varejo"),[3]BENEFICIOS!$A:$E,5,0)))</f>
        <v>Criar</v>
      </c>
      <c r="CP8" s="123" t="s">
        <v>173</v>
      </c>
      <c r="CQ8" s="121">
        <v>89.9</v>
      </c>
      <c r="CR8" s="116">
        <f>IF(CQ8=0,"",IF(CQ8=VLOOKUP("PCS-30712g",[3]ARBOR!$A:$C,3,0),0.0001,IF(CQ8&gt;VLOOKUP("PCS-30712g",[3]ARBOR!$A:$C,3,0),"Maior que CAP!",IF((DOLLAR(CQ8+(VLOOKUP("PCS-30712g",[3]ARBOR!$A:$C,3,0)*-TRUNC(CQ8/VLOOKUP("PCS-30712g",[3]ARBOR!$A:$C,3,0)-1,4)),6))&lt;&gt;(DOLLAR(VLOOKUP("PCS-30712g",[3]ARBOR!$A:$C,3,0),6)),-TRUNC(CQ8/VLOOKUP("PCS-30712g",[3]ARBOR!$A:$C,3,0)-1,4)+0.0001,-TRUNC(CQ8/VLOOKUP("PCS-30712g",[3]ARBOR!$A:$C,3,0)-1,4)))))</f>
        <v>0.35959999999999998</v>
      </c>
      <c r="CS8" s="117" t="str">
        <f>IF(ISERROR(IF(CR8="","",VLOOKUP(($BC8&amp;CR8&amp;"Template de desconto FLAT bundle - Velox XDSL - Varejo"),[3]BENEFICIOS!$A:$E,5,0))),"Criar",IF(CR8="","",VLOOKUP(($BC8&amp;CR8&amp;"Template de desconto FLAT bundle - Velox XDSL - Varejo"),[3]BENEFICIOS!$A:$E,5,0)))</f>
        <v>Criar</v>
      </c>
      <c r="CT8" s="123" t="s">
        <v>173</v>
      </c>
      <c r="CU8" s="121">
        <v>99.9</v>
      </c>
      <c r="CV8" s="116">
        <f>IF(CU8=0,"",IF(CU8=VLOOKUP("PCS-30739g",[3]ARBOR!$A:$C,3,0),0.0001,IF(CU8&gt;VLOOKUP("PCS-30739g",[3]ARBOR!$A:$C,3,0),"Maior que CAP!",IF((DOLLAR(CU8+(VLOOKUP("PCS-30739g",[3]ARBOR!$A:$C,3,0)*-TRUNC(CU8/VLOOKUP("PCS-30739g",[3]ARBOR!$A:$C,3,0)-1,4)),6))&lt;&gt;(DOLLAR(VLOOKUP("PCS-30739g",[3]ARBOR!$A:$C,3,0),6)),-TRUNC(CU8/VLOOKUP("PCS-30739g",[3]ARBOR!$A:$C,3,0)-1,4)+0.0001,-TRUNC(CU8/VLOOKUP("PCS-30739g",[3]ARBOR!$A:$C,3,0)-1,4)))))</f>
        <v>0.52559999999999996</v>
      </c>
      <c r="CW8" s="117" t="str">
        <f>IF(ISERROR(IF(CV8="","",VLOOKUP(($BC8&amp;CV8&amp;"Template de desconto FLAT bundle - Velox XDSL - Varejo"),[3]BENEFICIOS!$A:$E,5,0))),"Criar",IF(CV8="","",VLOOKUP(($BC8&amp;CV8&amp;"Template de desconto FLAT bundle - Velox XDSL - Varejo"),[3]BENEFICIOS!$A:$E,5,0)))</f>
        <v>Criar</v>
      </c>
      <c r="CX8" s="121"/>
      <c r="CY8" s="122"/>
      <c r="CZ8" s="116" t="str">
        <f>IF(CX8=0,"",IF(CX8=VLOOKUP("PCS-30739g",[3]ARBOR!$A:$C,3,0),0.0001,IF(CX8&gt;VLOOKUP("PCS-30739g",[3]ARBOR!$A:$C,3,0),"Maior que CAP!",IF((DOLLAR(CX8+(VLOOKUP("PCS-30739g",[3]ARBOR!$A:$C,3,0)*-TRUNC(CX8/VLOOKUP("PCS-30739g",[3]ARBOR!$A:$C,3,0)-1,4)),6))&lt;&gt;(DOLLAR(VLOOKUP("PCS-30739g",[3]ARBOR!$A:$C,3,0),6)),(-TRUNC(CX8/VLOOKUP("PCS-30739g",[3]ARBOR!$A:$C,3,0)-1,4)+0.0001)-CV8,-TRUNC(CX8/VLOOKUP("PCS-30739g",[3]ARBOR!$A:$C,3,0)-1,4)-CV8))))</f>
        <v/>
      </c>
      <c r="DA8" s="117" t="str">
        <f>IF(ISERROR(IF(CZ8="","",VLOOKUP(($BC8&amp;CZ8&amp;"Template de desconto percentual Bundle - Velox XDSL - Varejo"),[3]BENEFICIOS!$A:$E,5,0))),"Criar",IF(CZ8="","",VLOOKUP(($BC8&amp;CZ8&amp;"Template de desconto percentual Bundle - Velox XDSL - Varejo"),[3]BENEFICIOS!$A:$E,5,0)))</f>
        <v/>
      </c>
      <c r="DB8" s="123" t="s">
        <v>173</v>
      </c>
      <c r="DC8" s="121">
        <v>99.9</v>
      </c>
      <c r="DD8" s="116">
        <f>IF(DC8=0,"",IF(DC8=VLOOKUP("PCS-30766g",[3]ARBOR!$A:$C,3,0),0.0001,IF(DC8&gt;VLOOKUP("PCS-30766g",[3]ARBOR!$A:$C,3,0),"Maior que CAP!",IF((DOLLAR(DC8+(VLOOKUP("PCS-30766g",[3]ARBOR!$A:$C,3,0)*-TRUNC(DC8/VLOOKUP("PCS-30766g",[3]ARBOR!$A:$C,3,0)-1,4)),6))&lt;&gt;(DOLLAR(VLOOKUP("PCS-30766g",[3]ARBOR!$A:$C,3,0),6)),-TRUNC(DC8/VLOOKUP("PCS-30766g",[3]ARBOR!$A:$C,3,0)-1,4)+0.0001,-TRUNC(DC8/VLOOKUP("PCS-30766g",[3]ARBOR!$A:$C,3,0)-1,4)))))</f>
        <v>0.64419999999999999</v>
      </c>
      <c r="DE8" s="117" t="str">
        <f>IF(ISERROR(IF(DD8="","",VLOOKUP(($BC8&amp;DD8&amp;"Template de desconto FLAT bundle - Velox XDSL - Varejo"),[3]BENEFICIOS!$A:$E,5,0))),"Criar",IF(DD8="","",VLOOKUP(($BC8&amp;DD8&amp;"Template de desconto FLAT bundle - Velox XDSL - Varejo"),[3]BENEFICIOS!$A:$E,5,0)))</f>
        <v>Criar</v>
      </c>
      <c r="DF8" s="121"/>
      <c r="DG8" s="122"/>
      <c r="DH8" s="116" t="str">
        <f>IF(DF8=0,"",IF(DF8=VLOOKUP("PCS-30766g",[3]ARBOR!$A:$C,3,0),0.0001,IF(DF8&gt;VLOOKUP("PCS-30766g",[3]ARBOR!$A:$C,3,0),"Maior que CAP!",IF((DOLLAR(DF8+(VLOOKUP("PCS-30766g",[3]ARBOR!$A:$C,3,0)*-TRUNC(DF8/VLOOKUP("PCS-30766g",[3]ARBOR!$A:$C,3,0)-1,4)),6))&lt;&gt;(DOLLAR(VLOOKUP("PCS-30766g",[3]ARBOR!$A:$C,3,0),6)),(-TRUNC(DF8/VLOOKUP("PCS-30766g",[3]ARBOR!$A:$C,3,0)-1,4)+0.0001)-DD8,-TRUNC(DF8/VLOOKUP("PCS-30766g",[3]ARBOR!$A:$C,3,0)-1,4)-DD8))))</f>
        <v/>
      </c>
      <c r="DI8" s="117" t="str">
        <f>IF(ISERROR(IF(DH8="","",VLOOKUP(($BC8&amp;DH8&amp;"Template de desconto percentual Bundle - Velox XDSL - Varejo"),[3]BENEFICIOS!$A:$E,5,0))),"Criar",IF(DH8="","",VLOOKUP(($BC8&amp;DH8&amp;"Template de desconto percentual Bundle - Velox XDSL - Varejo"),[3]BENEFICIOS!$A:$E,5,0)))</f>
        <v/>
      </c>
      <c r="DJ8" s="123" t="s">
        <v>230</v>
      </c>
      <c r="DK8" s="121">
        <v>109.9</v>
      </c>
      <c r="DL8" s="116">
        <f>IF(DK8=0,"",IF(DK8=VLOOKUP("PCS-30793g",[3]ARBOR!$A:$C,3,0),0.0001,IF(DK8&gt;VLOOKUP("PCS-30793g",[3]ARBOR!$A:$C,3,0),"Maior que CAP!",IF((DOLLAR(DK8+(VLOOKUP("PCS-30793g",[3]ARBOR!$A:$C,3,0)*-TRUNC(DK8/VLOOKUP("PCS-30793g",[3]ARBOR!$A:$C,3,0)-1,4)),6))&lt;&gt;(DOLLAR(VLOOKUP("PCS-30793g",[3]ARBOR!$A:$C,3,0),6)),-TRUNC(DK8/VLOOKUP("PCS-30793g",[3]ARBOR!$A:$C,3,0)-1,4)+0.0001,-TRUNC(DK8/VLOOKUP("PCS-30793g",[3]ARBOR!$A:$C,3,0)-1,4)))))</f>
        <v>0.60860000000000003</v>
      </c>
      <c r="DM8" s="117" t="str">
        <f>IF(ISERROR(IF(DL8="","",VLOOKUP(($BC8&amp;DL8&amp;"Template de desconto FLAT bundle - Velox XDSL - Varejo"),[3]BENEFICIOS!$A:$E,5,0))),"Criar",IF(DL8="","",VLOOKUP(($BC8&amp;DL8&amp;"Template de desconto FLAT bundle - Velox XDSL - Varejo"),[3]BENEFICIOS!$A:$E,5,0)))</f>
        <v>Criar</v>
      </c>
      <c r="DN8" s="121"/>
      <c r="DO8" s="122"/>
      <c r="DP8" s="116" t="str">
        <f>IF(DN8=0,"",IF(DN8=VLOOKUP("PCS-30793g",[3]ARBOR!$A:$C,3,0),0.0001,IF(DN8&gt;VLOOKUP("PCS-30793g",[3]ARBOR!$A:$C,3,0),"Maior que CAP!",IF((DOLLAR(DN8+(VLOOKUP("PCS-30793g",[3]ARBOR!$A:$C,3,0)*-TRUNC(DN8/VLOOKUP("PCS-30793g",[3]ARBOR!$A:$C,3,0)-1,4)),6))&lt;&gt;(DOLLAR(VLOOKUP("PCS-30793g",[3]ARBOR!$A:$C,3,0),6)),(-TRUNC(DN8/VLOOKUP("PCS-30793g",[3]ARBOR!$A:$C,3,0)-1,4)+0.0001)-DL8,-TRUNC(DN8/VLOOKUP("PCS-30793g",[3]ARBOR!$A:$C,3,0)-1,4)-DL8))))</f>
        <v/>
      </c>
      <c r="DQ8" s="117" t="str">
        <f>IF(ISERROR(IF(DP8="","",VLOOKUP(($BC8&amp;DP8&amp;"Template de desconto percentual Bundle - Velox XDSL - Varejo"),[3]BENEFICIOS!$A:$E,5,0))),"Criar",IF(DP8="","",VLOOKUP(($BC8&amp;DP8&amp;"Template de desconto percentual Bundle - Velox XDSL - Varejo"),[3]BENEFICIOS!$A:$E,5,0)))</f>
        <v/>
      </c>
      <c r="DR8" s="123" t="s">
        <v>173</v>
      </c>
      <c r="DS8" s="121">
        <v>109.9</v>
      </c>
      <c r="DT8" s="116">
        <f>IF(DS8=0,"",IF(DS8=VLOOKUP("PCS-30820g",[3]ARBOR!$A:$C,3,0),0.0001,IF(DS8&gt;VLOOKUP("PCS-30820g",[3]ARBOR!$A:$C,3,0),"Maior que CAP!",IF((DOLLAR(DS8+(VLOOKUP("PCS-30820g",[3]ARBOR!$A:$C,3,0)*-TRUNC(DS8/VLOOKUP("PCS-30820g",[3]ARBOR!$A:$C,3,0)-1,4)),6))&lt;&gt;(DOLLAR(VLOOKUP("PCS-30820g",[3]ARBOR!$A:$C,3,0),6)),-TRUNC(DS8/VLOOKUP("PCS-30820g",[3]ARBOR!$A:$C,3,0)-1,4)+0.0001,-TRUNC(DS8/VLOOKUP("PCS-30820g",[3]ARBOR!$A:$C,3,0)-1,4)))))</f>
        <v>0.60860000000000003</v>
      </c>
      <c r="DU8" s="117" t="str">
        <f>IF(ISERROR(IF(DT8="","",VLOOKUP(($BC8&amp;DT8&amp;"Template de desconto FLAT bundle - Velox XDSL - Varejo"),[3]BENEFICIOS!$A:$E,5,0))),"Criar",IF(DT8="","",VLOOKUP(($BC8&amp;DT8&amp;"Template de desconto FLAT bundle - Velox XDSL - Varejo"),[3]BENEFICIOS!$A:$E,5,0)))</f>
        <v>Criar</v>
      </c>
      <c r="DV8" s="121"/>
      <c r="DW8" s="122"/>
      <c r="DX8" s="116" t="str">
        <f>IF(DV8=0,"",IF(DV8=VLOOKUP("PCS-30820g",[3]ARBOR!$A:$C,3,0),0.0001,IF(DV8&gt;VLOOKUP("PCS-30820g",[3]ARBOR!$A:$C,3,0),"Maior que CAP!",IF((DOLLAR(DV8+(VLOOKUP("PCS-30820g",[3]ARBOR!$A:$C,3,0)*-TRUNC(DV8/VLOOKUP("PCS-30820g",[3]ARBOR!$A:$C,3,0)-1,4)),6))&lt;&gt;(DOLLAR(VLOOKUP("PCS-30820g",[3]ARBOR!$A:$C,3,0),6)),(-TRUNC(DV8/VLOOKUP("PCS-30820g",[3]ARBOR!$A:$C,3,0)-1,4)+0.0001)-DT8,-TRUNC(DV8/VLOOKUP("PCS-30820g",[3]ARBOR!$A:$C,3,0)-1,4)-DT8))))</f>
        <v/>
      </c>
      <c r="DY8" s="117" t="str">
        <f>IF(ISERROR(IF(DX8="","",VLOOKUP(($BC8&amp;DX8&amp;"Template de desconto percentual Bundle - Velox XDSL - Varejo"),[3]BENEFICIOS!$A:$E,5,0))),"Criar",IF(DX8="","",VLOOKUP(($BC8&amp;DX8&amp;"Template de desconto percentual Bundle - Velox XDSL - Varejo"),[3]BENEFICIOS!$A:$E,5,0)))</f>
        <v/>
      </c>
      <c r="DZ8" s="124"/>
      <c r="EA8" s="116" t="str">
        <f>IF(DZ8=0,"",IF(DZ8=VLOOKUP("PCS-21448p2",[3]ARBOR!$A:$C,3,0),0.0001,IF(DZ8&gt;VLOOKUP("PCS-21448p2",[3]ARBOR!$A:$C,3,0),"Maior que CAP!",IF((DOLLAR(DZ8+(VLOOKUP("PCS-21448p2",[3]ARBOR!$A:$C,3,0)*-TRUNC(DZ8/VLOOKUP("PCS-21448p2",[3]ARBOR!$A:$C,3,0)-1,4)),6))&lt;&gt;(DOLLAR(VLOOKUP("PCS-21448p2",[3]ARBOR!$A:$C,3,0),6)),-TRUNC(DZ8/VLOOKUP("PCS-21448p2",[3]ARBOR!$A:$C,3,0)-1,4)+0.0001,-TRUNC(DZ8/VLOOKUP("PCS-21448p2",[3]ARBOR!$A:$C,3,0)-1,4)))))</f>
        <v/>
      </c>
      <c r="EB8" s="117" t="str">
        <f>IF(ISERROR(IF(EA8="","",VLOOKUP(("Oi Conta Total Plug 10GB Downgrade"&amp;EA8&amp;"Template de desconto percentual BL Móvel - Internet Total - Varejo"),[3]BENEFICIOS!$A:$E,5,0))),"Criar",IF(EA8="","",VLOOKUP(("Oi Conta Total Plug 10GB Downgrade"&amp;EA8&amp;"Template de desconto percentual BL Móvel - Internet Total - Varejo"),[3]BENEFICIOS!$A:$E,5,0)))</f>
        <v/>
      </c>
      <c r="EC8" s="145">
        <v>19.899999999999999</v>
      </c>
      <c r="ED8" s="126">
        <f>IF(EC8=0,"",IF(EC8=VLOOKUP("SVA",[3]ARBOR!$A:$C,3,0),0.0001,IF(EC8&gt;VLOOKUP("SVA",[3]ARBOR!$A:$C,3,0),"Maior que CAP!",IF((DOLLAR(EC8+(VLOOKUP("SVA",[3]ARBOR!$A:$C,3,0)*-TRUNC(EC8/VLOOKUP("SVA",[3]ARBOR!$A:$C,3,0)-1,4)),6))&lt;&gt;(DOLLAR(VLOOKUP("SVA",[3]ARBOR!$A:$C,3,0),6)),-TRUNC(EC8/VLOOKUP("SVA",[3]ARBOR!$A:$C,3,0)-1,4)+0.0001,-TRUNC(EC8/VLOOKUP("SVA",[3]ARBOR!$A:$C,3,0)-1,4)))))</f>
        <v>7.1400000000000005E-2</v>
      </c>
      <c r="EE8" s="127" t="s">
        <v>231</v>
      </c>
      <c r="EF8" s="128"/>
      <c r="EG8" s="129"/>
      <c r="EH8" s="130" t="str">
        <f t="shared" si="1"/>
        <v/>
      </c>
      <c r="EI8" s="127" t="str">
        <f>IF(EH8="S/Desc","S/Desc",IF(ISERROR(IF(EH8="","",VLOOKUP(($BC8&amp;EH8&amp;"Template Desc. % sobre Serviço SVA B2C"),[3]BENEFICIOS!$A:$G,5,0))),"Criar",IF(EH8="","",VLOOKUP(($BC8&amp;EH8&amp;"Template Desc. % sobre Serviço SVA B2C"),[3]BENEFICIOS!$A:$G,5,0))))</f>
        <v/>
      </c>
      <c r="EJ8" s="146" t="s">
        <v>209</v>
      </c>
      <c r="EK8" s="135" t="s">
        <v>223</v>
      </c>
      <c r="EL8" s="133" t="s">
        <v>224</v>
      </c>
      <c r="EM8" s="134" t="s">
        <v>225</v>
      </c>
      <c r="EN8" s="135"/>
      <c r="EO8" s="133"/>
      <c r="EP8" s="134"/>
      <c r="EQ8" s="136" t="s">
        <v>219</v>
      </c>
      <c r="ER8" s="137">
        <f t="shared" si="2"/>
        <v>159.91000000000003</v>
      </c>
      <c r="ES8" s="138" t="s">
        <v>220</v>
      </c>
      <c r="ET8" s="139" t="s">
        <v>241</v>
      </c>
      <c r="EU8" s="139" t="s">
        <v>227</v>
      </c>
      <c r="EV8" s="139"/>
      <c r="EW8" s="139"/>
      <c r="EX8" s="139"/>
      <c r="EY8" s="139"/>
      <c r="EZ8" s="139"/>
      <c r="FA8" s="139"/>
      <c r="FB8" s="140"/>
    </row>
    <row r="9" spans="1:158" x14ac:dyDescent="0.25">
      <c r="A9" s="90" t="s">
        <v>198</v>
      </c>
      <c r="B9" s="91" t="s">
        <v>199</v>
      </c>
      <c r="C9" s="91" t="s">
        <v>200</v>
      </c>
      <c r="D9" s="92" t="s">
        <v>201</v>
      </c>
      <c r="E9" s="93" t="s">
        <v>202</v>
      </c>
      <c r="F9" s="94" t="s">
        <v>202</v>
      </c>
      <c r="G9" s="94" t="s">
        <v>202</v>
      </c>
      <c r="H9" s="94" t="s">
        <v>202</v>
      </c>
      <c r="I9" s="94"/>
      <c r="J9" s="94" t="s">
        <v>202</v>
      </c>
      <c r="K9" s="94" t="s">
        <v>202</v>
      </c>
      <c r="L9" s="94" t="s">
        <v>202</v>
      </c>
      <c r="M9" s="94" t="s">
        <v>202</v>
      </c>
      <c r="N9" s="94" t="s">
        <v>202</v>
      </c>
      <c r="O9" s="94" t="s">
        <v>202</v>
      </c>
      <c r="P9" s="94" t="s">
        <v>202</v>
      </c>
      <c r="Q9" s="94" t="s">
        <v>202</v>
      </c>
      <c r="R9" s="94" t="s">
        <v>202</v>
      </c>
      <c r="S9" s="94" t="s">
        <v>202</v>
      </c>
      <c r="T9" s="95" t="s">
        <v>202</v>
      </c>
      <c r="U9" s="94" t="s">
        <v>202</v>
      </c>
      <c r="V9" s="95" t="s">
        <v>202</v>
      </c>
      <c r="W9" s="94" t="s">
        <v>202</v>
      </c>
      <c r="X9" s="94" t="s">
        <v>202</v>
      </c>
      <c r="Y9" s="94" t="s">
        <v>202</v>
      </c>
      <c r="Z9" s="94" t="s">
        <v>202</v>
      </c>
      <c r="AA9" s="95" t="s">
        <v>202</v>
      </c>
      <c r="AB9" s="94"/>
      <c r="AC9" s="141"/>
      <c r="AD9" s="95"/>
      <c r="AE9" s="94"/>
      <c r="AF9" s="94" t="s">
        <v>202</v>
      </c>
      <c r="AG9" s="94" t="s">
        <v>202</v>
      </c>
      <c r="AH9" s="94" t="s">
        <v>202</v>
      </c>
      <c r="AI9" s="94"/>
      <c r="AJ9" s="94"/>
      <c r="AK9" s="94"/>
      <c r="AL9" s="97"/>
      <c r="AM9" s="98" t="s">
        <v>242</v>
      </c>
      <c r="AN9" s="99" t="s">
        <v>204</v>
      </c>
      <c r="AO9" s="99" t="s">
        <v>243</v>
      </c>
      <c r="AP9" s="100">
        <v>42912</v>
      </c>
      <c r="AQ9" s="101">
        <v>43004</v>
      </c>
      <c r="AR9" s="102" t="s">
        <v>206</v>
      </c>
      <c r="AS9" s="103" t="s">
        <v>206</v>
      </c>
      <c r="AT9" s="104"/>
      <c r="AU9" s="104" t="s">
        <v>207</v>
      </c>
      <c r="AV9" s="104">
        <v>20</v>
      </c>
      <c r="AW9" s="104">
        <v>10000</v>
      </c>
      <c r="AX9" s="105" t="s">
        <v>208</v>
      </c>
      <c r="AY9" s="106" t="s">
        <v>209</v>
      </c>
      <c r="AZ9" s="107" t="s">
        <v>209</v>
      </c>
      <c r="BA9" s="108" t="s">
        <v>209</v>
      </c>
      <c r="BB9" s="98" t="s">
        <v>242</v>
      </c>
      <c r="BC9" s="109" t="s">
        <v>244</v>
      </c>
      <c r="BD9" s="110" t="str">
        <f t="shared" si="0"/>
        <v>PCS-2PFBL3</v>
      </c>
      <c r="BE9" s="111" t="s">
        <v>201</v>
      </c>
      <c r="BF9" s="112" t="s">
        <v>211</v>
      </c>
      <c r="BG9" s="113">
        <v>12</v>
      </c>
      <c r="BH9" s="114">
        <v>144</v>
      </c>
      <c r="BI9" s="115">
        <v>70.010000000000005</v>
      </c>
      <c r="BJ9" s="116">
        <f>IF(BI9=0,"",IF(BI9=VLOOKUP("FIXO",[3]ARBOR!$A:$C,3,0),0.0001,IF(BI9&gt;VLOOKUP("FIXO",[3]ARBOR!$A:$C,3,0),"Maior que CAP!",IF((DOLLAR(BI9+(VLOOKUP("FIXO",[3]ARBOR!$A:$C,3,0)*-TRUNC(BI9/VLOOKUP("FIXO",[3]ARBOR!$A:$C,3,0)-1,4)),6))&lt;&gt;(DOLLAR(VLOOKUP("FIXO",[3]ARBOR!$A:$C,3,0),6)),-TRUNC(BI9/VLOOKUP("FIXO",[3]ARBOR!$A:$C,3,0)-1,4)+0.0001,-TRUNC(BI9/VLOOKUP("FIXO",[3]ARBOR!$A:$C,3,0)-1,4)))))</f>
        <v>7.6899999999999996E-2</v>
      </c>
      <c r="BK9" s="117" t="str">
        <f>IF(ISERROR(IF(BJ9="","",VLOOKUP(($BC9&amp;BJ9&amp;"Template de desconto FLAT bundle - Fixo - Varejo - Ganho Tributário Cross"),[3]BENEFICIOS!$A:$E,5,0))),"Criar",IF(BJ9="","",VLOOKUP(($BC9&amp;BJ9&amp;"Template de desconto FLAT bundle - Fixo - Varejo - Ganho Tributário Cross"),[3]BENEFICIOS!$A:$E,5,0)))</f>
        <v>Criar</v>
      </c>
      <c r="BL9" s="65" t="s">
        <v>245</v>
      </c>
      <c r="BM9" s="66" t="s">
        <v>246</v>
      </c>
      <c r="BN9" s="111" t="s">
        <v>201</v>
      </c>
      <c r="BO9" s="112" t="s">
        <v>214</v>
      </c>
      <c r="BP9" s="143">
        <v>12</v>
      </c>
      <c r="BQ9" s="143">
        <v>60</v>
      </c>
      <c r="BR9" s="144" t="s">
        <v>230</v>
      </c>
      <c r="BS9" s="121">
        <v>84.9</v>
      </c>
      <c r="BT9" s="116">
        <f>IF(BS9=0,"",IF(BS9=VLOOKUP("PCS-30874g",[3]ARBOR!$A:$C,3,0),0.0001,IF(BS9&gt;VLOOKUP("PCS-30874g",[3]ARBOR!$A:$C,3,0),"Maior que CAP!",IF((DOLLAR(BS9+(VLOOKUP("PCS-30874g",[3]ARBOR!$A:$C,3,0)*-TRUNC(BS9/VLOOKUP("PCS-30874g",[3]ARBOR!$A:$C,3,0)-1,4)),6))&lt;&gt;(DOLLAR(VLOOKUP("PCS-30874g",[3]ARBOR!$A:$C,3,0),6)),-TRUNC(BS9/VLOOKUP("PCS-30874g",[3]ARBOR!$A:$C,3,0)-1,4)+0.0001,-TRUNC(BS9/VLOOKUP("PCS-30874g",[3]ARBOR!$A:$C,3,0)-1,4)))))</f>
        <v>0.1242</v>
      </c>
      <c r="BU9" s="117" t="str">
        <f>IF(ISERROR(IF(BT9="","",VLOOKUP(($BC9&amp;BT9&amp;"Template de desconto FLAT bundle - Velox XDSL - Varejo"),[3]BENEFICIOS!$A:$E,5,0))),"Criar",IF(BT9="","",VLOOKUP(($BC9&amp;BT9&amp;"Template de desconto FLAT bundle - Velox XDSL - Varejo"),[3]BENEFICIOS!$A:$E,5,0)))</f>
        <v>Criar</v>
      </c>
      <c r="BV9" s="144" t="s">
        <v>230</v>
      </c>
      <c r="BW9" s="121">
        <v>84.9</v>
      </c>
      <c r="BX9" s="116">
        <f>IF(BW9=0,"",IF(BW9=VLOOKUP("PCS-30577g",[3]ARBOR!$A:$C,3,0),0.0001,IF(BW9&gt;VLOOKUP("PCS-30577g",[3]ARBOR!$A:$C,3,0),"Maior que CAP!",IF((DOLLAR(BW9+(VLOOKUP("PCS-30577g",[3]ARBOR!$A:$C,3,0)*-TRUNC(BW9/VLOOKUP("PCS-30577g",[3]ARBOR!$A:$C,3,0)-1,4)),6))&lt;&gt;(DOLLAR(VLOOKUP("PCS-30577g",[3]ARBOR!$A:$C,3,0),6)),-TRUNC(BW9/VLOOKUP("PCS-30577g",[3]ARBOR!$A:$C,3,0)-1,4)+0.0001,-TRUNC(BW9/VLOOKUP("PCS-30577g",[3]ARBOR!$A:$C,3,0)-1,4)))))</f>
        <v>0.1242</v>
      </c>
      <c r="BY9" s="117" t="str">
        <f>IF(ISERROR(IF(BX9="","",VLOOKUP(($BC9&amp;BX9&amp;"Template de desconto FLAT bundle - Velox XDSL - Varejo"),[3]BENEFICIOS!$A:$E,5,0))),"Criar",IF(BX9="","",VLOOKUP(($BC9&amp;BX9&amp;"Template de desconto FLAT bundle - Velox XDSL - Varejo"),[3]BENEFICIOS!$A:$E,5,0)))</f>
        <v>Criar</v>
      </c>
      <c r="BZ9" s="144" t="s">
        <v>230</v>
      </c>
      <c r="CA9" s="121">
        <v>84.9</v>
      </c>
      <c r="CB9" s="116">
        <f>IF(CA9=0,"",IF(CA9=VLOOKUP("PCS-30604g",[3]ARBOR!$A:$C,3,0),0.0001,IF(CA9&gt;VLOOKUP("PCS-30604g",[3]ARBOR!$A:$C,3,0),"Maior que CAP!",IF((DOLLAR(CA9+(VLOOKUP("PCS-30604g",[3]ARBOR!$A:$C,3,0)*-TRUNC(CA9/VLOOKUP("PCS-30604g",[3]ARBOR!$A:$C,3,0)-1,4)),6))&lt;&gt;(DOLLAR(VLOOKUP("PCS-30604g",[3]ARBOR!$A:$C,3,0),6)),-TRUNC(CA9/VLOOKUP("PCS-30604g",[3]ARBOR!$A:$C,3,0)-1,4)+0.0001,-TRUNC(CA9/VLOOKUP("PCS-30604g",[3]ARBOR!$A:$C,3,0)-1,4)))))</f>
        <v>0.1242</v>
      </c>
      <c r="CC9" s="117" t="str">
        <f>IF(ISERROR(IF(CB9="","",VLOOKUP(($BC9&amp;CB9&amp;"Template de desconto FLAT bundle - Velox XDSL - Varejo"),[3]BENEFICIOS!$A:$E,5,0))),"Criar",IF(CB9="","",VLOOKUP(($BC9&amp;CB9&amp;"Template de desconto FLAT bundle - Velox XDSL - Varejo"),[3]BENEFICIOS!$A:$E,5,0)))</f>
        <v>Criar</v>
      </c>
      <c r="CD9" s="144" t="s">
        <v>230</v>
      </c>
      <c r="CE9" s="121">
        <v>84.9</v>
      </c>
      <c r="CF9" s="116">
        <f>IF(CE9=0,"",IF(CE9=VLOOKUP("PCS-30631g",[3]ARBOR!$A:$C,3,0),0.0001,IF(CE9&gt;VLOOKUP("PCS-30631g",[3]ARBOR!$A:$C,3,0),"Maior que CAP!",IF((DOLLAR(CE9+(VLOOKUP("PCS-30631g",[3]ARBOR!$A:$C,3,0)*-TRUNC(CE9/VLOOKUP("PCS-30631g",[3]ARBOR!$A:$C,3,0)-1,4)),6))&lt;&gt;(DOLLAR(VLOOKUP("PCS-30631g",[3]ARBOR!$A:$C,3,0),6)),-TRUNC(CE9/VLOOKUP("PCS-30631g",[3]ARBOR!$A:$C,3,0)-1,4)+0.0001,-TRUNC(CE9/VLOOKUP("PCS-30631g",[3]ARBOR!$A:$C,3,0)-1,4)))))</f>
        <v>0.13599999999999998</v>
      </c>
      <c r="CG9" s="117" t="str">
        <f>IF(ISERROR(IF(CF9="","",VLOOKUP(($BC9&amp;CF9&amp;"Template de desconto FLAT bundle - Velox XDSL - Varejo"),[3]BENEFICIOS!$A:$E,5,0))),"Criar",IF(CF9="","",VLOOKUP(($BC9&amp;CF9&amp;"Template de desconto FLAT bundle - Velox XDSL - Varejo"),[3]BENEFICIOS!$A:$E,5,0)))</f>
        <v>Criar</v>
      </c>
      <c r="CH9" s="123" t="s">
        <v>173</v>
      </c>
      <c r="CI9" s="121">
        <v>89.9</v>
      </c>
      <c r="CJ9" s="116">
        <f>IF(CI9=0,"",IF(CI9=VLOOKUP("PCS-30658g",[3]ARBOR!$A:$C,3,0),0.0001,IF(CI9&gt;VLOOKUP("PCS-30658g",[3]ARBOR!$A:$C,3,0),"Maior que CAP!",IF((DOLLAR(CI9+(VLOOKUP("PCS-30658g",[3]ARBOR!$A:$C,3,0)*-TRUNC(CI9/VLOOKUP("PCS-30658g",[3]ARBOR!$A:$C,3,0)-1,4)),6))&lt;&gt;(DOLLAR(VLOOKUP("PCS-30658g",[3]ARBOR!$A:$C,3,0),6)),-TRUNC(CI9/VLOOKUP("PCS-30658g",[3]ARBOR!$A:$C,3,0)-1,4)+0.0001,-TRUNC(CI9/VLOOKUP("PCS-30658g",[3]ARBOR!$A:$C,3,0)-1,4)))))</f>
        <v>0.1996</v>
      </c>
      <c r="CK9" s="117" t="str">
        <f>IF(ISERROR(IF(CJ9="","",VLOOKUP(($BC9&amp;CJ9&amp;"Template de desconto FLAT bundle - Velox XDSL - Varejo"),[3]BENEFICIOS!$A:$E,5,0))),"Criar",IF(CJ9="","",VLOOKUP(($BC9&amp;CJ9&amp;"Template de desconto FLAT bundle - Velox XDSL - Varejo"),[3]BENEFICIOS!$A:$E,5,0)))</f>
        <v>Criar</v>
      </c>
      <c r="CL9" s="123" t="s">
        <v>173</v>
      </c>
      <c r="CM9" s="121">
        <v>89.9</v>
      </c>
      <c r="CN9" s="116">
        <f>IF(CM9=0,"",IF(CM9=VLOOKUP("PCS-30685g",[3]ARBOR!$A:$C,3,0),0.0001,IF(CM9&gt;VLOOKUP("PCS-30685g",[3]ARBOR!$A:$C,3,0),"Maior que CAP!",IF((DOLLAR(CM9+(VLOOKUP("PCS-30685g",[3]ARBOR!$A:$C,3,0)*-TRUNC(CM9/VLOOKUP("PCS-30685g",[3]ARBOR!$A:$C,3,0)-1,4)),6))&lt;&gt;(DOLLAR(VLOOKUP("PCS-30685g",[3]ARBOR!$A:$C,3,0),6)),-TRUNC(CM9/VLOOKUP("PCS-30685g",[3]ARBOR!$A:$C,3,0)-1,4)+0.0001,-TRUNC(CM9/VLOOKUP("PCS-30685g",[3]ARBOR!$A:$C,3,0)-1,4)))))</f>
        <v>0.28849999999999998</v>
      </c>
      <c r="CO9" s="117" t="str">
        <f>IF(ISERROR(IF(CN9="","",VLOOKUP(($BC9&amp;CN9&amp;"Template de desconto FLAT bundle - Velox XDSL - Varejo"),[3]BENEFICIOS!$A:$E,5,0))),"Criar",IF(CN9="","",VLOOKUP(($BC9&amp;CN9&amp;"Template de desconto FLAT bundle - Velox XDSL - Varejo"),[3]BENEFICIOS!$A:$E,5,0)))</f>
        <v>Criar</v>
      </c>
      <c r="CP9" s="123" t="s">
        <v>173</v>
      </c>
      <c r="CQ9" s="121">
        <v>89.9</v>
      </c>
      <c r="CR9" s="116">
        <f>IF(CQ9=0,"",IF(CQ9=VLOOKUP("PCS-30712g",[3]ARBOR!$A:$C,3,0),0.0001,IF(CQ9&gt;VLOOKUP("PCS-30712g",[3]ARBOR!$A:$C,3,0),"Maior que CAP!",IF((DOLLAR(CQ9+(VLOOKUP("PCS-30712g",[3]ARBOR!$A:$C,3,0)*-TRUNC(CQ9/VLOOKUP("PCS-30712g",[3]ARBOR!$A:$C,3,0)-1,4)),6))&lt;&gt;(DOLLAR(VLOOKUP("PCS-30712g",[3]ARBOR!$A:$C,3,0),6)),-TRUNC(CQ9/VLOOKUP("PCS-30712g",[3]ARBOR!$A:$C,3,0)-1,4)+0.0001,-TRUNC(CQ9/VLOOKUP("PCS-30712g",[3]ARBOR!$A:$C,3,0)-1,4)))))</f>
        <v>0.35959999999999998</v>
      </c>
      <c r="CS9" s="117" t="str">
        <f>IF(ISERROR(IF(CR9="","",VLOOKUP(($BC9&amp;CR9&amp;"Template de desconto FLAT bundle - Velox XDSL - Varejo"),[3]BENEFICIOS!$A:$E,5,0))),"Criar",IF(CR9="","",VLOOKUP(($BC9&amp;CR9&amp;"Template de desconto FLAT bundle - Velox XDSL - Varejo"),[3]BENEFICIOS!$A:$E,5,0)))</f>
        <v>Criar</v>
      </c>
      <c r="CT9" s="123" t="s">
        <v>173</v>
      </c>
      <c r="CU9" s="121">
        <v>99.9</v>
      </c>
      <c r="CV9" s="116">
        <f>IF(CU9=0,"",IF(CU9=VLOOKUP("PCS-30739g",[3]ARBOR!$A:$C,3,0),0.0001,IF(CU9&gt;VLOOKUP("PCS-30739g",[3]ARBOR!$A:$C,3,0),"Maior que CAP!",IF((DOLLAR(CU9+(VLOOKUP("PCS-30739g",[3]ARBOR!$A:$C,3,0)*-TRUNC(CU9/VLOOKUP("PCS-30739g",[3]ARBOR!$A:$C,3,0)-1,4)),6))&lt;&gt;(DOLLAR(VLOOKUP("PCS-30739g",[3]ARBOR!$A:$C,3,0),6)),-TRUNC(CU9/VLOOKUP("PCS-30739g",[3]ARBOR!$A:$C,3,0)-1,4)+0.0001,-TRUNC(CU9/VLOOKUP("PCS-30739g",[3]ARBOR!$A:$C,3,0)-1,4)))))</f>
        <v>0.52559999999999996</v>
      </c>
      <c r="CW9" s="117" t="str">
        <f>IF(ISERROR(IF(CV9="","",VLOOKUP(($BC9&amp;CV9&amp;"Template de desconto FLAT bundle - Velox XDSL - Varejo"),[3]BENEFICIOS!$A:$E,5,0))),"Criar",IF(CV9="","",VLOOKUP(($BC9&amp;CV9&amp;"Template de desconto FLAT bundle - Velox XDSL - Varejo"),[3]BENEFICIOS!$A:$E,5,0)))</f>
        <v>Criar</v>
      </c>
      <c r="CX9" s="121"/>
      <c r="CY9" s="122"/>
      <c r="CZ9" s="116" t="str">
        <f>IF(CX9=0,"",IF(CX9=VLOOKUP("PCS-30739g",[3]ARBOR!$A:$C,3,0),0.0001,IF(CX9&gt;VLOOKUP("PCS-30739g",[3]ARBOR!$A:$C,3,0),"Maior que CAP!",IF((DOLLAR(CX9+(VLOOKUP("PCS-30739g",[3]ARBOR!$A:$C,3,0)*-TRUNC(CX9/VLOOKUP("PCS-30739g",[3]ARBOR!$A:$C,3,0)-1,4)),6))&lt;&gt;(DOLLAR(VLOOKUP("PCS-30739g",[3]ARBOR!$A:$C,3,0),6)),(-TRUNC(CX9/VLOOKUP("PCS-30739g",[3]ARBOR!$A:$C,3,0)-1,4)+0.0001)-CV9,-TRUNC(CX9/VLOOKUP("PCS-30739g",[3]ARBOR!$A:$C,3,0)-1,4)-CV9))))</f>
        <v/>
      </c>
      <c r="DA9" s="117" t="str">
        <f>IF(ISERROR(IF(CZ9="","",VLOOKUP(($BC9&amp;CZ9&amp;"Template de desconto percentual Bundle - Velox XDSL - Varejo"),[3]BENEFICIOS!$A:$E,5,0))),"Criar",IF(CZ9="","",VLOOKUP(($BC9&amp;CZ9&amp;"Template de desconto percentual Bundle - Velox XDSL - Varejo"),[3]BENEFICIOS!$A:$E,5,0)))</f>
        <v/>
      </c>
      <c r="DB9" s="123" t="s">
        <v>173</v>
      </c>
      <c r="DC9" s="121">
        <v>99.9</v>
      </c>
      <c r="DD9" s="116">
        <f>IF(DC9=0,"",IF(DC9=VLOOKUP("PCS-30766g",[3]ARBOR!$A:$C,3,0),0.0001,IF(DC9&gt;VLOOKUP("PCS-30766g",[3]ARBOR!$A:$C,3,0),"Maior que CAP!",IF((DOLLAR(DC9+(VLOOKUP("PCS-30766g",[3]ARBOR!$A:$C,3,0)*-TRUNC(DC9/VLOOKUP("PCS-30766g",[3]ARBOR!$A:$C,3,0)-1,4)),6))&lt;&gt;(DOLLAR(VLOOKUP("PCS-30766g",[3]ARBOR!$A:$C,3,0),6)),-TRUNC(DC9/VLOOKUP("PCS-30766g",[3]ARBOR!$A:$C,3,0)-1,4)+0.0001,-TRUNC(DC9/VLOOKUP("PCS-30766g",[3]ARBOR!$A:$C,3,0)-1,4)))))</f>
        <v>0.64419999999999999</v>
      </c>
      <c r="DE9" s="117" t="str">
        <f>IF(ISERROR(IF(DD9="","",VLOOKUP(($BC9&amp;DD9&amp;"Template de desconto FLAT bundle - Velox XDSL - Varejo"),[3]BENEFICIOS!$A:$E,5,0))),"Criar",IF(DD9="","",VLOOKUP(($BC9&amp;DD9&amp;"Template de desconto FLAT bundle - Velox XDSL - Varejo"),[3]BENEFICIOS!$A:$E,5,0)))</f>
        <v>Criar</v>
      </c>
      <c r="DF9" s="121"/>
      <c r="DG9" s="122"/>
      <c r="DH9" s="116" t="str">
        <f>IF(DF9=0,"",IF(DF9=VLOOKUP("PCS-30766g",[3]ARBOR!$A:$C,3,0),0.0001,IF(DF9&gt;VLOOKUP("PCS-30766g",[3]ARBOR!$A:$C,3,0),"Maior que CAP!",IF((DOLLAR(DF9+(VLOOKUP("PCS-30766g",[3]ARBOR!$A:$C,3,0)*-TRUNC(DF9/VLOOKUP("PCS-30766g",[3]ARBOR!$A:$C,3,0)-1,4)),6))&lt;&gt;(DOLLAR(VLOOKUP("PCS-30766g",[3]ARBOR!$A:$C,3,0),6)),(-TRUNC(DF9/VLOOKUP("PCS-30766g",[3]ARBOR!$A:$C,3,0)-1,4)+0.0001)-DD9,-TRUNC(DF9/VLOOKUP("PCS-30766g",[3]ARBOR!$A:$C,3,0)-1,4)-DD9))))</f>
        <v/>
      </c>
      <c r="DI9" s="117" t="str">
        <f>IF(ISERROR(IF(DH9="","",VLOOKUP(($BC9&amp;DH9&amp;"Template de desconto percentual Bundle - Velox XDSL - Varejo"),[3]BENEFICIOS!$A:$E,5,0))),"Criar",IF(DH9="","",VLOOKUP(($BC9&amp;DH9&amp;"Template de desconto percentual Bundle - Velox XDSL - Varejo"),[3]BENEFICIOS!$A:$E,5,0)))</f>
        <v/>
      </c>
      <c r="DJ9" s="123" t="s">
        <v>230</v>
      </c>
      <c r="DK9" s="121">
        <v>109.9</v>
      </c>
      <c r="DL9" s="116">
        <f>IF(DK9=0,"",IF(DK9=VLOOKUP("PCS-30793g",[3]ARBOR!$A:$C,3,0),0.0001,IF(DK9&gt;VLOOKUP("PCS-30793g",[3]ARBOR!$A:$C,3,0),"Maior que CAP!",IF((DOLLAR(DK9+(VLOOKUP("PCS-30793g",[3]ARBOR!$A:$C,3,0)*-TRUNC(DK9/VLOOKUP("PCS-30793g",[3]ARBOR!$A:$C,3,0)-1,4)),6))&lt;&gt;(DOLLAR(VLOOKUP("PCS-30793g",[3]ARBOR!$A:$C,3,0),6)),-TRUNC(DK9/VLOOKUP("PCS-30793g",[3]ARBOR!$A:$C,3,0)-1,4)+0.0001,-TRUNC(DK9/VLOOKUP("PCS-30793g",[3]ARBOR!$A:$C,3,0)-1,4)))))</f>
        <v>0.60860000000000003</v>
      </c>
      <c r="DM9" s="117" t="str">
        <f>IF(ISERROR(IF(DL9="","",VLOOKUP(($BC9&amp;DL9&amp;"Template de desconto FLAT bundle - Velox XDSL - Varejo"),[3]BENEFICIOS!$A:$E,5,0))),"Criar",IF(DL9="","",VLOOKUP(($BC9&amp;DL9&amp;"Template de desconto FLAT bundle - Velox XDSL - Varejo"),[3]BENEFICIOS!$A:$E,5,0)))</f>
        <v>Criar</v>
      </c>
      <c r="DN9" s="121"/>
      <c r="DO9" s="122"/>
      <c r="DP9" s="116" t="str">
        <f>IF(DN9=0,"",IF(DN9=VLOOKUP("PCS-30793g",[3]ARBOR!$A:$C,3,0),0.0001,IF(DN9&gt;VLOOKUP("PCS-30793g",[3]ARBOR!$A:$C,3,0),"Maior que CAP!",IF((DOLLAR(DN9+(VLOOKUP("PCS-30793g",[3]ARBOR!$A:$C,3,0)*-TRUNC(DN9/VLOOKUP("PCS-30793g",[3]ARBOR!$A:$C,3,0)-1,4)),6))&lt;&gt;(DOLLAR(VLOOKUP("PCS-30793g",[3]ARBOR!$A:$C,3,0),6)),(-TRUNC(DN9/VLOOKUP("PCS-30793g",[3]ARBOR!$A:$C,3,0)-1,4)+0.0001)-DL9,-TRUNC(DN9/VLOOKUP("PCS-30793g",[3]ARBOR!$A:$C,3,0)-1,4)-DL9))))</f>
        <v/>
      </c>
      <c r="DQ9" s="117" t="str">
        <f>IF(ISERROR(IF(DP9="","",VLOOKUP(($BC9&amp;DP9&amp;"Template de desconto percentual Bundle - Velox XDSL - Varejo"),[3]BENEFICIOS!$A:$E,5,0))),"Criar",IF(DP9="","",VLOOKUP(($BC9&amp;DP9&amp;"Template de desconto percentual Bundle - Velox XDSL - Varejo"),[3]BENEFICIOS!$A:$E,5,0)))</f>
        <v/>
      </c>
      <c r="DR9" s="119" t="s">
        <v>173</v>
      </c>
      <c r="DS9" s="120">
        <v>109.9</v>
      </c>
      <c r="DT9" s="116">
        <f>IF(DS9=0,"",IF(DS9=VLOOKUP("PCS-30820g",[3]ARBOR!$A:$C,3,0),0.0001,IF(DS9&gt;VLOOKUP("PCS-30820g",[3]ARBOR!$A:$C,3,0),"Maior que CAP!",IF((DOLLAR(DS9+(VLOOKUP("PCS-30820g",[3]ARBOR!$A:$C,3,0)*-TRUNC(DS9/VLOOKUP("PCS-30820g",[3]ARBOR!$A:$C,3,0)-1,4)),6))&lt;&gt;(DOLLAR(VLOOKUP("PCS-30820g",[3]ARBOR!$A:$C,3,0),6)),-TRUNC(DS9/VLOOKUP("PCS-30820g",[3]ARBOR!$A:$C,3,0)-1,4)+0.0001,-TRUNC(DS9/VLOOKUP("PCS-30820g",[3]ARBOR!$A:$C,3,0)-1,4)))))</f>
        <v>0.60860000000000003</v>
      </c>
      <c r="DU9" s="117" t="str">
        <f>IF(ISERROR(IF(DT9="","",VLOOKUP(($BC9&amp;DT9&amp;"Template de desconto FLAT bundle - Velox XDSL - Varejo"),[3]BENEFICIOS!$A:$E,5,0))),"Criar",IF(DT9="","",VLOOKUP(($BC9&amp;DT9&amp;"Template de desconto FLAT bundle - Velox XDSL - Varejo"),[3]BENEFICIOS!$A:$E,5,0)))</f>
        <v>Criar</v>
      </c>
      <c r="DV9" s="121"/>
      <c r="DW9" s="122"/>
      <c r="DX9" s="116" t="str">
        <f>IF(DV9=0,"",IF(DV9=VLOOKUP("PCS-30820g",[3]ARBOR!$A:$C,3,0),0.0001,IF(DV9&gt;VLOOKUP("PCS-30820g",[3]ARBOR!$A:$C,3,0),"Maior que CAP!",IF((DOLLAR(DV9+(VLOOKUP("PCS-30820g",[3]ARBOR!$A:$C,3,0)*-TRUNC(DV9/VLOOKUP("PCS-30820g",[3]ARBOR!$A:$C,3,0)-1,4)),6))&lt;&gt;(DOLLAR(VLOOKUP("PCS-30820g",[3]ARBOR!$A:$C,3,0),6)),(-TRUNC(DV9/VLOOKUP("PCS-30820g",[3]ARBOR!$A:$C,3,0)-1,4)+0.0001)-DT9,-TRUNC(DV9/VLOOKUP("PCS-30820g",[3]ARBOR!$A:$C,3,0)-1,4)-DT9))))</f>
        <v/>
      </c>
      <c r="DY9" s="117" t="str">
        <f>IF(ISERROR(IF(DX9="","",VLOOKUP(($BC9&amp;DX9&amp;"Template de desconto percentual Bundle - Velox XDSL - Varejo"),[3]BENEFICIOS!$A:$E,5,0))),"Criar",IF(DX9="","",VLOOKUP(($BC9&amp;DX9&amp;"Template de desconto percentual Bundle - Velox XDSL - Varejo"),[3]BENEFICIOS!$A:$E,5,0)))</f>
        <v/>
      </c>
      <c r="DZ9" s="124"/>
      <c r="EA9" s="116" t="str">
        <f>IF(DZ9=0,"",IF(DZ9=VLOOKUP("PCS-21448p2",[3]ARBOR!$A:$C,3,0),0.0001,IF(DZ9&gt;VLOOKUP("PCS-21448p2",[3]ARBOR!$A:$C,3,0),"Maior que CAP!",IF((DOLLAR(DZ9+(VLOOKUP("PCS-21448p2",[3]ARBOR!$A:$C,3,0)*-TRUNC(DZ9/VLOOKUP("PCS-21448p2",[3]ARBOR!$A:$C,3,0)-1,4)),6))&lt;&gt;(DOLLAR(VLOOKUP("PCS-21448p2",[3]ARBOR!$A:$C,3,0),6)),-TRUNC(DZ9/VLOOKUP("PCS-21448p2",[3]ARBOR!$A:$C,3,0)-1,4)+0.0001,-TRUNC(DZ9/VLOOKUP("PCS-21448p2",[3]ARBOR!$A:$C,3,0)-1,4)))))</f>
        <v/>
      </c>
      <c r="EB9" s="117" t="str">
        <f>IF(ISERROR(IF(EA9="","",VLOOKUP(("Oi Conta Total Plug 10GB Downgrade"&amp;EA9&amp;"Template de desconto percentual BL Móvel - Internet Total - Varejo"),[3]BENEFICIOS!$A:$E,5,0))),"Criar",IF(EA9="","",VLOOKUP(("Oi Conta Total Plug 10GB Downgrade"&amp;EA9&amp;"Template de desconto percentual BL Móvel - Internet Total - Varejo"),[3]BENEFICIOS!$A:$E,5,0)))</f>
        <v/>
      </c>
      <c r="EC9" s="145">
        <v>19.899999999999999</v>
      </c>
      <c r="ED9" s="126">
        <f>IF(EC9=0,"",IF(EC9=VLOOKUP("SVA",[3]ARBOR!$A:$C,3,0),0.0001,IF(EC9&gt;VLOOKUP("SVA",[3]ARBOR!$A:$C,3,0),"Maior que CAP!",IF((DOLLAR(EC9+(VLOOKUP("SVA",[3]ARBOR!$A:$C,3,0)*-TRUNC(EC9/VLOOKUP("SVA",[3]ARBOR!$A:$C,3,0)-1,4)),6))&lt;&gt;(DOLLAR(VLOOKUP("SVA",[3]ARBOR!$A:$C,3,0),6)),-TRUNC(EC9/VLOOKUP("SVA",[3]ARBOR!$A:$C,3,0)-1,4)+0.0001,-TRUNC(EC9/VLOOKUP("SVA",[3]ARBOR!$A:$C,3,0)-1,4)))))</f>
        <v>7.1400000000000005E-2</v>
      </c>
      <c r="EE9" s="127" t="s">
        <v>231</v>
      </c>
      <c r="EF9" s="128"/>
      <c r="EG9" s="129"/>
      <c r="EH9" s="130" t="str">
        <f t="shared" si="1"/>
        <v/>
      </c>
      <c r="EI9" s="127" t="str">
        <f>IF(EH9="S/Desc","S/Desc",IF(ISERROR(IF(EH9="","",VLOOKUP(($BC9&amp;EH9&amp;"Template Desc. % sobre Serviço SVA B2C"),[3]BENEFICIOS!$A:$G,5,0))),"Criar",IF(EH9="","",VLOOKUP(($BC9&amp;EH9&amp;"Template Desc. % sobre Serviço SVA B2C"),[3]BENEFICIOS!$A:$G,5,0))))</f>
        <v/>
      </c>
      <c r="EJ9" s="146" t="s">
        <v>209</v>
      </c>
      <c r="EK9" s="135" t="s">
        <v>216</v>
      </c>
      <c r="EL9" s="133" t="s">
        <v>217</v>
      </c>
      <c r="EM9" s="134" t="s">
        <v>218</v>
      </c>
      <c r="EN9" s="135"/>
      <c r="EO9" s="133"/>
      <c r="EP9" s="134"/>
      <c r="EQ9" s="136" t="s">
        <v>219</v>
      </c>
      <c r="ER9" s="137">
        <f t="shared" si="2"/>
        <v>159.91000000000003</v>
      </c>
      <c r="ES9" s="138" t="s">
        <v>220</v>
      </c>
      <c r="ET9" s="139" t="s">
        <v>247</v>
      </c>
      <c r="EU9" s="139" t="s">
        <v>227</v>
      </c>
      <c r="EV9" s="139"/>
      <c r="EW9" s="139"/>
      <c r="EX9" s="139"/>
      <c r="EY9" s="139"/>
      <c r="EZ9" s="139"/>
      <c r="FA9" s="139"/>
      <c r="FB9" s="140"/>
    </row>
    <row r="10" spans="1:158" x14ac:dyDescent="0.25">
      <c r="A10" s="90" t="s">
        <v>198</v>
      </c>
      <c r="B10" s="91" t="s">
        <v>199</v>
      </c>
      <c r="C10" s="91" t="s">
        <v>200</v>
      </c>
      <c r="D10" s="92" t="s">
        <v>201</v>
      </c>
      <c r="E10" s="93" t="s">
        <v>202</v>
      </c>
      <c r="F10" s="94" t="s">
        <v>202</v>
      </c>
      <c r="G10" s="94" t="s">
        <v>202</v>
      </c>
      <c r="H10" s="94" t="s">
        <v>202</v>
      </c>
      <c r="I10" s="94"/>
      <c r="J10" s="94" t="s">
        <v>202</v>
      </c>
      <c r="K10" s="94" t="s">
        <v>202</v>
      </c>
      <c r="L10" s="94" t="s">
        <v>202</v>
      </c>
      <c r="M10" s="94" t="s">
        <v>202</v>
      </c>
      <c r="N10" s="94" t="s">
        <v>202</v>
      </c>
      <c r="O10" s="94" t="s">
        <v>202</v>
      </c>
      <c r="P10" s="94" t="s">
        <v>202</v>
      </c>
      <c r="Q10" s="94" t="s">
        <v>202</v>
      </c>
      <c r="R10" s="94" t="s">
        <v>202</v>
      </c>
      <c r="S10" s="94" t="s">
        <v>202</v>
      </c>
      <c r="T10" s="95" t="s">
        <v>202</v>
      </c>
      <c r="U10" s="94" t="s">
        <v>202</v>
      </c>
      <c r="V10" s="95" t="s">
        <v>202</v>
      </c>
      <c r="W10" s="94" t="s">
        <v>202</v>
      </c>
      <c r="X10" s="94" t="s">
        <v>202</v>
      </c>
      <c r="Y10" s="94" t="s">
        <v>202</v>
      </c>
      <c r="Z10" s="94" t="s">
        <v>202</v>
      </c>
      <c r="AA10" s="95" t="s">
        <v>202</v>
      </c>
      <c r="AB10" s="94"/>
      <c r="AC10" s="141"/>
      <c r="AD10" s="95"/>
      <c r="AE10" s="94"/>
      <c r="AF10" s="94" t="s">
        <v>202</v>
      </c>
      <c r="AG10" s="94" t="s">
        <v>202</v>
      </c>
      <c r="AH10" s="94" t="s">
        <v>202</v>
      </c>
      <c r="AI10" s="94"/>
      <c r="AJ10" s="94"/>
      <c r="AK10" s="94"/>
      <c r="AL10" s="97"/>
      <c r="AM10" s="98" t="s">
        <v>248</v>
      </c>
      <c r="AN10" s="99" t="s">
        <v>204</v>
      </c>
      <c r="AO10" s="99" t="s">
        <v>249</v>
      </c>
      <c r="AP10" s="100">
        <v>42912</v>
      </c>
      <c r="AQ10" s="101">
        <v>43004</v>
      </c>
      <c r="AR10" s="102" t="s">
        <v>206</v>
      </c>
      <c r="AS10" s="103" t="s">
        <v>206</v>
      </c>
      <c r="AT10" s="104"/>
      <c r="AU10" s="104" t="s">
        <v>207</v>
      </c>
      <c r="AV10" s="104">
        <v>20</v>
      </c>
      <c r="AW10" s="104">
        <v>10000</v>
      </c>
      <c r="AX10" s="105" t="s">
        <v>208</v>
      </c>
      <c r="AY10" s="106" t="s">
        <v>209</v>
      </c>
      <c r="AZ10" s="107" t="s">
        <v>209</v>
      </c>
      <c r="BA10" s="108" t="s">
        <v>209</v>
      </c>
      <c r="BB10" s="98" t="s">
        <v>248</v>
      </c>
      <c r="BC10" s="109" t="s">
        <v>244</v>
      </c>
      <c r="BD10" s="110" t="str">
        <f t="shared" si="0"/>
        <v>PCS-2PFBL3</v>
      </c>
      <c r="BE10" s="111" t="s">
        <v>201</v>
      </c>
      <c r="BF10" s="112" t="s">
        <v>211</v>
      </c>
      <c r="BG10" s="113">
        <v>12</v>
      </c>
      <c r="BH10" s="114">
        <v>144</v>
      </c>
      <c r="BI10" s="115">
        <v>70.010000000000005</v>
      </c>
      <c r="BJ10" s="116">
        <f>IF(BI10=0,"",IF(BI10=VLOOKUP("FIXO",[3]ARBOR!$A:$C,3,0),0.0001,IF(BI10&gt;VLOOKUP("FIXO",[3]ARBOR!$A:$C,3,0),"Maior que CAP!",IF((DOLLAR(BI10+(VLOOKUP("FIXO",[3]ARBOR!$A:$C,3,0)*-TRUNC(BI10/VLOOKUP("FIXO",[3]ARBOR!$A:$C,3,0)-1,4)),6))&lt;&gt;(DOLLAR(VLOOKUP("FIXO",[3]ARBOR!$A:$C,3,0),6)),-TRUNC(BI10/VLOOKUP("FIXO",[3]ARBOR!$A:$C,3,0)-1,4)+0.0001,-TRUNC(BI10/VLOOKUP("FIXO",[3]ARBOR!$A:$C,3,0)-1,4)))))</f>
        <v>7.6899999999999996E-2</v>
      </c>
      <c r="BK10" s="117" t="str">
        <f>IF(ISERROR(IF(BJ10="","",VLOOKUP(($BC10&amp;BJ10&amp;"Template de desconto FLAT bundle - Fixo - Varejo - Ganho Tributário Cross"),[3]BENEFICIOS!$A:$E,5,0))),"Criar",IF(BJ10="","",VLOOKUP(($BC10&amp;BJ10&amp;"Template de desconto FLAT bundle - Fixo - Varejo - Ganho Tributário Cross"),[3]BENEFICIOS!$A:$E,5,0)))</f>
        <v>Criar</v>
      </c>
      <c r="BL10" s="65" t="s">
        <v>245</v>
      </c>
      <c r="BM10" s="66" t="s">
        <v>246</v>
      </c>
      <c r="BN10" s="111" t="s">
        <v>201</v>
      </c>
      <c r="BO10" s="112" t="s">
        <v>214</v>
      </c>
      <c r="BP10" s="143">
        <v>12</v>
      </c>
      <c r="BQ10" s="143">
        <v>60</v>
      </c>
      <c r="BR10" s="144" t="s">
        <v>230</v>
      </c>
      <c r="BS10" s="121">
        <v>84.9</v>
      </c>
      <c r="BT10" s="116">
        <f>IF(BS10=0,"",IF(BS10=VLOOKUP("PCS-30874g",[3]ARBOR!$A:$C,3,0),0.0001,IF(BS10&gt;VLOOKUP("PCS-30874g",[3]ARBOR!$A:$C,3,0),"Maior que CAP!",IF((DOLLAR(BS10+(VLOOKUP("PCS-30874g",[3]ARBOR!$A:$C,3,0)*-TRUNC(BS10/VLOOKUP("PCS-30874g",[3]ARBOR!$A:$C,3,0)-1,4)),6))&lt;&gt;(DOLLAR(VLOOKUP("PCS-30874g",[3]ARBOR!$A:$C,3,0),6)),-TRUNC(BS10/VLOOKUP("PCS-30874g",[3]ARBOR!$A:$C,3,0)-1,4)+0.0001,-TRUNC(BS10/VLOOKUP("PCS-30874g",[3]ARBOR!$A:$C,3,0)-1,4)))))</f>
        <v>0.1242</v>
      </c>
      <c r="BU10" s="117" t="str">
        <f>IF(ISERROR(IF(BT10="","",VLOOKUP(($BC10&amp;BT10&amp;"Template de desconto FLAT bundle - Velox XDSL - Varejo"),[3]BENEFICIOS!$A:$E,5,0))),"Criar",IF(BT10="","",VLOOKUP(($BC10&amp;BT10&amp;"Template de desconto FLAT bundle - Velox XDSL - Varejo"),[3]BENEFICIOS!$A:$E,5,0)))</f>
        <v>Criar</v>
      </c>
      <c r="BV10" s="144" t="s">
        <v>230</v>
      </c>
      <c r="BW10" s="121">
        <v>84.9</v>
      </c>
      <c r="BX10" s="116">
        <f>IF(BW10=0,"",IF(BW10=VLOOKUP("PCS-30577g",[3]ARBOR!$A:$C,3,0),0.0001,IF(BW10&gt;VLOOKUP("PCS-30577g",[3]ARBOR!$A:$C,3,0),"Maior que CAP!",IF((DOLLAR(BW10+(VLOOKUP("PCS-30577g",[3]ARBOR!$A:$C,3,0)*-TRUNC(BW10/VLOOKUP("PCS-30577g",[3]ARBOR!$A:$C,3,0)-1,4)),6))&lt;&gt;(DOLLAR(VLOOKUP("PCS-30577g",[3]ARBOR!$A:$C,3,0),6)),-TRUNC(BW10/VLOOKUP("PCS-30577g",[3]ARBOR!$A:$C,3,0)-1,4)+0.0001,-TRUNC(BW10/VLOOKUP("PCS-30577g",[3]ARBOR!$A:$C,3,0)-1,4)))))</f>
        <v>0.1242</v>
      </c>
      <c r="BY10" s="117" t="str">
        <f>IF(ISERROR(IF(BX10="","",VLOOKUP(($BC10&amp;BX10&amp;"Template de desconto FLAT bundle - Velox XDSL - Varejo"),[3]BENEFICIOS!$A:$E,5,0))),"Criar",IF(BX10="","",VLOOKUP(($BC10&amp;BX10&amp;"Template de desconto FLAT bundle - Velox XDSL - Varejo"),[3]BENEFICIOS!$A:$E,5,0)))</f>
        <v>Criar</v>
      </c>
      <c r="BZ10" s="144" t="s">
        <v>230</v>
      </c>
      <c r="CA10" s="121">
        <v>84.9</v>
      </c>
      <c r="CB10" s="116">
        <f>IF(CA10=0,"",IF(CA10=VLOOKUP("PCS-30604g",[3]ARBOR!$A:$C,3,0),0.0001,IF(CA10&gt;VLOOKUP("PCS-30604g",[3]ARBOR!$A:$C,3,0),"Maior que CAP!",IF((DOLLAR(CA10+(VLOOKUP("PCS-30604g",[3]ARBOR!$A:$C,3,0)*-TRUNC(CA10/VLOOKUP("PCS-30604g",[3]ARBOR!$A:$C,3,0)-1,4)),6))&lt;&gt;(DOLLAR(VLOOKUP("PCS-30604g",[3]ARBOR!$A:$C,3,0),6)),-TRUNC(CA10/VLOOKUP("PCS-30604g",[3]ARBOR!$A:$C,3,0)-1,4)+0.0001,-TRUNC(CA10/VLOOKUP("PCS-30604g",[3]ARBOR!$A:$C,3,0)-1,4)))))</f>
        <v>0.1242</v>
      </c>
      <c r="CC10" s="117" t="str">
        <f>IF(ISERROR(IF(CB10="","",VLOOKUP(($BC10&amp;CB10&amp;"Template de desconto FLAT bundle - Velox XDSL - Varejo"),[3]BENEFICIOS!$A:$E,5,0))),"Criar",IF(CB10="","",VLOOKUP(($BC10&amp;CB10&amp;"Template de desconto FLAT bundle - Velox XDSL - Varejo"),[3]BENEFICIOS!$A:$E,5,0)))</f>
        <v>Criar</v>
      </c>
      <c r="CD10" s="144" t="s">
        <v>230</v>
      </c>
      <c r="CE10" s="121">
        <v>84.9</v>
      </c>
      <c r="CF10" s="116">
        <f>IF(CE10=0,"",IF(CE10=VLOOKUP("PCS-30631g",[3]ARBOR!$A:$C,3,0),0.0001,IF(CE10&gt;VLOOKUP("PCS-30631g",[3]ARBOR!$A:$C,3,0),"Maior que CAP!",IF((DOLLAR(CE10+(VLOOKUP("PCS-30631g",[3]ARBOR!$A:$C,3,0)*-TRUNC(CE10/VLOOKUP("PCS-30631g",[3]ARBOR!$A:$C,3,0)-1,4)),6))&lt;&gt;(DOLLAR(VLOOKUP("PCS-30631g",[3]ARBOR!$A:$C,3,0),6)),-TRUNC(CE10/VLOOKUP("PCS-30631g",[3]ARBOR!$A:$C,3,0)-1,4)+0.0001,-TRUNC(CE10/VLOOKUP("PCS-30631g",[3]ARBOR!$A:$C,3,0)-1,4)))))</f>
        <v>0.13599999999999998</v>
      </c>
      <c r="CG10" s="117" t="str">
        <f>IF(ISERROR(IF(CF10="","",VLOOKUP(($BC10&amp;CF10&amp;"Template de desconto FLAT bundle - Velox XDSL - Varejo"),[3]BENEFICIOS!$A:$E,5,0))),"Criar",IF(CF10="","",VLOOKUP(($BC10&amp;CF10&amp;"Template de desconto FLAT bundle - Velox XDSL - Varejo"),[3]BENEFICIOS!$A:$E,5,0)))</f>
        <v>Criar</v>
      </c>
      <c r="CH10" s="123" t="s">
        <v>173</v>
      </c>
      <c r="CI10" s="121">
        <v>89.9</v>
      </c>
      <c r="CJ10" s="116">
        <f>IF(CI10=0,"",IF(CI10=VLOOKUP("PCS-30658g",[3]ARBOR!$A:$C,3,0),0.0001,IF(CI10&gt;VLOOKUP("PCS-30658g",[3]ARBOR!$A:$C,3,0),"Maior que CAP!",IF((DOLLAR(CI10+(VLOOKUP("PCS-30658g",[3]ARBOR!$A:$C,3,0)*-TRUNC(CI10/VLOOKUP("PCS-30658g",[3]ARBOR!$A:$C,3,0)-1,4)),6))&lt;&gt;(DOLLAR(VLOOKUP("PCS-30658g",[3]ARBOR!$A:$C,3,0),6)),-TRUNC(CI10/VLOOKUP("PCS-30658g",[3]ARBOR!$A:$C,3,0)-1,4)+0.0001,-TRUNC(CI10/VLOOKUP("PCS-30658g",[3]ARBOR!$A:$C,3,0)-1,4)))))</f>
        <v>0.1996</v>
      </c>
      <c r="CK10" s="117" t="str">
        <f>IF(ISERROR(IF(CJ10="","",VLOOKUP(($BC10&amp;CJ10&amp;"Template de desconto FLAT bundle - Velox XDSL - Varejo"),[3]BENEFICIOS!$A:$E,5,0))),"Criar",IF(CJ10="","",VLOOKUP(($BC10&amp;CJ10&amp;"Template de desconto FLAT bundle - Velox XDSL - Varejo"),[3]BENEFICIOS!$A:$E,5,0)))</f>
        <v>Criar</v>
      </c>
      <c r="CL10" s="123" t="s">
        <v>173</v>
      </c>
      <c r="CM10" s="121">
        <v>89.9</v>
      </c>
      <c r="CN10" s="116">
        <f>IF(CM10=0,"",IF(CM10=VLOOKUP("PCS-30685g",[3]ARBOR!$A:$C,3,0),0.0001,IF(CM10&gt;VLOOKUP("PCS-30685g",[3]ARBOR!$A:$C,3,0),"Maior que CAP!",IF((DOLLAR(CM10+(VLOOKUP("PCS-30685g",[3]ARBOR!$A:$C,3,0)*-TRUNC(CM10/VLOOKUP("PCS-30685g",[3]ARBOR!$A:$C,3,0)-1,4)),6))&lt;&gt;(DOLLAR(VLOOKUP("PCS-30685g",[3]ARBOR!$A:$C,3,0),6)),-TRUNC(CM10/VLOOKUP("PCS-30685g",[3]ARBOR!$A:$C,3,0)-1,4)+0.0001,-TRUNC(CM10/VLOOKUP("PCS-30685g",[3]ARBOR!$A:$C,3,0)-1,4)))))</f>
        <v>0.28849999999999998</v>
      </c>
      <c r="CO10" s="117" t="str">
        <f>IF(ISERROR(IF(CN10="","",VLOOKUP(($BC10&amp;CN10&amp;"Template de desconto FLAT bundle - Velox XDSL - Varejo"),[3]BENEFICIOS!$A:$E,5,0))),"Criar",IF(CN10="","",VLOOKUP(($BC10&amp;CN10&amp;"Template de desconto FLAT bundle - Velox XDSL - Varejo"),[3]BENEFICIOS!$A:$E,5,0)))</f>
        <v>Criar</v>
      </c>
      <c r="CP10" s="123" t="s">
        <v>173</v>
      </c>
      <c r="CQ10" s="121">
        <v>89.9</v>
      </c>
      <c r="CR10" s="116">
        <f>IF(CQ10=0,"",IF(CQ10=VLOOKUP("PCS-30712g",[3]ARBOR!$A:$C,3,0),0.0001,IF(CQ10&gt;VLOOKUP("PCS-30712g",[3]ARBOR!$A:$C,3,0),"Maior que CAP!",IF((DOLLAR(CQ10+(VLOOKUP("PCS-30712g",[3]ARBOR!$A:$C,3,0)*-TRUNC(CQ10/VLOOKUP("PCS-30712g",[3]ARBOR!$A:$C,3,0)-1,4)),6))&lt;&gt;(DOLLAR(VLOOKUP("PCS-30712g",[3]ARBOR!$A:$C,3,0),6)),-TRUNC(CQ10/VLOOKUP("PCS-30712g",[3]ARBOR!$A:$C,3,0)-1,4)+0.0001,-TRUNC(CQ10/VLOOKUP("PCS-30712g",[3]ARBOR!$A:$C,3,0)-1,4)))))</f>
        <v>0.35959999999999998</v>
      </c>
      <c r="CS10" s="117" t="str">
        <f>IF(ISERROR(IF(CR10="","",VLOOKUP(($BC10&amp;CR10&amp;"Template de desconto FLAT bundle - Velox XDSL - Varejo"),[3]BENEFICIOS!$A:$E,5,0))),"Criar",IF(CR10="","",VLOOKUP(($BC10&amp;CR10&amp;"Template de desconto FLAT bundle - Velox XDSL - Varejo"),[3]BENEFICIOS!$A:$E,5,0)))</f>
        <v>Criar</v>
      </c>
      <c r="CT10" s="123" t="s">
        <v>173</v>
      </c>
      <c r="CU10" s="121">
        <v>99.9</v>
      </c>
      <c r="CV10" s="116">
        <f>IF(CU10=0,"",IF(CU10=VLOOKUP("PCS-30739g",[3]ARBOR!$A:$C,3,0),0.0001,IF(CU10&gt;VLOOKUP("PCS-30739g",[3]ARBOR!$A:$C,3,0),"Maior que CAP!",IF((DOLLAR(CU10+(VLOOKUP("PCS-30739g",[3]ARBOR!$A:$C,3,0)*-TRUNC(CU10/VLOOKUP("PCS-30739g",[3]ARBOR!$A:$C,3,0)-1,4)),6))&lt;&gt;(DOLLAR(VLOOKUP("PCS-30739g",[3]ARBOR!$A:$C,3,0),6)),-TRUNC(CU10/VLOOKUP("PCS-30739g",[3]ARBOR!$A:$C,3,0)-1,4)+0.0001,-TRUNC(CU10/VLOOKUP("PCS-30739g",[3]ARBOR!$A:$C,3,0)-1,4)))))</f>
        <v>0.52559999999999996</v>
      </c>
      <c r="CW10" s="117" t="str">
        <f>IF(ISERROR(IF(CV10="","",VLOOKUP(($BC10&amp;CV10&amp;"Template de desconto FLAT bundle - Velox XDSL - Varejo"),[3]BENEFICIOS!$A:$E,5,0))),"Criar",IF(CV10="","",VLOOKUP(($BC10&amp;CV10&amp;"Template de desconto FLAT bundle - Velox XDSL - Varejo"),[3]BENEFICIOS!$A:$E,5,0)))</f>
        <v>Criar</v>
      </c>
      <c r="CX10" s="121"/>
      <c r="CY10" s="122"/>
      <c r="CZ10" s="116" t="str">
        <f>IF(CX10=0,"",IF(CX10=VLOOKUP("PCS-30739g",[3]ARBOR!$A:$C,3,0),0.0001,IF(CX10&gt;VLOOKUP("PCS-30739g",[3]ARBOR!$A:$C,3,0),"Maior que CAP!",IF((DOLLAR(CX10+(VLOOKUP("PCS-30739g",[3]ARBOR!$A:$C,3,0)*-TRUNC(CX10/VLOOKUP("PCS-30739g",[3]ARBOR!$A:$C,3,0)-1,4)),6))&lt;&gt;(DOLLAR(VLOOKUP("PCS-30739g",[3]ARBOR!$A:$C,3,0),6)),(-TRUNC(CX10/VLOOKUP("PCS-30739g",[3]ARBOR!$A:$C,3,0)-1,4)+0.0001)-CV10,-TRUNC(CX10/VLOOKUP("PCS-30739g",[3]ARBOR!$A:$C,3,0)-1,4)-CV10))))</f>
        <v/>
      </c>
      <c r="DA10" s="117" t="str">
        <f>IF(ISERROR(IF(CZ10="","",VLOOKUP(($BC10&amp;CZ10&amp;"Template de desconto percentual Bundle - Velox XDSL - Varejo"),[3]BENEFICIOS!$A:$E,5,0))),"Criar",IF(CZ10="","",VLOOKUP(($BC10&amp;CZ10&amp;"Template de desconto percentual Bundle - Velox XDSL - Varejo"),[3]BENEFICIOS!$A:$E,5,0)))</f>
        <v/>
      </c>
      <c r="DB10" s="123" t="s">
        <v>173</v>
      </c>
      <c r="DC10" s="121">
        <v>99.9</v>
      </c>
      <c r="DD10" s="116">
        <f>IF(DC10=0,"",IF(DC10=VLOOKUP("PCS-30766g",[3]ARBOR!$A:$C,3,0),0.0001,IF(DC10&gt;VLOOKUP("PCS-30766g",[3]ARBOR!$A:$C,3,0),"Maior que CAP!",IF((DOLLAR(DC10+(VLOOKUP("PCS-30766g",[3]ARBOR!$A:$C,3,0)*-TRUNC(DC10/VLOOKUP("PCS-30766g",[3]ARBOR!$A:$C,3,0)-1,4)),6))&lt;&gt;(DOLLAR(VLOOKUP("PCS-30766g",[3]ARBOR!$A:$C,3,0),6)),-TRUNC(DC10/VLOOKUP("PCS-30766g",[3]ARBOR!$A:$C,3,0)-1,4)+0.0001,-TRUNC(DC10/VLOOKUP("PCS-30766g",[3]ARBOR!$A:$C,3,0)-1,4)))))</f>
        <v>0.64419999999999999</v>
      </c>
      <c r="DE10" s="117" t="str">
        <f>IF(ISERROR(IF(DD10="","",VLOOKUP(($BC10&amp;DD10&amp;"Template de desconto FLAT bundle - Velox XDSL - Varejo"),[3]BENEFICIOS!$A:$E,5,0))),"Criar",IF(DD10="","",VLOOKUP(($BC10&amp;DD10&amp;"Template de desconto FLAT bundle - Velox XDSL - Varejo"),[3]BENEFICIOS!$A:$E,5,0)))</f>
        <v>Criar</v>
      </c>
      <c r="DF10" s="121"/>
      <c r="DG10" s="122"/>
      <c r="DH10" s="116" t="str">
        <f>IF(DF10=0,"",IF(DF10=VLOOKUP("PCS-30766g",[3]ARBOR!$A:$C,3,0),0.0001,IF(DF10&gt;VLOOKUP("PCS-30766g",[3]ARBOR!$A:$C,3,0),"Maior que CAP!",IF((DOLLAR(DF10+(VLOOKUP("PCS-30766g",[3]ARBOR!$A:$C,3,0)*-TRUNC(DF10/VLOOKUP("PCS-30766g",[3]ARBOR!$A:$C,3,0)-1,4)),6))&lt;&gt;(DOLLAR(VLOOKUP("PCS-30766g",[3]ARBOR!$A:$C,3,0),6)),(-TRUNC(DF10/VLOOKUP("PCS-30766g",[3]ARBOR!$A:$C,3,0)-1,4)+0.0001)-DD10,-TRUNC(DF10/VLOOKUP("PCS-30766g",[3]ARBOR!$A:$C,3,0)-1,4)-DD10))))</f>
        <v/>
      </c>
      <c r="DI10" s="117" t="str">
        <f>IF(ISERROR(IF(DH10="","",VLOOKUP(($BC10&amp;DH10&amp;"Template de desconto percentual Bundle - Velox XDSL - Varejo"),[3]BENEFICIOS!$A:$E,5,0))),"Criar",IF(DH10="","",VLOOKUP(($BC10&amp;DH10&amp;"Template de desconto percentual Bundle - Velox XDSL - Varejo"),[3]BENEFICIOS!$A:$E,5,0)))</f>
        <v/>
      </c>
      <c r="DJ10" s="123" t="s">
        <v>230</v>
      </c>
      <c r="DK10" s="121">
        <v>109.9</v>
      </c>
      <c r="DL10" s="116">
        <f>IF(DK10=0,"",IF(DK10=VLOOKUP("PCS-30793g",[3]ARBOR!$A:$C,3,0),0.0001,IF(DK10&gt;VLOOKUP("PCS-30793g",[3]ARBOR!$A:$C,3,0),"Maior que CAP!",IF((DOLLAR(DK10+(VLOOKUP("PCS-30793g",[3]ARBOR!$A:$C,3,0)*-TRUNC(DK10/VLOOKUP("PCS-30793g",[3]ARBOR!$A:$C,3,0)-1,4)),6))&lt;&gt;(DOLLAR(VLOOKUP("PCS-30793g",[3]ARBOR!$A:$C,3,0),6)),-TRUNC(DK10/VLOOKUP("PCS-30793g",[3]ARBOR!$A:$C,3,0)-1,4)+0.0001,-TRUNC(DK10/VLOOKUP("PCS-30793g",[3]ARBOR!$A:$C,3,0)-1,4)))))</f>
        <v>0.60860000000000003</v>
      </c>
      <c r="DM10" s="117" t="str">
        <f>IF(ISERROR(IF(DL10="","",VLOOKUP(($BC10&amp;DL10&amp;"Template de desconto FLAT bundle - Velox XDSL - Varejo"),[3]BENEFICIOS!$A:$E,5,0))),"Criar",IF(DL10="","",VLOOKUP(($BC10&amp;DL10&amp;"Template de desconto FLAT bundle - Velox XDSL - Varejo"),[3]BENEFICIOS!$A:$E,5,0)))</f>
        <v>Criar</v>
      </c>
      <c r="DN10" s="121"/>
      <c r="DO10" s="122"/>
      <c r="DP10" s="116" t="str">
        <f>IF(DN10=0,"",IF(DN10=VLOOKUP("PCS-30793g",[3]ARBOR!$A:$C,3,0),0.0001,IF(DN10&gt;VLOOKUP("PCS-30793g",[3]ARBOR!$A:$C,3,0),"Maior que CAP!",IF((DOLLAR(DN10+(VLOOKUP("PCS-30793g",[3]ARBOR!$A:$C,3,0)*-TRUNC(DN10/VLOOKUP("PCS-30793g",[3]ARBOR!$A:$C,3,0)-1,4)),6))&lt;&gt;(DOLLAR(VLOOKUP("PCS-30793g",[3]ARBOR!$A:$C,3,0),6)),(-TRUNC(DN10/VLOOKUP("PCS-30793g",[3]ARBOR!$A:$C,3,0)-1,4)+0.0001)-DL10,-TRUNC(DN10/VLOOKUP("PCS-30793g",[3]ARBOR!$A:$C,3,0)-1,4)-DL10))))</f>
        <v/>
      </c>
      <c r="DQ10" s="117" t="str">
        <f>IF(ISERROR(IF(DP10="","",VLOOKUP(($BC10&amp;DP10&amp;"Template de desconto percentual Bundle - Velox XDSL - Varejo"),[3]BENEFICIOS!$A:$E,5,0))),"Criar",IF(DP10="","",VLOOKUP(($BC10&amp;DP10&amp;"Template de desconto percentual Bundle - Velox XDSL - Varejo"),[3]BENEFICIOS!$A:$E,5,0)))</f>
        <v/>
      </c>
      <c r="DR10" s="119" t="s">
        <v>173</v>
      </c>
      <c r="DS10" s="120">
        <v>109.9</v>
      </c>
      <c r="DT10" s="116">
        <f>IF(DS10=0,"",IF(DS10=VLOOKUP("PCS-30820g",[3]ARBOR!$A:$C,3,0),0.0001,IF(DS10&gt;VLOOKUP("PCS-30820g",[3]ARBOR!$A:$C,3,0),"Maior que CAP!",IF((DOLLAR(DS10+(VLOOKUP("PCS-30820g",[3]ARBOR!$A:$C,3,0)*-TRUNC(DS10/VLOOKUP("PCS-30820g",[3]ARBOR!$A:$C,3,0)-1,4)),6))&lt;&gt;(DOLLAR(VLOOKUP("PCS-30820g",[3]ARBOR!$A:$C,3,0),6)),-TRUNC(DS10/VLOOKUP("PCS-30820g",[3]ARBOR!$A:$C,3,0)-1,4)+0.0001,-TRUNC(DS10/VLOOKUP("PCS-30820g",[3]ARBOR!$A:$C,3,0)-1,4)))))</f>
        <v>0.60860000000000003</v>
      </c>
      <c r="DU10" s="117" t="str">
        <f>IF(ISERROR(IF(DT10="","",VLOOKUP(($BC10&amp;DT10&amp;"Template de desconto FLAT bundle - Velox XDSL - Varejo"),[3]BENEFICIOS!$A:$E,5,0))),"Criar",IF(DT10="","",VLOOKUP(($BC10&amp;DT10&amp;"Template de desconto FLAT bundle - Velox XDSL - Varejo"),[3]BENEFICIOS!$A:$E,5,0)))</f>
        <v>Criar</v>
      </c>
      <c r="DV10" s="121"/>
      <c r="DW10" s="122"/>
      <c r="DX10" s="116" t="str">
        <f>IF(DV10=0,"",IF(DV10=VLOOKUP("PCS-30820g",[3]ARBOR!$A:$C,3,0),0.0001,IF(DV10&gt;VLOOKUP("PCS-30820g",[3]ARBOR!$A:$C,3,0),"Maior que CAP!",IF((DOLLAR(DV10+(VLOOKUP("PCS-30820g",[3]ARBOR!$A:$C,3,0)*-TRUNC(DV10/VLOOKUP("PCS-30820g",[3]ARBOR!$A:$C,3,0)-1,4)),6))&lt;&gt;(DOLLAR(VLOOKUP("PCS-30820g",[3]ARBOR!$A:$C,3,0),6)),(-TRUNC(DV10/VLOOKUP("PCS-30820g",[3]ARBOR!$A:$C,3,0)-1,4)+0.0001)-DT10,-TRUNC(DV10/VLOOKUP("PCS-30820g",[3]ARBOR!$A:$C,3,0)-1,4)-DT10))))</f>
        <v/>
      </c>
      <c r="DY10" s="117" t="str">
        <f>IF(ISERROR(IF(DX10="","",VLOOKUP(($BC10&amp;DX10&amp;"Template de desconto percentual Bundle - Velox XDSL - Varejo"),[3]BENEFICIOS!$A:$E,5,0))),"Criar",IF(DX10="","",VLOOKUP(($BC10&amp;DX10&amp;"Template de desconto percentual Bundle - Velox XDSL - Varejo"),[3]BENEFICIOS!$A:$E,5,0)))</f>
        <v/>
      </c>
      <c r="DZ10" s="124"/>
      <c r="EA10" s="116" t="str">
        <f>IF(DZ10=0,"",IF(DZ10=VLOOKUP("PCS-21448p2",[3]ARBOR!$A:$C,3,0),0.0001,IF(DZ10&gt;VLOOKUP("PCS-21448p2",[3]ARBOR!$A:$C,3,0),"Maior que CAP!",IF((DOLLAR(DZ10+(VLOOKUP("PCS-21448p2",[3]ARBOR!$A:$C,3,0)*-TRUNC(DZ10/VLOOKUP("PCS-21448p2",[3]ARBOR!$A:$C,3,0)-1,4)),6))&lt;&gt;(DOLLAR(VLOOKUP("PCS-21448p2",[3]ARBOR!$A:$C,3,0),6)),-TRUNC(DZ10/VLOOKUP("PCS-21448p2",[3]ARBOR!$A:$C,3,0)-1,4)+0.0001,-TRUNC(DZ10/VLOOKUP("PCS-21448p2",[3]ARBOR!$A:$C,3,0)-1,4)))))</f>
        <v/>
      </c>
      <c r="EB10" s="117" t="str">
        <f>IF(ISERROR(IF(EA10="","",VLOOKUP(("Oi Conta Total Plug 10GB Downgrade"&amp;EA10&amp;"Template de desconto percentual BL Móvel - Internet Total - Varejo"),[3]BENEFICIOS!$A:$E,5,0))),"Criar",IF(EA10="","",VLOOKUP(("Oi Conta Total Plug 10GB Downgrade"&amp;EA10&amp;"Template de desconto percentual BL Móvel - Internet Total - Varejo"),[3]BENEFICIOS!$A:$E,5,0)))</f>
        <v/>
      </c>
      <c r="EC10" s="145">
        <v>19.899999999999999</v>
      </c>
      <c r="ED10" s="126">
        <f>IF(EC10=0,"",IF(EC10=VLOOKUP("SVA",[3]ARBOR!$A:$C,3,0),0.0001,IF(EC10&gt;VLOOKUP("SVA",[3]ARBOR!$A:$C,3,0),"Maior que CAP!",IF((DOLLAR(EC10+(VLOOKUP("SVA",[3]ARBOR!$A:$C,3,0)*-TRUNC(EC10/VLOOKUP("SVA",[3]ARBOR!$A:$C,3,0)-1,4)),6))&lt;&gt;(DOLLAR(VLOOKUP("SVA",[3]ARBOR!$A:$C,3,0),6)),-TRUNC(EC10/VLOOKUP("SVA",[3]ARBOR!$A:$C,3,0)-1,4)+0.0001,-TRUNC(EC10/VLOOKUP("SVA",[3]ARBOR!$A:$C,3,0)-1,4)))))</f>
        <v>7.1400000000000005E-2</v>
      </c>
      <c r="EE10" s="127" t="s">
        <v>231</v>
      </c>
      <c r="EF10" s="128"/>
      <c r="EG10" s="129"/>
      <c r="EH10" s="130" t="str">
        <f t="shared" si="1"/>
        <v/>
      </c>
      <c r="EI10" s="127" t="str">
        <f>IF(EH10="S/Desc","S/Desc",IF(ISERROR(IF(EH10="","",VLOOKUP(($BC10&amp;EH10&amp;"Template Desc. % sobre Serviço SVA B2C"),[3]BENEFICIOS!$A:$G,5,0))),"Criar",IF(EH10="","",VLOOKUP(($BC10&amp;EH10&amp;"Template Desc. % sobre Serviço SVA B2C"),[3]BENEFICIOS!$A:$G,5,0))))</f>
        <v/>
      </c>
      <c r="EJ10" s="146" t="s">
        <v>209</v>
      </c>
      <c r="EK10" s="135" t="s">
        <v>223</v>
      </c>
      <c r="EL10" s="133" t="s">
        <v>224</v>
      </c>
      <c r="EM10" s="134" t="s">
        <v>225</v>
      </c>
      <c r="EN10" s="135"/>
      <c r="EO10" s="133"/>
      <c r="EP10" s="134"/>
      <c r="EQ10" s="136" t="s">
        <v>219</v>
      </c>
      <c r="ER10" s="137">
        <f t="shared" si="2"/>
        <v>159.91000000000003</v>
      </c>
      <c r="ES10" s="138" t="s">
        <v>220</v>
      </c>
      <c r="ET10" s="147" t="s">
        <v>250</v>
      </c>
      <c r="EU10" s="147" t="s">
        <v>227</v>
      </c>
      <c r="EV10" s="147"/>
      <c r="EW10" s="147"/>
      <c r="EX10" s="147"/>
      <c r="EY10" s="147"/>
      <c r="EZ10" s="147"/>
      <c r="FA10" s="147"/>
      <c r="FB10" s="148"/>
    </row>
    <row r="11" spans="1:158" x14ac:dyDescent="0.25">
      <c r="A11" s="90" t="s">
        <v>198</v>
      </c>
      <c r="B11" s="91" t="s">
        <v>199</v>
      </c>
      <c r="C11" s="91" t="s">
        <v>200</v>
      </c>
      <c r="D11" s="92" t="s">
        <v>201</v>
      </c>
      <c r="E11" s="93" t="s">
        <v>202</v>
      </c>
      <c r="F11" s="94" t="s">
        <v>202</v>
      </c>
      <c r="G11" s="94"/>
      <c r="H11" s="94"/>
      <c r="I11" s="94"/>
      <c r="J11" s="94" t="s">
        <v>202</v>
      </c>
      <c r="K11" s="94" t="s">
        <v>202</v>
      </c>
      <c r="L11" s="94" t="s">
        <v>202</v>
      </c>
      <c r="M11" s="94" t="s">
        <v>202</v>
      </c>
      <c r="N11" s="94"/>
      <c r="O11" s="94"/>
      <c r="P11" s="94"/>
      <c r="Q11" s="94"/>
      <c r="R11" s="94"/>
      <c r="S11" s="94" t="s">
        <v>202</v>
      </c>
      <c r="T11" s="95" t="s">
        <v>202</v>
      </c>
      <c r="U11" s="94" t="s">
        <v>202</v>
      </c>
      <c r="V11" s="95"/>
      <c r="W11" s="94"/>
      <c r="X11" s="94" t="s">
        <v>202</v>
      </c>
      <c r="Y11" s="94" t="s">
        <v>202</v>
      </c>
      <c r="Z11" s="94"/>
      <c r="AA11" s="95"/>
      <c r="AB11" s="94"/>
      <c r="AC11" s="141"/>
      <c r="AD11" s="94"/>
      <c r="AE11" s="94"/>
      <c r="AF11" s="94"/>
      <c r="AG11" s="94"/>
      <c r="AH11" s="94"/>
      <c r="AI11" s="94"/>
      <c r="AJ11" s="94"/>
      <c r="AK11" s="94"/>
      <c r="AL11" s="97"/>
      <c r="AM11" s="98" t="s">
        <v>251</v>
      </c>
      <c r="AN11" s="99" t="s">
        <v>204</v>
      </c>
      <c r="AO11" s="99" t="s">
        <v>252</v>
      </c>
      <c r="AP11" s="100">
        <v>42912</v>
      </c>
      <c r="AQ11" s="101">
        <v>43004</v>
      </c>
      <c r="AR11" s="102" t="s">
        <v>206</v>
      </c>
      <c r="AS11" s="103" t="s">
        <v>206</v>
      </c>
      <c r="AT11" s="104"/>
      <c r="AU11" s="104" t="s">
        <v>207</v>
      </c>
      <c r="AV11" s="104">
        <v>20</v>
      </c>
      <c r="AW11" s="104">
        <v>10000</v>
      </c>
      <c r="AX11" s="105" t="s">
        <v>208</v>
      </c>
      <c r="AY11" s="106" t="s">
        <v>209</v>
      </c>
      <c r="AZ11" s="107" t="s">
        <v>209</v>
      </c>
      <c r="BA11" s="108" t="s">
        <v>209</v>
      </c>
      <c r="BB11" s="98" t="s">
        <v>251</v>
      </c>
      <c r="BC11" s="109" t="s">
        <v>210</v>
      </c>
      <c r="BD11" s="110" t="str">
        <f t="shared" si="0"/>
        <v>PCS-2PFBL1</v>
      </c>
      <c r="BE11" s="111" t="s">
        <v>201</v>
      </c>
      <c r="BF11" s="112" t="s">
        <v>211</v>
      </c>
      <c r="BG11" s="143">
        <v>12</v>
      </c>
      <c r="BH11" s="149">
        <v>144</v>
      </c>
      <c r="BI11" s="115">
        <v>60.01</v>
      </c>
      <c r="BJ11" s="116">
        <f>IF(BI11=0,"",IF(BI11=VLOOKUP("FIXO",[3]ARBOR!$A:$C,3,0),0.0001,IF(BI11&gt;VLOOKUP("FIXO",[3]ARBOR!$A:$C,3,0),"Maior que CAP!",IF((DOLLAR(BI11+(VLOOKUP("FIXO",[3]ARBOR!$A:$C,3,0)*-TRUNC(BI11/VLOOKUP("FIXO",[3]ARBOR!$A:$C,3,0)-1,4)),6))&lt;&gt;(DOLLAR(VLOOKUP("FIXO",[3]ARBOR!$A:$C,3,0),6)),-TRUNC(BI11/VLOOKUP("FIXO",[3]ARBOR!$A:$C,3,0)-1,4)+0.0001,-TRUNC(BI11/VLOOKUP("FIXO",[3]ARBOR!$A:$C,3,0)-1,4)))))</f>
        <v>0.20879999999999999</v>
      </c>
      <c r="BK11" s="117" t="str">
        <f>IF(ISERROR(IF(BJ11="","",VLOOKUP(($BC11&amp;BJ11&amp;"Template de desconto FLAT bundle - Fixo - Varejo - Ganho Tributário Cross"),[3]BENEFICIOS!$A:$E,5,0))),"Criar",IF(BJ11="","",VLOOKUP(($BC11&amp;BJ11&amp;"Template de desconto FLAT bundle - Fixo - Varejo - Ganho Tributário Cross"),[3]BENEFICIOS!$A:$E,5,0)))</f>
        <v>Criar</v>
      </c>
      <c r="BL11" s="65" t="s">
        <v>212</v>
      </c>
      <c r="BM11" s="66" t="s">
        <v>213</v>
      </c>
      <c r="BN11" s="111" t="s">
        <v>201</v>
      </c>
      <c r="BO11" s="112" t="s">
        <v>214</v>
      </c>
      <c r="BP11" s="118">
        <v>12</v>
      </c>
      <c r="BQ11" s="118">
        <v>60</v>
      </c>
      <c r="BR11" s="119" t="s">
        <v>173</v>
      </c>
      <c r="BS11" s="120">
        <v>84.9</v>
      </c>
      <c r="BT11" s="116">
        <f>IF(BS11=0,"",IF(BS11=VLOOKUP("PCS-30874g",[3]ARBOR!$A:$C,3,0),0.0001,IF(BS11&gt;VLOOKUP("PCS-30874g",[3]ARBOR!$A:$C,3,0),"Maior que CAP!",IF((DOLLAR(BS11+(VLOOKUP("PCS-30874g",[3]ARBOR!$A:$C,3,0)*-TRUNC(BS11/VLOOKUP("PCS-30874g",[3]ARBOR!$A:$C,3,0)-1,4)),6))&lt;&gt;(DOLLAR(VLOOKUP("PCS-30874g",[3]ARBOR!$A:$C,3,0),6)),-TRUNC(BS11/VLOOKUP("PCS-30874g",[3]ARBOR!$A:$C,3,0)-1,4)+0.0001,-TRUNC(BS11/VLOOKUP("PCS-30874g",[3]ARBOR!$A:$C,3,0)-1,4)))))</f>
        <v>0.1242</v>
      </c>
      <c r="BU11" s="117" t="str">
        <f>IF(ISERROR(IF(BT11="","",VLOOKUP(($BC11&amp;BT11&amp;"Template de desconto FLAT bundle - Velox XDSL - Varejo"),[3]BENEFICIOS!$A:$E,5,0))),"Criar",IF(BT11="","",VLOOKUP(($BC11&amp;BT11&amp;"Template de desconto FLAT bundle - Velox XDSL - Varejo"),[3]BENEFICIOS!$A:$E,5,0)))</f>
        <v>Criar</v>
      </c>
      <c r="BV11" s="119" t="s">
        <v>173</v>
      </c>
      <c r="BW11" s="120">
        <v>84.9</v>
      </c>
      <c r="BX11" s="116">
        <f>IF(BW11=0,"",IF(BW11=VLOOKUP("PCS-30577g",[3]ARBOR!$A:$C,3,0),0.0001,IF(BW11&gt;VLOOKUP("PCS-30577g",[3]ARBOR!$A:$C,3,0),"Maior que CAP!",IF((DOLLAR(BW11+(VLOOKUP("PCS-30577g",[3]ARBOR!$A:$C,3,0)*-TRUNC(BW11/VLOOKUP("PCS-30577g",[3]ARBOR!$A:$C,3,0)-1,4)),6))&lt;&gt;(DOLLAR(VLOOKUP("PCS-30577g",[3]ARBOR!$A:$C,3,0),6)),-TRUNC(BW11/VLOOKUP("PCS-30577g",[3]ARBOR!$A:$C,3,0)-1,4)+0.0001,-TRUNC(BW11/VLOOKUP("PCS-30577g",[3]ARBOR!$A:$C,3,0)-1,4)))))</f>
        <v>0.1242</v>
      </c>
      <c r="BY11" s="117" t="str">
        <f>IF(ISERROR(IF(BX11="","",VLOOKUP(($BC11&amp;BX11&amp;"Template de desconto FLAT bundle - Velox XDSL - Varejo"),[3]BENEFICIOS!$A:$E,5,0))),"Criar",IF(BX11="","",VLOOKUP(($BC11&amp;BX11&amp;"Template de desconto FLAT bundle - Velox XDSL - Varejo"),[3]BENEFICIOS!$A:$E,5,0)))</f>
        <v>Criar</v>
      </c>
      <c r="BZ11" s="119" t="s">
        <v>173</v>
      </c>
      <c r="CA11" s="120">
        <v>84.9</v>
      </c>
      <c r="CB11" s="116">
        <f>IF(CA11=0,"",IF(CA11=VLOOKUP("PCS-30604g",[3]ARBOR!$A:$C,3,0),0.0001,IF(CA11&gt;VLOOKUP("PCS-30604g",[3]ARBOR!$A:$C,3,0),"Maior que CAP!",IF((DOLLAR(CA11+(VLOOKUP("PCS-30604g",[3]ARBOR!$A:$C,3,0)*-TRUNC(CA11/VLOOKUP("PCS-30604g",[3]ARBOR!$A:$C,3,0)-1,4)),6))&lt;&gt;(DOLLAR(VLOOKUP("PCS-30604g",[3]ARBOR!$A:$C,3,0),6)),-TRUNC(CA11/VLOOKUP("PCS-30604g",[3]ARBOR!$A:$C,3,0)-1,4)+0.0001,-TRUNC(CA11/VLOOKUP("PCS-30604g",[3]ARBOR!$A:$C,3,0)-1,4)))))</f>
        <v>0.1242</v>
      </c>
      <c r="CC11" s="117" t="str">
        <f>IF(ISERROR(IF(CB11="","",VLOOKUP(($BC11&amp;CB11&amp;"Template de desconto FLAT bundle - Velox XDSL - Varejo"),[3]BENEFICIOS!$A:$E,5,0))),"Criar",IF(CB11="","",VLOOKUP(($BC11&amp;CB11&amp;"Template de desconto FLAT bundle - Velox XDSL - Varejo"),[3]BENEFICIOS!$A:$E,5,0)))</f>
        <v>Criar</v>
      </c>
      <c r="CD11" s="119" t="s">
        <v>173</v>
      </c>
      <c r="CE11" s="120">
        <v>84.9</v>
      </c>
      <c r="CF11" s="116">
        <f>IF(CE11=0,"",IF(CE11=VLOOKUP("PCS-30631g",[3]ARBOR!$A:$C,3,0),0.0001,IF(CE11&gt;VLOOKUP("PCS-30631g",[3]ARBOR!$A:$C,3,0),"Maior que CAP!",IF((DOLLAR(CE11+(VLOOKUP("PCS-30631g",[3]ARBOR!$A:$C,3,0)*-TRUNC(CE11/VLOOKUP("PCS-30631g",[3]ARBOR!$A:$C,3,0)-1,4)),6))&lt;&gt;(DOLLAR(VLOOKUP("PCS-30631g",[3]ARBOR!$A:$C,3,0),6)),-TRUNC(CE11/VLOOKUP("PCS-30631g",[3]ARBOR!$A:$C,3,0)-1,4)+0.0001,-TRUNC(CE11/VLOOKUP("PCS-30631g",[3]ARBOR!$A:$C,3,0)-1,4)))))</f>
        <v>0.13599999999999998</v>
      </c>
      <c r="CG11" s="117" t="str">
        <f>IF(ISERROR(IF(CF11="","",VLOOKUP(($BC11&amp;CF11&amp;"Template de desconto FLAT bundle - Velox XDSL - Varejo"),[3]BENEFICIOS!$A:$E,5,0))),"Criar",IF(CF11="","",VLOOKUP(($BC11&amp;CF11&amp;"Template de desconto FLAT bundle - Velox XDSL - Varejo"),[3]BENEFICIOS!$A:$E,5,0)))</f>
        <v>Criar</v>
      </c>
      <c r="CH11" s="119"/>
      <c r="CI11" s="120"/>
      <c r="CJ11" s="116" t="str">
        <f>IF(CI11=0,"",IF(CI11=VLOOKUP("PCS-30658g",[3]ARBOR!$A:$C,3,0),0.0001,IF(CI11&gt;VLOOKUP("PCS-30658g",[3]ARBOR!$A:$C,3,0),"Maior que CAP!",IF((DOLLAR(CI11+(VLOOKUP("PCS-30658g",[3]ARBOR!$A:$C,3,0)*-TRUNC(CI11/VLOOKUP("PCS-30658g",[3]ARBOR!$A:$C,3,0)-1,4)),6))&lt;&gt;(DOLLAR(VLOOKUP("PCS-30658g",[3]ARBOR!$A:$C,3,0),6)),-TRUNC(CI11/VLOOKUP("PCS-30658g",[3]ARBOR!$A:$C,3,0)-1,4)+0.0001,-TRUNC(CI11/VLOOKUP("PCS-30658g",[3]ARBOR!$A:$C,3,0)-1,4)))))</f>
        <v/>
      </c>
      <c r="CK11" s="117" t="str">
        <f>IF(ISERROR(IF(CJ11="","",VLOOKUP(($BC11&amp;CJ11&amp;"Template de desconto FLAT bundle - Velox XDSL - Varejo"),[3]BENEFICIOS!$A:$E,5,0))),"Criar",IF(CJ11="","",VLOOKUP(($BC11&amp;CJ11&amp;"Template de desconto FLAT bundle - Velox XDSL - Varejo"),[3]BENEFICIOS!$A:$E,5,0)))</f>
        <v/>
      </c>
      <c r="CL11" s="119"/>
      <c r="CM11" s="120"/>
      <c r="CN11" s="116" t="str">
        <f>IF(CM11=0,"",IF(CM11=VLOOKUP("PCS-30685g",[3]ARBOR!$A:$C,3,0),0.0001,IF(CM11&gt;VLOOKUP("PCS-30685g",[3]ARBOR!$A:$C,3,0),"Maior que CAP!",IF((DOLLAR(CM11+(VLOOKUP("PCS-30685g",[3]ARBOR!$A:$C,3,0)*-TRUNC(CM11/VLOOKUP("PCS-30685g",[3]ARBOR!$A:$C,3,0)-1,4)),6))&lt;&gt;(DOLLAR(VLOOKUP("PCS-30685g",[3]ARBOR!$A:$C,3,0),6)),-TRUNC(CM11/VLOOKUP("PCS-30685g",[3]ARBOR!$A:$C,3,0)-1,4)+0.0001,-TRUNC(CM11/VLOOKUP("PCS-30685g",[3]ARBOR!$A:$C,3,0)-1,4)))))</f>
        <v/>
      </c>
      <c r="CO11" s="117" t="str">
        <f>IF(ISERROR(IF(CN11="","",VLOOKUP(($BC11&amp;CN11&amp;"Template de desconto FLAT bundle - Velox XDSL - Varejo"),[3]BENEFICIOS!$A:$E,5,0))),"Criar",IF(CN11="","",VLOOKUP(($BC11&amp;CN11&amp;"Template de desconto FLAT bundle - Velox XDSL - Varejo"),[3]BENEFICIOS!$A:$E,5,0)))</f>
        <v/>
      </c>
      <c r="CP11" s="119"/>
      <c r="CQ11" s="120"/>
      <c r="CR11" s="116" t="str">
        <f>IF(CQ11=0,"",IF(CQ11=VLOOKUP("PCS-30712g",[3]ARBOR!$A:$C,3,0),0.0001,IF(CQ11&gt;VLOOKUP("PCS-30712g",[3]ARBOR!$A:$C,3,0),"Maior que CAP!",IF((DOLLAR(CQ11+(VLOOKUP("PCS-30712g",[3]ARBOR!$A:$C,3,0)*-TRUNC(CQ11/VLOOKUP("PCS-30712g",[3]ARBOR!$A:$C,3,0)-1,4)),6))&lt;&gt;(DOLLAR(VLOOKUP("PCS-30712g",[3]ARBOR!$A:$C,3,0),6)),-TRUNC(CQ11/VLOOKUP("PCS-30712g",[3]ARBOR!$A:$C,3,0)-1,4)+0.0001,-TRUNC(CQ11/VLOOKUP("PCS-30712g",[3]ARBOR!$A:$C,3,0)-1,4)))))</f>
        <v/>
      </c>
      <c r="CS11" s="117" t="str">
        <f>IF(ISERROR(IF(CR11="","",VLOOKUP(($BC11&amp;CR11&amp;"Template de desconto FLAT bundle - Velox XDSL - Varejo"),[3]BENEFICIOS!$A:$E,5,0))),"Criar",IF(CR11="","",VLOOKUP(($BC11&amp;CR11&amp;"Template de desconto FLAT bundle - Velox XDSL - Varejo"),[3]BENEFICIOS!$A:$E,5,0)))</f>
        <v/>
      </c>
      <c r="CT11" s="119"/>
      <c r="CU11" s="120"/>
      <c r="CV11" s="116" t="str">
        <f>IF(CU11=0,"",IF(CU11=VLOOKUP("PCS-30739g",[3]ARBOR!$A:$C,3,0),0.0001,IF(CU11&gt;VLOOKUP("PCS-30739g",[3]ARBOR!$A:$C,3,0),"Maior que CAP!",IF((DOLLAR(CU11+(VLOOKUP("PCS-30739g",[3]ARBOR!$A:$C,3,0)*-TRUNC(CU11/VLOOKUP("PCS-30739g",[3]ARBOR!$A:$C,3,0)-1,4)),6))&lt;&gt;(DOLLAR(VLOOKUP("PCS-30739g",[3]ARBOR!$A:$C,3,0),6)),-TRUNC(CU11/VLOOKUP("PCS-30739g",[3]ARBOR!$A:$C,3,0)-1,4)+0.0001,-TRUNC(CU11/VLOOKUP("PCS-30739g",[3]ARBOR!$A:$C,3,0)-1,4)))))</f>
        <v/>
      </c>
      <c r="CW11" s="117" t="str">
        <f>IF(ISERROR(IF(CV11="","",VLOOKUP(($BC11&amp;CV11&amp;"Template de desconto FLAT bundle - Velox XDSL - Varejo"),[3]BENEFICIOS!$A:$E,5,0))),"Criar",IF(CV11="","",VLOOKUP(($BC11&amp;CV11&amp;"Template de desconto FLAT bundle - Velox XDSL - Varejo"),[3]BENEFICIOS!$A:$E,5,0)))</f>
        <v/>
      </c>
      <c r="CX11" s="121"/>
      <c r="CY11" s="122"/>
      <c r="CZ11" s="116" t="str">
        <f>IF(CX11=0,"",IF(CX11=VLOOKUP("PCS-30739g",[3]ARBOR!$A:$C,3,0),0.0001,IF(CX11&gt;VLOOKUP("PCS-30739g",[3]ARBOR!$A:$C,3,0),"Maior que CAP!",IF((DOLLAR(CX11+(VLOOKUP("PCS-30739g",[3]ARBOR!$A:$C,3,0)*-TRUNC(CX11/VLOOKUP("PCS-30739g",[3]ARBOR!$A:$C,3,0)-1,4)),6))&lt;&gt;(DOLLAR(VLOOKUP("PCS-30739g",[3]ARBOR!$A:$C,3,0),6)),(-TRUNC(CX11/VLOOKUP("PCS-30739g",[3]ARBOR!$A:$C,3,0)-1,4)+0.0001)-CV11,-TRUNC(CX11/VLOOKUP("PCS-30739g",[3]ARBOR!$A:$C,3,0)-1,4)-CV11))))</f>
        <v/>
      </c>
      <c r="DA11" s="117" t="str">
        <f>IF(ISERROR(IF(CZ11="","",VLOOKUP(($BC11&amp;CZ11&amp;"Template de desconto percentual Bundle - Velox XDSL - Varejo"),[3]BENEFICIOS!$A:$E,5,0))),"Criar",IF(CZ11="","",VLOOKUP(($BC11&amp;CZ11&amp;"Template de desconto percentual Bundle - Velox XDSL - Varejo"),[3]BENEFICIOS!$A:$E,5,0)))</f>
        <v/>
      </c>
      <c r="DB11" s="119"/>
      <c r="DC11" s="120"/>
      <c r="DD11" s="116" t="str">
        <f>IF(DC11=0,"",IF(DC11=VLOOKUP("PCS-30766g",[3]ARBOR!$A:$C,3,0),0.0001,IF(DC11&gt;VLOOKUP("PCS-30766g",[3]ARBOR!$A:$C,3,0),"Maior que CAP!",IF((DOLLAR(DC11+(VLOOKUP("PCS-30766g",[3]ARBOR!$A:$C,3,0)*-TRUNC(DC11/VLOOKUP("PCS-30766g",[3]ARBOR!$A:$C,3,0)-1,4)),6))&lt;&gt;(DOLLAR(VLOOKUP("PCS-30766g",[3]ARBOR!$A:$C,3,0),6)),-TRUNC(DC11/VLOOKUP("PCS-30766g",[3]ARBOR!$A:$C,3,0)-1,4)+0.0001,-TRUNC(DC11/VLOOKUP("PCS-30766g",[3]ARBOR!$A:$C,3,0)-1,4)))))</f>
        <v/>
      </c>
      <c r="DE11" s="117" t="str">
        <f>IF(ISERROR(IF(DD11="","",VLOOKUP(($BC11&amp;DD11&amp;"Template de desconto FLAT bundle - Velox XDSL - Varejo"),[3]BENEFICIOS!$A:$E,5,0))),"Criar",IF(DD11="","",VLOOKUP(($BC11&amp;DD11&amp;"Template de desconto FLAT bundle - Velox XDSL - Varejo"),[3]BENEFICIOS!$A:$E,5,0)))</f>
        <v/>
      </c>
      <c r="DF11" s="121"/>
      <c r="DG11" s="122"/>
      <c r="DH11" s="116" t="str">
        <f>IF(DF11=0,"",IF(DF11=VLOOKUP("PCS-30766g",[3]ARBOR!$A:$C,3,0),0.0001,IF(DF11&gt;VLOOKUP("PCS-30766g",[3]ARBOR!$A:$C,3,0),"Maior que CAP!",IF((DOLLAR(DF11+(VLOOKUP("PCS-30766g",[3]ARBOR!$A:$C,3,0)*-TRUNC(DF11/VLOOKUP("PCS-30766g",[3]ARBOR!$A:$C,3,0)-1,4)),6))&lt;&gt;(DOLLAR(VLOOKUP("PCS-30766g",[3]ARBOR!$A:$C,3,0),6)),(-TRUNC(DF11/VLOOKUP("PCS-30766g",[3]ARBOR!$A:$C,3,0)-1,4)+0.0001)-DD11,-TRUNC(DF11/VLOOKUP("PCS-30766g",[3]ARBOR!$A:$C,3,0)-1,4)-DD11))))</f>
        <v/>
      </c>
      <c r="DI11" s="117" t="str">
        <f>IF(ISERROR(IF(DH11="","",VLOOKUP(($BC11&amp;DH11&amp;"Template de desconto percentual Bundle - Velox XDSL - Varejo"),[3]BENEFICIOS!$A:$E,5,0))),"Criar",IF(DH11="","",VLOOKUP(($BC11&amp;DH11&amp;"Template de desconto percentual Bundle - Velox XDSL - Varejo"),[3]BENEFICIOS!$A:$E,5,0)))</f>
        <v/>
      </c>
      <c r="DJ11" s="123"/>
      <c r="DK11" s="121"/>
      <c r="DL11" s="116" t="str">
        <f>IF(DK11=0,"",IF(DK11=VLOOKUP("PCS-30793g",[3]ARBOR!$A:$C,3,0),0.0001,IF(DK11&gt;VLOOKUP("PCS-30793g",[3]ARBOR!$A:$C,3,0),"Maior que CAP!",IF((DOLLAR(DK11+(VLOOKUP("PCS-30793g",[3]ARBOR!$A:$C,3,0)*-TRUNC(DK11/VLOOKUP("PCS-30793g",[3]ARBOR!$A:$C,3,0)-1,4)),6))&lt;&gt;(DOLLAR(VLOOKUP("PCS-30793g",[3]ARBOR!$A:$C,3,0),6)),-TRUNC(DK11/VLOOKUP("PCS-30793g",[3]ARBOR!$A:$C,3,0)-1,4)+0.0001,-TRUNC(DK11/VLOOKUP("PCS-30793g",[3]ARBOR!$A:$C,3,0)-1,4)))))</f>
        <v/>
      </c>
      <c r="DM11" s="117" t="str">
        <f>IF(ISERROR(IF(DL11="","",VLOOKUP(($BC11&amp;DL11&amp;"Template de desconto FLAT bundle - Velox XDSL - Varejo"),[3]BENEFICIOS!$A:$E,5,0))),"Criar",IF(DL11="","",VLOOKUP(($BC11&amp;DL11&amp;"Template de desconto FLAT bundle - Velox XDSL - Varejo"),[3]BENEFICIOS!$A:$E,5,0)))</f>
        <v/>
      </c>
      <c r="DN11" s="121"/>
      <c r="DO11" s="122"/>
      <c r="DP11" s="116" t="str">
        <f>IF(DN11=0,"",IF(DN11=VLOOKUP("PCS-30793g",[3]ARBOR!$A:$C,3,0),0.0001,IF(DN11&gt;VLOOKUP("PCS-30793g",[3]ARBOR!$A:$C,3,0),"Maior que CAP!",IF((DOLLAR(DN11+(VLOOKUP("PCS-30793g",[3]ARBOR!$A:$C,3,0)*-TRUNC(DN11/VLOOKUP("PCS-30793g",[3]ARBOR!$A:$C,3,0)-1,4)),6))&lt;&gt;(DOLLAR(VLOOKUP("PCS-30793g",[3]ARBOR!$A:$C,3,0),6)),(-TRUNC(DN11/VLOOKUP("PCS-30793g",[3]ARBOR!$A:$C,3,0)-1,4)+0.0001)-DL11,-TRUNC(DN11/VLOOKUP("PCS-30793g",[3]ARBOR!$A:$C,3,0)-1,4)-DL11))))</f>
        <v/>
      </c>
      <c r="DQ11" s="117" t="str">
        <f>IF(ISERROR(IF(DP11="","",VLOOKUP(($BC11&amp;DP11&amp;"Template de desconto percentual Bundle - Velox XDSL - Varejo"),[3]BENEFICIOS!$A:$E,5,0))),"Criar",IF(DP11="","",VLOOKUP(($BC11&amp;DP11&amp;"Template de desconto percentual Bundle - Velox XDSL - Varejo"),[3]BENEFICIOS!$A:$E,5,0)))</f>
        <v/>
      </c>
      <c r="DR11" s="119"/>
      <c r="DS11" s="120"/>
      <c r="DT11" s="116" t="str">
        <f>IF(DS11=0,"",IF(DS11=VLOOKUP("PCS-30820g",[3]ARBOR!$A:$C,3,0),0.0001,IF(DS11&gt;VLOOKUP("PCS-30820g",[3]ARBOR!$A:$C,3,0),"Maior que CAP!",IF((DOLLAR(DS11+(VLOOKUP("PCS-30820g",[3]ARBOR!$A:$C,3,0)*-TRUNC(DS11/VLOOKUP("PCS-30820g",[3]ARBOR!$A:$C,3,0)-1,4)),6))&lt;&gt;(DOLLAR(VLOOKUP("PCS-30820g",[3]ARBOR!$A:$C,3,0),6)),-TRUNC(DS11/VLOOKUP("PCS-30820g",[3]ARBOR!$A:$C,3,0)-1,4)+0.0001,-TRUNC(DS11/VLOOKUP("PCS-30820g",[3]ARBOR!$A:$C,3,0)-1,4)))))</f>
        <v/>
      </c>
      <c r="DU11" s="117" t="str">
        <f>IF(ISERROR(IF(DT11="","",VLOOKUP(($BC11&amp;DT11&amp;"Template de desconto FLAT bundle - Velox XDSL - Varejo"),[3]BENEFICIOS!$A:$E,5,0))),"Criar",IF(DT11="","",VLOOKUP(($BC11&amp;DT11&amp;"Template de desconto FLAT bundle - Velox XDSL - Varejo"),[3]BENEFICIOS!$A:$E,5,0)))</f>
        <v/>
      </c>
      <c r="DV11" s="121"/>
      <c r="DW11" s="122"/>
      <c r="DX11" s="116" t="str">
        <f>IF(DV11=0,"",IF(DV11=VLOOKUP("PCS-30820g",[3]ARBOR!$A:$C,3,0),0.0001,IF(DV11&gt;VLOOKUP("PCS-30820g",[3]ARBOR!$A:$C,3,0),"Maior que CAP!",IF((DOLLAR(DV11+(VLOOKUP("PCS-30820g",[3]ARBOR!$A:$C,3,0)*-TRUNC(DV11/VLOOKUP("PCS-30820g",[3]ARBOR!$A:$C,3,0)-1,4)),6))&lt;&gt;(DOLLAR(VLOOKUP("PCS-30820g",[3]ARBOR!$A:$C,3,0),6)),(-TRUNC(DV11/VLOOKUP("PCS-30820g",[3]ARBOR!$A:$C,3,0)-1,4)+0.0001)-DT11,-TRUNC(DV11/VLOOKUP("PCS-30820g",[3]ARBOR!$A:$C,3,0)-1,4)-DT11))))</f>
        <v/>
      </c>
      <c r="DY11" s="117" t="str">
        <f>IF(ISERROR(IF(DX11="","",VLOOKUP(($BC11&amp;DX11&amp;"Template de desconto percentual Bundle - Velox XDSL - Varejo"),[3]BENEFICIOS!$A:$E,5,0))),"Criar",IF(DX11="","",VLOOKUP(($BC11&amp;DX11&amp;"Template de desconto percentual Bundle - Velox XDSL - Varejo"),[3]BENEFICIOS!$A:$E,5,0)))</f>
        <v/>
      </c>
      <c r="DZ11" s="124"/>
      <c r="EA11" s="116" t="str">
        <f>IF(DZ11=0,"",IF(DZ11=VLOOKUP("PCS-21448p2",[3]ARBOR!$A:$C,3,0),0.0001,IF(DZ11&gt;VLOOKUP("PCS-21448p2",[3]ARBOR!$A:$C,3,0),"Maior que CAP!",IF((DOLLAR(DZ11+(VLOOKUP("PCS-21448p2",[3]ARBOR!$A:$C,3,0)*-TRUNC(DZ11/VLOOKUP("PCS-21448p2",[3]ARBOR!$A:$C,3,0)-1,4)),6))&lt;&gt;(DOLLAR(VLOOKUP("PCS-21448p2",[3]ARBOR!$A:$C,3,0),6)),-TRUNC(DZ11/VLOOKUP("PCS-21448p2",[3]ARBOR!$A:$C,3,0)-1,4)+0.0001,-TRUNC(DZ11/VLOOKUP("PCS-21448p2",[3]ARBOR!$A:$C,3,0)-1,4)))))</f>
        <v/>
      </c>
      <c r="EB11" s="117" t="str">
        <f>IF(ISERROR(IF(EA11="","",VLOOKUP(("Oi Conta Total Plug 10GB Downgrade"&amp;EA11&amp;"Template de desconto percentual BL Móvel - Internet Total - Varejo"),[3]BENEFICIOS!$A:$E,5,0))),"Criar",IF(EA11="","",VLOOKUP(("Oi Conta Total Plug 10GB Downgrade"&amp;EA11&amp;"Template de desconto percentual BL Móvel - Internet Total - Varejo"),[3]BENEFICIOS!$A:$E,5,0)))</f>
        <v/>
      </c>
      <c r="EC11" s="125">
        <v>16.5</v>
      </c>
      <c r="ED11" s="126">
        <f>IF(EC11=0,"",IF(EC11=VLOOKUP("SVA",[3]ARBOR!$A:$C,3,0),0.0001,IF(EC11&gt;VLOOKUP("SVA",[3]ARBOR!$A:$C,3,0),"Maior que CAP!",IF((DOLLAR(EC11+(VLOOKUP("SVA",[3]ARBOR!$A:$C,3,0)*-TRUNC(EC11/VLOOKUP("SVA",[3]ARBOR!$A:$C,3,0)-1,4)),6))&lt;&gt;(DOLLAR(VLOOKUP("SVA",[3]ARBOR!$A:$C,3,0),6)),-TRUNC(EC11/VLOOKUP("SVA",[3]ARBOR!$A:$C,3,0)-1,4)+0.0001,-TRUNC(EC11/VLOOKUP("SVA",[3]ARBOR!$A:$C,3,0)-1,4)))))</f>
        <v>0.2301</v>
      </c>
      <c r="EE11" s="127" t="s">
        <v>215</v>
      </c>
      <c r="EF11" s="128"/>
      <c r="EG11" s="129"/>
      <c r="EH11" s="130" t="str">
        <f t="shared" si="1"/>
        <v/>
      </c>
      <c r="EI11" s="127" t="str">
        <f>IF(EH11="S/Desc","S/Desc",IF(ISERROR(IF(EH11="","",VLOOKUP(($BC11&amp;EH11&amp;"Template Desc. % sobre Serviço SVA B2C"),[3]BENEFICIOS!$A:$G,5,0))),"Criar",IF(EH11="","",VLOOKUP(($BC11&amp;EH11&amp;"Template Desc. % sobre Serviço SVA B2C"),[3]BENEFICIOS!$A:$G,5,0))))</f>
        <v/>
      </c>
      <c r="EJ11" s="131" t="s">
        <v>209</v>
      </c>
      <c r="EK11" s="132"/>
      <c r="EL11" s="133"/>
      <c r="EM11" s="134"/>
      <c r="EN11" s="135"/>
      <c r="EO11" s="133"/>
      <c r="EP11" s="134"/>
      <c r="EQ11" s="136" t="s">
        <v>219</v>
      </c>
      <c r="ER11" s="137">
        <f t="shared" si="2"/>
        <v>60.01</v>
      </c>
      <c r="ES11" s="138" t="s">
        <v>220</v>
      </c>
      <c r="ET11" s="147" t="s">
        <v>253</v>
      </c>
      <c r="EU11" s="147" t="s">
        <v>227</v>
      </c>
      <c r="EV11" s="147"/>
      <c r="EW11" s="147"/>
      <c r="EX11" s="147"/>
      <c r="EY11" s="147"/>
      <c r="EZ11" s="147"/>
      <c r="FA11" s="147"/>
      <c r="FB11" s="148"/>
    </row>
    <row r="12" spans="1:158" x14ac:dyDescent="0.25">
      <c r="A12" s="90" t="s">
        <v>198</v>
      </c>
      <c r="B12" s="91" t="s">
        <v>199</v>
      </c>
      <c r="C12" s="91" t="s">
        <v>200</v>
      </c>
      <c r="D12" s="92" t="s">
        <v>201</v>
      </c>
      <c r="E12" s="93" t="s">
        <v>202</v>
      </c>
      <c r="F12" s="94" t="s">
        <v>202</v>
      </c>
      <c r="G12" s="94"/>
      <c r="H12" s="94"/>
      <c r="I12" s="94"/>
      <c r="J12" s="94" t="s">
        <v>202</v>
      </c>
      <c r="K12" s="94" t="s">
        <v>202</v>
      </c>
      <c r="L12" s="94" t="s">
        <v>202</v>
      </c>
      <c r="M12" s="94" t="s">
        <v>202</v>
      </c>
      <c r="N12" s="94"/>
      <c r="O12" s="94"/>
      <c r="P12" s="94"/>
      <c r="Q12" s="94"/>
      <c r="R12" s="94"/>
      <c r="S12" s="94" t="s">
        <v>202</v>
      </c>
      <c r="T12" s="95" t="s">
        <v>202</v>
      </c>
      <c r="U12" s="94" t="s">
        <v>202</v>
      </c>
      <c r="V12" s="95"/>
      <c r="W12" s="94"/>
      <c r="X12" s="94" t="s">
        <v>202</v>
      </c>
      <c r="Y12" s="94" t="s">
        <v>202</v>
      </c>
      <c r="Z12" s="94"/>
      <c r="AA12" s="95"/>
      <c r="AB12" s="94"/>
      <c r="AC12" s="141"/>
      <c r="AD12" s="94"/>
      <c r="AE12" s="94"/>
      <c r="AF12" s="94"/>
      <c r="AG12" s="94"/>
      <c r="AH12" s="94"/>
      <c r="AI12" s="94"/>
      <c r="AJ12" s="94"/>
      <c r="AK12" s="94"/>
      <c r="AL12" s="97"/>
      <c r="AM12" s="98" t="s">
        <v>254</v>
      </c>
      <c r="AN12" s="99" t="s">
        <v>204</v>
      </c>
      <c r="AO12" s="99" t="s">
        <v>255</v>
      </c>
      <c r="AP12" s="100">
        <v>42912</v>
      </c>
      <c r="AQ12" s="101">
        <v>43004</v>
      </c>
      <c r="AR12" s="102" t="s">
        <v>206</v>
      </c>
      <c r="AS12" s="103" t="s">
        <v>206</v>
      </c>
      <c r="AT12" s="104"/>
      <c r="AU12" s="104" t="s">
        <v>207</v>
      </c>
      <c r="AV12" s="104">
        <v>20</v>
      </c>
      <c r="AW12" s="104">
        <v>10000</v>
      </c>
      <c r="AX12" s="105" t="s">
        <v>208</v>
      </c>
      <c r="AY12" s="106" t="s">
        <v>209</v>
      </c>
      <c r="AZ12" s="107" t="s">
        <v>209</v>
      </c>
      <c r="BA12" s="108" t="s">
        <v>209</v>
      </c>
      <c r="BB12" s="98" t="s">
        <v>254</v>
      </c>
      <c r="BC12" s="109" t="s">
        <v>210</v>
      </c>
      <c r="BD12" s="110" t="str">
        <f t="shared" si="0"/>
        <v>PCS-2PFBL1</v>
      </c>
      <c r="BE12" s="111" t="s">
        <v>201</v>
      </c>
      <c r="BF12" s="112" t="s">
        <v>211</v>
      </c>
      <c r="BG12" s="143">
        <v>12</v>
      </c>
      <c r="BH12" s="149">
        <v>144</v>
      </c>
      <c r="BI12" s="115">
        <v>65.010000000000005</v>
      </c>
      <c r="BJ12" s="116">
        <f>IF(BI12=0,"",IF(BI12=VLOOKUP("FIXO",[3]ARBOR!$A:$C,3,0),0.0001,IF(BI12&gt;VLOOKUP("FIXO",[3]ARBOR!$A:$C,3,0),"Maior que CAP!",IF((DOLLAR(BI12+(VLOOKUP("FIXO",[3]ARBOR!$A:$C,3,0)*-TRUNC(BI12/VLOOKUP("FIXO",[3]ARBOR!$A:$C,3,0)-1,4)),6))&lt;&gt;(DOLLAR(VLOOKUP("FIXO",[3]ARBOR!$A:$C,3,0),6)),-TRUNC(BI12/VLOOKUP("FIXO",[3]ARBOR!$A:$C,3,0)-1,4)+0.0001,-TRUNC(BI12/VLOOKUP("FIXO",[3]ARBOR!$A:$C,3,0)-1,4)))))</f>
        <v>0.1429</v>
      </c>
      <c r="BK12" s="117" t="str">
        <f>IF(ISERROR(IF(BJ12="","",VLOOKUP(($BC12&amp;BJ12&amp;"Template de desconto FLAT bundle - Fixo - Varejo - Ganho Tributário Cross"),[3]BENEFICIOS!$A:$E,5,0))),"Criar",IF(BJ12="","",VLOOKUP(($BC12&amp;BJ12&amp;"Template de desconto FLAT bundle - Fixo - Varejo - Ganho Tributário Cross"),[3]BENEFICIOS!$A:$E,5,0)))</f>
        <v>Criar</v>
      </c>
      <c r="BL12" s="65" t="s">
        <v>212</v>
      </c>
      <c r="BM12" s="66" t="s">
        <v>213</v>
      </c>
      <c r="BN12" s="111" t="s">
        <v>201</v>
      </c>
      <c r="BO12" s="112" t="s">
        <v>214</v>
      </c>
      <c r="BP12" s="118">
        <v>12</v>
      </c>
      <c r="BQ12" s="118">
        <v>60</v>
      </c>
      <c r="BR12" s="119" t="s">
        <v>173</v>
      </c>
      <c r="BS12" s="120">
        <v>84.9</v>
      </c>
      <c r="BT12" s="116">
        <f>IF(BS12=0,"",IF(BS12=VLOOKUP("PCS-30874g",[3]ARBOR!$A:$C,3,0),0.0001,IF(BS12&gt;VLOOKUP("PCS-30874g",[3]ARBOR!$A:$C,3,0),"Maior que CAP!",IF((DOLLAR(BS12+(VLOOKUP("PCS-30874g",[3]ARBOR!$A:$C,3,0)*-TRUNC(BS12/VLOOKUP("PCS-30874g",[3]ARBOR!$A:$C,3,0)-1,4)),6))&lt;&gt;(DOLLAR(VLOOKUP("PCS-30874g",[3]ARBOR!$A:$C,3,0),6)),-TRUNC(BS12/VLOOKUP("PCS-30874g",[3]ARBOR!$A:$C,3,0)-1,4)+0.0001,-TRUNC(BS12/VLOOKUP("PCS-30874g",[3]ARBOR!$A:$C,3,0)-1,4)))))</f>
        <v>0.1242</v>
      </c>
      <c r="BU12" s="117" t="str">
        <f>IF(ISERROR(IF(BT12="","",VLOOKUP(($BC12&amp;BT12&amp;"Template de desconto FLAT bundle - Velox XDSL - Varejo"),[3]BENEFICIOS!$A:$E,5,0))),"Criar",IF(BT12="","",VLOOKUP(($BC12&amp;BT12&amp;"Template de desconto FLAT bundle - Velox XDSL - Varejo"),[3]BENEFICIOS!$A:$E,5,0)))</f>
        <v>Criar</v>
      </c>
      <c r="BV12" s="119" t="s">
        <v>173</v>
      </c>
      <c r="BW12" s="120">
        <v>84.9</v>
      </c>
      <c r="BX12" s="116">
        <f>IF(BW12=0,"",IF(BW12=VLOOKUP("PCS-30577g",[3]ARBOR!$A:$C,3,0),0.0001,IF(BW12&gt;VLOOKUP("PCS-30577g",[3]ARBOR!$A:$C,3,0),"Maior que CAP!",IF((DOLLAR(BW12+(VLOOKUP("PCS-30577g",[3]ARBOR!$A:$C,3,0)*-TRUNC(BW12/VLOOKUP("PCS-30577g",[3]ARBOR!$A:$C,3,0)-1,4)),6))&lt;&gt;(DOLLAR(VLOOKUP("PCS-30577g",[3]ARBOR!$A:$C,3,0),6)),-TRUNC(BW12/VLOOKUP("PCS-30577g",[3]ARBOR!$A:$C,3,0)-1,4)+0.0001,-TRUNC(BW12/VLOOKUP("PCS-30577g",[3]ARBOR!$A:$C,3,0)-1,4)))))</f>
        <v>0.1242</v>
      </c>
      <c r="BY12" s="117" t="str">
        <f>IF(ISERROR(IF(BX12="","",VLOOKUP(($BC12&amp;BX12&amp;"Template de desconto FLAT bundle - Velox XDSL - Varejo"),[3]BENEFICIOS!$A:$E,5,0))),"Criar",IF(BX12="","",VLOOKUP(($BC12&amp;BX12&amp;"Template de desconto FLAT bundle - Velox XDSL - Varejo"),[3]BENEFICIOS!$A:$E,5,0)))</f>
        <v>Criar</v>
      </c>
      <c r="BZ12" s="119" t="s">
        <v>173</v>
      </c>
      <c r="CA12" s="120">
        <v>84.9</v>
      </c>
      <c r="CB12" s="116">
        <f>IF(CA12=0,"",IF(CA12=VLOOKUP("PCS-30604g",[3]ARBOR!$A:$C,3,0),0.0001,IF(CA12&gt;VLOOKUP("PCS-30604g",[3]ARBOR!$A:$C,3,0),"Maior que CAP!",IF((DOLLAR(CA12+(VLOOKUP("PCS-30604g",[3]ARBOR!$A:$C,3,0)*-TRUNC(CA12/VLOOKUP("PCS-30604g",[3]ARBOR!$A:$C,3,0)-1,4)),6))&lt;&gt;(DOLLAR(VLOOKUP("PCS-30604g",[3]ARBOR!$A:$C,3,0),6)),-TRUNC(CA12/VLOOKUP("PCS-30604g",[3]ARBOR!$A:$C,3,0)-1,4)+0.0001,-TRUNC(CA12/VLOOKUP("PCS-30604g",[3]ARBOR!$A:$C,3,0)-1,4)))))</f>
        <v>0.1242</v>
      </c>
      <c r="CC12" s="117" t="str">
        <f>IF(ISERROR(IF(CB12="","",VLOOKUP(($BC12&amp;CB12&amp;"Template de desconto FLAT bundle - Velox XDSL - Varejo"),[3]BENEFICIOS!$A:$E,5,0))),"Criar",IF(CB12="","",VLOOKUP(($BC12&amp;CB12&amp;"Template de desconto FLAT bundle - Velox XDSL - Varejo"),[3]BENEFICIOS!$A:$E,5,0)))</f>
        <v>Criar</v>
      </c>
      <c r="CD12" s="119" t="s">
        <v>173</v>
      </c>
      <c r="CE12" s="120">
        <v>84.9</v>
      </c>
      <c r="CF12" s="116">
        <f>IF(CE12=0,"",IF(CE12=VLOOKUP("PCS-30631g",[3]ARBOR!$A:$C,3,0),0.0001,IF(CE12&gt;VLOOKUP("PCS-30631g",[3]ARBOR!$A:$C,3,0),"Maior que CAP!",IF((DOLLAR(CE12+(VLOOKUP("PCS-30631g",[3]ARBOR!$A:$C,3,0)*-TRUNC(CE12/VLOOKUP("PCS-30631g",[3]ARBOR!$A:$C,3,0)-1,4)),6))&lt;&gt;(DOLLAR(VLOOKUP("PCS-30631g",[3]ARBOR!$A:$C,3,0),6)),-TRUNC(CE12/VLOOKUP("PCS-30631g",[3]ARBOR!$A:$C,3,0)-1,4)+0.0001,-TRUNC(CE12/VLOOKUP("PCS-30631g",[3]ARBOR!$A:$C,3,0)-1,4)))))</f>
        <v>0.13599999999999998</v>
      </c>
      <c r="CG12" s="117" t="str">
        <f>IF(ISERROR(IF(CF12="","",VLOOKUP(($BC12&amp;CF12&amp;"Template de desconto FLAT bundle - Velox XDSL - Varejo"),[3]BENEFICIOS!$A:$E,5,0))),"Criar",IF(CF12="","",VLOOKUP(($BC12&amp;CF12&amp;"Template de desconto FLAT bundle - Velox XDSL - Varejo"),[3]BENEFICIOS!$A:$E,5,0)))</f>
        <v>Criar</v>
      </c>
      <c r="CH12" s="119"/>
      <c r="CI12" s="120"/>
      <c r="CJ12" s="116" t="str">
        <f>IF(CI12=0,"",IF(CI12=VLOOKUP("PCS-30658g",[3]ARBOR!$A:$C,3,0),0.0001,IF(CI12&gt;VLOOKUP("PCS-30658g",[3]ARBOR!$A:$C,3,0),"Maior que CAP!",IF((DOLLAR(CI12+(VLOOKUP("PCS-30658g",[3]ARBOR!$A:$C,3,0)*-TRUNC(CI12/VLOOKUP("PCS-30658g",[3]ARBOR!$A:$C,3,0)-1,4)),6))&lt;&gt;(DOLLAR(VLOOKUP("PCS-30658g",[3]ARBOR!$A:$C,3,0),6)),-TRUNC(CI12/VLOOKUP("PCS-30658g",[3]ARBOR!$A:$C,3,0)-1,4)+0.0001,-TRUNC(CI12/VLOOKUP("PCS-30658g",[3]ARBOR!$A:$C,3,0)-1,4)))))</f>
        <v/>
      </c>
      <c r="CK12" s="117" t="str">
        <f>IF(ISERROR(IF(CJ12="","",VLOOKUP(($BC12&amp;CJ12&amp;"Template de desconto FLAT bundle - Velox XDSL - Varejo"),[3]BENEFICIOS!$A:$E,5,0))),"Criar",IF(CJ12="","",VLOOKUP(($BC12&amp;CJ12&amp;"Template de desconto FLAT bundle - Velox XDSL - Varejo"),[3]BENEFICIOS!$A:$E,5,0)))</f>
        <v/>
      </c>
      <c r="CL12" s="119"/>
      <c r="CM12" s="120"/>
      <c r="CN12" s="116" t="str">
        <f>IF(CM12=0,"",IF(CM12=VLOOKUP("PCS-30685g",[3]ARBOR!$A:$C,3,0),0.0001,IF(CM12&gt;VLOOKUP("PCS-30685g",[3]ARBOR!$A:$C,3,0),"Maior que CAP!",IF((DOLLAR(CM12+(VLOOKUP("PCS-30685g",[3]ARBOR!$A:$C,3,0)*-TRUNC(CM12/VLOOKUP("PCS-30685g",[3]ARBOR!$A:$C,3,0)-1,4)),6))&lt;&gt;(DOLLAR(VLOOKUP("PCS-30685g",[3]ARBOR!$A:$C,3,0),6)),-TRUNC(CM12/VLOOKUP("PCS-30685g",[3]ARBOR!$A:$C,3,0)-1,4)+0.0001,-TRUNC(CM12/VLOOKUP("PCS-30685g",[3]ARBOR!$A:$C,3,0)-1,4)))))</f>
        <v/>
      </c>
      <c r="CO12" s="117" t="str">
        <f>IF(ISERROR(IF(CN12="","",VLOOKUP(($BC12&amp;CN12&amp;"Template de desconto FLAT bundle - Velox XDSL - Varejo"),[3]BENEFICIOS!$A:$E,5,0))),"Criar",IF(CN12="","",VLOOKUP(($BC12&amp;CN12&amp;"Template de desconto FLAT bundle - Velox XDSL - Varejo"),[3]BENEFICIOS!$A:$E,5,0)))</f>
        <v/>
      </c>
      <c r="CP12" s="119"/>
      <c r="CQ12" s="120"/>
      <c r="CR12" s="116" t="str">
        <f>IF(CQ12=0,"",IF(CQ12=VLOOKUP("PCS-30712g",[3]ARBOR!$A:$C,3,0),0.0001,IF(CQ12&gt;VLOOKUP("PCS-30712g",[3]ARBOR!$A:$C,3,0),"Maior que CAP!",IF((DOLLAR(CQ12+(VLOOKUP("PCS-30712g",[3]ARBOR!$A:$C,3,0)*-TRUNC(CQ12/VLOOKUP("PCS-30712g",[3]ARBOR!$A:$C,3,0)-1,4)),6))&lt;&gt;(DOLLAR(VLOOKUP("PCS-30712g",[3]ARBOR!$A:$C,3,0),6)),-TRUNC(CQ12/VLOOKUP("PCS-30712g",[3]ARBOR!$A:$C,3,0)-1,4)+0.0001,-TRUNC(CQ12/VLOOKUP("PCS-30712g",[3]ARBOR!$A:$C,3,0)-1,4)))))</f>
        <v/>
      </c>
      <c r="CS12" s="117" t="str">
        <f>IF(ISERROR(IF(CR12="","",VLOOKUP(($BC12&amp;CR12&amp;"Template de desconto FLAT bundle - Velox XDSL - Varejo"),[3]BENEFICIOS!$A:$E,5,0))),"Criar",IF(CR12="","",VLOOKUP(($BC12&amp;CR12&amp;"Template de desconto FLAT bundle - Velox XDSL - Varejo"),[3]BENEFICIOS!$A:$E,5,0)))</f>
        <v/>
      </c>
      <c r="CT12" s="119"/>
      <c r="CU12" s="120"/>
      <c r="CV12" s="116" t="str">
        <f>IF(CU12=0,"",IF(CU12=VLOOKUP("PCS-30739g",[3]ARBOR!$A:$C,3,0),0.0001,IF(CU12&gt;VLOOKUP("PCS-30739g",[3]ARBOR!$A:$C,3,0),"Maior que CAP!",IF((DOLLAR(CU12+(VLOOKUP("PCS-30739g",[3]ARBOR!$A:$C,3,0)*-TRUNC(CU12/VLOOKUP("PCS-30739g",[3]ARBOR!$A:$C,3,0)-1,4)),6))&lt;&gt;(DOLLAR(VLOOKUP("PCS-30739g",[3]ARBOR!$A:$C,3,0),6)),-TRUNC(CU12/VLOOKUP("PCS-30739g",[3]ARBOR!$A:$C,3,0)-1,4)+0.0001,-TRUNC(CU12/VLOOKUP("PCS-30739g",[3]ARBOR!$A:$C,3,0)-1,4)))))</f>
        <v/>
      </c>
      <c r="CW12" s="117" t="str">
        <f>IF(ISERROR(IF(CV12="","",VLOOKUP(($BC12&amp;CV12&amp;"Template de desconto FLAT bundle - Velox XDSL - Varejo"),[3]BENEFICIOS!$A:$E,5,0))),"Criar",IF(CV12="","",VLOOKUP(($BC12&amp;CV12&amp;"Template de desconto FLAT bundle - Velox XDSL - Varejo"),[3]BENEFICIOS!$A:$E,5,0)))</f>
        <v/>
      </c>
      <c r="CX12" s="121"/>
      <c r="CY12" s="122"/>
      <c r="CZ12" s="116" t="str">
        <f>IF(CX12=0,"",IF(CX12=VLOOKUP("PCS-30739g",[3]ARBOR!$A:$C,3,0),0.0001,IF(CX12&gt;VLOOKUP("PCS-30739g",[3]ARBOR!$A:$C,3,0),"Maior que CAP!",IF((DOLLAR(CX12+(VLOOKUP("PCS-30739g",[3]ARBOR!$A:$C,3,0)*-TRUNC(CX12/VLOOKUP("PCS-30739g",[3]ARBOR!$A:$C,3,0)-1,4)),6))&lt;&gt;(DOLLAR(VLOOKUP("PCS-30739g",[3]ARBOR!$A:$C,3,0),6)),(-TRUNC(CX12/VLOOKUP("PCS-30739g",[3]ARBOR!$A:$C,3,0)-1,4)+0.0001)-CV12,-TRUNC(CX12/VLOOKUP("PCS-30739g",[3]ARBOR!$A:$C,3,0)-1,4)-CV12))))</f>
        <v/>
      </c>
      <c r="DA12" s="117" t="str">
        <f>IF(ISERROR(IF(CZ12="","",VLOOKUP(($BC12&amp;CZ12&amp;"Template de desconto percentual Bundle - Velox XDSL - Varejo"),[3]BENEFICIOS!$A:$E,5,0))),"Criar",IF(CZ12="","",VLOOKUP(($BC12&amp;CZ12&amp;"Template de desconto percentual Bundle - Velox XDSL - Varejo"),[3]BENEFICIOS!$A:$E,5,0)))</f>
        <v/>
      </c>
      <c r="DB12" s="119"/>
      <c r="DC12" s="120"/>
      <c r="DD12" s="116" t="str">
        <f>IF(DC12=0,"",IF(DC12=VLOOKUP("PCS-30766g",[3]ARBOR!$A:$C,3,0),0.0001,IF(DC12&gt;VLOOKUP("PCS-30766g",[3]ARBOR!$A:$C,3,0),"Maior que CAP!",IF((DOLLAR(DC12+(VLOOKUP("PCS-30766g",[3]ARBOR!$A:$C,3,0)*-TRUNC(DC12/VLOOKUP("PCS-30766g",[3]ARBOR!$A:$C,3,0)-1,4)),6))&lt;&gt;(DOLLAR(VLOOKUP("PCS-30766g",[3]ARBOR!$A:$C,3,0),6)),-TRUNC(DC12/VLOOKUP("PCS-30766g",[3]ARBOR!$A:$C,3,0)-1,4)+0.0001,-TRUNC(DC12/VLOOKUP("PCS-30766g",[3]ARBOR!$A:$C,3,0)-1,4)))))</f>
        <v/>
      </c>
      <c r="DE12" s="117" t="str">
        <f>IF(ISERROR(IF(DD12="","",VLOOKUP(($BC12&amp;DD12&amp;"Template de desconto FLAT bundle - Velox XDSL - Varejo"),[3]BENEFICIOS!$A:$E,5,0))),"Criar",IF(DD12="","",VLOOKUP(($BC12&amp;DD12&amp;"Template de desconto FLAT bundle - Velox XDSL - Varejo"),[3]BENEFICIOS!$A:$E,5,0)))</f>
        <v/>
      </c>
      <c r="DF12" s="121"/>
      <c r="DG12" s="122"/>
      <c r="DH12" s="116" t="str">
        <f>IF(DF12=0,"",IF(DF12=VLOOKUP("PCS-30766g",[3]ARBOR!$A:$C,3,0),0.0001,IF(DF12&gt;VLOOKUP("PCS-30766g",[3]ARBOR!$A:$C,3,0),"Maior que CAP!",IF((DOLLAR(DF12+(VLOOKUP("PCS-30766g",[3]ARBOR!$A:$C,3,0)*-TRUNC(DF12/VLOOKUP("PCS-30766g",[3]ARBOR!$A:$C,3,0)-1,4)),6))&lt;&gt;(DOLLAR(VLOOKUP("PCS-30766g",[3]ARBOR!$A:$C,3,0),6)),(-TRUNC(DF12/VLOOKUP("PCS-30766g",[3]ARBOR!$A:$C,3,0)-1,4)+0.0001)-DD12,-TRUNC(DF12/VLOOKUP("PCS-30766g",[3]ARBOR!$A:$C,3,0)-1,4)-DD12))))</f>
        <v/>
      </c>
      <c r="DI12" s="117" t="str">
        <f>IF(ISERROR(IF(DH12="","",VLOOKUP(($BC12&amp;DH12&amp;"Template de desconto percentual Bundle - Velox XDSL - Varejo"),[3]BENEFICIOS!$A:$E,5,0))),"Criar",IF(DH12="","",VLOOKUP(($BC12&amp;DH12&amp;"Template de desconto percentual Bundle - Velox XDSL - Varejo"),[3]BENEFICIOS!$A:$E,5,0)))</f>
        <v/>
      </c>
      <c r="DJ12" s="123"/>
      <c r="DK12" s="121"/>
      <c r="DL12" s="116" t="str">
        <f>IF(DK12=0,"",IF(DK12=VLOOKUP("PCS-30793g",[3]ARBOR!$A:$C,3,0),0.0001,IF(DK12&gt;VLOOKUP("PCS-30793g",[3]ARBOR!$A:$C,3,0),"Maior que CAP!",IF((DOLLAR(DK12+(VLOOKUP("PCS-30793g",[3]ARBOR!$A:$C,3,0)*-TRUNC(DK12/VLOOKUP("PCS-30793g",[3]ARBOR!$A:$C,3,0)-1,4)),6))&lt;&gt;(DOLLAR(VLOOKUP("PCS-30793g",[3]ARBOR!$A:$C,3,0),6)),-TRUNC(DK12/VLOOKUP("PCS-30793g",[3]ARBOR!$A:$C,3,0)-1,4)+0.0001,-TRUNC(DK12/VLOOKUP("PCS-30793g",[3]ARBOR!$A:$C,3,0)-1,4)))))</f>
        <v/>
      </c>
      <c r="DM12" s="117" t="str">
        <f>IF(ISERROR(IF(DL12="","",VLOOKUP(($BC12&amp;DL12&amp;"Template de desconto FLAT bundle - Velox XDSL - Varejo"),[3]BENEFICIOS!$A:$E,5,0))),"Criar",IF(DL12="","",VLOOKUP(($BC12&amp;DL12&amp;"Template de desconto FLAT bundle - Velox XDSL - Varejo"),[3]BENEFICIOS!$A:$E,5,0)))</f>
        <v/>
      </c>
      <c r="DN12" s="121"/>
      <c r="DO12" s="122"/>
      <c r="DP12" s="116" t="str">
        <f>IF(DN12=0,"",IF(DN12=VLOOKUP("PCS-30793g",[3]ARBOR!$A:$C,3,0),0.0001,IF(DN12&gt;VLOOKUP("PCS-30793g",[3]ARBOR!$A:$C,3,0),"Maior que CAP!",IF((DOLLAR(DN12+(VLOOKUP("PCS-30793g",[3]ARBOR!$A:$C,3,0)*-TRUNC(DN12/VLOOKUP("PCS-30793g",[3]ARBOR!$A:$C,3,0)-1,4)),6))&lt;&gt;(DOLLAR(VLOOKUP("PCS-30793g",[3]ARBOR!$A:$C,3,0),6)),(-TRUNC(DN12/VLOOKUP("PCS-30793g",[3]ARBOR!$A:$C,3,0)-1,4)+0.0001)-DL12,-TRUNC(DN12/VLOOKUP("PCS-30793g",[3]ARBOR!$A:$C,3,0)-1,4)-DL12))))</f>
        <v/>
      </c>
      <c r="DQ12" s="117" t="str">
        <f>IF(ISERROR(IF(DP12="","",VLOOKUP(($BC12&amp;DP12&amp;"Template de desconto percentual Bundle - Velox XDSL - Varejo"),[3]BENEFICIOS!$A:$E,5,0))),"Criar",IF(DP12="","",VLOOKUP(($BC12&amp;DP12&amp;"Template de desconto percentual Bundle - Velox XDSL - Varejo"),[3]BENEFICIOS!$A:$E,5,0)))</f>
        <v/>
      </c>
      <c r="DR12" s="119"/>
      <c r="DS12" s="120"/>
      <c r="DT12" s="116" t="str">
        <f>IF(DS12=0,"",IF(DS12=VLOOKUP("PCS-30820g",[3]ARBOR!$A:$C,3,0),0.0001,IF(DS12&gt;VLOOKUP("PCS-30820g",[3]ARBOR!$A:$C,3,0),"Maior que CAP!",IF((DOLLAR(DS12+(VLOOKUP("PCS-30820g",[3]ARBOR!$A:$C,3,0)*-TRUNC(DS12/VLOOKUP("PCS-30820g",[3]ARBOR!$A:$C,3,0)-1,4)),6))&lt;&gt;(DOLLAR(VLOOKUP("PCS-30820g",[3]ARBOR!$A:$C,3,0),6)),-TRUNC(DS12/VLOOKUP("PCS-30820g",[3]ARBOR!$A:$C,3,0)-1,4)+0.0001,-TRUNC(DS12/VLOOKUP("PCS-30820g",[3]ARBOR!$A:$C,3,0)-1,4)))))</f>
        <v/>
      </c>
      <c r="DU12" s="117" t="str">
        <f>IF(ISERROR(IF(DT12="","",VLOOKUP(($BC12&amp;DT12&amp;"Template de desconto FLAT bundle - Velox XDSL - Varejo"),[3]BENEFICIOS!$A:$E,5,0))),"Criar",IF(DT12="","",VLOOKUP(($BC12&amp;DT12&amp;"Template de desconto FLAT bundle - Velox XDSL - Varejo"),[3]BENEFICIOS!$A:$E,5,0)))</f>
        <v/>
      </c>
      <c r="DV12" s="121"/>
      <c r="DW12" s="122"/>
      <c r="DX12" s="116" t="str">
        <f>IF(DV12=0,"",IF(DV12=VLOOKUP("PCS-30820g",[3]ARBOR!$A:$C,3,0),0.0001,IF(DV12&gt;VLOOKUP("PCS-30820g",[3]ARBOR!$A:$C,3,0),"Maior que CAP!",IF((DOLLAR(DV12+(VLOOKUP("PCS-30820g",[3]ARBOR!$A:$C,3,0)*-TRUNC(DV12/VLOOKUP("PCS-30820g",[3]ARBOR!$A:$C,3,0)-1,4)),6))&lt;&gt;(DOLLAR(VLOOKUP("PCS-30820g",[3]ARBOR!$A:$C,3,0),6)),(-TRUNC(DV12/VLOOKUP("PCS-30820g",[3]ARBOR!$A:$C,3,0)-1,4)+0.0001)-DT12,-TRUNC(DV12/VLOOKUP("PCS-30820g",[3]ARBOR!$A:$C,3,0)-1,4)-DT12))))</f>
        <v/>
      </c>
      <c r="DY12" s="117" t="str">
        <f>IF(ISERROR(IF(DX12="","",VLOOKUP(($BC12&amp;DX12&amp;"Template de desconto percentual Bundle - Velox XDSL - Varejo"),[3]BENEFICIOS!$A:$E,5,0))),"Criar",IF(DX12="","",VLOOKUP(($BC12&amp;DX12&amp;"Template de desconto percentual Bundle - Velox XDSL - Varejo"),[3]BENEFICIOS!$A:$E,5,0)))</f>
        <v/>
      </c>
      <c r="DZ12" s="124"/>
      <c r="EA12" s="116" t="str">
        <f>IF(DZ12=0,"",IF(DZ12=VLOOKUP("PCS-21448p2",[3]ARBOR!$A:$C,3,0),0.0001,IF(DZ12&gt;VLOOKUP("PCS-21448p2",[3]ARBOR!$A:$C,3,0),"Maior que CAP!",IF((DOLLAR(DZ12+(VLOOKUP("PCS-21448p2",[3]ARBOR!$A:$C,3,0)*-TRUNC(DZ12/VLOOKUP("PCS-21448p2",[3]ARBOR!$A:$C,3,0)-1,4)),6))&lt;&gt;(DOLLAR(VLOOKUP("PCS-21448p2",[3]ARBOR!$A:$C,3,0),6)),-TRUNC(DZ12/VLOOKUP("PCS-21448p2",[3]ARBOR!$A:$C,3,0)-1,4)+0.0001,-TRUNC(DZ12/VLOOKUP("PCS-21448p2",[3]ARBOR!$A:$C,3,0)-1,4)))))</f>
        <v/>
      </c>
      <c r="EB12" s="117" t="str">
        <f>IF(ISERROR(IF(EA12="","",VLOOKUP(("Oi Conta Total Plug 10GB Downgrade"&amp;EA12&amp;"Template de desconto percentual BL Móvel - Internet Total - Varejo"),[3]BENEFICIOS!$A:$E,5,0))),"Criar",IF(EA12="","",VLOOKUP(("Oi Conta Total Plug 10GB Downgrade"&amp;EA12&amp;"Template de desconto percentual BL Móvel - Internet Total - Varejo"),[3]BENEFICIOS!$A:$E,5,0)))</f>
        <v/>
      </c>
      <c r="EC12" s="125">
        <v>16.5</v>
      </c>
      <c r="ED12" s="126">
        <f>IF(EC12=0,"",IF(EC12=VLOOKUP("SVA",[3]ARBOR!$A:$C,3,0),0.0001,IF(EC12&gt;VLOOKUP("SVA",[3]ARBOR!$A:$C,3,0),"Maior que CAP!",IF((DOLLAR(EC12+(VLOOKUP("SVA",[3]ARBOR!$A:$C,3,0)*-TRUNC(EC12/VLOOKUP("SVA",[3]ARBOR!$A:$C,3,0)-1,4)),6))&lt;&gt;(DOLLAR(VLOOKUP("SVA",[3]ARBOR!$A:$C,3,0),6)),-TRUNC(EC12/VLOOKUP("SVA",[3]ARBOR!$A:$C,3,0)-1,4)+0.0001,-TRUNC(EC12/VLOOKUP("SVA",[3]ARBOR!$A:$C,3,0)-1,4)))))</f>
        <v>0.2301</v>
      </c>
      <c r="EE12" s="127" t="s">
        <v>215</v>
      </c>
      <c r="EF12" s="128"/>
      <c r="EG12" s="129"/>
      <c r="EH12" s="130" t="str">
        <f t="shared" si="1"/>
        <v/>
      </c>
      <c r="EI12" s="127" t="str">
        <f>IF(EH12="S/Desc","S/Desc",IF(ISERROR(IF(EH12="","",VLOOKUP(($BC12&amp;EH12&amp;"Template Desc. % sobre Serviço SVA B2C"),[3]BENEFICIOS!$A:$G,5,0))),"Criar",IF(EH12="","",VLOOKUP(($BC12&amp;EH12&amp;"Template Desc. % sobre Serviço SVA B2C"),[3]BENEFICIOS!$A:$G,5,0))))</f>
        <v/>
      </c>
      <c r="EJ12" s="131" t="s">
        <v>209</v>
      </c>
      <c r="EK12" s="132" t="s">
        <v>256</v>
      </c>
      <c r="EL12" s="133" t="s">
        <v>224</v>
      </c>
      <c r="EM12" s="134" t="s">
        <v>225</v>
      </c>
      <c r="EN12" s="135"/>
      <c r="EO12" s="133"/>
      <c r="EP12" s="134"/>
      <c r="EQ12" s="136" t="s">
        <v>219</v>
      </c>
      <c r="ER12" s="137">
        <f t="shared" si="2"/>
        <v>65.010000000000005</v>
      </c>
      <c r="ES12" s="138" t="s">
        <v>220</v>
      </c>
      <c r="ET12" s="147" t="s">
        <v>257</v>
      </c>
      <c r="EU12" s="147" t="s">
        <v>227</v>
      </c>
      <c r="EV12" s="147"/>
      <c r="EW12" s="147"/>
      <c r="EX12" s="147"/>
      <c r="EY12" s="147"/>
      <c r="EZ12" s="147"/>
      <c r="FA12" s="147"/>
      <c r="FB12" s="148"/>
    </row>
    <row r="13" spans="1:158" x14ac:dyDescent="0.25">
      <c r="A13" s="90" t="s">
        <v>198</v>
      </c>
      <c r="B13" s="91" t="s">
        <v>199</v>
      </c>
      <c r="C13" s="91" t="s">
        <v>200</v>
      </c>
      <c r="D13" s="92" t="s">
        <v>201</v>
      </c>
      <c r="E13" s="93" t="s">
        <v>202</v>
      </c>
      <c r="F13" s="94" t="s">
        <v>202</v>
      </c>
      <c r="G13" s="94"/>
      <c r="H13" s="94"/>
      <c r="I13" s="94"/>
      <c r="J13" s="94" t="s">
        <v>202</v>
      </c>
      <c r="K13" s="94" t="s">
        <v>202</v>
      </c>
      <c r="L13" s="94" t="s">
        <v>202</v>
      </c>
      <c r="M13" s="94" t="s">
        <v>202</v>
      </c>
      <c r="N13" s="94"/>
      <c r="O13" s="94"/>
      <c r="P13" s="94"/>
      <c r="Q13" s="94"/>
      <c r="R13" s="94"/>
      <c r="S13" s="94" t="s">
        <v>202</v>
      </c>
      <c r="T13" s="95" t="s">
        <v>202</v>
      </c>
      <c r="U13" s="94" t="s">
        <v>202</v>
      </c>
      <c r="V13" s="95"/>
      <c r="W13" s="94"/>
      <c r="X13" s="94" t="s">
        <v>202</v>
      </c>
      <c r="Y13" s="94" t="s">
        <v>202</v>
      </c>
      <c r="Z13" s="94"/>
      <c r="AA13" s="95"/>
      <c r="AB13" s="94"/>
      <c r="AC13" s="141"/>
      <c r="AD13" s="94"/>
      <c r="AE13" s="94"/>
      <c r="AF13" s="94"/>
      <c r="AG13" s="94"/>
      <c r="AH13" s="94"/>
      <c r="AI13" s="94"/>
      <c r="AJ13" s="94"/>
      <c r="AK13" s="94"/>
      <c r="AL13" s="97"/>
      <c r="AM13" s="98" t="s">
        <v>258</v>
      </c>
      <c r="AN13" s="99" t="s">
        <v>204</v>
      </c>
      <c r="AO13" s="99" t="s">
        <v>252</v>
      </c>
      <c r="AP13" s="100">
        <v>42912</v>
      </c>
      <c r="AQ13" s="101">
        <v>43004</v>
      </c>
      <c r="AR13" s="102" t="s">
        <v>206</v>
      </c>
      <c r="AS13" s="103" t="s">
        <v>206</v>
      </c>
      <c r="AT13" s="104"/>
      <c r="AU13" s="104" t="s">
        <v>207</v>
      </c>
      <c r="AV13" s="104">
        <v>20</v>
      </c>
      <c r="AW13" s="104">
        <v>10000</v>
      </c>
      <c r="AX13" s="105" t="s">
        <v>208</v>
      </c>
      <c r="AY13" s="106" t="s">
        <v>209</v>
      </c>
      <c r="AZ13" s="107" t="s">
        <v>209</v>
      </c>
      <c r="BA13" s="108" t="s">
        <v>209</v>
      </c>
      <c r="BB13" s="98" t="s">
        <v>258</v>
      </c>
      <c r="BC13" s="109" t="s">
        <v>210</v>
      </c>
      <c r="BD13" s="110" t="str">
        <f t="shared" si="0"/>
        <v>PCS-2PFBL1</v>
      </c>
      <c r="BE13" s="111" t="s">
        <v>201</v>
      </c>
      <c r="BF13" s="112" t="s">
        <v>211</v>
      </c>
      <c r="BG13" s="143">
        <v>12</v>
      </c>
      <c r="BH13" s="149">
        <v>144</v>
      </c>
      <c r="BI13" s="115">
        <v>60.01</v>
      </c>
      <c r="BJ13" s="116">
        <f>IF(BI13=0,"",IF(BI13=VLOOKUP("FIXO",[3]ARBOR!$A:$C,3,0),0.0001,IF(BI13&gt;VLOOKUP("FIXO",[3]ARBOR!$A:$C,3,0),"Maior que CAP!",IF((DOLLAR(BI13+(VLOOKUP("FIXO",[3]ARBOR!$A:$C,3,0)*-TRUNC(BI13/VLOOKUP("FIXO",[3]ARBOR!$A:$C,3,0)-1,4)),6))&lt;&gt;(DOLLAR(VLOOKUP("FIXO",[3]ARBOR!$A:$C,3,0),6)),-TRUNC(BI13/VLOOKUP("FIXO",[3]ARBOR!$A:$C,3,0)-1,4)+0.0001,-TRUNC(BI13/VLOOKUP("FIXO",[3]ARBOR!$A:$C,3,0)-1,4)))))</f>
        <v>0.20879999999999999</v>
      </c>
      <c r="BK13" s="117" t="str">
        <f>IF(ISERROR(IF(BJ13="","",VLOOKUP(($BC13&amp;BJ13&amp;"Template de desconto FLAT bundle - Fixo - Varejo - Ganho Tributário Cross"),[3]BENEFICIOS!$A:$E,5,0))),"Criar",IF(BJ13="","",VLOOKUP(($BC13&amp;BJ13&amp;"Template de desconto FLAT bundle - Fixo - Varejo - Ganho Tributário Cross"),[3]BENEFICIOS!$A:$E,5,0)))</f>
        <v>Criar</v>
      </c>
      <c r="BL13" s="65" t="s">
        <v>212</v>
      </c>
      <c r="BM13" s="66" t="s">
        <v>213</v>
      </c>
      <c r="BN13" s="111" t="s">
        <v>201</v>
      </c>
      <c r="BO13" s="112" t="s">
        <v>214</v>
      </c>
      <c r="BP13" s="118">
        <v>12</v>
      </c>
      <c r="BQ13" s="118">
        <v>60</v>
      </c>
      <c r="BR13" s="142" t="s">
        <v>230</v>
      </c>
      <c r="BS13" s="120">
        <v>84.9</v>
      </c>
      <c r="BT13" s="116">
        <f>IF(BS13=0,"",IF(BS13=VLOOKUP("PCS-30874g",[3]ARBOR!$A:$C,3,0),0.0001,IF(BS13&gt;VLOOKUP("PCS-30874g",[3]ARBOR!$A:$C,3,0),"Maior que CAP!",IF((DOLLAR(BS13+(VLOOKUP("PCS-30874g",[3]ARBOR!$A:$C,3,0)*-TRUNC(BS13/VLOOKUP("PCS-30874g",[3]ARBOR!$A:$C,3,0)-1,4)),6))&lt;&gt;(DOLLAR(VLOOKUP("PCS-30874g",[3]ARBOR!$A:$C,3,0),6)),-TRUNC(BS13/VLOOKUP("PCS-30874g",[3]ARBOR!$A:$C,3,0)-1,4)+0.0001,-TRUNC(BS13/VLOOKUP("PCS-30874g",[3]ARBOR!$A:$C,3,0)-1,4)))))</f>
        <v>0.1242</v>
      </c>
      <c r="BU13" s="117" t="str">
        <f>IF(ISERROR(IF(BT13="","",VLOOKUP(($BC13&amp;BT13&amp;"Template de desconto FLAT bundle - Velox XDSL - Varejo"),[3]BENEFICIOS!$A:$E,5,0))),"Criar",IF(BT13="","",VLOOKUP(($BC13&amp;BT13&amp;"Template de desconto FLAT bundle - Velox XDSL - Varejo"),[3]BENEFICIOS!$A:$E,5,0)))</f>
        <v>Criar</v>
      </c>
      <c r="BV13" s="142" t="s">
        <v>230</v>
      </c>
      <c r="BW13" s="120">
        <v>84.9</v>
      </c>
      <c r="BX13" s="116">
        <f>IF(BW13=0,"",IF(BW13=VLOOKUP("PCS-30577g",[3]ARBOR!$A:$C,3,0),0.0001,IF(BW13&gt;VLOOKUP("PCS-30577g",[3]ARBOR!$A:$C,3,0),"Maior que CAP!",IF((DOLLAR(BW13+(VLOOKUP("PCS-30577g",[3]ARBOR!$A:$C,3,0)*-TRUNC(BW13/VLOOKUP("PCS-30577g",[3]ARBOR!$A:$C,3,0)-1,4)),6))&lt;&gt;(DOLLAR(VLOOKUP("PCS-30577g",[3]ARBOR!$A:$C,3,0),6)),-TRUNC(BW13/VLOOKUP("PCS-30577g",[3]ARBOR!$A:$C,3,0)-1,4)+0.0001,-TRUNC(BW13/VLOOKUP("PCS-30577g",[3]ARBOR!$A:$C,3,0)-1,4)))))</f>
        <v>0.1242</v>
      </c>
      <c r="BY13" s="117" t="str">
        <f>IF(ISERROR(IF(BX13="","",VLOOKUP(($BC13&amp;BX13&amp;"Template de desconto FLAT bundle - Velox XDSL - Varejo"),[3]BENEFICIOS!$A:$E,5,0))),"Criar",IF(BX13="","",VLOOKUP(($BC13&amp;BX13&amp;"Template de desconto FLAT bundle - Velox XDSL - Varejo"),[3]BENEFICIOS!$A:$E,5,0)))</f>
        <v>Criar</v>
      </c>
      <c r="BZ13" s="142" t="s">
        <v>230</v>
      </c>
      <c r="CA13" s="120">
        <v>84.9</v>
      </c>
      <c r="CB13" s="116">
        <f>IF(CA13=0,"",IF(CA13=VLOOKUP("PCS-30604g",[3]ARBOR!$A:$C,3,0),0.0001,IF(CA13&gt;VLOOKUP("PCS-30604g",[3]ARBOR!$A:$C,3,0),"Maior que CAP!",IF((DOLLAR(CA13+(VLOOKUP("PCS-30604g",[3]ARBOR!$A:$C,3,0)*-TRUNC(CA13/VLOOKUP("PCS-30604g",[3]ARBOR!$A:$C,3,0)-1,4)),6))&lt;&gt;(DOLLAR(VLOOKUP("PCS-30604g",[3]ARBOR!$A:$C,3,0),6)),-TRUNC(CA13/VLOOKUP("PCS-30604g",[3]ARBOR!$A:$C,3,0)-1,4)+0.0001,-TRUNC(CA13/VLOOKUP("PCS-30604g",[3]ARBOR!$A:$C,3,0)-1,4)))))</f>
        <v>0.1242</v>
      </c>
      <c r="CC13" s="117" t="str">
        <f>IF(ISERROR(IF(CB13="","",VLOOKUP(($BC13&amp;CB13&amp;"Template de desconto FLAT bundle - Velox XDSL - Varejo"),[3]BENEFICIOS!$A:$E,5,0))),"Criar",IF(CB13="","",VLOOKUP(($BC13&amp;CB13&amp;"Template de desconto FLAT bundle - Velox XDSL - Varejo"),[3]BENEFICIOS!$A:$E,5,0)))</f>
        <v>Criar</v>
      </c>
      <c r="CD13" s="142" t="s">
        <v>230</v>
      </c>
      <c r="CE13" s="120">
        <v>84.9</v>
      </c>
      <c r="CF13" s="116">
        <f>IF(CE13=0,"",IF(CE13=VLOOKUP("PCS-30631g",[3]ARBOR!$A:$C,3,0),0.0001,IF(CE13&gt;VLOOKUP("PCS-30631g",[3]ARBOR!$A:$C,3,0),"Maior que CAP!",IF((DOLLAR(CE13+(VLOOKUP("PCS-30631g",[3]ARBOR!$A:$C,3,0)*-TRUNC(CE13/VLOOKUP("PCS-30631g",[3]ARBOR!$A:$C,3,0)-1,4)),6))&lt;&gt;(DOLLAR(VLOOKUP("PCS-30631g",[3]ARBOR!$A:$C,3,0),6)),-TRUNC(CE13/VLOOKUP("PCS-30631g",[3]ARBOR!$A:$C,3,0)-1,4)+0.0001,-TRUNC(CE13/VLOOKUP("PCS-30631g",[3]ARBOR!$A:$C,3,0)-1,4)))))</f>
        <v>0.13599999999999998</v>
      </c>
      <c r="CG13" s="117" t="str">
        <f>IF(ISERROR(IF(CF13="","",VLOOKUP(($BC13&amp;CF13&amp;"Template de desconto FLAT bundle - Velox XDSL - Varejo"),[3]BENEFICIOS!$A:$E,5,0))),"Criar",IF(CF13="","",VLOOKUP(($BC13&amp;CF13&amp;"Template de desconto FLAT bundle - Velox XDSL - Varejo"),[3]BENEFICIOS!$A:$E,5,0)))</f>
        <v>Criar</v>
      </c>
      <c r="CH13" s="119" t="s">
        <v>173</v>
      </c>
      <c r="CI13" s="120">
        <v>89.9</v>
      </c>
      <c r="CJ13" s="116">
        <f>IF(CI13=0,"",IF(CI13=VLOOKUP("PCS-30658g",[3]ARBOR!$A:$C,3,0),0.0001,IF(CI13&gt;VLOOKUP("PCS-30658g",[3]ARBOR!$A:$C,3,0),"Maior que CAP!",IF((DOLLAR(CI13+(VLOOKUP("PCS-30658g",[3]ARBOR!$A:$C,3,0)*-TRUNC(CI13/VLOOKUP("PCS-30658g",[3]ARBOR!$A:$C,3,0)-1,4)),6))&lt;&gt;(DOLLAR(VLOOKUP("PCS-30658g",[3]ARBOR!$A:$C,3,0),6)),-TRUNC(CI13/VLOOKUP("PCS-30658g",[3]ARBOR!$A:$C,3,0)-1,4)+0.0001,-TRUNC(CI13/VLOOKUP("PCS-30658g",[3]ARBOR!$A:$C,3,0)-1,4)))))</f>
        <v>0.1996</v>
      </c>
      <c r="CK13" s="117" t="str">
        <f>IF(ISERROR(IF(CJ13="","",VLOOKUP(($BC13&amp;CJ13&amp;"Template de desconto FLAT bundle - Velox XDSL - Varejo"),[3]BENEFICIOS!$A:$E,5,0))),"Criar",IF(CJ13="","",VLOOKUP(($BC13&amp;CJ13&amp;"Template de desconto FLAT bundle - Velox XDSL - Varejo"),[3]BENEFICIOS!$A:$E,5,0)))</f>
        <v>Criar</v>
      </c>
      <c r="CL13" s="119" t="s">
        <v>173</v>
      </c>
      <c r="CM13" s="120">
        <v>89.9</v>
      </c>
      <c r="CN13" s="116">
        <f>IF(CM13=0,"",IF(CM13=VLOOKUP("PCS-30685g",[3]ARBOR!$A:$C,3,0),0.0001,IF(CM13&gt;VLOOKUP("PCS-30685g",[3]ARBOR!$A:$C,3,0),"Maior que CAP!",IF((DOLLAR(CM13+(VLOOKUP("PCS-30685g",[3]ARBOR!$A:$C,3,0)*-TRUNC(CM13/VLOOKUP("PCS-30685g",[3]ARBOR!$A:$C,3,0)-1,4)),6))&lt;&gt;(DOLLAR(VLOOKUP("PCS-30685g",[3]ARBOR!$A:$C,3,0),6)),-TRUNC(CM13/VLOOKUP("PCS-30685g",[3]ARBOR!$A:$C,3,0)-1,4)+0.0001,-TRUNC(CM13/VLOOKUP("PCS-30685g",[3]ARBOR!$A:$C,3,0)-1,4)))))</f>
        <v>0.28849999999999998</v>
      </c>
      <c r="CO13" s="117" t="str">
        <f>IF(ISERROR(IF(CN13="","",VLOOKUP(($BC13&amp;CN13&amp;"Template de desconto FLAT bundle - Velox XDSL - Varejo"),[3]BENEFICIOS!$A:$E,5,0))),"Criar",IF(CN13="","",VLOOKUP(($BC13&amp;CN13&amp;"Template de desconto FLAT bundle - Velox XDSL - Varejo"),[3]BENEFICIOS!$A:$E,5,0)))</f>
        <v>Criar</v>
      </c>
      <c r="CP13" s="119" t="s">
        <v>173</v>
      </c>
      <c r="CQ13" s="120">
        <v>89.9</v>
      </c>
      <c r="CR13" s="116">
        <f>IF(CQ13=0,"",IF(CQ13=VLOOKUP("PCS-30712g",[3]ARBOR!$A:$C,3,0),0.0001,IF(CQ13&gt;VLOOKUP("PCS-30712g",[3]ARBOR!$A:$C,3,0),"Maior que CAP!",IF((DOLLAR(CQ13+(VLOOKUP("PCS-30712g",[3]ARBOR!$A:$C,3,0)*-TRUNC(CQ13/VLOOKUP("PCS-30712g",[3]ARBOR!$A:$C,3,0)-1,4)),6))&lt;&gt;(DOLLAR(VLOOKUP("PCS-30712g",[3]ARBOR!$A:$C,3,0),6)),-TRUNC(CQ13/VLOOKUP("PCS-30712g",[3]ARBOR!$A:$C,3,0)-1,4)+0.0001,-TRUNC(CQ13/VLOOKUP("PCS-30712g",[3]ARBOR!$A:$C,3,0)-1,4)))))</f>
        <v>0.35959999999999998</v>
      </c>
      <c r="CS13" s="117" t="str">
        <f>IF(ISERROR(IF(CR13="","",VLOOKUP(($BC13&amp;CR13&amp;"Template de desconto FLAT bundle - Velox XDSL - Varejo"),[3]BENEFICIOS!$A:$E,5,0))),"Criar",IF(CR13="","",VLOOKUP(($BC13&amp;CR13&amp;"Template de desconto FLAT bundle - Velox XDSL - Varejo"),[3]BENEFICIOS!$A:$E,5,0)))</f>
        <v>Criar</v>
      </c>
      <c r="CT13" s="119" t="s">
        <v>173</v>
      </c>
      <c r="CU13" s="120">
        <v>99.9</v>
      </c>
      <c r="CV13" s="116">
        <f>IF(CU13=0,"",IF(CU13=VLOOKUP("PCS-30739g",[3]ARBOR!$A:$C,3,0),0.0001,IF(CU13&gt;VLOOKUP("PCS-30739g",[3]ARBOR!$A:$C,3,0),"Maior que CAP!",IF((DOLLAR(CU13+(VLOOKUP("PCS-30739g",[3]ARBOR!$A:$C,3,0)*-TRUNC(CU13/VLOOKUP("PCS-30739g",[3]ARBOR!$A:$C,3,0)-1,4)),6))&lt;&gt;(DOLLAR(VLOOKUP("PCS-30739g",[3]ARBOR!$A:$C,3,0),6)),-TRUNC(CU13/VLOOKUP("PCS-30739g",[3]ARBOR!$A:$C,3,0)-1,4)+0.0001,-TRUNC(CU13/VLOOKUP("PCS-30739g",[3]ARBOR!$A:$C,3,0)-1,4)))))</f>
        <v>0.52559999999999996</v>
      </c>
      <c r="CW13" s="117" t="str">
        <f>IF(ISERROR(IF(CV13="","",VLOOKUP(($BC13&amp;CV13&amp;"Template de desconto FLAT bundle - Velox XDSL - Varejo"),[3]BENEFICIOS!$A:$E,5,0))),"Criar",IF(CV13="","",VLOOKUP(($BC13&amp;CV13&amp;"Template de desconto FLAT bundle - Velox XDSL - Varejo"),[3]BENEFICIOS!$A:$E,5,0)))</f>
        <v>Criar</v>
      </c>
      <c r="CX13" s="121"/>
      <c r="CY13" s="150"/>
      <c r="CZ13" s="116" t="str">
        <f>IF(CX13=0,"",IF(CX13=VLOOKUP("PCS-30739g",[3]ARBOR!$A:$C,3,0),0.0001,IF(CX13&gt;VLOOKUP("PCS-30739g",[3]ARBOR!$A:$C,3,0),"Maior que CAP!",IF((DOLLAR(CX13+(VLOOKUP("PCS-30739g",[3]ARBOR!$A:$C,3,0)*-TRUNC(CX13/VLOOKUP("PCS-30739g",[3]ARBOR!$A:$C,3,0)-1,4)),6))&lt;&gt;(DOLLAR(VLOOKUP("PCS-30739g",[3]ARBOR!$A:$C,3,0),6)),(-TRUNC(CX13/VLOOKUP("PCS-30739g",[3]ARBOR!$A:$C,3,0)-1,4)+0.0001)-CV13,-TRUNC(CX13/VLOOKUP("PCS-30739g",[3]ARBOR!$A:$C,3,0)-1,4)-CV13))))</f>
        <v/>
      </c>
      <c r="DA13" s="117" t="str">
        <f>IF(ISERROR(IF(CZ13="","",VLOOKUP(($BC13&amp;CZ13&amp;"Template de desconto percentual Bundle - Velox XDSL - Varejo"),[3]BENEFICIOS!$A:$E,5,0))),"Criar",IF(CZ13="","",VLOOKUP(($BC13&amp;CZ13&amp;"Template de desconto percentual Bundle - Velox XDSL - Varejo"),[3]BENEFICIOS!$A:$E,5,0)))</f>
        <v/>
      </c>
      <c r="DB13" s="119" t="s">
        <v>173</v>
      </c>
      <c r="DC13" s="120">
        <v>99.9</v>
      </c>
      <c r="DD13" s="116">
        <f>IF(DC13=0,"",IF(DC13=VLOOKUP("PCS-30766g",[3]ARBOR!$A:$C,3,0),0.0001,IF(DC13&gt;VLOOKUP("PCS-30766g",[3]ARBOR!$A:$C,3,0),"Maior que CAP!",IF((DOLLAR(DC13+(VLOOKUP("PCS-30766g",[3]ARBOR!$A:$C,3,0)*-TRUNC(DC13/VLOOKUP("PCS-30766g",[3]ARBOR!$A:$C,3,0)-1,4)),6))&lt;&gt;(DOLLAR(VLOOKUP("PCS-30766g",[3]ARBOR!$A:$C,3,0),6)),-TRUNC(DC13/VLOOKUP("PCS-30766g",[3]ARBOR!$A:$C,3,0)-1,4)+0.0001,-TRUNC(DC13/VLOOKUP("PCS-30766g",[3]ARBOR!$A:$C,3,0)-1,4)))))</f>
        <v>0.64419999999999999</v>
      </c>
      <c r="DE13" s="117" t="str">
        <f>IF(ISERROR(IF(DD13="","",VLOOKUP(($BC13&amp;DD13&amp;"Template de desconto FLAT bundle - Velox XDSL - Varejo"),[3]BENEFICIOS!$A:$E,5,0))),"Criar",IF(DD13="","",VLOOKUP(($BC13&amp;DD13&amp;"Template de desconto FLAT bundle - Velox XDSL - Varejo"),[3]BENEFICIOS!$A:$E,5,0)))</f>
        <v>Criar</v>
      </c>
      <c r="DF13" s="121"/>
      <c r="DG13" s="150"/>
      <c r="DH13" s="116" t="str">
        <f>IF(DF13=0,"",IF(DF13=VLOOKUP("PCS-30766g",[3]ARBOR!$A:$C,3,0),0.0001,IF(DF13&gt;VLOOKUP("PCS-30766g",[3]ARBOR!$A:$C,3,0),"Maior que CAP!",IF((DOLLAR(DF13+(VLOOKUP("PCS-30766g",[3]ARBOR!$A:$C,3,0)*-TRUNC(DF13/VLOOKUP("PCS-30766g",[3]ARBOR!$A:$C,3,0)-1,4)),6))&lt;&gt;(DOLLAR(VLOOKUP("PCS-30766g",[3]ARBOR!$A:$C,3,0),6)),(-TRUNC(DF13/VLOOKUP("PCS-30766g",[3]ARBOR!$A:$C,3,0)-1,4)+0.0001)-DD13,-TRUNC(DF13/VLOOKUP("PCS-30766g",[3]ARBOR!$A:$C,3,0)-1,4)-DD13))))</f>
        <v/>
      </c>
      <c r="DI13" s="117" t="str">
        <f>IF(ISERROR(IF(DH13="","",VLOOKUP(($BC13&amp;DH13&amp;"Template de desconto percentual Bundle - Velox XDSL - Varejo"),[3]BENEFICIOS!$A:$E,5,0))),"Criar",IF(DH13="","",VLOOKUP(($BC13&amp;DH13&amp;"Template de desconto percentual Bundle - Velox XDSL - Varejo"),[3]BENEFICIOS!$A:$E,5,0)))</f>
        <v/>
      </c>
      <c r="DJ13" s="123" t="s">
        <v>230</v>
      </c>
      <c r="DK13" s="121">
        <v>109.9</v>
      </c>
      <c r="DL13" s="116">
        <f>IF(DK13=0,"",IF(DK13=VLOOKUP("PCS-30793g",[3]ARBOR!$A:$C,3,0),0.0001,IF(DK13&gt;VLOOKUP("PCS-30793g",[3]ARBOR!$A:$C,3,0),"Maior que CAP!",IF((DOLLAR(DK13+(VLOOKUP("PCS-30793g",[3]ARBOR!$A:$C,3,0)*-TRUNC(DK13/VLOOKUP("PCS-30793g",[3]ARBOR!$A:$C,3,0)-1,4)),6))&lt;&gt;(DOLLAR(VLOOKUP("PCS-30793g",[3]ARBOR!$A:$C,3,0),6)),-TRUNC(DK13/VLOOKUP("PCS-30793g",[3]ARBOR!$A:$C,3,0)-1,4)+0.0001,-TRUNC(DK13/VLOOKUP("PCS-30793g",[3]ARBOR!$A:$C,3,0)-1,4)))))</f>
        <v>0.60860000000000003</v>
      </c>
      <c r="DM13" s="117" t="str">
        <f>IF(ISERROR(IF(DL13="","",VLOOKUP(($BC13&amp;DL13&amp;"Template de desconto FLAT bundle - Velox XDSL - Varejo"),[3]BENEFICIOS!$A:$E,5,0))),"Criar",IF(DL13="","",VLOOKUP(($BC13&amp;DL13&amp;"Template de desconto FLAT bundle - Velox XDSL - Varejo"),[3]BENEFICIOS!$A:$E,5,0)))</f>
        <v>Criar</v>
      </c>
      <c r="DN13" s="121"/>
      <c r="DO13" s="150"/>
      <c r="DP13" s="116" t="str">
        <f>IF(DN13=0,"",IF(DN13=VLOOKUP("PCS-30793g",[3]ARBOR!$A:$C,3,0),0.0001,IF(DN13&gt;VLOOKUP("PCS-30793g",[3]ARBOR!$A:$C,3,0),"Maior que CAP!",IF((DOLLAR(DN13+(VLOOKUP("PCS-30793g",[3]ARBOR!$A:$C,3,0)*-TRUNC(DN13/VLOOKUP("PCS-30793g",[3]ARBOR!$A:$C,3,0)-1,4)),6))&lt;&gt;(DOLLAR(VLOOKUP("PCS-30793g",[3]ARBOR!$A:$C,3,0),6)),(-TRUNC(DN13/VLOOKUP("PCS-30793g",[3]ARBOR!$A:$C,3,0)-1,4)+0.0001)-DL13,-TRUNC(DN13/VLOOKUP("PCS-30793g",[3]ARBOR!$A:$C,3,0)-1,4)-DL13))))</f>
        <v/>
      </c>
      <c r="DQ13" s="117" t="str">
        <f>IF(ISERROR(IF(DP13="","",VLOOKUP(($BC13&amp;DP13&amp;"Template de desconto percentual Bundle - Velox XDSL - Varejo"),[3]BENEFICIOS!$A:$E,5,0))),"Criar",IF(DP13="","",VLOOKUP(($BC13&amp;DP13&amp;"Template de desconto percentual Bundle - Velox XDSL - Varejo"),[3]BENEFICIOS!$A:$E,5,0)))</f>
        <v/>
      </c>
      <c r="DR13" s="123" t="s">
        <v>173</v>
      </c>
      <c r="DS13" s="121">
        <v>109.9</v>
      </c>
      <c r="DT13" s="116">
        <f>IF(DS13=0,"",IF(DS13=VLOOKUP("PCS-30820g",[3]ARBOR!$A:$C,3,0),0.0001,IF(DS13&gt;VLOOKUP("PCS-30820g",[3]ARBOR!$A:$C,3,0),"Maior que CAP!",IF((DOLLAR(DS13+(VLOOKUP("PCS-30820g",[3]ARBOR!$A:$C,3,0)*-TRUNC(DS13/VLOOKUP("PCS-30820g",[3]ARBOR!$A:$C,3,0)-1,4)),6))&lt;&gt;(DOLLAR(VLOOKUP("PCS-30820g",[3]ARBOR!$A:$C,3,0),6)),-TRUNC(DS13/VLOOKUP("PCS-30820g",[3]ARBOR!$A:$C,3,0)-1,4)+0.0001,-TRUNC(DS13/VLOOKUP("PCS-30820g",[3]ARBOR!$A:$C,3,0)-1,4)))))</f>
        <v>0.60860000000000003</v>
      </c>
      <c r="DU13" s="117" t="str">
        <f>IF(ISERROR(IF(DT13="","",VLOOKUP(($BC13&amp;DT13&amp;"Template de desconto FLAT bundle - Velox XDSL - Varejo"),[3]BENEFICIOS!$A:$E,5,0))),"Criar",IF(DT13="","",VLOOKUP(($BC13&amp;DT13&amp;"Template de desconto FLAT bundle - Velox XDSL - Varejo"),[3]BENEFICIOS!$A:$E,5,0)))</f>
        <v>Criar</v>
      </c>
      <c r="DV13" s="121"/>
      <c r="DW13" s="150"/>
      <c r="DX13" s="116" t="str">
        <f>IF(DV13=0,"",IF(DV13=VLOOKUP("PCS-30820g",[3]ARBOR!$A:$C,3,0),0.0001,IF(DV13&gt;VLOOKUP("PCS-30820g",[3]ARBOR!$A:$C,3,0),"Maior que CAP!",IF((DOLLAR(DV13+(VLOOKUP("PCS-30820g",[3]ARBOR!$A:$C,3,0)*-TRUNC(DV13/VLOOKUP("PCS-30820g",[3]ARBOR!$A:$C,3,0)-1,4)),6))&lt;&gt;(DOLLAR(VLOOKUP("PCS-30820g",[3]ARBOR!$A:$C,3,0),6)),(-TRUNC(DV13/VLOOKUP("PCS-30820g",[3]ARBOR!$A:$C,3,0)-1,4)+0.0001)-DT13,-TRUNC(DV13/VLOOKUP("PCS-30820g",[3]ARBOR!$A:$C,3,0)-1,4)-DT13))))</f>
        <v/>
      </c>
      <c r="DY13" s="117" t="str">
        <f>IF(ISERROR(IF(DX13="","",VLOOKUP(($BC13&amp;DX13&amp;"Template de desconto percentual Bundle - Velox XDSL - Varejo"),[3]BENEFICIOS!$A:$E,5,0))),"Criar",IF(DX13="","",VLOOKUP(($BC13&amp;DX13&amp;"Template de desconto percentual Bundle - Velox XDSL - Varejo"),[3]BENEFICIOS!$A:$E,5,0)))</f>
        <v/>
      </c>
      <c r="DZ13" s="124"/>
      <c r="EA13" s="116" t="str">
        <f>IF(DZ13=0,"",IF(DZ13=VLOOKUP("PCS-21448p2",[3]ARBOR!$A:$C,3,0),0.0001,IF(DZ13&gt;VLOOKUP("PCS-21448p2",[3]ARBOR!$A:$C,3,0),"Maior que CAP!",IF((DOLLAR(DZ13+(VLOOKUP("PCS-21448p2",[3]ARBOR!$A:$C,3,0)*-TRUNC(DZ13/VLOOKUP("PCS-21448p2",[3]ARBOR!$A:$C,3,0)-1,4)),6))&lt;&gt;(DOLLAR(VLOOKUP("PCS-21448p2",[3]ARBOR!$A:$C,3,0),6)),-TRUNC(DZ13/VLOOKUP("PCS-21448p2",[3]ARBOR!$A:$C,3,0)-1,4)+0.0001,-TRUNC(DZ13/VLOOKUP("PCS-21448p2",[3]ARBOR!$A:$C,3,0)-1,4)))))</f>
        <v/>
      </c>
      <c r="EB13" s="117" t="str">
        <f>IF(ISERROR(IF(EA13="","",VLOOKUP(("Oi Conta Total Plug 10GB Downgrade"&amp;EA13&amp;"Template de desconto percentual BL Móvel - Internet Total - Varejo"),[3]BENEFICIOS!$A:$E,5,0))),"Criar",IF(EA13="","",VLOOKUP(("Oi Conta Total Plug 10GB Downgrade"&amp;EA13&amp;"Template de desconto percentual BL Móvel - Internet Total - Varejo"),[3]BENEFICIOS!$A:$E,5,0)))</f>
        <v/>
      </c>
      <c r="EC13" s="125">
        <v>19.899999999999999</v>
      </c>
      <c r="ED13" s="126">
        <f>IF(EC13=0,"",IF(EC13=VLOOKUP("SVA",[3]ARBOR!$A:$C,3,0),0.0001,IF(EC13&gt;VLOOKUP("SVA",[3]ARBOR!$A:$C,3,0),"Maior que CAP!",IF((DOLLAR(EC13+(VLOOKUP("SVA",[3]ARBOR!$A:$C,3,0)*-TRUNC(EC13/VLOOKUP("SVA",[3]ARBOR!$A:$C,3,0)-1,4)),6))&lt;&gt;(DOLLAR(VLOOKUP("SVA",[3]ARBOR!$A:$C,3,0),6)),-TRUNC(EC13/VLOOKUP("SVA",[3]ARBOR!$A:$C,3,0)-1,4)+0.0001,-TRUNC(EC13/VLOOKUP("SVA",[3]ARBOR!$A:$C,3,0)-1,4)))))</f>
        <v>7.1400000000000005E-2</v>
      </c>
      <c r="EE13" s="127" t="s">
        <v>231</v>
      </c>
      <c r="EF13" s="151"/>
      <c r="EG13" s="152"/>
      <c r="EH13" s="153" t="str">
        <f t="shared" si="1"/>
        <v/>
      </c>
      <c r="EI13" s="154" t="str">
        <f>IF(EH13="S/Desc","S/Desc",IF(ISERROR(IF(EH13="","",VLOOKUP(($BC13&amp;EH13&amp;"Template Desc. % sobre Serviço SVA B2C"),[3]BENEFICIOS!$A:$G,5,0))),"Criar",IF(EH13="","",VLOOKUP(($BC13&amp;EH13&amp;"Template Desc. % sobre Serviço SVA B2C"),[3]BENEFICIOS!$A:$G,5,0))))</f>
        <v/>
      </c>
      <c r="EJ13" s="131" t="s">
        <v>209</v>
      </c>
      <c r="EK13" s="132"/>
      <c r="EL13" s="133"/>
      <c r="EM13" s="134"/>
      <c r="EN13" s="135"/>
      <c r="EO13" s="133"/>
      <c r="EP13" s="134"/>
      <c r="EQ13" s="136" t="s">
        <v>219</v>
      </c>
      <c r="ER13" s="137">
        <f t="shared" si="2"/>
        <v>149.91</v>
      </c>
      <c r="ES13" s="138" t="s">
        <v>220</v>
      </c>
      <c r="ET13" s="147" t="s">
        <v>259</v>
      </c>
      <c r="EU13" s="147" t="s">
        <v>227</v>
      </c>
      <c r="EV13" s="147"/>
      <c r="EW13" s="147"/>
      <c r="EX13" s="147"/>
      <c r="EY13" s="147"/>
      <c r="EZ13" s="147"/>
      <c r="FA13" s="147"/>
      <c r="FB13" s="148"/>
    </row>
    <row r="14" spans="1:158" x14ac:dyDescent="0.25">
      <c r="A14" s="90" t="s">
        <v>198</v>
      </c>
      <c r="B14" s="91" t="s">
        <v>199</v>
      </c>
      <c r="C14" s="91" t="s">
        <v>200</v>
      </c>
      <c r="D14" s="92" t="s">
        <v>201</v>
      </c>
      <c r="E14" s="93" t="s">
        <v>202</v>
      </c>
      <c r="F14" s="94" t="s">
        <v>202</v>
      </c>
      <c r="G14" s="94"/>
      <c r="H14" s="94"/>
      <c r="I14" s="94"/>
      <c r="J14" s="94" t="s">
        <v>202</v>
      </c>
      <c r="K14" s="94" t="s">
        <v>202</v>
      </c>
      <c r="L14" s="94" t="s">
        <v>202</v>
      </c>
      <c r="M14" s="94" t="s">
        <v>202</v>
      </c>
      <c r="N14" s="94"/>
      <c r="O14" s="94"/>
      <c r="P14" s="94"/>
      <c r="Q14" s="94"/>
      <c r="R14" s="94"/>
      <c r="S14" s="94" t="s">
        <v>202</v>
      </c>
      <c r="T14" s="95" t="s">
        <v>202</v>
      </c>
      <c r="U14" s="94" t="s">
        <v>202</v>
      </c>
      <c r="V14" s="95"/>
      <c r="W14" s="94"/>
      <c r="X14" s="94" t="s">
        <v>202</v>
      </c>
      <c r="Y14" s="94" t="s">
        <v>202</v>
      </c>
      <c r="Z14" s="94"/>
      <c r="AA14" s="95"/>
      <c r="AB14" s="94"/>
      <c r="AC14" s="141"/>
      <c r="AD14" s="94"/>
      <c r="AE14" s="94"/>
      <c r="AF14" s="94"/>
      <c r="AG14" s="94"/>
      <c r="AH14" s="94"/>
      <c r="AI14" s="94"/>
      <c r="AJ14" s="94"/>
      <c r="AK14" s="94"/>
      <c r="AL14" s="97"/>
      <c r="AM14" s="98" t="s">
        <v>260</v>
      </c>
      <c r="AN14" s="99" t="s">
        <v>204</v>
      </c>
      <c r="AO14" s="99" t="s">
        <v>255</v>
      </c>
      <c r="AP14" s="100">
        <v>42912</v>
      </c>
      <c r="AQ14" s="101">
        <v>43004</v>
      </c>
      <c r="AR14" s="102" t="s">
        <v>206</v>
      </c>
      <c r="AS14" s="103" t="s">
        <v>206</v>
      </c>
      <c r="AT14" s="104"/>
      <c r="AU14" s="104" t="s">
        <v>207</v>
      </c>
      <c r="AV14" s="104">
        <v>20</v>
      </c>
      <c r="AW14" s="104">
        <v>10000</v>
      </c>
      <c r="AX14" s="105" t="s">
        <v>208</v>
      </c>
      <c r="AY14" s="106" t="s">
        <v>209</v>
      </c>
      <c r="AZ14" s="107" t="s">
        <v>209</v>
      </c>
      <c r="BA14" s="108" t="s">
        <v>209</v>
      </c>
      <c r="BB14" s="98" t="s">
        <v>260</v>
      </c>
      <c r="BC14" s="109" t="s">
        <v>210</v>
      </c>
      <c r="BD14" s="110" t="str">
        <f t="shared" si="0"/>
        <v>PCS-2PFBL1</v>
      </c>
      <c r="BE14" s="111" t="s">
        <v>201</v>
      </c>
      <c r="BF14" s="112" t="s">
        <v>211</v>
      </c>
      <c r="BG14" s="143">
        <v>12</v>
      </c>
      <c r="BH14" s="149">
        <v>144</v>
      </c>
      <c r="BI14" s="115">
        <v>65.010000000000005</v>
      </c>
      <c r="BJ14" s="116">
        <f>IF(BI14=0,"",IF(BI14=VLOOKUP("FIXO",[3]ARBOR!$A:$C,3,0),0.0001,IF(BI14&gt;VLOOKUP("FIXO",[3]ARBOR!$A:$C,3,0),"Maior que CAP!",IF((DOLLAR(BI14+(VLOOKUP("FIXO",[3]ARBOR!$A:$C,3,0)*-TRUNC(BI14/VLOOKUP("FIXO",[3]ARBOR!$A:$C,3,0)-1,4)),6))&lt;&gt;(DOLLAR(VLOOKUP("FIXO",[3]ARBOR!$A:$C,3,0),6)),-TRUNC(BI14/VLOOKUP("FIXO",[3]ARBOR!$A:$C,3,0)-1,4)+0.0001,-TRUNC(BI14/VLOOKUP("FIXO",[3]ARBOR!$A:$C,3,0)-1,4)))))</f>
        <v>0.1429</v>
      </c>
      <c r="BK14" s="117" t="str">
        <f>IF(ISERROR(IF(BJ14="","",VLOOKUP(($BC14&amp;BJ14&amp;"Template de desconto FLAT bundle - Fixo - Varejo - Ganho Tributário Cross"),[3]BENEFICIOS!$A:$E,5,0))),"Criar",IF(BJ14="","",VLOOKUP(($BC14&amp;BJ14&amp;"Template de desconto FLAT bundle - Fixo - Varejo - Ganho Tributário Cross"),[3]BENEFICIOS!$A:$E,5,0)))</f>
        <v>Criar</v>
      </c>
      <c r="BL14" s="65" t="s">
        <v>212</v>
      </c>
      <c r="BM14" s="66" t="s">
        <v>213</v>
      </c>
      <c r="BN14" s="111" t="s">
        <v>201</v>
      </c>
      <c r="BO14" s="112" t="s">
        <v>214</v>
      </c>
      <c r="BP14" s="118">
        <v>12</v>
      </c>
      <c r="BQ14" s="118">
        <v>60</v>
      </c>
      <c r="BR14" s="142" t="s">
        <v>230</v>
      </c>
      <c r="BS14" s="120">
        <v>84.9</v>
      </c>
      <c r="BT14" s="116">
        <f>IF(BS14=0,"",IF(BS14=VLOOKUP("PCS-30874g",[3]ARBOR!$A:$C,3,0),0.0001,IF(BS14&gt;VLOOKUP("PCS-30874g",[3]ARBOR!$A:$C,3,0),"Maior que CAP!",IF((DOLLAR(BS14+(VLOOKUP("PCS-30874g",[3]ARBOR!$A:$C,3,0)*-TRUNC(BS14/VLOOKUP("PCS-30874g",[3]ARBOR!$A:$C,3,0)-1,4)),6))&lt;&gt;(DOLLAR(VLOOKUP("PCS-30874g",[3]ARBOR!$A:$C,3,0),6)),-TRUNC(BS14/VLOOKUP("PCS-30874g",[3]ARBOR!$A:$C,3,0)-1,4)+0.0001,-TRUNC(BS14/VLOOKUP("PCS-30874g",[3]ARBOR!$A:$C,3,0)-1,4)))))</f>
        <v>0.1242</v>
      </c>
      <c r="BU14" s="117" t="str">
        <f>IF(ISERROR(IF(BT14="","",VLOOKUP(($BC14&amp;BT14&amp;"Template de desconto FLAT bundle - Velox XDSL - Varejo"),[3]BENEFICIOS!$A:$E,5,0))),"Criar",IF(BT14="","",VLOOKUP(($BC14&amp;BT14&amp;"Template de desconto FLAT bundle - Velox XDSL - Varejo"),[3]BENEFICIOS!$A:$E,5,0)))</f>
        <v>Criar</v>
      </c>
      <c r="BV14" s="142" t="s">
        <v>230</v>
      </c>
      <c r="BW14" s="120">
        <v>84.9</v>
      </c>
      <c r="BX14" s="116">
        <f>IF(BW14=0,"",IF(BW14=VLOOKUP("PCS-30577g",[3]ARBOR!$A:$C,3,0),0.0001,IF(BW14&gt;VLOOKUP("PCS-30577g",[3]ARBOR!$A:$C,3,0),"Maior que CAP!",IF((DOLLAR(BW14+(VLOOKUP("PCS-30577g",[3]ARBOR!$A:$C,3,0)*-TRUNC(BW14/VLOOKUP("PCS-30577g",[3]ARBOR!$A:$C,3,0)-1,4)),6))&lt;&gt;(DOLLAR(VLOOKUP("PCS-30577g",[3]ARBOR!$A:$C,3,0),6)),-TRUNC(BW14/VLOOKUP("PCS-30577g",[3]ARBOR!$A:$C,3,0)-1,4)+0.0001,-TRUNC(BW14/VLOOKUP("PCS-30577g",[3]ARBOR!$A:$C,3,0)-1,4)))))</f>
        <v>0.1242</v>
      </c>
      <c r="BY14" s="117" t="str">
        <f>IF(ISERROR(IF(BX14="","",VLOOKUP(($BC14&amp;BX14&amp;"Template de desconto FLAT bundle - Velox XDSL - Varejo"),[3]BENEFICIOS!$A:$E,5,0))),"Criar",IF(BX14="","",VLOOKUP(($BC14&amp;BX14&amp;"Template de desconto FLAT bundle - Velox XDSL - Varejo"),[3]BENEFICIOS!$A:$E,5,0)))</f>
        <v>Criar</v>
      </c>
      <c r="BZ14" s="142" t="s">
        <v>230</v>
      </c>
      <c r="CA14" s="120">
        <v>84.9</v>
      </c>
      <c r="CB14" s="116">
        <f>IF(CA14=0,"",IF(CA14=VLOOKUP("PCS-30604g",[3]ARBOR!$A:$C,3,0),0.0001,IF(CA14&gt;VLOOKUP("PCS-30604g",[3]ARBOR!$A:$C,3,0),"Maior que CAP!",IF((DOLLAR(CA14+(VLOOKUP("PCS-30604g",[3]ARBOR!$A:$C,3,0)*-TRUNC(CA14/VLOOKUP("PCS-30604g",[3]ARBOR!$A:$C,3,0)-1,4)),6))&lt;&gt;(DOLLAR(VLOOKUP("PCS-30604g",[3]ARBOR!$A:$C,3,0),6)),-TRUNC(CA14/VLOOKUP("PCS-30604g",[3]ARBOR!$A:$C,3,0)-1,4)+0.0001,-TRUNC(CA14/VLOOKUP("PCS-30604g",[3]ARBOR!$A:$C,3,0)-1,4)))))</f>
        <v>0.1242</v>
      </c>
      <c r="CC14" s="117" t="str">
        <f>IF(ISERROR(IF(CB14="","",VLOOKUP(($BC14&amp;CB14&amp;"Template de desconto FLAT bundle - Velox XDSL - Varejo"),[3]BENEFICIOS!$A:$E,5,0))),"Criar",IF(CB14="","",VLOOKUP(($BC14&amp;CB14&amp;"Template de desconto FLAT bundle - Velox XDSL - Varejo"),[3]BENEFICIOS!$A:$E,5,0)))</f>
        <v>Criar</v>
      </c>
      <c r="CD14" s="142" t="s">
        <v>230</v>
      </c>
      <c r="CE14" s="120">
        <v>84.9</v>
      </c>
      <c r="CF14" s="116">
        <f>IF(CE14=0,"",IF(CE14=VLOOKUP("PCS-30631g",[3]ARBOR!$A:$C,3,0),0.0001,IF(CE14&gt;VLOOKUP("PCS-30631g",[3]ARBOR!$A:$C,3,0),"Maior que CAP!",IF((DOLLAR(CE14+(VLOOKUP("PCS-30631g",[3]ARBOR!$A:$C,3,0)*-TRUNC(CE14/VLOOKUP("PCS-30631g",[3]ARBOR!$A:$C,3,0)-1,4)),6))&lt;&gt;(DOLLAR(VLOOKUP("PCS-30631g",[3]ARBOR!$A:$C,3,0),6)),-TRUNC(CE14/VLOOKUP("PCS-30631g",[3]ARBOR!$A:$C,3,0)-1,4)+0.0001,-TRUNC(CE14/VLOOKUP("PCS-30631g",[3]ARBOR!$A:$C,3,0)-1,4)))))</f>
        <v>0.13599999999999998</v>
      </c>
      <c r="CG14" s="117" t="str">
        <f>IF(ISERROR(IF(CF14="","",VLOOKUP(($BC14&amp;CF14&amp;"Template de desconto FLAT bundle - Velox XDSL - Varejo"),[3]BENEFICIOS!$A:$E,5,0))),"Criar",IF(CF14="","",VLOOKUP(($BC14&amp;CF14&amp;"Template de desconto FLAT bundle - Velox XDSL - Varejo"),[3]BENEFICIOS!$A:$E,5,0)))</f>
        <v>Criar</v>
      </c>
      <c r="CH14" s="119" t="s">
        <v>173</v>
      </c>
      <c r="CI14" s="120">
        <v>89.9</v>
      </c>
      <c r="CJ14" s="116">
        <f>IF(CI14=0,"",IF(CI14=VLOOKUP("PCS-30658g",[3]ARBOR!$A:$C,3,0),0.0001,IF(CI14&gt;VLOOKUP("PCS-30658g",[3]ARBOR!$A:$C,3,0),"Maior que CAP!",IF((DOLLAR(CI14+(VLOOKUP("PCS-30658g",[3]ARBOR!$A:$C,3,0)*-TRUNC(CI14/VLOOKUP("PCS-30658g",[3]ARBOR!$A:$C,3,0)-1,4)),6))&lt;&gt;(DOLLAR(VLOOKUP("PCS-30658g",[3]ARBOR!$A:$C,3,0),6)),-TRUNC(CI14/VLOOKUP("PCS-30658g",[3]ARBOR!$A:$C,3,0)-1,4)+0.0001,-TRUNC(CI14/VLOOKUP("PCS-30658g",[3]ARBOR!$A:$C,3,0)-1,4)))))</f>
        <v>0.1996</v>
      </c>
      <c r="CK14" s="117" t="str">
        <f>IF(ISERROR(IF(CJ14="","",VLOOKUP(($BC14&amp;CJ14&amp;"Template de desconto FLAT bundle - Velox XDSL - Varejo"),[3]BENEFICIOS!$A:$E,5,0))),"Criar",IF(CJ14="","",VLOOKUP(($BC14&amp;CJ14&amp;"Template de desconto FLAT bundle - Velox XDSL - Varejo"),[3]BENEFICIOS!$A:$E,5,0)))</f>
        <v>Criar</v>
      </c>
      <c r="CL14" s="119" t="s">
        <v>173</v>
      </c>
      <c r="CM14" s="120">
        <v>89.9</v>
      </c>
      <c r="CN14" s="116">
        <f>IF(CM14=0,"",IF(CM14=VLOOKUP("PCS-30685g",[3]ARBOR!$A:$C,3,0),0.0001,IF(CM14&gt;VLOOKUP("PCS-30685g",[3]ARBOR!$A:$C,3,0),"Maior que CAP!",IF((DOLLAR(CM14+(VLOOKUP("PCS-30685g",[3]ARBOR!$A:$C,3,0)*-TRUNC(CM14/VLOOKUP("PCS-30685g",[3]ARBOR!$A:$C,3,0)-1,4)),6))&lt;&gt;(DOLLAR(VLOOKUP("PCS-30685g",[3]ARBOR!$A:$C,3,0),6)),-TRUNC(CM14/VLOOKUP("PCS-30685g",[3]ARBOR!$A:$C,3,0)-1,4)+0.0001,-TRUNC(CM14/VLOOKUP("PCS-30685g",[3]ARBOR!$A:$C,3,0)-1,4)))))</f>
        <v>0.28849999999999998</v>
      </c>
      <c r="CO14" s="117" t="str">
        <f>IF(ISERROR(IF(CN14="","",VLOOKUP(($BC14&amp;CN14&amp;"Template de desconto FLAT bundle - Velox XDSL - Varejo"),[3]BENEFICIOS!$A:$E,5,0))),"Criar",IF(CN14="","",VLOOKUP(($BC14&amp;CN14&amp;"Template de desconto FLAT bundle - Velox XDSL - Varejo"),[3]BENEFICIOS!$A:$E,5,0)))</f>
        <v>Criar</v>
      </c>
      <c r="CP14" s="119" t="s">
        <v>173</v>
      </c>
      <c r="CQ14" s="120">
        <v>89.9</v>
      </c>
      <c r="CR14" s="116">
        <f>IF(CQ14=0,"",IF(CQ14=VLOOKUP("PCS-30712g",[3]ARBOR!$A:$C,3,0),0.0001,IF(CQ14&gt;VLOOKUP("PCS-30712g",[3]ARBOR!$A:$C,3,0),"Maior que CAP!",IF((DOLLAR(CQ14+(VLOOKUP("PCS-30712g",[3]ARBOR!$A:$C,3,0)*-TRUNC(CQ14/VLOOKUP("PCS-30712g",[3]ARBOR!$A:$C,3,0)-1,4)),6))&lt;&gt;(DOLLAR(VLOOKUP("PCS-30712g",[3]ARBOR!$A:$C,3,0),6)),-TRUNC(CQ14/VLOOKUP("PCS-30712g",[3]ARBOR!$A:$C,3,0)-1,4)+0.0001,-TRUNC(CQ14/VLOOKUP("PCS-30712g",[3]ARBOR!$A:$C,3,0)-1,4)))))</f>
        <v>0.35959999999999998</v>
      </c>
      <c r="CS14" s="117" t="str">
        <f>IF(ISERROR(IF(CR14="","",VLOOKUP(($BC14&amp;CR14&amp;"Template de desconto FLAT bundle - Velox XDSL - Varejo"),[3]BENEFICIOS!$A:$E,5,0))),"Criar",IF(CR14="","",VLOOKUP(($BC14&amp;CR14&amp;"Template de desconto FLAT bundle - Velox XDSL - Varejo"),[3]BENEFICIOS!$A:$E,5,0)))</f>
        <v>Criar</v>
      </c>
      <c r="CT14" s="119" t="s">
        <v>173</v>
      </c>
      <c r="CU14" s="120">
        <v>99.9</v>
      </c>
      <c r="CV14" s="116">
        <f>IF(CU14=0,"",IF(CU14=VLOOKUP("PCS-30739g",[3]ARBOR!$A:$C,3,0),0.0001,IF(CU14&gt;VLOOKUP("PCS-30739g",[3]ARBOR!$A:$C,3,0),"Maior que CAP!",IF((DOLLAR(CU14+(VLOOKUP("PCS-30739g",[3]ARBOR!$A:$C,3,0)*-TRUNC(CU14/VLOOKUP("PCS-30739g",[3]ARBOR!$A:$C,3,0)-1,4)),6))&lt;&gt;(DOLLAR(VLOOKUP("PCS-30739g",[3]ARBOR!$A:$C,3,0),6)),-TRUNC(CU14/VLOOKUP("PCS-30739g",[3]ARBOR!$A:$C,3,0)-1,4)+0.0001,-TRUNC(CU14/VLOOKUP("PCS-30739g",[3]ARBOR!$A:$C,3,0)-1,4)))))</f>
        <v>0.52559999999999996</v>
      </c>
      <c r="CW14" s="117" t="str">
        <f>IF(ISERROR(IF(CV14="","",VLOOKUP(($BC14&amp;CV14&amp;"Template de desconto FLAT bundle - Velox XDSL - Varejo"),[3]BENEFICIOS!$A:$E,5,0))),"Criar",IF(CV14="","",VLOOKUP(($BC14&amp;CV14&amp;"Template de desconto FLAT bundle - Velox XDSL - Varejo"),[3]BENEFICIOS!$A:$E,5,0)))</f>
        <v>Criar</v>
      </c>
      <c r="CX14" s="121"/>
      <c r="CY14" s="150"/>
      <c r="CZ14" s="116" t="str">
        <f>IF(CX14=0,"",IF(CX14=VLOOKUP("PCS-30739g",[3]ARBOR!$A:$C,3,0),0.0001,IF(CX14&gt;VLOOKUP("PCS-30739g",[3]ARBOR!$A:$C,3,0),"Maior que CAP!",IF((DOLLAR(CX14+(VLOOKUP("PCS-30739g",[3]ARBOR!$A:$C,3,0)*-TRUNC(CX14/VLOOKUP("PCS-30739g",[3]ARBOR!$A:$C,3,0)-1,4)),6))&lt;&gt;(DOLLAR(VLOOKUP("PCS-30739g",[3]ARBOR!$A:$C,3,0),6)),(-TRUNC(CX14/VLOOKUP("PCS-30739g",[3]ARBOR!$A:$C,3,0)-1,4)+0.0001)-CV14,-TRUNC(CX14/VLOOKUP("PCS-30739g",[3]ARBOR!$A:$C,3,0)-1,4)-CV14))))</f>
        <v/>
      </c>
      <c r="DA14" s="117" t="str">
        <f>IF(ISERROR(IF(CZ14="","",VLOOKUP(($BC14&amp;CZ14&amp;"Template de desconto percentual Bundle - Velox XDSL - Varejo"),[3]BENEFICIOS!$A:$E,5,0))),"Criar",IF(CZ14="","",VLOOKUP(($BC14&amp;CZ14&amp;"Template de desconto percentual Bundle - Velox XDSL - Varejo"),[3]BENEFICIOS!$A:$E,5,0)))</f>
        <v/>
      </c>
      <c r="DB14" s="119" t="s">
        <v>173</v>
      </c>
      <c r="DC14" s="120">
        <v>99.9</v>
      </c>
      <c r="DD14" s="116">
        <f>IF(DC14=0,"",IF(DC14=VLOOKUP("PCS-30766g",[3]ARBOR!$A:$C,3,0),0.0001,IF(DC14&gt;VLOOKUP("PCS-30766g",[3]ARBOR!$A:$C,3,0),"Maior que CAP!",IF((DOLLAR(DC14+(VLOOKUP("PCS-30766g",[3]ARBOR!$A:$C,3,0)*-TRUNC(DC14/VLOOKUP("PCS-30766g",[3]ARBOR!$A:$C,3,0)-1,4)),6))&lt;&gt;(DOLLAR(VLOOKUP("PCS-30766g",[3]ARBOR!$A:$C,3,0),6)),-TRUNC(DC14/VLOOKUP("PCS-30766g",[3]ARBOR!$A:$C,3,0)-1,4)+0.0001,-TRUNC(DC14/VLOOKUP("PCS-30766g",[3]ARBOR!$A:$C,3,0)-1,4)))))</f>
        <v>0.64419999999999999</v>
      </c>
      <c r="DE14" s="117" t="str">
        <f>IF(ISERROR(IF(DD14="","",VLOOKUP(($BC14&amp;DD14&amp;"Template de desconto FLAT bundle - Velox XDSL - Varejo"),[3]BENEFICIOS!$A:$E,5,0))),"Criar",IF(DD14="","",VLOOKUP(($BC14&amp;DD14&amp;"Template de desconto FLAT bundle - Velox XDSL - Varejo"),[3]BENEFICIOS!$A:$E,5,0)))</f>
        <v>Criar</v>
      </c>
      <c r="DF14" s="121"/>
      <c r="DG14" s="150"/>
      <c r="DH14" s="116" t="str">
        <f>IF(DF14=0,"",IF(DF14=VLOOKUP("PCS-30766g",[3]ARBOR!$A:$C,3,0),0.0001,IF(DF14&gt;VLOOKUP("PCS-30766g",[3]ARBOR!$A:$C,3,0),"Maior que CAP!",IF((DOLLAR(DF14+(VLOOKUP("PCS-30766g",[3]ARBOR!$A:$C,3,0)*-TRUNC(DF14/VLOOKUP("PCS-30766g",[3]ARBOR!$A:$C,3,0)-1,4)),6))&lt;&gt;(DOLLAR(VLOOKUP("PCS-30766g",[3]ARBOR!$A:$C,3,0),6)),(-TRUNC(DF14/VLOOKUP("PCS-30766g",[3]ARBOR!$A:$C,3,0)-1,4)+0.0001)-DD14,-TRUNC(DF14/VLOOKUP("PCS-30766g",[3]ARBOR!$A:$C,3,0)-1,4)-DD14))))</f>
        <v/>
      </c>
      <c r="DI14" s="117" t="str">
        <f>IF(ISERROR(IF(DH14="","",VLOOKUP(($BC14&amp;DH14&amp;"Template de desconto percentual Bundle - Velox XDSL - Varejo"),[3]BENEFICIOS!$A:$E,5,0))),"Criar",IF(DH14="","",VLOOKUP(($BC14&amp;DH14&amp;"Template de desconto percentual Bundle - Velox XDSL - Varejo"),[3]BENEFICIOS!$A:$E,5,0)))</f>
        <v/>
      </c>
      <c r="DJ14" s="123" t="s">
        <v>230</v>
      </c>
      <c r="DK14" s="121">
        <v>109.9</v>
      </c>
      <c r="DL14" s="116">
        <f>IF(DK14=0,"",IF(DK14=VLOOKUP("PCS-30793g",[3]ARBOR!$A:$C,3,0),0.0001,IF(DK14&gt;VLOOKUP("PCS-30793g",[3]ARBOR!$A:$C,3,0),"Maior que CAP!",IF((DOLLAR(DK14+(VLOOKUP("PCS-30793g",[3]ARBOR!$A:$C,3,0)*-TRUNC(DK14/VLOOKUP("PCS-30793g",[3]ARBOR!$A:$C,3,0)-1,4)),6))&lt;&gt;(DOLLAR(VLOOKUP("PCS-30793g",[3]ARBOR!$A:$C,3,0),6)),-TRUNC(DK14/VLOOKUP("PCS-30793g",[3]ARBOR!$A:$C,3,0)-1,4)+0.0001,-TRUNC(DK14/VLOOKUP("PCS-30793g",[3]ARBOR!$A:$C,3,0)-1,4)))))</f>
        <v>0.60860000000000003</v>
      </c>
      <c r="DM14" s="117" t="str">
        <f>IF(ISERROR(IF(DL14="","",VLOOKUP(($BC14&amp;DL14&amp;"Template de desconto FLAT bundle - Velox XDSL - Varejo"),[3]BENEFICIOS!$A:$E,5,0))),"Criar",IF(DL14="","",VLOOKUP(($BC14&amp;DL14&amp;"Template de desconto FLAT bundle - Velox XDSL - Varejo"),[3]BENEFICIOS!$A:$E,5,0)))</f>
        <v>Criar</v>
      </c>
      <c r="DN14" s="121"/>
      <c r="DO14" s="150"/>
      <c r="DP14" s="116" t="str">
        <f>IF(DN14=0,"",IF(DN14=VLOOKUP("PCS-30793g",[3]ARBOR!$A:$C,3,0),0.0001,IF(DN14&gt;VLOOKUP("PCS-30793g",[3]ARBOR!$A:$C,3,0),"Maior que CAP!",IF((DOLLAR(DN14+(VLOOKUP("PCS-30793g",[3]ARBOR!$A:$C,3,0)*-TRUNC(DN14/VLOOKUP("PCS-30793g",[3]ARBOR!$A:$C,3,0)-1,4)),6))&lt;&gt;(DOLLAR(VLOOKUP("PCS-30793g",[3]ARBOR!$A:$C,3,0),6)),(-TRUNC(DN14/VLOOKUP("PCS-30793g",[3]ARBOR!$A:$C,3,0)-1,4)+0.0001)-DL14,-TRUNC(DN14/VLOOKUP("PCS-30793g",[3]ARBOR!$A:$C,3,0)-1,4)-DL14))))</f>
        <v/>
      </c>
      <c r="DQ14" s="117" t="str">
        <f>IF(ISERROR(IF(DP14="","",VLOOKUP(($BC14&amp;DP14&amp;"Template de desconto percentual Bundle - Velox XDSL - Varejo"),[3]BENEFICIOS!$A:$E,5,0))),"Criar",IF(DP14="","",VLOOKUP(($BC14&amp;DP14&amp;"Template de desconto percentual Bundle - Velox XDSL - Varejo"),[3]BENEFICIOS!$A:$E,5,0)))</f>
        <v/>
      </c>
      <c r="DR14" s="123" t="s">
        <v>173</v>
      </c>
      <c r="DS14" s="121">
        <v>109.9</v>
      </c>
      <c r="DT14" s="116">
        <f>IF(DS14=0,"",IF(DS14=VLOOKUP("PCS-30820g",[3]ARBOR!$A:$C,3,0),0.0001,IF(DS14&gt;VLOOKUP("PCS-30820g",[3]ARBOR!$A:$C,3,0),"Maior que CAP!",IF((DOLLAR(DS14+(VLOOKUP("PCS-30820g",[3]ARBOR!$A:$C,3,0)*-TRUNC(DS14/VLOOKUP("PCS-30820g",[3]ARBOR!$A:$C,3,0)-1,4)),6))&lt;&gt;(DOLLAR(VLOOKUP("PCS-30820g",[3]ARBOR!$A:$C,3,0),6)),-TRUNC(DS14/VLOOKUP("PCS-30820g",[3]ARBOR!$A:$C,3,0)-1,4)+0.0001,-TRUNC(DS14/VLOOKUP("PCS-30820g",[3]ARBOR!$A:$C,3,0)-1,4)))))</f>
        <v>0.60860000000000003</v>
      </c>
      <c r="DU14" s="117" t="str">
        <f>IF(ISERROR(IF(DT14="","",VLOOKUP(($BC14&amp;DT14&amp;"Template de desconto FLAT bundle - Velox XDSL - Varejo"),[3]BENEFICIOS!$A:$E,5,0))),"Criar",IF(DT14="","",VLOOKUP(($BC14&amp;DT14&amp;"Template de desconto FLAT bundle - Velox XDSL - Varejo"),[3]BENEFICIOS!$A:$E,5,0)))</f>
        <v>Criar</v>
      </c>
      <c r="DV14" s="121"/>
      <c r="DW14" s="150"/>
      <c r="DX14" s="116" t="str">
        <f>IF(DV14=0,"",IF(DV14=VLOOKUP("PCS-30820g",[3]ARBOR!$A:$C,3,0),0.0001,IF(DV14&gt;VLOOKUP("PCS-30820g",[3]ARBOR!$A:$C,3,0),"Maior que CAP!",IF((DOLLAR(DV14+(VLOOKUP("PCS-30820g",[3]ARBOR!$A:$C,3,0)*-TRUNC(DV14/VLOOKUP("PCS-30820g",[3]ARBOR!$A:$C,3,0)-1,4)),6))&lt;&gt;(DOLLAR(VLOOKUP("PCS-30820g",[3]ARBOR!$A:$C,3,0),6)),(-TRUNC(DV14/VLOOKUP("PCS-30820g",[3]ARBOR!$A:$C,3,0)-1,4)+0.0001)-DT14,-TRUNC(DV14/VLOOKUP("PCS-30820g",[3]ARBOR!$A:$C,3,0)-1,4)-DT14))))</f>
        <v/>
      </c>
      <c r="DY14" s="117" t="str">
        <f>IF(ISERROR(IF(DX14="","",VLOOKUP(($BC14&amp;DX14&amp;"Template de desconto percentual Bundle - Velox XDSL - Varejo"),[3]BENEFICIOS!$A:$E,5,0))),"Criar",IF(DX14="","",VLOOKUP(($BC14&amp;DX14&amp;"Template de desconto percentual Bundle - Velox XDSL - Varejo"),[3]BENEFICIOS!$A:$E,5,0)))</f>
        <v/>
      </c>
      <c r="DZ14" s="124"/>
      <c r="EA14" s="116" t="str">
        <f>IF(DZ14=0,"",IF(DZ14=VLOOKUP("PCS-21448p2",[3]ARBOR!$A:$C,3,0),0.0001,IF(DZ14&gt;VLOOKUP("PCS-21448p2",[3]ARBOR!$A:$C,3,0),"Maior que CAP!",IF((DOLLAR(DZ14+(VLOOKUP("PCS-21448p2",[3]ARBOR!$A:$C,3,0)*-TRUNC(DZ14/VLOOKUP("PCS-21448p2",[3]ARBOR!$A:$C,3,0)-1,4)),6))&lt;&gt;(DOLLAR(VLOOKUP("PCS-21448p2",[3]ARBOR!$A:$C,3,0),6)),-TRUNC(DZ14/VLOOKUP("PCS-21448p2",[3]ARBOR!$A:$C,3,0)-1,4)+0.0001,-TRUNC(DZ14/VLOOKUP("PCS-21448p2",[3]ARBOR!$A:$C,3,0)-1,4)))))</f>
        <v/>
      </c>
      <c r="EB14" s="117" t="str">
        <f>IF(ISERROR(IF(EA14="","",VLOOKUP(("Oi Conta Total Plug 10GB Downgrade"&amp;EA14&amp;"Template de desconto percentual BL Móvel - Internet Total - Varejo"),[3]BENEFICIOS!$A:$E,5,0))),"Criar",IF(EA14="","",VLOOKUP(("Oi Conta Total Plug 10GB Downgrade"&amp;EA14&amp;"Template de desconto percentual BL Móvel - Internet Total - Varejo"),[3]BENEFICIOS!$A:$E,5,0)))</f>
        <v/>
      </c>
      <c r="EC14" s="125">
        <v>19.899999999999999</v>
      </c>
      <c r="ED14" s="126">
        <f>IF(EC14=0,"",IF(EC14=VLOOKUP("SVA",[3]ARBOR!$A:$C,3,0),0.0001,IF(EC14&gt;VLOOKUP("SVA",[3]ARBOR!$A:$C,3,0),"Maior que CAP!",IF((DOLLAR(EC14+(VLOOKUP("SVA",[3]ARBOR!$A:$C,3,0)*-TRUNC(EC14/VLOOKUP("SVA",[3]ARBOR!$A:$C,3,0)-1,4)),6))&lt;&gt;(DOLLAR(VLOOKUP("SVA",[3]ARBOR!$A:$C,3,0),6)),-TRUNC(EC14/VLOOKUP("SVA",[3]ARBOR!$A:$C,3,0)-1,4)+0.0001,-TRUNC(EC14/VLOOKUP("SVA",[3]ARBOR!$A:$C,3,0)-1,4)))))</f>
        <v>7.1400000000000005E-2</v>
      </c>
      <c r="EE14" s="127" t="s">
        <v>231</v>
      </c>
      <c r="EF14" s="151"/>
      <c r="EG14" s="152"/>
      <c r="EH14" s="153" t="str">
        <f t="shared" si="1"/>
        <v/>
      </c>
      <c r="EI14" s="154" t="str">
        <f>IF(EH14="S/Desc","S/Desc",IF(ISERROR(IF(EH14="","",VLOOKUP(($BC14&amp;EH14&amp;"Template Desc. % sobre Serviço SVA B2C"),[3]BENEFICIOS!$A:$G,5,0))),"Criar",IF(EH14="","",VLOOKUP(($BC14&amp;EH14&amp;"Template Desc. % sobre Serviço SVA B2C"),[3]BENEFICIOS!$A:$G,5,0))))</f>
        <v/>
      </c>
      <c r="EJ14" s="131" t="s">
        <v>209</v>
      </c>
      <c r="EK14" s="132" t="s">
        <v>256</v>
      </c>
      <c r="EL14" s="133" t="s">
        <v>224</v>
      </c>
      <c r="EM14" s="134" t="s">
        <v>225</v>
      </c>
      <c r="EN14" s="135"/>
      <c r="EO14" s="133"/>
      <c r="EP14" s="134"/>
      <c r="EQ14" s="136" t="s">
        <v>219</v>
      </c>
      <c r="ER14" s="137">
        <f t="shared" si="2"/>
        <v>154.91000000000003</v>
      </c>
      <c r="ES14" s="138" t="s">
        <v>220</v>
      </c>
      <c r="ET14" s="147" t="s">
        <v>261</v>
      </c>
      <c r="EU14" s="147" t="s">
        <v>227</v>
      </c>
      <c r="EV14" s="147"/>
      <c r="EW14" s="147"/>
      <c r="EX14" s="147"/>
      <c r="EY14" s="147"/>
      <c r="EZ14" s="147"/>
      <c r="FA14" s="147"/>
      <c r="FB14" s="148"/>
    </row>
    <row r="15" spans="1:158" x14ac:dyDescent="0.25">
      <c r="A15" s="90" t="s">
        <v>198</v>
      </c>
      <c r="B15" s="91" t="s">
        <v>199</v>
      </c>
      <c r="C15" s="91" t="s">
        <v>200</v>
      </c>
      <c r="D15" s="92" t="s">
        <v>201</v>
      </c>
      <c r="E15" s="93" t="s">
        <v>202</v>
      </c>
      <c r="F15" s="94" t="s">
        <v>202</v>
      </c>
      <c r="G15" s="94"/>
      <c r="H15" s="94"/>
      <c r="I15" s="94"/>
      <c r="J15" s="94" t="s">
        <v>202</v>
      </c>
      <c r="K15" s="94" t="s">
        <v>202</v>
      </c>
      <c r="L15" s="94" t="s">
        <v>202</v>
      </c>
      <c r="M15" s="94" t="s">
        <v>202</v>
      </c>
      <c r="N15" s="94"/>
      <c r="O15" s="94"/>
      <c r="P15" s="94"/>
      <c r="Q15" s="94"/>
      <c r="R15" s="94"/>
      <c r="S15" s="94" t="s">
        <v>202</v>
      </c>
      <c r="T15" s="95" t="s">
        <v>202</v>
      </c>
      <c r="U15" s="94" t="s">
        <v>202</v>
      </c>
      <c r="V15" s="95"/>
      <c r="W15" s="94"/>
      <c r="X15" s="94" t="s">
        <v>202</v>
      </c>
      <c r="Y15" s="94" t="s">
        <v>202</v>
      </c>
      <c r="Z15" s="94"/>
      <c r="AA15" s="95"/>
      <c r="AB15" s="94"/>
      <c r="AC15" s="141"/>
      <c r="AD15" s="94"/>
      <c r="AE15" s="94"/>
      <c r="AF15" s="94"/>
      <c r="AG15" s="94"/>
      <c r="AH15" s="94"/>
      <c r="AI15" s="94"/>
      <c r="AJ15" s="94"/>
      <c r="AK15" s="94"/>
      <c r="AL15" s="97"/>
      <c r="AM15" s="98" t="s">
        <v>262</v>
      </c>
      <c r="AN15" s="99" t="s">
        <v>204</v>
      </c>
      <c r="AO15" s="99" t="s">
        <v>263</v>
      </c>
      <c r="AP15" s="100">
        <v>42912</v>
      </c>
      <c r="AQ15" s="101">
        <v>43004</v>
      </c>
      <c r="AR15" s="102" t="s">
        <v>206</v>
      </c>
      <c r="AS15" s="103" t="s">
        <v>206</v>
      </c>
      <c r="AT15" s="104"/>
      <c r="AU15" s="104" t="s">
        <v>207</v>
      </c>
      <c r="AV15" s="104">
        <v>20</v>
      </c>
      <c r="AW15" s="104">
        <v>10000</v>
      </c>
      <c r="AX15" s="105" t="s">
        <v>208</v>
      </c>
      <c r="AY15" s="106" t="s">
        <v>209</v>
      </c>
      <c r="AZ15" s="107" t="s">
        <v>209</v>
      </c>
      <c r="BA15" s="108" t="s">
        <v>209</v>
      </c>
      <c r="BB15" s="98" t="s">
        <v>262</v>
      </c>
      <c r="BC15" s="109" t="s">
        <v>237</v>
      </c>
      <c r="BD15" s="110" t="str">
        <f t="shared" si="0"/>
        <v>PCS-2PFBL2</v>
      </c>
      <c r="BE15" s="111" t="s">
        <v>201</v>
      </c>
      <c r="BF15" s="112" t="s">
        <v>211</v>
      </c>
      <c r="BG15" s="143">
        <v>12</v>
      </c>
      <c r="BH15" s="149">
        <v>144</v>
      </c>
      <c r="BI15" s="115">
        <v>60.01</v>
      </c>
      <c r="BJ15" s="116">
        <f>IF(BI15=0,"",IF(BI15=VLOOKUP("FIXO",[3]ARBOR!$A:$C,3,0),0.0001,IF(BI15&gt;VLOOKUP("FIXO",[3]ARBOR!$A:$C,3,0),"Maior que CAP!",IF((DOLLAR(BI15+(VLOOKUP("FIXO",[3]ARBOR!$A:$C,3,0)*-TRUNC(BI15/VLOOKUP("FIXO",[3]ARBOR!$A:$C,3,0)-1,4)),6))&lt;&gt;(DOLLAR(VLOOKUP("FIXO",[3]ARBOR!$A:$C,3,0),6)),-TRUNC(BI15/VLOOKUP("FIXO",[3]ARBOR!$A:$C,3,0)-1,4)+0.0001,-TRUNC(BI15/VLOOKUP("FIXO",[3]ARBOR!$A:$C,3,0)-1,4)))))</f>
        <v>0.20879999999999999</v>
      </c>
      <c r="BK15" s="117" t="str">
        <f>IF(ISERROR(IF(BJ15="","",VLOOKUP(($BC15&amp;BJ15&amp;"Template de desconto FLAT bundle - Fixo - Varejo - Ganho Tributário Cross"),[3]BENEFICIOS!$A:$E,5,0))),"Criar",IF(BJ15="","",VLOOKUP(($BC15&amp;BJ15&amp;"Template de desconto FLAT bundle - Fixo - Varejo - Ganho Tributário Cross"),[3]BENEFICIOS!$A:$E,5,0)))</f>
        <v>Criar</v>
      </c>
      <c r="BL15" s="65" t="s">
        <v>212</v>
      </c>
      <c r="BM15" s="66" t="s">
        <v>213</v>
      </c>
      <c r="BN15" s="111" t="s">
        <v>201</v>
      </c>
      <c r="BO15" s="112" t="s">
        <v>214</v>
      </c>
      <c r="BP15" s="143">
        <v>12</v>
      </c>
      <c r="BQ15" s="143">
        <v>60</v>
      </c>
      <c r="BR15" s="144" t="s">
        <v>230</v>
      </c>
      <c r="BS15" s="121">
        <v>84.9</v>
      </c>
      <c r="BT15" s="116">
        <f>IF(BS15=0,"",IF(BS15=VLOOKUP("PCS-30874g",[3]ARBOR!$A:$C,3,0),0.0001,IF(BS15&gt;VLOOKUP("PCS-30874g",[3]ARBOR!$A:$C,3,0),"Maior que CAP!",IF((DOLLAR(BS15+(VLOOKUP("PCS-30874g",[3]ARBOR!$A:$C,3,0)*-TRUNC(BS15/VLOOKUP("PCS-30874g",[3]ARBOR!$A:$C,3,0)-1,4)),6))&lt;&gt;(DOLLAR(VLOOKUP("PCS-30874g",[3]ARBOR!$A:$C,3,0),6)),-TRUNC(BS15/VLOOKUP("PCS-30874g",[3]ARBOR!$A:$C,3,0)-1,4)+0.0001,-TRUNC(BS15/VLOOKUP("PCS-30874g",[3]ARBOR!$A:$C,3,0)-1,4)))))</f>
        <v>0.1242</v>
      </c>
      <c r="BU15" s="117" t="str">
        <f>IF(ISERROR(IF(BT15="","",VLOOKUP(($BC15&amp;BT15&amp;"Template de desconto FLAT bundle - Velox XDSL - Varejo"),[3]BENEFICIOS!$A:$E,5,0))),"Criar",IF(BT15="","",VLOOKUP(($BC15&amp;BT15&amp;"Template de desconto FLAT bundle - Velox XDSL - Varejo"),[3]BENEFICIOS!$A:$E,5,0)))</f>
        <v>Criar</v>
      </c>
      <c r="BV15" s="144" t="s">
        <v>230</v>
      </c>
      <c r="BW15" s="121">
        <v>84.9</v>
      </c>
      <c r="BX15" s="116">
        <f>IF(BW15=0,"",IF(BW15=VLOOKUP("PCS-30577g",[3]ARBOR!$A:$C,3,0),0.0001,IF(BW15&gt;VLOOKUP("PCS-30577g",[3]ARBOR!$A:$C,3,0),"Maior que CAP!",IF((DOLLAR(BW15+(VLOOKUP("PCS-30577g",[3]ARBOR!$A:$C,3,0)*-TRUNC(BW15/VLOOKUP("PCS-30577g",[3]ARBOR!$A:$C,3,0)-1,4)),6))&lt;&gt;(DOLLAR(VLOOKUP("PCS-30577g",[3]ARBOR!$A:$C,3,0),6)),-TRUNC(BW15/VLOOKUP("PCS-30577g",[3]ARBOR!$A:$C,3,0)-1,4)+0.0001,-TRUNC(BW15/VLOOKUP("PCS-30577g",[3]ARBOR!$A:$C,3,0)-1,4)))))</f>
        <v>0.1242</v>
      </c>
      <c r="BY15" s="117" t="str">
        <f>IF(ISERROR(IF(BX15="","",VLOOKUP(($BC15&amp;BX15&amp;"Template de desconto FLAT bundle - Velox XDSL - Varejo"),[3]BENEFICIOS!$A:$E,5,0))),"Criar",IF(BX15="","",VLOOKUP(($BC15&amp;BX15&amp;"Template de desconto FLAT bundle - Velox XDSL - Varejo"),[3]BENEFICIOS!$A:$E,5,0)))</f>
        <v>Criar</v>
      </c>
      <c r="BZ15" s="144" t="s">
        <v>230</v>
      </c>
      <c r="CA15" s="121">
        <v>84.9</v>
      </c>
      <c r="CB15" s="116">
        <f>IF(CA15=0,"",IF(CA15=VLOOKUP("PCS-30604g",[3]ARBOR!$A:$C,3,0),0.0001,IF(CA15&gt;VLOOKUP("PCS-30604g",[3]ARBOR!$A:$C,3,0),"Maior que CAP!",IF((DOLLAR(CA15+(VLOOKUP("PCS-30604g",[3]ARBOR!$A:$C,3,0)*-TRUNC(CA15/VLOOKUP("PCS-30604g",[3]ARBOR!$A:$C,3,0)-1,4)),6))&lt;&gt;(DOLLAR(VLOOKUP("PCS-30604g",[3]ARBOR!$A:$C,3,0),6)),-TRUNC(CA15/VLOOKUP("PCS-30604g",[3]ARBOR!$A:$C,3,0)-1,4)+0.0001,-TRUNC(CA15/VLOOKUP("PCS-30604g",[3]ARBOR!$A:$C,3,0)-1,4)))))</f>
        <v>0.1242</v>
      </c>
      <c r="CC15" s="117" t="str">
        <f>IF(ISERROR(IF(CB15="","",VLOOKUP(($BC15&amp;CB15&amp;"Template de desconto FLAT bundle - Velox XDSL - Varejo"),[3]BENEFICIOS!$A:$E,5,0))),"Criar",IF(CB15="","",VLOOKUP(($BC15&amp;CB15&amp;"Template de desconto FLAT bundle - Velox XDSL - Varejo"),[3]BENEFICIOS!$A:$E,5,0)))</f>
        <v>Criar</v>
      </c>
      <c r="CD15" s="144" t="s">
        <v>230</v>
      </c>
      <c r="CE15" s="121">
        <v>84.9</v>
      </c>
      <c r="CF15" s="116">
        <f>IF(CE15=0,"",IF(CE15=VLOOKUP("PCS-30631g",[3]ARBOR!$A:$C,3,0),0.0001,IF(CE15&gt;VLOOKUP("PCS-30631g",[3]ARBOR!$A:$C,3,0),"Maior que CAP!",IF((DOLLAR(CE15+(VLOOKUP("PCS-30631g",[3]ARBOR!$A:$C,3,0)*-TRUNC(CE15/VLOOKUP("PCS-30631g",[3]ARBOR!$A:$C,3,0)-1,4)),6))&lt;&gt;(DOLLAR(VLOOKUP("PCS-30631g",[3]ARBOR!$A:$C,3,0),6)),-TRUNC(CE15/VLOOKUP("PCS-30631g",[3]ARBOR!$A:$C,3,0)-1,4)+0.0001,-TRUNC(CE15/VLOOKUP("PCS-30631g",[3]ARBOR!$A:$C,3,0)-1,4)))))</f>
        <v>0.13599999999999998</v>
      </c>
      <c r="CG15" s="117" t="str">
        <f>IF(ISERROR(IF(CF15="","",VLOOKUP(($BC15&amp;CF15&amp;"Template de desconto FLAT bundle - Velox XDSL - Varejo"),[3]BENEFICIOS!$A:$E,5,0))),"Criar",IF(CF15="","",VLOOKUP(($BC15&amp;CF15&amp;"Template de desconto FLAT bundle - Velox XDSL - Varejo"),[3]BENEFICIOS!$A:$E,5,0)))</f>
        <v>Criar</v>
      </c>
      <c r="CH15" s="123" t="s">
        <v>173</v>
      </c>
      <c r="CI15" s="121">
        <v>89.9</v>
      </c>
      <c r="CJ15" s="116">
        <f>IF(CI15=0,"",IF(CI15=VLOOKUP("PCS-30658g",[3]ARBOR!$A:$C,3,0),0.0001,IF(CI15&gt;VLOOKUP("PCS-30658g",[3]ARBOR!$A:$C,3,0),"Maior que CAP!",IF((DOLLAR(CI15+(VLOOKUP("PCS-30658g",[3]ARBOR!$A:$C,3,0)*-TRUNC(CI15/VLOOKUP("PCS-30658g",[3]ARBOR!$A:$C,3,0)-1,4)),6))&lt;&gt;(DOLLAR(VLOOKUP("PCS-30658g",[3]ARBOR!$A:$C,3,0),6)),-TRUNC(CI15/VLOOKUP("PCS-30658g",[3]ARBOR!$A:$C,3,0)-1,4)+0.0001,-TRUNC(CI15/VLOOKUP("PCS-30658g",[3]ARBOR!$A:$C,3,0)-1,4)))))</f>
        <v>0.1996</v>
      </c>
      <c r="CK15" s="117" t="str">
        <f>IF(ISERROR(IF(CJ15="","",VLOOKUP(($BC15&amp;CJ15&amp;"Template de desconto FLAT bundle - Velox XDSL - Varejo"),[3]BENEFICIOS!$A:$E,5,0))),"Criar",IF(CJ15="","",VLOOKUP(($BC15&amp;CJ15&amp;"Template de desconto FLAT bundle - Velox XDSL - Varejo"),[3]BENEFICIOS!$A:$E,5,0)))</f>
        <v>Criar</v>
      </c>
      <c r="CL15" s="123" t="s">
        <v>173</v>
      </c>
      <c r="CM15" s="121">
        <v>89.9</v>
      </c>
      <c r="CN15" s="116">
        <f>IF(CM15=0,"",IF(CM15=VLOOKUP("PCS-30685g",[3]ARBOR!$A:$C,3,0),0.0001,IF(CM15&gt;VLOOKUP("PCS-30685g",[3]ARBOR!$A:$C,3,0),"Maior que CAP!",IF((DOLLAR(CM15+(VLOOKUP("PCS-30685g",[3]ARBOR!$A:$C,3,0)*-TRUNC(CM15/VLOOKUP("PCS-30685g",[3]ARBOR!$A:$C,3,0)-1,4)),6))&lt;&gt;(DOLLAR(VLOOKUP("PCS-30685g",[3]ARBOR!$A:$C,3,0),6)),-TRUNC(CM15/VLOOKUP("PCS-30685g",[3]ARBOR!$A:$C,3,0)-1,4)+0.0001,-TRUNC(CM15/VLOOKUP("PCS-30685g",[3]ARBOR!$A:$C,3,0)-1,4)))))</f>
        <v>0.28849999999999998</v>
      </c>
      <c r="CO15" s="117" t="str">
        <f>IF(ISERROR(IF(CN15="","",VLOOKUP(($BC15&amp;CN15&amp;"Template de desconto FLAT bundle - Velox XDSL - Varejo"),[3]BENEFICIOS!$A:$E,5,0))),"Criar",IF(CN15="","",VLOOKUP(($BC15&amp;CN15&amp;"Template de desconto FLAT bundle - Velox XDSL - Varejo"),[3]BENEFICIOS!$A:$E,5,0)))</f>
        <v>Criar</v>
      </c>
      <c r="CP15" s="123" t="s">
        <v>173</v>
      </c>
      <c r="CQ15" s="121">
        <v>89.9</v>
      </c>
      <c r="CR15" s="116">
        <f>IF(CQ15=0,"",IF(CQ15=VLOOKUP("PCS-30712g",[3]ARBOR!$A:$C,3,0),0.0001,IF(CQ15&gt;VLOOKUP("PCS-30712g",[3]ARBOR!$A:$C,3,0),"Maior que CAP!",IF((DOLLAR(CQ15+(VLOOKUP("PCS-30712g",[3]ARBOR!$A:$C,3,0)*-TRUNC(CQ15/VLOOKUP("PCS-30712g",[3]ARBOR!$A:$C,3,0)-1,4)),6))&lt;&gt;(DOLLAR(VLOOKUP("PCS-30712g",[3]ARBOR!$A:$C,3,0),6)),-TRUNC(CQ15/VLOOKUP("PCS-30712g",[3]ARBOR!$A:$C,3,0)-1,4)+0.0001,-TRUNC(CQ15/VLOOKUP("PCS-30712g",[3]ARBOR!$A:$C,3,0)-1,4)))))</f>
        <v>0.35959999999999998</v>
      </c>
      <c r="CS15" s="117" t="str">
        <f>IF(ISERROR(IF(CR15="","",VLOOKUP(($BC15&amp;CR15&amp;"Template de desconto FLAT bundle - Velox XDSL - Varejo"),[3]BENEFICIOS!$A:$E,5,0))),"Criar",IF(CR15="","",VLOOKUP(($BC15&amp;CR15&amp;"Template de desconto FLAT bundle - Velox XDSL - Varejo"),[3]BENEFICIOS!$A:$E,5,0)))</f>
        <v>Criar</v>
      </c>
      <c r="CT15" s="123" t="s">
        <v>173</v>
      </c>
      <c r="CU15" s="121">
        <v>99.9</v>
      </c>
      <c r="CV15" s="116">
        <f>IF(CU15=0,"",IF(CU15=VLOOKUP("PCS-30739g",[3]ARBOR!$A:$C,3,0),0.0001,IF(CU15&gt;VLOOKUP("PCS-30739g",[3]ARBOR!$A:$C,3,0),"Maior que CAP!",IF((DOLLAR(CU15+(VLOOKUP("PCS-30739g",[3]ARBOR!$A:$C,3,0)*-TRUNC(CU15/VLOOKUP("PCS-30739g",[3]ARBOR!$A:$C,3,0)-1,4)),6))&lt;&gt;(DOLLAR(VLOOKUP("PCS-30739g",[3]ARBOR!$A:$C,3,0),6)),-TRUNC(CU15/VLOOKUP("PCS-30739g",[3]ARBOR!$A:$C,3,0)-1,4)+0.0001,-TRUNC(CU15/VLOOKUP("PCS-30739g",[3]ARBOR!$A:$C,3,0)-1,4)))))</f>
        <v>0.52559999999999996</v>
      </c>
      <c r="CW15" s="117" t="str">
        <f>IF(ISERROR(IF(CV15="","",VLOOKUP(($BC15&amp;CV15&amp;"Template de desconto FLAT bundle - Velox XDSL - Varejo"),[3]BENEFICIOS!$A:$E,5,0))),"Criar",IF(CV15="","",VLOOKUP(($BC15&amp;CV15&amp;"Template de desconto FLAT bundle - Velox XDSL - Varejo"),[3]BENEFICIOS!$A:$E,5,0)))</f>
        <v>Criar</v>
      </c>
      <c r="CX15" s="121"/>
      <c r="CY15" s="150"/>
      <c r="CZ15" s="116" t="str">
        <f>IF(CX15=0,"",IF(CX15=VLOOKUP("PCS-30739g",[3]ARBOR!$A:$C,3,0),0.0001,IF(CX15&gt;VLOOKUP("PCS-30739g",[3]ARBOR!$A:$C,3,0),"Maior que CAP!",IF((DOLLAR(CX15+(VLOOKUP("PCS-30739g",[3]ARBOR!$A:$C,3,0)*-TRUNC(CX15/VLOOKUP("PCS-30739g",[3]ARBOR!$A:$C,3,0)-1,4)),6))&lt;&gt;(DOLLAR(VLOOKUP("PCS-30739g",[3]ARBOR!$A:$C,3,0),6)),(-TRUNC(CX15/VLOOKUP("PCS-30739g",[3]ARBOR!$A:$C,3,0)-1,4)+0.0001)-CV15,-TRUNC(CX15/VLOOKUP("PCS-30739g",[3]ARBOR!$A:$C,3,0)-1,4)-CV15))))</f>
        <v/>
      </c>
      <c r="DA15" s="117" t="str">
        <f>IF(ISERROR(IF(CZ15="","",VLOOKUP(($BC15&amp;CZ15&amp;"Template de desconto percentual Bundle - Velox XDSL - Varejo"),[3]BENEFICIOS!$A:$E,5,0))),"Criar",IF(CZ15="","",VLOOKUP(($BC15&amp;CZ15&amp;"Template de desconto percentual Bundle - Velox XDSL - Varejo"),[3]BENEFICIOS!$A:$E,5,0)))</f>
        <v/>
      </c>
      <c r="DB15" s="123" t="s">
        <v>173</v>
      </c>
      <c r="DC15" s="121">
        <v>99.9</v>
      </c>
      <c r="DD15" s="116">
        <f>IF(DC15=0,"",IF(DC15=VLOOKUP("PCS-30766g",[3]ARBOR!$A:$C,3,0),0.0001,IF(DC15&gt;VLOOKUP("PCS-30766g",[3]ARBOR!$A:$C,3,0),"Maior que CAP!",IF((DOLLAR(DC15+(VLOOKUP("PCS-30766g",[3]ARBOR!$A:$C,3,0)*-TRUNC(DC15/VLOOKUP("PCS-30766g",[3]ARBOR!$A:$C,3,0)-1,4)),6))&lt;&gt;(DOLLAR(VLOOKUP("PCS-30766g",[3]ARBOR!$A:$C,3,0),6)),-TRUNC(DC15/VLOOKUP("PCS-30766g",[3]ARBOR!$A:$C,3,0)-1,4)+0.0001,-TRUNC(DC15/VLOOKUP("PCS-30766g",[3]ARBOR!$A:$C,3,0)-1,4)))))</f>
        <v>0.64419999999999999</v>
      </c>
      <c r="DE15" s="117" t="str">
        <f>IF(ISERROR(IF(DD15="","",VLOOKUP(($BC15&amp;DD15&amp;"Template de desconto FLAT bundle - Velox XDSL - Varejo"),[3]BENEFICIOS!$A:$E,5,0))),"Criar",IF(DD15="","",VLOOKUP(($BC15&amp;DD15&amp;"Template de desconto FLAT bundle - Velox XDSL - Varejo"),[3]BENEFICIOS!$A:$E,5,0)))</f>
        <v>Criar</v>
      </c>
      <c r="DF15" s="121"/>
      <c r="DG15" s="150"/>
      <c r="DH15" s="116" t="str">
        <f>IF(DF15=0,"",IF(DF15=VLOOKUP("PCS-30766g",[3]ARBOR!$A:$C,3,0),0.0001,IF(DF15&gt;VLOOKUP("PCS-30766g",[3]ARBOR!$A:$C,3,0),"Maior que CAP!",IF((DOLLAR(DF15+(VLOOKUP("PCS-30766g",[3]ARBOR!$A:$C,3,0)*-TRUNC(DF15/VLOOKUP("PCS-30766g",[3]ARBOR!$A:$C,3,0)-1,4)),6))&lt;&gt;(DOLLAR(VLOOKUP("PCS-30766g",[3]ARBOR!$A:$C,3,0),6)),(-TRUNC(DF15/VLOOKUP("PCS-30766g",[3]ARBOR!$A:$C,3,0)-1,4)+0.0001)-DD15,-TRUNC(DF15/VLOOKUP("PCS-30766g",[3]ARBOR!$A:$C,3,0)-1,4)-DD15))))</f>
        <v/>
      </c>
      <c r="DI15" s="117" t="str">
        <f>IF(ISERROR(IF(DH15="","",VLOOKUP(($BC15&amp;DH15&amp;"Template de desconto percentual Bundle - Velox XDSL - Varejo"),[3]BENEFICIOS!$A:$E,5,0))),"Criar",IF(DH15="","",VLOOKUP(($BC15&amp;DH15&amp;"Template de desconto percentual Bundle - Velox XDSL - Varejo"),[3]BENEFICIOS!$A:$E,5,0)))</f>
        <v/>
      </c>
      <c r="DJ15" s="123" t="s">
        <v>230</v>
      </c>
      <c r="DK15" s="121">
        <v>109.9</v>
      </c>
      <c r="DL15" s="116">
        <f>IF(DK15=0,"",IF(DK15=VLOOKUP("PCS-30793g",[3]ARBOR!$A:$C,3,0),0.0001,IF(DK15&gt;VLOOKUP("PCS-30793g",[3]ARBOR!$A:$C,3,0),"Maior que CAP!",IF((DOLLAR(DK15+(VLOOKUP("PCS-30793g",[3]ARBOR!$A:$C,3,0)*-TRUNC(DK15/VLOOKUP("PCS-30793g",[3]ARBOR!$A:$C,3,0)-1,4)),6))&lt;&gt;(DOLLAR(VLOOKUP("PCS-30793g",[3]ARBOR!$A:$C,3,0),6)),-TRUNC(DK15/VLOOKUP("PCS-30793g",[3]ARBOR!$A:$C,3,0)-1,4)+0.0001,-TRUNC(DK15/VLOOKUP("PCS-30793g",[3]ARBOR!$A:$C,3,0)-1,4)))))</f>
        <v>0.60860000000000003</v>
      </c>
      <c r="DM15" s="117" t="str">
        <f>IF(ISERROR(IF(DL15="","",VLOOKUP(($BC15&amp;DL15&amp;"Template de desconto FLAT bundle - Velox XDSL - Varejo"),[3]BENEFICIOS!$A:$E,5,0))),"Criar",IF(DL15="","",VLOOKUP(($BC15&amp;DL15&amp;"Template de desconto FLAT bundle - Velox XDSL - Varejo"),[3]BENEFICIOS!$A:$E,5,0)))</f>
        <v>Criar</v>
      </c>
      <c r="DN15" s="121"/>
      <c r="DO15" s="150"/>
      <c r="DP15" s="116" t="str">
        <f>IF(DN15=0,"",IF(DN15=VLOOKUP("PCS-30793g",[3]ARBOR!$A:$C,3,0),0.0001,IF(DN15&gt;VLOOKUP("PCS-30793g",[3]ARBOR!$A:$C,3,0),"Maior que CAP!",IF((DOLLAR(DN15+(VLOOKUP("PCS-30793g",[3]ARBOR!$A:$C,3,0)*-TRUNC(DN15/VLOOKUP("PCS-30793g",[3]ARBOR!$A:$C,3,0)-1,4)),6))&lt;&gt;(DOLLAR(VLOOKUP("PCS-30793g",[3]ARBOR!$A:$C,3,0),6)),(-TRUNC(DN15/VLOOKUP("PCS-30793g",[3]ARBOR!$A:$C,3,0)-1,4)+0.0001)-DL15,-TRUNC(DN15/VLOOKUP("PCS-30793g",[3]ARBOR!$A:$C,3,0)-1,4)-DL15))))</f>
        <v/>
      </c>
      <c r="DQ15" s="117" t="str">
        <f>IF(ISERROR(IF(DP15="","",VLOOKUP(($BC15&amp;DP15&amp;"Template de desconto percentual Bundle - Velox XDSL - Varejo"),[3]BENEFICIOS!$A:$E,5,0))),"Criar",IF(DP15="","",VLOOKUP(($BC15&amp;DP15&amp;"Template de desconto percentual Bundle - Velox XDSL - Varejo"),[3]BENEFICIOS!$A:$E,5,0)))</f>
        <v/>
      </c>
      <c r="DR15" s="123" t="s">
        <v>173</v>
      </c>
      <c r="DS15" s="121">
        <v>109.9</v>
      </c>
      <c r="DT15" s="116">
        <f>IF(DS15=0,"",IF(DS15=VLOOKUP("PCS-30820g",[3]ARBOR!$A:$C,3,0),0.0001,IF(DS15&gt;VLOOKUP("PCS-30820g",[3]ARBOR!$A:$C,3,0),"Maior que CAP!",IF((DOLLAR(DS15+(VLOOKUP("PCS-30820g",[3]ARBOR!$A:$C,3,0)*-TRUNC(DS15/VLOOKUP("PCS-30820g",[3]ARBOR!$A:$C,3,0)-1,4)),6))&lt;&gt;(DOLLAR(VLOOKUP("PCS-30820g",[3]ARBOR!$A:$C,3,0),6)),-TRUNC(DS15/VLOOKUP("PCS-30820g",[3]ARBOR!$A:$C,3,0)-1,4)+0.0001,-TRUNC(DS15/VLOOKUP("PCS-30820g",[3]ARBOR!$A:$C,3,0)-1,4)))))</f>
        <v>0.60860000000000003</v>
      </c>
      <c r="DU15" s="117" t="str">
        <f>IF(ISERROR(IF(DT15="","",VLOOKUP(($BC15&amp;DT15&amp;"Template de desconto FLAT bundle - Velox XDSL - Varejo"),[3]BENEFICIOS!$A:$E,5,0))),"Criar",IF(DT15="","",VLOOKUP(($BC15&amp;DT15&amp;"Template de desconto FLAT bundle - Velox XDSL - Varejo"),[3]BENEFICIOS!$A:$E,5,0)))</f>
        <v>Criar</v>
      </c>
      <c r="DV15" s="121"/>
      <c r="DW15" s="150"/>
      <c r="DX15" s="116" t="str">
        <f>IF(DV15=0,"",IF(DV15=VLOOKUP("PCS-30820g",[3]ARBOR!$A:$C,3,0),0.0001,IF(DV15&gt;VLOOKUP("PCS-30820g",[3]ARBOR!$A:$C,3,0),"Maior que CAP!",IF((DOLLAR(DV15+(VLOOKUP("PCS-30820g",[3]ARBOR!$A:$C,3,0)*-TRUNC(DV15/VLOOKUP("PCS-30820g",[3]ARBOR!$A:$C,3,0)-1,4)),6))&lt;&gt;(DOLLAR(VLOOKUP("PCS-30820g",[3]ARBOR!$A:$C,3,0),6)),(-TRUNC(DV15/VLOOKUP("PCS-30820g",[3]ARBOR!$A:$C,3,0)-1,4)+0.0001)-DT15,-TRUNC(DV15/VLOOKUP("PCS-30820g",[3]ARBOR!$A:$C,3,0)-1,4)-DT15))))</f>
        <v/>
      </c>
      <c r="DY15" s="117" t="str">
        <f>IF(ISERROR(IF(DX15="","",VLOOKUP(($BC15&amp;DX15&amp;"Template de desconto percentual Bundle - Velox XDSL - Varejo"),[3]BENEFICIOS!$A:$E,5,0))),"Criar",IF(DX15="","",VLOOKUP(($BC15&amp;DX15&amp;"Template de desconto percentual Bundle - Velox XDSL - Varejo"),[3]BENEFICIOS!$A:$E,5,0)))</f>
        <v/>
      </c>
      <c r="DZ15" s="124"/>
      <c r="EA15" s="116" t="str">
        <f>IF(DZ15=0,"",IF(DZ15=VLOOKUP("PCS-21448p2",[3]ARBOR!$A:$C,3,0),0.0001,IF(DZ15&gt;VLOOKUP("PCS-21448p2",[3]ARBOR!$A:$C,3,0),"Maior que CAP!",IF((DOLLAR(DZ15+(VLOOKUP("PCS-21448p2",[3]ARBOR!$A:$C,3,0)*-TRUNC(DZ15/VLOOKUP("PCS-21448p2",[3]ARBOR!$A:$C,3,0)-1,4)),6))&lt;&gt;(DOLLAR(VLOOKUP("PCS-21448p2",[3]ARBOR!$A:$C,3,0),6)),-TRUNC(DZ15/VLOOKUP("PCS-21448p2",[3]ARBOR!$A:$C,3,0)-1,4)+0.0001,-TRUNC(DZ15/VLOOKUP("PCS-21448p2",[3]ARBOR!$A:$C,3,0)-1,4)))))</f>
        <v/>
      </c>
      <c r="EB15" s="117" t="str">
        <f>IF(ISERROR(IF(EA15="","",VLOOKUP(("Oi Conta Total Plug 10GB Downgrade"&amp;EA15&amp;"Template de desconto percentual BL Móvel - Internet Total - Varejo"),[3]BENEFICIOS!$A:$E,5,0))),"Criar",IF(EA15="","",VLOOKUP(("Oi Conta Total Plug 10GB Downgrade"&amp;EA15&amp;"Template de desconto percentual BL Móvel - Internet Total - Varejo"),[3]BENEFICIOS!$A:$E,5,0)))</f>
        <v/>
      </c>
      <c r="EC15" s="145">
        <v>19.899999999999999</v>
      </c>
      <c r="ED15" s="126">
        <f>IF(EC15=0,"",IF(EC15=VLOOKUP("SVA",[3]ARBOR!$A:$C,3,0),0.0001,IF(EC15&gt;VLOOKUP("SVA",[3]ARBOR!$A:$C,3,0),"Maior que CAP!",IF((DOLLAR(EC15+(VLOOKUP("SVA",[3]ARBOR!$A:$C,3,0)*-TRUNC(EC15/VLOOKUP("SVA",[3]ARBOR!$A:$C,3,0)-1,4)),6))&lt;&gt;(DOLLAR(VLOOKUP("SVA",[3]ARBOR!$A:$C,3,0),6)),-TRUNC(EC15/VLOOKUP("SVA",[3]ARBOR!$A:$C,3,0)-1,4)+0.0001,-TRUNC(EC15/VLOOKUP("SVA",[3]ARBOR!$A:$C,3,0)-1,4)))))</f>
        <v>7.1400000000000005E-2</v>
      </c>
      <c r="EE15" s="127" t="s">
        <v>231</v>
      </c>
      <c r="EF15" s="151"/>
      <c r="EG15" s="152"/>
      <c r="EH15" s="153" t="str">
        <f t="shared" si="1"/>
        <v/>
      </c>
      <c r="EI15" s="154" t="str">
        <f>IF(EH15="S/Desc","S/Desc",IF(ISERROR(IF(EH15="","",VLOOKUP(($BC15&amp;EH15&amp;"Template Desc. % sobre Serviço SVA B2C"),[3]BENEFICIOS!$A:$G,5,0))),"Criar",IF(EH15="","",VLOOKUP(($BC15&amp;EH15&amp;"Template Desc. % sobre Serviço SVA B2C"),[3]BENEFICIOS!$A:$G,5,0))))</f>
        <v/>
      </c>
      <c r="EJ15" s="146" t="s">
        <v>209</v>
      </c>
      <c r="EK15" s="135"/>
      <c r="EL15" s="133"/>
      <c r="EM15" s="134"/>
      <c r="EN15" s="135"/>
      <c r="EO15" s="133"/>
      <c r="EP15" s="134"/>
      <c r="EQ15" s="136" t="s">
        <v>219</v>
      </c>
      <c r="ER15" s="137">
        <f t="shared" si="2"/>
        <v>149.91</v>
      </c>
      <c r="ES15" s="138" t="s">
        <v>220</v>
      </c>
      <c r="ET15" s="147" t="s">
        <v>264</v>
      </c>
      <c r="EU15" s="147" t="s">
        <v>227</v>
      </c>
      <c r="EV15" s="147"/>
      <c r="EW15" s="147"/>
      <c r="EX15" s="147"/>
      <c r="EY15" s="147"/>
      <c r="EZ15" s="147"/>
      <c r="FA15" s="147"/>
      <c r="FB15" s="148"/>
    </row>
    <row r="16" spans="1:158" x14ac:dyDescent="0.25">
      <c r="A16" s="90" t="s">
        <v>198</v>
      </c>
      <c r="B16" s="91" t="s">
        <v>199</v>
      </c>
      <c r="C16" s="91" t="s">
        <v>200</v>
      </c>
      <c r="D16" s="92" t="s">
        <v>201</v>
      </c>
      <c r="E16" s="93" t="s">
        <v>202</v>
      </c>
      <c r="F16" s="94" t="s">
        <v>202</v>
      </c>
      <c r="G16" s="94"/>
      <c r="H16" s="94"/>
      <c r="I16" s="94"/>
      <c r="J16" s="94" t="s">
        <v>202</v>
      </c>
      <c r="K16" s="94" t="s">
        <v>202</v>
      </c>
      <c r="L16" s="94" t="s">
        <v>202</v>
      </c>
      <c r="M16" s="94" t="s">
        <v>202</v>
      </c>
      <c r="N16" s="94"/>
      <c r="O16" s="94"/>
      <c r="P16" s="94"/>
      <c r="Q16" s="94"/>
      <c r="R16" s="94"/>
      <c r="S16" s="94" t="s">
        <v>202</v>
      </c>
      <c r="T16" s="95" t="s">
        <v>202</v>
      </c>
      <c r="U16" s="94" t="s">
        <v>202</v>
      </c>
      <c r="V16" s="95"/>
      <c r="W16" s="94"/>
      <c r="X16" s="94" t="s">
        <v>202</v>
      </c>
      <c r="Y16" s="94" t="s">
        <v>202</v>
      </c>
      <c r="Z16" s="94"/>
      <c r="AA16" s="95"/>
      <c r="AB16" s="94"/>
      <c r="AC16" s="141"/>
      <c r="AD16" s="94"/>
      <c r="AE16" s="94"/>
      <c r="AF16" s="94"/>
      <c r="AG16" s="94"/>
      <c r="AH16" s="94"/>
      <c r="AI16" s="94"/>
      <c r="AJ16" s="94"/>
      <c r="AK16" s="94"/>
      <c r="AL16" s="97"/>
      <c r="AM16" s="98" t="s">
        <v>265</v>
      </c>
      <c r="AN16" s="99" t="s">
        <v>204</v>
      </c>
      <c r="AO16" s="99" t="s">
        <v>266</v>
      </c>
      <c r="AP16" s="100">
        <v>42912</v>
      </c>
      <c r="AQ16" s="101">
        <v>43004</v>
      </c>
      <c r="AR16" s="102" t="s">
        <v>206</v>
      </c>
      <c r="AS16" s="103" t="s">
        <v>206</v>
      </c>
      <c r="AT16" s="104"/>
      <c r="AU16" s="104" t="s">
        <v>207</v>
      </c>
      <c r="AV16" s="104">
        <v>20</v>
      </c>
      <c r="AW16" s="104">
        <v>10000</v>
      </c>
      <c r="AX16" s="105" t="s">
        <v>208</v>
      </c>
      <c r="AY16" s="106" t="s">
        <v>209</v>
      </c>
      <c r="AZ16" s="107" t="s">
        <v>209</v>
      </c>
      <c r="BA16" s="108" t="s">
        <v>209</v>
      </c>
      <c r="BB16" s="98" t="s">
        <v>265</v>
      </c>
      <c r="BC16" s="109" t="s">
        <v>237</v>
      </c>
      <c r="BD16" s="110" t="str">
        <f t="shared" si="0"/>
        <v>PCS-2PFBL2</v>
      </c>
      <c r="BE16" s="111" t="s">
        <v>201</v>
      </c>
      <c r="BF16" s="112" t="s">
        <v>211</v>
      </c>
      <c r="BG16" s="143">
        <v>12</v>
      </c>
      <c r="BH16" s="149">
        <v>144</v>
      </c>
      <c r="BI16" s="115">
        <v>65.010000000000005</v>
      </c>
      <c r="BJ16" s="116">
        <f>IF(BI16=0,"",IF(BI16=VLOOKUP("FIXO",[3]ARBOR!$A:$C,3,0),0.0001,IF(BI16&gt;VLOOKUP("FIXO",[3]ARBOR!$A:$C,3,0),"Maior que CAP!",IF((DOLLAR(BI16+(VLOOKUP("FIXO",[3]ARBOR!$A:$C,3,0)*-TRUNC(BI16/VLOOKUP("FIXO",[3]ARBOR!$A:$C,3,0)-1,4)),6))&lt;&gt;(DOLLAR(VLOOKUP("FIXO",[3]ARBOR!$A:$C,3,0),6)),-TRUNC(BI16/VLOOKUP("FIXO",[3]ARBOR!$A:$C,3,0)-1,4)+0.0001,-TRUNC(BI16/VLOOKUP("FIXO",[3]ARBOR!$A:$C,3,0)-1,4)))))</f>
        <v>0.1429</v>
      </c>
      <c r="BK16" s="117" t="str">
        <f>IF(ISERROR(IF(BJ16="","",VLOOKUP(($BC16&amp;BJ16&amp;"Template de desconto FLAT bundle - Fixo - Varejo - Ganho Tributário Cross"),[3]BENEFICIOS!$A:$E,5,0))),"Criar",IF(BJ16="","",VLOOKUP(($BC16&amp;BJ16&amp;"Template de desconto FLAT bundle - Fixo - Varejo - Ganho Tributário Cross"),[3]BENEFICIOS!$A:$E,5,0)))</f>
        <v>Criar</v>
      </c>
      <c r="BL16" s="65" t="s">
        <v>212</v>
      </c>
      <c r="BM16" s="66" t="s">
        <v>213</v>
      </c>
      <c r="BN16" s="111" t="s">
        <v>201</v>
      </c>
      <c r="BO16" s="112" t="s">
        <v>214</v>
      </c>
      <c r="BP16" s="143">
        <v>12</v>
      </c>
      <c r="BQ16" s="143">
        <v>60</v>
      </c>
      <c r="BR16" s="144" t="s">
        <v>230</v>
      </c>
      <c r="BS16" s="121">
        <v>84.9</v>
      </c>
      <c r="BT16" s="116">
        <f>IF(BS16=0,"",IF(BS16=VLOOKUP("PCS-30874g",[3]ARBOR!$A:$C,3,0),0.0001,IF(BS16&gt;VLOOKUP("PCS-30874g",[3]ARBOR!$A:$C,3,0),"Maior que CAP!",IF((DOLLAR(BS16+(VLOOKUP("PCS-30874g",[3]ARBOR!$A:$C,3,0)*-TRUNC(BS16/VLOOKUP("PCS-30874g",[3]ARBOR!$A:$C,3,0)-1,4)),6))&lt;&gt;(DOLLAR(VLOOKUP("PCS-30874g",[3]ARBOR!$A:$C,3,0),6)),-TRUNC(BS16/VLOOKUP("PCS-30874g",[3]ARBOR!$A:$C,3,0)-1,4)+0.0001,-TRUNC(BS16/VLOOKUP("PCS-30874g",[3]ARBOR!$A:$C,3,0)-1,4)))))</f>
        <v>0.1242</v>
      </c>
      <c r="BU16" s="117" t="str">
        <f>IF(ISERROR(IF(BT16="","",VLOOKUP(($BC16&amp;BT16&amp;"Template de desconto FLAT bundle - Velox XDSL - Varejo"),[3]BENEFICIOS!$A:$E,5,0))),"Criar",IF(BT16="","",VLOOKUP(($BC16&amp;BT16&amp;"Template de desconto FLAT bundle - Velox XDSL - Varejo"),[3]BENEFICIOS!$A:$E,5,0)))</f>
        <v>Criar</v>
      </c>
      <c r="BV16" s="144" t="s">
        <v>230</v>
      </c>
      <c r="BW16" s="121">
        <v>84.9</v>
      </c>
      <c r="BX16" s="116">
        <f>IF(BW16=0,"",IF(BW16=VLOOKUP("PCS-30577g",[3]ARBOR!$A:$C,3,0),0.0001,IF(BW16&gt;VLOOKUP("PCS-30577g",[3]ARBOR!$A:$C,3,0),"Maior que CAP!",IF((DOLLAR(BW16+(VLOOKUP("PCS-30577g",[3]ARBOR!$A:$C,3,0)*-TRUNC(BW16/VLOOKUP("PCS-30577g",[3]ARBOR!$A:$C,3,0)-1,4)),6))&lt;&gt;(DOLLAR(VLOOKUP("PCS-30577g",[3]ARBOR!$A:$C,3,0),6)),-TRUNC(BW16/VLOOKUP("PCS-30577g",[3]ARBOR!$A:$C,3,0)-1,4)+0.0001,-TRUNC(BW16/VLOOKUP("PCS-30577g",[3]ARBOR!$A:$C,3,0)-1,4)))))</f>
        <v>0.1242</v>
      </c>
      <c r="BY16" s="117" t="str">
        <f>IF(ISERROR(IF(BX16="","",VLOOKUP(($BC16&amp;BX16&amp;"Template de desconto FLAT bundle - Velox XDSL - Varejo"),[3]BENEFICIOS!$A:$E,5,0))),"Criar",IF(BX16="","",VLOOKUP(($BC16&amp;BX16&amp;"Template de desconto FLAT bundle - Velox XDSL - Varejo"),[3]BENEFICIOS!$A:$E,5,0)))</f>
        <v>Criar</v>
      </c>
      <c r="BZ16" s="144" t="s">
        <v>230</v>
      </c>
      <c r="CA16" s="121">
        <v>84.9</v>
      </c>
      <c r="CB16" s="116">
        <f>IF(CA16=0,"",IF(CA16=VLOOKUP("PCS-30604g",[3]ARBOR!$A:$C,3,0),0.0001,IF(CA16&gt;VLOOKUP("PCS-30604g",[3]ARBOR!$A:$C,3,0),"Maior que CAP!",IF((DOLLAR(CA16+(VLOOKUP("PCS-30604g",[3]ARBOR!$A:$C,3,0)*-TRUNC(CA16/VLOOKUP("PCS-30604g",[3]ARBOR!$A:$C,3,0)-1,4)),6))&lt;&gt;(DOLLAR(VLOOKUP("PCS-30604g",[3]ARBOR!$A:$C,3,0),6)),-TRUNC(CA16/VLOOKUP("PCS-30604g",[3]ARBOR!$A:$C,3,0)-1,4)+0.0001,-TRUNC(CA16/VLOOKUP("PCS-30604g",[3]ARBOR!$A:$C,3,0)-1,4)))))</f>
        <v>0.1242</v>
      </c>
      <c r="CC16" s="117" t="str">
        <f>IF(ISERROR(IF(CB16="","",VLOOKUP(($BC16&amp;CB16&amp;"Template de desconto FLAT bundle - Velox XDSL - Varejo"),[3]BENEFICIOS!$A:$E,5,0))),"Criar",IF(CB16="","",VLOOKUP(($BC16&amp;CB16&amp;"Template de desconto FLAT bundle - Velox XDSL - Varejo"),[3]BENEFICIOS!$A:$E,5,0)))</f>
        <v>Criar</v>
      </c>
      <c r="CD16" s="144" t="s">
        <v>230</v>
      </c>
      <c r="CE16" s="121">
        <v>84.9</v>
      </c>
      <c r="CF16" s="116">
        <f>IF(CE16=0,"",IF(CE16=VLOOKUP("PCS-30631g",[3]ARBOR!$A:$C,3,0),0.0001,IF(CE16&gt;VLOOKUP("PCS-30631g",[3]ARBOR!$A:$C,3,0),"Maior que CAP!",IF((DOLLAR(CE16+(VLOOKUP("PCS-30631g",[3]ARBOR!$A:$C,3,0)*-TRUNC(CE16/VLOOKUP("PCS-30631g",[3]ARBOR!$A:$C,3,0)-1,4)),6))&lt;&gt;(DOLLAR(VLOOKUP("PCS-30631g",[3]ARBOR!$A:$C,3,0),6)),-TRUNC(CE16/VLOOKUP("PCS-30631g",[3]ARBOR!$A:$C,3,0)-1,4)+0.0001,-TRUNC(CE16/VLOOKUP("PCS-30631g",[3]ARBOR!$A:$C,3,0)-1,4)))))</f>
        <v>0.13599999999999998</v>
      </c>
      <c r="CG16" s="117" t="str">
        <f>IF(ISERROR(IF(CF16="","",VLOOKUP(($BC16&amp;CF16&amp;"Template de desconto FLAT bundle - Velox XDSL - Varejo"),[3]BENEFICIOS!$A:$E,5,0))),"Criar",IF(CF16="","",VLOOKUP(($BC16&amp;CF16&amp;"Template de desconto FLAT bundle - Velox XDSL - Varejo"),[3]BENEFICIOS!$A:$E,5,0)))</f>
        <v>Criar</v>
      </c>
      <c r="CH16" s="123" t="s">
        <v>173</v>
      </c>
      <c r="CI16" s="121">
        <v>89.9</v>
      </c>
      <c r="CJ16" s="116">
        <f>IF(CI16=0,"",IF(CI16=VLOOKUP("PCS-30658g",[3]ARBOR!$A:$C,3,0),0.0001,IF(CI16&gt;VLOOKUP("PCS-30658g",[3]ARBOR!$A:$C,3,0),"Maior que CAP!",IF((DOLLAR(CI16+(VLOOKUP("PCS-30658g",[3]ARBOR!$A:$C,3,0)*-TRUNC(CI16/VLOOKUP("PCS-30658g",[3]ARBOR!$A:$C,3,0)-1,4)),6))&lt;&gt;(DOLLAR(VLOOKUP("PCS-30658g",[3]ARBOR!$A:$C,3,0),6)),-TRUNC(CI16/VLOOKUP("PCS-30658g",[3]ARBOR!$A:$C,3,0)-1,4)+0.0001,-TRUNC(CI16/VLOOKUP("PCS-30658g",[3]ARBOR!$A:$C,3,0)-1,4)))))</f>
        <v>0.1996</v>
      </c>
      <c r="CK16" s="117" t="str">
        <f>IF(ISERROR(IF(CJ16="","",VLOOKUP(($BC16&amp;CJ16&amp;"Template de desconto FLAT bundle - Velox XDSL - Varejo"),[3]BENEFICIOS!$A:$E,5,0))),"Criar",IF(CJ16="","",VLOOKUP(($BC16&amp;CJ16&amp;"Template de desconto FLAT bundle - Velox XDSL - Varejo"),[3]BENEFICIOS!$A:$E,5,0)))</f>
        <v>Criar</v>
      </c>
      <c r="CL16" s="123" t="s">
        <v>173</v>
      </c>
      <c r="CM16" s="121">
        <v>89.9</v>
      </c>
      <c r="CN16" s="116">
        <f>IF(CM16=0,"",IF(CM16=VLOOKUP("PCS-30685g",[3]ARBOR!$A:$C,3,0),0.0001,IF(CM16&gt;VLOOKUP("PCS-30685g",[3]ARBOR!$A:$C,3,0),"Maior que CAP!",IF((DOLLAR(CM16+(VLOOKUP("PCS-30685g",[3]ARBOR!$A:$C,3,0)*-TRUNC(CM16/VLOOKUP("PCS-30685g",[3]ARBOR!$A:$C,3,0)-1,4)),6))&lt;&gt;(DOLLAR(VLOOKUP("PCS-30685g",[3]ARBOR!$A:$C,3,0),6)),-TRUNC(CM16/VLOOKUP("PCS-30685g",[3]ARBOR!$A:$C,3,0)-1,4)+0.0001,-TRUNC(CM16/VLOOKUP("PCS-30685g",[3]ARBOR!$A:$C,3,0)-1,4)))))</f>
        <v>0.28849999999999998</v>
      </c>
      <c r="CO16" s="117" t="str">
        <f>IF(ISERROR(IF(CN16="","",VLOOKUP(($BC16&amp;CN16&amp;"Template de desconto FLAT bundle - Velox XDSL - Varejo"),[3]BENEFICIOS!$A:$E,5,0))),"Criar",IF(CN16="","",VLOOKUP(($BC16&amp;CN16&amp;"Template de desconto FLAT bundle - Velox XDSL - Varejo"),[3]BENEFICIOS!$A:$E,5,0)))</f>
        <v>Criar</v>
      </c>
      <c r="CP16" s="123" t="s">
        <v>173</v>
      </c>
      <c r="CQ16" s="121">
        <v>89.9</v>
      </c>
      <c r="CR16" s="116">
        <f>IF(CQ16=0,"",IF(CQ16=VLOOKUP("PCS-30712g",[3]ARBOR!$A:$C,3,0),0.0001,IF(CQ16&gt;VLOOKUP("PCS-30712g",[3]ARBOR!$A:$C,3,0),"Maior que CAP!",IF((DOLLAR(CQ16+(VLOOKUP("PCS-30712g",[3]ARBOR!$A:$C,3,0)*-TRUNC(CQ16/VLOOKUP("PCS-30712g",[3]ARBOR!$A:$C,3,0)-1,4)),6))&lt;&gt;(DOLLAR(VLOOKUP("PCS-30712g",[3]ARBOR!$A:$C,3,0),6)),-TRUNC(CQ16/VLOOKUP("PCS-30712g",[3]ARBOR!$A:$C,3,0)-1,4)+0.0001,-TRUNC(CQ16/VLOOKUP("PCS-30712g",[3]ARBOR!$A:$C,3,0)-1,4)))))</f>
        <v>0.35959999999999998</v>
      </c>
      <c r="CS16" s="117" t="str">
        <f>IF(ISERROR(IF(CR16="","",VLOOKUP(($BC16&amp;CR16&amp;"Template de desconto FLAT bundle - Velox XDSL - Varejo"),[3]BENEFICIOS!$A:$E,5,0))),"Criar",IF(CR16="","",VLOOKUP(($BC16&amp;CR16&amp;"Template de desconto FLAT bundle - Velox XDSL - Varejo"),[3]BENEFICIOS!$A:$E,5,0)))</f>
        <v>Criar</v>
      </c>
      <c r="CT16" s="123" t="s">
        <v>173</v>
      </c>
      <c r="CU16" s="121">
        <v>99.9</v>
      </c>
      <c r="CV16" s="116">
        <f>IF(CU16=0,"",IF(CU16=VLOOKUP("PCS-30739g",[3]ARBOR!$A:$C,3,0),0.0001,IF(CU16&gt;VLOOKUP("PCS-30739g",[3]ARBOR!$A:$C,3,0),"Maior que CAP!",IF((DOLLAR(CU16+(VLOOKUP("PCS-30739g",[3]ARBOR!$A:$C,3,0)*-TRUNC(CU16/VLOOKUP("PCS-30739g",[3]ARBOR!$A:$C,3,0)-1,4)),6))&lt;&gt;(DOLLAR(VLOOKUP("PCS-30739g",[3]ARBOR!$A:$C,3,0),6)),-TRUNC(CU16/VLOOKUP("PCS-30739g",[3]ARBOR!$A:$C,3,0)-1,4)+0.0001,-TRUNC(CU16/VLOOKUP("PCS-30739g",[3]ARBOR!$A:$C,3,0)-1,4)))))</f>
        <v>0.52559999999999996</v>
      </c>
      <c r="CW16" s="117" t="str">
        <f>IF(ISERROR(IF(CV16="","",VLOOKUP(($BC16&amp;CV16&amp;"Template de desconto FLAT bundle - Velox XDSL - Varejo"),[3]BENEFICIOS!$A:$E,5,0))),"Criar",IF(CV16="","",VLOOKUP(($BC16&amp;CV16&amp;"Template de desconto FLAT bundle - Velox XDSL - Varejo"),[3]BENEFICIOS!$A:$E,5,0)))</f>
        <v>Criar</v>
      </c>
      <c r="CX16" s="121"/>
      <c r="CY16" s="150"/>
      <c r="CZ16" s="116" t="str">
        <f>IF(CX16=0,"",IF(CX16=VLOOKUP("PCS-30739g",[3]ARBOR!$A:$C,3,0),0.0001,IF(CX16&gt;VLOOKUP("PCS-30739g",[3]ARBOR!$A:$C,3,0),"Maior que CAP!",IF((DOLLAR(CX16+(VLOOKUP("PCS-30739g",[3]ARBOR!$A:$C,3,0)*-TRUNC(CX16/VLOOKUP("PCS-30739g",[3]ARBOR!$A:$C,3,0)-1,4)),6))&lt;&gt;(DOLLAR(VLOOKUP("PCS-30739g",[3]ARBOR!$A:$C,3,0),6)),(-TRUNC(CX16/VLOOKUP("PCS-30739g",[3]ARBOR!$A:$C,3,0)-1,4)+0.0001)-CV16,-TRUNC(CX16/VLOOKUP("PCS-30739g",[3]ARBOR!$A:$C,3,0)-1,4)-CV16))))</f>
        <v/>
      </c>
      <c r="DA16" s="117" t="str">
        <f>IF(ISERROR(IF(CZ16="","",VLOOKUP(($BC16&amp;CZ16&amp;"Template de desconto percentual Bundle - Velox XDSL - Varejo"),[3]BENEFICIOS!$A:$E,5,0))),"Criar",IF(CZ16="","",VLOOKUP(($BC16&amp;CZ16&amp;"Template de desconto percentual Bundle - Velox XDSL - Varejo"),[3]BENEFICIOS!$A:$E,5,0)))</f>
        <v/>
      </c>
      <c r="DB16" s="123" t="s">
        <v>173</v>
      </c>
      <c r="DC16" s="121">
        <v>99.9</v>
      </c>
      <c r="DD16" s="116">
        <f>IF(DC16=0,"",IF(DC16=VLOOKUP("PCS-30766g",[3]ARBOR!$A:$C,3,0),0.0001,IF(DC16&gt;VLOOKUP("PCS-30766g",[3]ARBOR!$A:$C,3,0),"Maior que CAP!",IF((DOLLAR(DC16+(VLOOKUP("PCS-30766g",[3]ARBOR!$A:$C,3,0)*-TRUNC(DC16/VLOOKUP("PCS-30766g",[3]ARBOR!$A:$C,3,0)-1,4)),6))&lt;&gt;(DOLLAR(VLOOKUP("PCS-30766g",[3]ARBOR!$A:$C,3,0),6)),-TRUNC(DC16/VLOOKUP("PCS-30766g",[3]ARBOR!$A:$C,3,0)-1,4)+0.0001,-TRUNC(DC16/VLOOKUP("PCS-30766g",[3]ARBOR!$A:$C,3,0)-1,4)))))</f>
        <v>0.64419999999999999</v>
      </c>
      <c r="DE16" s="117" t="str">
        <f>IF(ISERROR(IF(DD16="","",VLOOKUP(($BC16&amp;DD16&amp;"Template de desconto FLAT bundle - Velox XDSL - Varejo"),[3]BENEFICIOS!$A:$E,5,0))),"Criar",IF(DD16="","",VLOOKUP(($BC16&amp;DD16&amp;"Template de desconto FLAT bundle - Velox XDSL - Varejo"),[3]BENEFICIOS!$A:$E,5,0)))</f>
        <v>Criar</v>
      </c>
      <c r="DF16" s="121"/>
      <c r="DG16" s="150"/>
      <c r="DH16" s="116" t="str">
        <f>IF(DF16=0,"",IF(DF16=VLOOKUP("PCS-30766g",[3]ARBOR!$A:$C,3,0),0.0001,IF(DF16&gt;VLOOKUP("PCS-30766g",[3]ARBOR!$A:$C,3,0),"Maior que CAP!",IF((DOLLAR(DF16+(VLOOKUP("PCS-30766g",[3]ARBOR!$A:$C,3,0)*-TRUNC(DF16/VLOOKUP("PCS-30766g",[3]ARBOR!$A:$C,3,0)-1,4)),6))&lt;&gt;(DOLLAR(VLOOKUP("PCS-30766g",[3]ARBOR!$A:$C,3,0),6)),(-TRUNC(DF16/VLOOKUP("PCS-30766g",[3]ARBOR!$A:$C,3,0)-1,4)+0.0001)-DD16,-TRUNC(DF16/VLOOKUP("PCS-30766g",[3]ARBOR!$A:$C,3,0)-1,4)-DD16))))</f>
        <v/>
      </c>
      <c r="DI16" s="117" t="str">
        <f>IF(ISERROR(IF(DH16="","",VLOOKUP(($BC16&amp;DH16&amp;"Template de desconto percentual Bundle - Velox XDSL - Varejo"),[3]BENEFICIOS!$A:$E,5,0))),"Criar",IF(DH16="","",VLOOKUP(($BC16&amp;DH16&amp;"Template de desconto percentual Bundle - Velox XDSL - Varejo"),[3]BENEFICIOS!$A:$E,5,0)))</f>
        <v/>
      </c>
      <c r="DJ16" s="123" t="s">
        <v>230</v>
      </c>
      <c r="DK16" s="121">
        <v>109.9</v>
      </c>
      <c r="DL16" s="116">
        <f>IF(DK16=0,"",IF(DK16=VLOOKUP("PCS-30793g",[3]ARBOR!$A:$C,3,0),0.0001,IF(DK16&gt;VLOOKUP("PCS-30793g",[3]ARBOR!$A:$C,3,0),"Maior que CAP!",IF((DOLLAR(DK16+(VLOOKUP("PCS-30793g",[3]ARBOR!$A:$C,3,0)*-TRUNC(DK16/VLOOKUP("PCS-30793g",[3]ARBOR!$A:$C,3,0)-1,4)),6))&lt;&gt;(DOLLAR(VLOOKUP("PCS-30793g",[3]ARBOR!$A:$C,3,0),6)),-TRUNC(DK16/VLOOKUP("PCS-30793g",[3]ARBOR!$A:$C,3,0)-1,4)+0.0001,-TRUNC(DK16/VLOOKUP("PCS-30793g",[3]ARBOR!$A:$C,3,0)-1,4)))))</f>
        <v>0.60860000000000003</v>
      </c>
      <c r="DM16" s="117" t="str">
        <f>IF(ISERROR(IF(DL16="","",VLOOKUP(($BC16&amp;DL16&amp;"Template de desconto FLAT bundle - Velox XDSL - Varejo"),[3]BENEFICIOS!$A:$E,5,0))),"Criar",IF(DL16="","",VLOOKUP(($BC16&amp;DL16&amp;"Template de desconto FLAT bundle - Velox XDSL - Varejo"),[3]BENEFICIOS!$A:$E,5,0)))</f>
        <v>Criar</v>
      </c>
      <c r="DN16" s="121"/>
      <c r="DO16" s="150"/>
      <c r="DP16" s="116" t="str">
        <f>IF(DN16=0,"",IF(DN16=VLOOKUP("PCS-30793g",[3]ARBOR!$A:$C,3,0),0.0001,IF(DN16&gt;VLOOKUP("PCS-30793g",[3]ARBOR!$A:$C,3,0),"Maior que CAP!",IF((DOLLAR(DN16+(VLOOKUP("PCS-30793g",[3]ARBOR!$A:$C,3,0)*-TRUNC(DN16/VLOOKUP("PCS-30793g",[3]ARBOR!$A:$C,3,0)-1,4)),6))&lt;&gt;(DOLLAR(VLOOKUP("PCS-30793g",[3]ARBOR!$A:$C,3,0),6)),(-TRUNC(DN16/VLOOKUP("PCS-30793g",[3]ARBOR!$A:$C,3,0)-1,4)+0.0001)-DL16,-TRUNC(DN16/VLOOKUP("PCS-30793g",[3]ARBOR!$A:$C,3,0)-1,4)-DL16))))</f>
        <v/>
      </c>
      <c r="DQ16" s="117" t="str">
        <f>IF(ISERROR(IF(DP16="","",VLOOKUP(($BC16&amp;DP16&amp;"Template de desconto percentual Bundle - Velox XDSL - Varejo"),[3]BENEFICIOS!$A:$E,5,0))),"Criar",IF(DP16="","",VLOOKUP(($BC16&amp;DP16&amp;"Template de desconto percentual Bundle - Velox XDSL - Varejo"),[3]BENEFICIOS!$A:$E,5,0)))</f>
        <v/>
      </c>
      <c r="DR16" s="123" t="s">
        <v>173</v>
      </c>
      <c r="DS16" s="121">
        <v>109.9</v>
      </c>
      <c r="DT16" s="116">
        <f>IF(DS16=0,"",IF(DS16=VLOOKUP("PCS-30820g",[3]ARBOR!$A:$C,3,0),0.0001,IF(DS16&gt;VLOOKUP("PCS-30820g",[3]ARBOR!$A:$C,3,0),"Maior que CAP!",IF((DOLLAR(DS16+(VLOOKUP("PCS-30820g",[3]ARBOR!$A:$C,3,0)*-TRUNC(DS16/VLOOKUP("PCS-30820g",[3]ARBOR!$A:$C,3,0)-1,4)),6))&lt;&gt;(DOLLAR(VLOOKUP("PCS-30820g",[3]ARBOR!$A:$C,3,0),6)),-TRUNC(DS16/VLOOKUP("PCS-30820g",[3]ARBOR!$A:$C,3,0)-1,4)+0.0001,-TRUNC(DS16/VLOOKUP("PCS-30820g",[3]ARBOR!$A:$C,3,0)-1,4)))))</f>
        <v>0.60860000000000003</v>
      </c>
      <c r="DU16" s="117" t="str">
        <f>IF(ISERROR(IF(DT16="","",VLOOKUP(($BC16&amp;DT16&amp;"Template de desconto FLAT bundle - Velox XDSL - Varejo"),[3]BENEFICIOS!$A:$E,5,0))),"Criar",IF(DT16="","",VLOOKUP(($BC16&amp;DT16&amp;"Template de desconto FLAT bundle - Velox XDSL - Varejo"),[3]BENEFICIOS!$A:$E,5,0)))</f>
        <v>Criar</v>
      </c>
      <c r="DV16" s="121"/>
      <c r="DW16" s="150"/>
      <c r="DX16" s="116" t="str">
        <f>IF(DV16=0,"",IF(DV16=VLOOKUP("PCS-30820g",[3]ARBOR!$A:$C,3,0),0.0001,IF(DV16&gt;VLOOKUP("PCS-30820g",[3]ARBOR!$A:$C,3,0),"Maior que CAP!",IF((DOLLAR(DV16+(VLOOKUP("PCS-30820g",[3]ARBOR!$A:$C,3,0)*-TRUNC(DV16/VLOOKUP("PCS-30820g",[3]ARBOR!$A:$C,3,0)-1,4)),6))&lt;&gt;(DOLLAR(VLOOKUP("PCS-30820g",[3]ARBOR!$A:$C,3,0),6)),(-TRUNC(DV16/VLOOKUP("PCS-30820g",[3]ARBOR!$A:$C,3,0)-1,4)+0.0001)-DT16,-TRUNC(DV16/VLOOKUP("PCS-30820g",[3]ARBOR!$A:$C,3,0)-1,4)-DT16))))</f>
        <v/>
      </c>
      <c r="DY16" s="117" t="str">
        <f>IF(ISERROR(IF(DX16="","",VLOOKUP(($BC16&amp;DX16&amp;"Template de desconto percentual Bundle - Velox XDSL - Varejo"),[3]BENEFICIOS!$A:$E,5,0))),"Criar",IF(DX16="","",VLOOKUP(($BC16&amp;DX16&amp;"Template de desconto percentual Bundle - Velox XDSL - Varejo"),[3]BENEFICIOS!$A:$E,5,0)))</f>
        <v/>
      </c>
      <c r="DZ16" s="124"/>
      <c r="EA16" s="116" t="str">
        <f>IF(DZ16=0,"",IF(DZ16=VLOOKUP("PCS-21448p2",[3]ARBOR!$A:$C,3,0),0.0001,IF(DZ16&gt;VLOOKUP("PCS-21448p2",[3]ARBOR!$A:$C,3,0),"Maior que CAP!",IF((DOLLAR(DZ16+(VLOOKUP("PCS-21448p2",[3]ARBOR!$A:$C,3,0)*-TRUNC(DZ16/VLOOKUP("PCS-21448p2",[3]ARBOR!$A:$C,3,0)-1,4)),6))&lt;&gt;(DOLLAR(VLOOKUP("PCS-21448p2",[3]ARBOR!$A:$C,3,0),6)),-TRUNC(DZ16/VLOOKUP("PCS-21448p2",[3]ARBOR!$A:$C,3,0)-1,4)+0.0001,-TRUNC(DZ16/VLOOKUP("PCS-21448p2",[3]ARBOR!$A:$C,3,0)-1,4)))))</f>
        <v/>
      </c>
      <c r="EB16" s="117" t="str">
        <f>IF(ISERROR(IF(EA16="","",VLOOKUP(("Oi Conta Total Plug 10GB Downgrade"&amp;EA16&amp;"Template de desconto percentual BL Móvel - Internet Total - Varejo"),[3]BENEFICIOS!$A:$E,5,0))),"Criar",IF(EA16="","",VLOOKUP(("Oi Conta Total Plug 10GB Downgrade"&amp;EA16&amp;"Template de desconto percentual BL Móvel - Internet Total - Varejo"),[3]BENEFICIOS!$A:$E,5,0)))</f>
        <v/>
      </c>
      <c r="EC16" s="145">
        <v>19.899999999999999</v>
      </c>
      <c r="ED16" s="126">
        <f>IF(EC16=0,"",IF(EC16=VLOOKUP("SVA",[3]ARBOR!$A:$C,3,0),0.0001,IF(EC16&gt;VLOOKUP("SVA",[3]ARBOR!$A:$C,3,0),"Maior que CAP!",IF((DOLLAR(EC16+(VLOOKUP("SVA",[3]ARBOR!$A:$C,3,0)*-TRUNC(EC16/VLOOKUP("SVA",[3]ARBOR!$A:$C,3,0)-1,4)),6))&lt;&gt;(DOLLAR(VLOOKUP("SVA",[3]ARBOR!$A:$C,3,0),6)),-TRUNC(EC16/VLOOKUP("SVA",[3]ARBOR!$A:$C,3,0)-1,4)+0.0001,-TRUNC(EC16/VLOOKUP("SVA",[3]ARBOR!$A:$C,3,0)-1,4)))))</f>
        <v>7.1400000000000005E-2</v>
      </c>
      <c r="EE16" s="127" t="s">
        <v>231</v>
      </c>
      <c r="EF16" s="151"/>
      <c r="EG16" s="152"/>
      <c r="EH16" s="153" t="str">
        <f t="shared" si="1"/>
        <v/>
      </c>
      <c r="EI16" s="154" t="str">
        <f>IF(EH16="S/Desc","S/Desc",IF(ISERROR(IF(EH16="","",VLOOKUP(($BC16&amp;EH16&amp;"Template Desc. % sobre Serviço SVA B2C"),[3]BENEFICIOS!$A:$G,5,0))),"Criar",IF(EH16="","",VLOOKUP(($BC16&amp;EH16&amp;"Template Desc. % sobre Serviço SVA B2C"),[3]BENEFICIOS!$A:$G,5,0))))</f>
        <v/>
      </c>
      <c r="EJ16" s="146" t="s">
        <v>209</v>
      </c>
      <c r="EK16" s="135" t="s">
        <v>256</v>
      </c>
      <c r="EL16" s="133" t="s">
        <v>224</v>
      </c>
      <c r="EM16" s="134" t="s">
        <v>225</v>
      </c>
      <c r="EN16" s="135"/>
      <c r="EO16" s="133"/>
      <c r="EP16" s="134"/>
      <c r="EQ16" s="136" t="s">
        <v>219</v>
      </c>
      <c r="ER16" s="137">
        <f t="shared" si="2"/>
        <v>154.91000000000003</v>
      </c>
      <c r="ES16" s="138" t="s">
        <v>220</v>
      </c>
      <c r="ET16" s="147" t="s">
        <v>267</v>
      </c>
      <c r="EU16" s="147" t="s">
        <v>227</v>
      </c>
      <c r="EV16" s="147"/>
      <c r="EW16" s="147"/>
      <c r="EX16" s="147"/>
      <c r="EY16" s="147"/>
      <c r="EZ16" s="147"/>
      <c r="FA16" s="147"/>
      <c r="FB16" s="148"/>
    </row>
    <row r="17" spans="1:158" x14ac:dyDescent="0.25">
      <c r="A17" s="90" t="s">
        <v>198</v>
      </c>
      <c r="B17" s="91" t="s">
        <v>199</v>
      </c>
      <c r="C17" s="91" t="s">
        <v>200</v>
      </c>
      <c r="D17" s="92" t="s">
        <v>201</v>
      </c>
      <c r="E17" s="93" t="s">
        <v>202</v>
      </c>
      <c r="F17" s="94" t="s">
        <v>202</v>
      </c>
      <c r="G17" s="94"/>
      <c r="H17" s="94"/>
      <c r="I17" s="94"/>
      <c r="J17" s="94" t="s">
        <v>202</v>
      </c>
      <c r="K17" s="94" t="s">
        <v>202</v>
      </c>
      <c r="L17" s="94" t="s">
        <v>202</v>
      </c>
      <c r="M17" s="94" t="s">
        <v>202</v>
      </c>
      <c r="N17" s="94"/>
      <c r="O17" s="94"/>
      <c r="P17" s="94"/>
      <c r="Q17" s="94"/>
      <c r="R17" s="94"/>
      <c r="S17" s="94" t="s">
        <v>202</v>
      </c>
      <c r="T17" s="95" t="s">
        <v>202</v>
      </c>
      <c r="U17" s="94" t="s">
        <v>202</v>
      </c>
      <c r="V17" s="95"/>
      <c r="W17" s="94"/>
      <c r="X17" s="94" t="s">
        <v>202</v>
      </c>
      <c r="Y17" s="94" t="s">
        <v>202</v>
      </c>
      <c r="Z17" s="94"/>
      <c r="AA17" s="95"/>
      <c r="AB17" s="94"/>
      <c r="AC17" s="141"/>
      <c r="AD17" s="94"/>
      <c r="AE17" s="94"/>
      <c r="AF17" s="94"/>
      <c r="AG17" s="94"/>
      <c r="AH17" s="94"/>
      <c r="AI17" s="94"/>
      <c r="AJ17" s="94"/>
      <c r="AK17" s="94"/>
      <c r="AL17" s="97"/>
      <c r="AM17" s="98" t="s">
        <v>268</v>
      </c>
      <c r="AN17" s="99" t="s">
        <v>204</v>
      </c>
      <c r="AO17" s="99" t="s">
        <v>269</v>
      </c>
      <c r="AP17" s="100">
        <v>42912</v>
      </c>
      <c r="AQ17" s="101">
        <v>43004</v>
      </c>
      <c r="AR17" s="102" t="s">
        <v>206</v>
      </c>
      <c r="AS17" s="103" t="s">
        <v>206</v>
      </c>
      <c r="AT17" s="104"/>
      <c r="AU17" s="104" t="s">
        <v>207</v>
      </c>
      <c r="AV17" s="104">
        <v>20</v>
      </c>
      <c r="AW17" s="104">
        <v>10000</v>
      </c>
      <c r="AX17" s="105" t="s">
        <v>208</v>
      </c>
      <c r="AY17" s="106" t="s">
        <v>209</v>
      </c>
      <c r="AZ17" s="107" t="s">
        <v>209</v>
      </c>
      <c r="BA17" s="108" t="s">
        <v>209</v>
      </c>
      <c r="BB17" s="98" t="s">
        <v>268</v>
      </c>
      <c r="BC17" s="109" t="s">
        <v>244</v>
      </c>
      <c r="BD17" s="110" t="str">
        <f t="shared" si="0"/>
        <v>PCS-2PFBL3</v>
      </c>
      <c r="BE17" s="111" t="s">
        <v>201</v>
      </c>
      <c r="BF17" s="112" t="s">
        <v>211</v>
      </c>
      <c r="BG17" s="113">
        <v>12</v>
      </c>
      <c r="BH17" s="114">
        <v>144</v>
      </c>
      <c r="BI17" s="115">
        <v>60.01</v>
      </c>
      <c r="BJ17" s="116">
        <f>IF(BI17=0,"",IF(BI17=VLOOKUP("FIXO",[3]ARBOR!$A:$C,3,0),0.0001,IF(BI17&gt;VLOOKUP("FIXO",[3]ARBOR!$A:$C,3,0),"Maior que CAP!",IF((DOLLAR(BI17+(VLOOKUP("FIXO",[3]ARBOR!$A:$C,3,0)*-TRUNC(BI17/VLOOKUP("FIXO",[3]ARBOR!$A:$C,3,0)-1,4)),6))&lt;&gt;(DOLLAR(VLOOKUP("FIXO",[3]ARBOR!$A:$C,3,0),6)),-TRUNC(BI17/VLOOKUP("FIXO",[3]ARBOR!$A:$C,3,0)-1,4)+0.0001,-TRUNC(BI17/VLOOKUP("FIXO",[3]ARBOR!$A:$C,3,0)-1,4)))))</f>
        <v>0.20879999999999999</v>
      </c>
      <c r="BK17" s="117" t="str">
        <f>IF(ISERROR(IF(BJ17="","",VLOOKUP(($BC17&amp;BJ17&amp;"Template de desconto FLAT bundle - Fixo - Varejo - Ganho Tributário Cross"),[3]BENEFICIOS!$A:$E,5,0))),"Criar",IF(BJ17="","",VLOOKUP(($BC17&amp;BJ17&amp;"Template de desconto FLAT bundle - Fixo - Varejo - Ganho Tributário Cross"),[3]BENEFICIOS!$A:$E,5,0)))</f>
        <v>Criar</v>
      </c>
      <c r="BL17" s="65" t="s">
        <v>245</v>
      </c>
      <c r="BM17" s="66" t="s">
        <v>246</v>
      </c>
      <c r="BN17" s="111" t="s">
        <v>201</v>
      </c>
      <c r="BO17" s="112" t="s">
        <v>214</v>
      </c>
      <c r="BP17" s="143">
        <v>12</v>
      </c>
      <c r="BQ17" s="143">
        <v>60</v>
      </c>
      <c r="BR17" s="144" t="s">
        <v>230</v>
      </c>
      <c r="BS17" s="121">
        <v>84.9</v>
      </c>
      <c r="BT17" s="116">
        <f>IF(BS17=0,"",IF(BS17=VLOOKUP("PCS-30874g",[3]ARBOR!$A:$C,3,0),0.0001,IF(BS17&gt;VLOOKUP("PCS-30874g",[3]ARBOR!$A:$C,3,0),"Maior que CAP!",IF((DOLLAR(BS17+(VLOOKUP("PCS-30874g",[3]ARBOR!$A:$C,3,0)*-TRUNC(BS17/VLOOKUP("PCS-30874g",[3]ARBOR!$A:$C,3,0)-1,4)),6))&lt;&gt;(DOLLAR(VLOOKUP("PCS-30874g",[3]ARBOR!$A:$C,3,0),6)),-TRUNC(BS17/VLOOKUP("PCS-30874g",[3]ARBOR!$A:$C,3,0)-1,4)+0.0001,-TRUNC(BS17/VLOOKUP("PCS-30874g",[3]ARBOR!$A:$C,3,0)-1,4)))))</f>
        <v>0.1242</v>
      </c>
      <c r="BU17" s="117" t="str">
        <f>IF(ISERROR(IF(BT17="","",VLOOKUP(($BC17&amp;BT17&amp;"Template de desconto FLAT bundle - Velox XDSL - Varejo"),[3]BENEFICIOS!$A:$E,5,0))),"Criar",IF(BT17="","",VLOOKUP(($BC17&amp;BT17&amp;"Template de desconto FLAT bundle - Velox XDSL - Varejo"),[3]BENEFICIOS!$A:$E,5,0)))</f>
        <v>Criar</v>
      </c>
      <c r="BV17" s="144" t="s">
        <v>230</v>
      </c>
      <c r="BW17" s="121">
        <v>84.9</v>
      </c>
      <c r="BX17" s="116">
        <f>IF(BW17=0,"",IF(BW17=VLOOKUP("PCS-30577g",[3]ARBOR!$A:$C,3,0),0.0001,IF(BW17&gt;VLOOKUP("PCS-30577g",[3]ARBOR!$A:$C,3,0),"Maior que CAP!",IF((DOLLAR(BW17+(VLOOKUP("PCS-30577g",[3]ARBOR!$A:$C,3,0)*-TRUNC(BW17/VLOOKUP("PCS-30577g",[3]ARBOR!$A:$C,3,0)-1,4)),6))&lt;&gt;(DOLLAR(VLOOKUP("PCS-30577g",[3]ARBOR!$A:$C,3,0),6)),-TRUNC(BW17/VLOOKUP("PCS-30577g",[3]ARBOR!$A:$C,3,0)-1,4)+0.0001,-TRUNC(BW17/VLOOKUP("PCS-30577g",[3]ARBOR!$A:$C,3,0)-1,4)))))</f>
        <v>0.1242</v>
      </c>
      <c r="BY17" s="117" t="str">
        <f>IF(ISERROR(IF(BX17="","",VLOOKUP(($BC17&amp;BX17&amp;"Template de desconto FLAT bundle - Velox XDSL - Varejo"),[3]BENEFICIOS!$A:$E,5,0))),"Criar",IF(BX17="","",VLOOKUP(($BC17&amp;BX17&amp;"Template de desconto FLAT bundle - Velox XDSL - Varejo"),[3]BENEFICIOS!$A:$E,5,0)))</f>
        <v>Criar</v>
      </c>
      <c r="BZ17" s="144" t="s">
        <v>230</v>
      </c>
      <c r="CA17" s="121">
        <v>84.9</v>
      </c>
      <c r="CB17" s="116">
        <f>IF(CA17=0,"",IF(CA17=VLOOKUP("PCS-30604g",[3]ARBOR!$A:$C,3,0),0.0001,IF(CA17&gt;VLOOKUP("PCS-30604g",[3]ARBOR!$A:$C,3,0),"Maior que CAP!",IF((DOLLAR(CA17+(VLOOKUP("PCS-30604g",[3]ARBOR!$A:$C,3,0)*-TRUNC(CA17/VLOOKUP("PCS-30604g",[3]ARBOR!$A:$C,3,0)-1,4)),6))&lt;&gt;(DOLLAR(VLOOKUP("PCS-30604g",[3]ARBOR!$A:$C,3,0),6)),-TRUNC(CA17/VLOOKUP("PCS-30604g",[3]ARBOR!$A:$C,3,0)-1,4)+0.0001,-TRUNC(CA17/VLOOKUP("PCS-30604g",[3]ARBOR!$A:$C,3,0)-1,4)))))</f>
        <v>0.1242</v>
      </c>
      <c r="CC17" s="117" t="str">
        <f>IF(ISERROR(IF(CB17="","",VLOOKUP(($BC17&amp;CB17&amp;"Template de desconto FLAT bundle - Velox XDSL - Varejo"),[3]BENEFICIOS!$A:$E,5,0))),"Criar",IF(CB17="","",VLOOKUP(($BC17&amp;CB17&amp;"Template de desconto FLAT bundle - Velox XDSL - Varejo"),[3]BENEFICIOS!$A:$E,5,0)))</f>
        <v>Criar</v>
      </c>
      <c r="CD17" s="144" t="s">
        <v>230</v>
      </c>
      <c r="CE17" s="121">
        <v>84.9</v>
      </c>
      <c r="CF17" s="116">
        <f>IF(CE17=0,"",IF(CE17=VLOOKUP("PCS-30631g",[3]ARBOR!$A:$C,3,0),0.0001,IF(CE17&gt;VLOOKUP("PCS-30631g",[3]ARBOR!$A:$C,3,0),"Maior que CAP!",IF((DOLLAR(CE17+(VLOOKUP("PCS-30631g",[3]ARBOR!$A:$C,3,0)*-TRUNC(CE17/VLOOKUP("PCS-30631g",[3]ARBOR!$A:$C,3,0)-1,4)),6))&lt;&gt;(DOLLAR(VLOOKUP("PCS-30631g",[3]ARBOR!$A:$C,3,0),6)),-TRUNC(CE17/VLOOKUP("PCS-30631g",[3]ARBOR!$A:$C,3,0)-1,4)+0.0001,-TRUNC(CE17/VLOOKUP("PCS-30631g",[3]ARBOR!$A:$C,3,0)-1,4)))))</f>
        <v>0.13599999999999998</v>
      </c>
      <c r="CG17" s="117" t="str">
        <f>IF(ISERROR(IF(CF17="","",VLOOKUP(($BC17&amp;CF17&amp;"Template de desconto FLAT bundle - Velox XDSL - Varejo"),[3]BENEFICIOS!$A:$E,5,0))),"Criar",IF(CF17="","",VLOOKUP(($BC17&amp;CF17&amp;"Template de desconto FLAT bundle - Velox XDSL - Varejo"),[3]BENEFICIOS!$A:$E,5,0)))</f>
        <v>Criar</v>
      </c>
      <c r="CH17" s="123" t="s">
        <v>173</v>
      </c>
      <c r="CI17" s="121">
        <v>89.9</v>
      </c>
      <c r="CJ17" s="116">
        <f>IF(CI17=0,"",IF(CI17=VLOOKUP("PCS-30658g",[3]ARBOR!$A:$C,3,0),0.0001,IF(CI17&gt;VLOOKUP("PCS-30658g",[3]ARBOR!$A:$C,3,0),"Maior que CAP!",IF((DOLLAR(CI17+(VLOOKUP("PCS-30658g",[3]ARBOR!$A:$C,3,0)*-TRUNC(CI17/VLOOKUP("PCS-30658g",[3]ARBOR!$A:$C,3,0)-1,4)),6))&lt;&gt;(DOLLAR(VLOOKUP("PCS-30658g",[3]ARBOR!$A:$C,3,0),6)),-TRUNC(CI17/VLOOKUP("PCS-30658g",[3]ARBOR!$A:$C,3,0)-1,4)+0.0001,-TRUNC(CI17/VLOOKUP("PCS-30658g",[3]ARBOR!$A:$C,3,0)-1,4)))))</f>
        <v>0.1996</v>
      </c>
      <c r="CK17" s="117" t="str">
        <f>IF(ISERROR(IF(CJ17="","",VLOOKUP(($BC17&amp;CJ17&amp;"Template de desconto FLAT bundle - Velox XDSL - Varejo"),[3]BENEFICIOS!$A:$E,5,0))),"Criar",IF(CJ17="","",VLOOKUP(($BC17&amp;CJ17&amp;"Template de desconto FLAT bundle - Velox XDSL - Varejo"),[3]BENEFICIOS!$A:$E,5,0)))</f>
        <v>Criar</v>
      </c>
      <c r="CL17" s="123" t="s">
        <v>173</v>
      </c>
      <c r="CM17" s="121">
        <v>89.9</v>
      </c>
      <c r="CN17" s="116">
        <f>IF(CM17=0,"",IF(CM17=VLOOKUP("PCS-30685g",[3]ARBOR!$A:$C,3,0),0.0001,IF(CM17&gt;VLOOKUP("PCS-30685g",[3]ARBOR!$A:$C,3,0),"Maior que CAP!",IF((DOLLAR(CM17+(VLOOKUP("PCS-30685g",[3]ARBOR!$A:$C,3,0)*-TRUNC(CM17/VLOOKUP("PCS-30685g",[3]ARBOR!$A:$C,3,0)-1,4)),6))&lt;&gt;(DOLLAR(VLOOKUP("PCS-30685g",[3]ARBOR!$A:$C,3,0),6)),-TRUNC(CM17/VLOOKUP("PCS-30685g",[3]ARBOR!$A:$C,3,0)-1,4)+0.0001,-TRUNC(CM17/VLOOKUP("PCS-30685g",[3]ARBOR!$A:$C,3,0)-1,4)))))</f>
        <v>0.28849999999999998</v>
      </c>
      <c r="CO17" s="117" t="str">
        <f>IF(ISERROR(IF(CN17="","",VLOOKUP(($BC17&amp;CN17&amp;"Template de desconto FLAT bundle - Velox XDSL - Varejo"),[3]BENEFICIOS!$A:$E,5,0))),"Criar",IF(CN17="","",VLOOKUP(($BC17&amp;CN17&amp;"Template de desconto FLAT bundle - Velox XDSL - Varejo"),[3]BENEFICIOS!$A:$E,5,0)))</f>
        <v>Criar</v>
      </c>
      <c r="CP17" s="123" t="s">
        <v>173</v>
      </c>
      <c r="CQ17" s="121">
        <v>89.9</v>
      </c>
      <c r="CR17" s="116">
        <f>IF(CQ17=0,"",IF(CQ17=VLOOKUP("PCS-30712g",[3]ARBOR!$A:$C,3,0),0.0001,IF(CQ17&gt;VLOOKUP("PCS-30712g",[3]ARBOR!$A:$C,3,0),"Maior que CAP!",IF((DOLLAR(CQ17+(VLOOKUP("PCS-30712g",[3]ARBOR!$A:$C,3,0)*-TRUNC(CQ17/VLOOKUP("PCS-30712g",[3]ARBOR!$A:$C,3,0)-1,4)),6))&lt;&gt;(DOLLAR(VLOOKUP("PCS-30712g",[3]ARBOR!$A:$C,3,0),6)),-TRUNC(CQ17/VLOOKUP("PCS-30712g",[3]ARBOR!$A:$C,3,0)-1,4)+0.0001,-TRUNC(CQ17/VLOOKUP("PCS-30712g",[3]ARBOR!$A:$C,3,0)-1,4)))))</f>
        <v>0.35959999999999998</v>
      </c>
      <c r="CS17" s="117" t="str">
        <f>IF(ISERROR(IF(CR17="","",VLOOKUP(($BC17&amp;CR17&amp;"Template de desconto FLAT bundle - Velox XDSL - Varejo"),[3]BENEFICIOS!$A:$E,5,0))),"Criar",IF(CR17="","",VLOOKUP(($BC17&amp;CR17&amp;"Template de desconto FLAT bundle - Velox XDSL - Varejo"),[3]BENEFICIOS!$A:$E,5,0)))</f>
        <v>Criar</v>
      </c>
      <c r="CT17" s="123" t="s">
        <v>173</v>
      </c>
      <c r="CU17" s="121">
        <v>99.9</v>
      </c>
      <c r="CV17" s="116">
        <f>IF(CU17=0,"",IF(CU17=VLOOKUP("PCS-30739g",[3]ARBOR!$A:$C,3,0),0.0001,IF(CU17&gt;VLOOKUP("PCS-30739g",[3]ARBOR!$A:$C,3,0),"Maior que CAP!",IF((DOLLAR(CU17+(VLOOKUP("PCS-30739g",[3]ARBOR!$A:$C,3,0)*-TRUNC(CU17/VLOOKUP("PCS-30739g",[3]ARBOR!$A:$C,3,0)-1,4)),6))&lt;&gt;(DOLLAR(VLOOKUP("PCS-30739g",[3]ARBOR!$A:$C,3,0),6)),-TRUNC(CU17/VLOOKUP("PCS-30739g",[3]ARBOR!$A:$C,3,0)-1,4)+0.0001,-TRUNC(CU17/VLOOKUP("PCS-30739g",[3]ARBOR!$A:$C,3,0)-1,4)))))</f>
        <v>0.52559999999999996</v>
      </c>
      <c r="CW17" s="117" t="str">
        <f>IF(ISERROR(IF(CV17="","",VLOOKUP(($BC17&amp;CV17&amp;"Template de desconto FLAT bundle - Velox XDSL - Varejo"),[3]BENEFICIOS!$A:$E,5,0))),"Criar",IF(CV17="","",VLOOKUP(($BC17&amp;CV17&amp;"Template de desconto FLAT bundle - Velox XDSL - Varejo"),[3]BENEFICIOS!$A:$E,5,0)))</f>
        <v>Criar</v>
      </c>
      <c r="CX17" s="121"/>
      <c r="CY17" s="150"/>
      <c r="CZ17" s="116" t="str">
        <f>IF(CX17=0,"",IF(CX17=VLOOKUP("PCS-30739g",[3]ARBOR!$A:$C,3,0),0.0001,IF(CX17&gt;VLOOKUP("PCS-30739g",[3]ARBOR!$A:$C,3,0),"Maior que CAP!",IF((DOLLAR(CX17+(VLOOKUP("PCS-30739g",[3]ARBOR!$A:$C,3,0)*-TRUNC(CX17/VLOOKUP("PCS-30739g",[3]ARBOR!$A:$C,3,0)-1,4)),6))&lt;&gt;(DOLLAR(VLOOKUP("PCS-30739g",[3]ARBOR!$A:$C,3,0),6)),(-TRUNC(CX17/VLOOKUP("PCS-30739g",[3]ARBOR!$A:$C,3,0)-1,4)+0.0001)-CV17,-TRUNC(CX17/VLOOKUP("PCS-30739g",[3]ARBOR!$A:$C,3,0)-1,4)-CV17))))</f>
        <v/>
      </c>
      <c r="DA17" s="117" t="str">
        <f>IF(ISERROR(IF(CZ17="","",VLOOKUP(($BC17&amp;CZ17&amp;"Template de desconto percentual Bundle - Velox XDSL - Varejo"),[3]BENEFICIOS!$A:$E,5,0))),"Criar",IF(CZ17="","",VLOOKUP(($BC17&amp;CZ17&amp;"Template de desconto percentual Bundle - Velox XDSL - Varejo"),[3]BENEFICIOS!$A:$E,5,0)))</f>
        <v/>
      </c>
      <c r="DB17" s="123" t="s">
        <v>173</v>
      </c>
      <c r="DC17" s="121">
        <v>99.9</v>
      </c>
      <c r="DD17" s="116">
        <f>IF(DC17=0,"",IF(DC17=VLOOKUP("PCS-30766g",[3]ARBOR!$A:$C,3,0),0.0001,IF(DC17&gt;VLOOKUP("PCS-30766g",[3]ARBOR!$A:$C,3,0),"Maior que CAP!",IF((DOLLAR(DC17+(VLOOKUP("PCS-30766g",[3]ARBOR!$A:$C,3,0)*-TRUNC(DC17/VLOOKUP("PCS-30766g",[3]ARBOR!$A:$C,3,0)-1,4)),6))&lt;&gt;(DOLLAR(VLOOKUP("PCS-30766g",[3]ARBOR!$A:$C,3,0),6)),-TRUNC(DC17/VLOOKUP("PCS-30766g",[3]ARBOR!$A:$C,3,0)-1,4)+0.0001,-TRUNC(DC17/VLOOKUP("PCS-30766g",[3]ARBOR!$A:$C,3,0)-1,4)))))</f>
        <v>0.64419999999999999</v>
      </c>
      <c r="DE17" s="117" t="str">
        <f>IF(ISERROR(IF(DD17="","",VLOOKUP(($BC17&amp;DD17&amp;"Template de desconto FLAT bundle - Velox XDSL - Varejo"),[3]BENEFICIOS!$A:$E,5,0))),"Criar",IF(DD17="","",VLOOKUP(($BC17&amp;DD17&amp;"Template de desconto FLAT bundle - Velox XDSL - Varejo"),[3]BENEFICIOS!$A:$E,5,0)))</f>
        <v>Criar</v>
      </c>
      <c r="DF17" s="121"/>
      <c r="DG17" s="150"/>
      <c r="DH17" s="116" t="str">
        <f>IF(DF17=0,"",IF(DF17=VLOOKUP("PCS-30766g",[3]ARBOR!$A:$C,3,0),0.0001,IF(DF17&gt;VLOOKUP("PCS-30766g",[3]ARBOR!$A:$C,3,0),"Maior que CAP!",IF((DOLLAR(DF17+(VLOOKUP("PCS-30766g",[3]ARBOR!$A:$C,3,0)*-TRUNC(DF17/VLOOKUP("PCS-30766g",[3]ARBOR!$A:$C,3,0)-1,4)),6))&lt;&gt;(DOLLAR(VLOOKUP("PCS-30766g",[3]ARBOR!$A:$C,3,0),6)),(-TRUNC(DF17/VLOOKUP("PCS-30766g",[3]ARBOR!$A:$C,3,0)-1,4)+0.0001)-DD17,-TRUNC(DF17/VLOOKUP("PCS-30766g",[3]ARBOR!$A:$C,3,0)-1,4)-DD17))))</f>
        <v/>
      </c>
      <c r="DI17" s="117" t="str">
        <f>IF(ISERROR(IF(DH17="","",VLOOKUP(($BC17&amp;DH17&amp;"Template de desconto percentual Bundle - Velox XDSL - Varejo"),[3]BENEFICIOS!$A:$E,5,0))),"Criar",IF(DH17="","",VLOOKUP(($BC17&amp;DH17&amp;"Template de desconto percentual Bundle - Velox XDSL - Varejo"),[3]BENEFICIOS!$A:$E,5,0)))</f>
        <v/>
      </c>
      <c r="DJ17" s="123" t="s">
        <v>230</v>
      </c>
      <c r="DK17" s="121">
        <v>109.9</v>
      </c>
      <c r="DL17" s="116">
        <f>IF(DK17=0,"",IF(DK17=VLOOKUP("PCS-30793g",[3]ARBOR!$A:$C,3,0),0.0001,IF(DK17&gt;VLOOKUP("PCS-30793g",[3]ARBOR!$A:$C,3,0),"Maior que CAP!",IF((DOLLAR(DK17+(VLOOKUP("PCS-30793g",[3]ARBOR!$A:$C,3,0)*-TRUNC(DK17/VLOOKUP("PCS-30793g",[3]ARBOR!$A:$C,3,0)-1,4)),6))&lt;&gt;(DOLLAR(VLOOKUP("PCS-30793g",[3]ARBOR!$A:$C,3,0),6)),-TRUNC(DK17/VLOOKUP("PCS-30793g",[3]ARBOR!$A:$C,3,0)-1,4)+0.0001,-TRUNC(DK17/VLOOKUP("PCS-30793g",[3]ARBOR!$A:$C,3,0)-1,4)))))</f>
        <v>0.60860000000000003</v>
      </c>
      <c r="DM17" s="117" t="str">
        <f>IF(ISERROR(IF(DL17="","",VLOOKUP(($BC17&amp;DL17&amp;"Template de desconto FLAT bundle - Velox XDSL - Varejo"),[3]BENEFICIOS!$A:$E,5,0))),"Criar",IF(DL17="","",VLOOKUP(($BC17&amp;DL17&amp;"Template de desconto FLAT bundle - Velox XDSL - Varejo"),[3]BENEFICIOS!$A:$E,5,0)))</f>
        <v>Criar</v>
      </c>
      <c r="DN17" s="121"/>
      <c r="DO17" s="150"/>
      <c r="DP17" s="116" t="str">
        <f>IF(DN17=0,"",IF(DN17=VLOOKUP("PCS-30793g",[3]ARBOR!$A:$C,3,0),0.0001,IF(DN17&gt;VLOOKUP("PCS-30793g",[3]ARBOR!$A:$C,3,0),"Maior que CAP!",IF((DOLLAR(DN17+(VLOOKUP("PCS-30793g",[3]ARBOR!$A:$C,3,0)*-TRUNC(DN17/VLOOKUP("PCS-30793g",[3]ARBOR!$A:$C,3,0)-1,4)),6))&lt;&gt;(DOLLAR(VLOOKUP("PCS-30793g",[3]ARBOR!$A:$C,3,0),6)),(-TRUNC(DN17/VLOOKUP("PCS-30793g",[3]ARBOR!$A:$C,3,0)-1,4)+0.0001)-DL17,-TRUNC(DN17/VLOOKUP("PCS-30793g",[3]ARBOR!$A:$C,3,0)-1,4)-DL17))))</f>
        <v/>
      </c>
      <c r="DQ17" s="117" t="str">
        <f>IF(ISERROR(IF(DP17="","",VLOOKUP(($BC17&amp;DP17&amp;"Template de desconto percentual Bundle - Velox XDSL - Varejo"),[3]BENEFICIOS!$A:$E,5,0))),"Criar",IF(DP17="","",VLOOKUP(($BC17&amp;DP17&amp;"Template de desconto percentual Bundle - Velox XDSL - Varejo"),[3]BENEFICIOS!$A:$E,5,0)))</f>
        <v/>
      </c>
      <c r="DR17" s="123" t="s">
        <v>173</v>
      </c>
      <c r="DS17" s="121">
        <v>109.9</v>
      </c>
      <c r="DT17" s="116">
        <f>IF(DS17=0,"",IF(DS17=VLOOKUP("PCS-30820g",[3]ARBOR!$A:$C,3,0),0.0001,IF(DS17&gt;VLOOKUP("PCS-30820g",[3]ARBOR!$A:$C,3,0),"Maior que CAP!",IF((DOLLAR(DS17+(VLOOKUP("PCS-30820g",[3]ARBOR!$A:$C,3,0)*-TRUNC(DS17/VLOOKUP("PCS-30820g",[3]ARBOR!$A:$C,3,0)-1,4)),6))&lt;&gt;(DOLLAR(VLOOKUP("PCS-30820g",[3]ARBOR!$A:$C,3,0),6)),-TRUNC(DS17/VLOOKUP("PCS-30820g",[3]ARBOR!$A:$C,3,0)-1,4)+0.0001,-TRUNC(DS17/VLOOKUP("PCS-30820g",[3]ARBOR!$A:$C,3,0)-1,4)))))</f>
        <v>0.60860000000000003</v>
      </c>
      <c r="DU17" s="117" t="str">
        <f>IF(ISERROR(IF(DT17="","",VLOOKUP(($BC17&amp;DT17&amp;"Template de desconto FLAT bundle - Velox XDSL - Varejo"),[3]BENEFICIOS!$A:$E,5,0))),"Criar",IF(DT17="","",VLOOKUP(($BC17&amp;DT17&amp;"Template de desconto FLAT bundle - Velox XDSL - Varejo"),[3]BENEFICIOS!$A:$E,5,0)))</f>
        <v>Criar</v>
      </c>
      <c r="DV17" s="121"/>
      <c r="DW17" s="150"/>
      <c r="DX17" s="116" t="str">
        <f>IF(DV17=0,"",IF(DV17=VLOOKUP("PCS-30820g",[3]ARBOR!$A:$C,3,0),0.0001,IF(DV17&gt;VLOOKUP("PCS-30820g",[3]ARBOR!$A:$C,3,0),"Maior que CAP!",IF((DOLLAR(DV17+(VLOOKUP("PCS-30820g",[3]ARBOR!$A:$C,3,0)*-TRUNC(DV17/VLOOKUP("PCS-30820g",[3]ARBOR!$A:$C,3,0)-1,4)),6))&lt;&gt;(DOLLAR(VLOOKUP("PCS-30820g",[3]ARBOR!$A:$C,3,0),6)),(-TRUNC(DV17/VLOOKUP("PCS-30820g",[3]ARBOR!$A:$C,3,0)-1,4)+0.0001)-DT17,-TRUNC(DV17/VLOOKUP("PCS-30820g",[3]ARBOR!$A:$C,3,0)-1,4)-DT17))))</f>
        <v/>
      </c>
      <c r="DY17" s="117" t="str">
        <f>IF(ISERROR(IF(DX17="","",VLOOKUP(($BC17&amp;DX17&amp;"Template de desconto percentual Bundle - Velox XDSL - Varejo"),[3]BENEFICIOS!$A:$E,5,0))),"Criar",IF(DX17="","",VLOOKUP(($BC17&amp;DX17&amp;"Template de desconto percentual Bundle - Velox XDSL - Varejo"),[3]BENEFICIOS!$A:$E,5,0)))</f>
        <v/>
      </c>
      <c r="DZ17" s="124"/>
      <c r="EA17" s="116" t="str">
        <f>IF(DZ17=0,"",IF(DZ17=VLOOKUP("PCS-21448p2",[3]ARBOR!$A:$C,3,0),0.0001,IF(DZ17&gt;VLOOKUP("PCS-21448p2",[3]ARBOR!$A:$C,3,0),"Maior que CAP!",IF((DOLLAR(DZ17+(VLOOKUP("PCS-21448p2",[3]ARBOR!$A:$C,3,0)*-TRUNC(DZ17/VLOOKUP("PCS-21448p2",[3]ARBOR!$A:$C,3,0)-1,4)),6))&lt;&gt;(DOLLAR(VLOOKUP("PCS-21448p2",[3]ARBOR!$A:$C,3,0),6)),-TRUNC(DZ17/VLOOKUP("PCS-21448p2",[3]ARBOR!$A:$C,3,0)-1,4)+0.0001,-TRUNC(DZ17/VLOOKUP("PCS-21448p2",[3]ARBOR!$A:$C,3,0)-1,4)))))</f>
        <v/>
      </c>
      <c r="EB17" s="117" t="str">
        <f>IF(ISERROR(IF(EA17="","",VLOOKUP(("Oi Conta Total Plug 10GB Downgrade"&amp;EA17&amp;"Template de desconto percentual BL Móvel - Internet Total - Varejo"),[3]BENEFICIOS!$A:$E,5,0))),"Criar",IF(EA17="","",VLOOKUP(("Oi Conta Total Plug 10GB Downgrade"&amp;EA17&amp;"Template de desconto percentual BL Móvel - Internet Total - Varejo"),[3]BENEFICIOS!$A:$E,5,0)))</f>
        <v/>
      </c>
      <c r="EC17" s="145">
        <v>19.899999999999999</v>
      </c>
      <c r="ED17" s="126">
        <f>IF(EC17=0,"",IF(EC17=VLOOKUP("SVA",[3]ARBOR!$A:$C,3,0),0.0001,IF(EC17&gt;VLOOKUP("SVA",[3]ARBOR!$A:$C,3,0),"Maior que CAP!",IF((DOLLAR(EC17+(VLOOKUP("SVA",[3]ARBOR!$A:$C,3,0)*-TRUNC(EC17/VLOOKUP("SVA",[3]ARBOR!$A:$C,3,0)-1,4)),6))&lt;&gt;(DOLLAR(VLOOKUP("SVA",[3]ARBOR!$A:$C,3,0),6)),-TRUNC(EC17/VLOOKUP("SVA",[3]ARBOR!$A:$C,3,0)-1,4)+0.0001,-TRUNC(EC17/VLOOKUP("SVA",[3]ARBOR!$A:$C,3,0)-1,4)))))</f>
        <v>7.1400000000000005E-2</v>
      </c>
      <c r="EE17" s="127" t="s">
        <v>231</v>
      </c>
      <c r="EF17" s="151"/>
      <c r="EG17" s="152"/>
      <c r="EH17" s="153" t="str">
        <f t="shared" si="1"/>
        <v/>
      </c>
      <c r="EI17" s="154" t="str">
        <f>IF(EH17="S/Desc","S/Desc",IF(ISERROR(IF(EH17="","",VLOOKUP(($BC17&amp;EH17&amp;"Template Desc. % sobre Serviço SVA B2C"),[3]BENEFICIOS!$A:$G,5,0))),"Criar",IF(EH17="","",VLOOKUP(($BC17&amp;EH17&amp;"Template Desc. % sobre Serviço SVA B2C"),[3]BENEFICIOS!$A:$G,5,0))))</f>
        <v/>
      </c>
      <c r="EJ17" s="146" t="s">
        <v>209</v>
      </c>
      <c r="EK17" s="135"/>
      <c r="EL17" s="133"/>
      <c r="EM17" s="134"/>
      <c r="EN17" s="135"/>
      <c r="EO17" s="133"/>
      <c r="EP17" s="134"/>
      <c r="EQ17" s="136" t="s">
        <v>219</v>
      </c>
      <c r="ER17" s="137">
        <f t="shared" si="2"/>
        <v>149.91</v>
      </c>
      <c r="ES17" s="138" t="s">
        <v>220</v>
      </c>
      <c r="ET17" s="147" t="s">
        <v>270</v>
      </c>
      <c r="EU17" s="147" t="s">
        <v>227</v>
      </c>
      <c r="EV17" s="147"/>
      <c r="EW17" s="147"/>
      <c r="EX17" s="147"/>
      <c r="EY17" s="147"/>
      <c r="EZ17" s="147"/>
      <c r="FA17" s="147"/>
      <c r="FB17" s="148"/>
    </row>
    <row r="18" spans="1:158" ht="15" customHeight="1" x14ac:dyDescent="0.25">
      <c r="A18" s="90" t="s">
        <v>198</v>
      </c>
      <c r="B18" s="91" t="s">
        <v>199</v>
      </c>
      <c r="C18" s="91" t="s">
        <v>200</v>
      </c>
      <c r="D18" s="92" t="s">
        <v>201</v>
      </c>
      <c r="E18" s="93" t="s">
        <v>202</v>
      </c>
      <c r="F18" s="94" t="s">
        <v>202</v>
      </c>
      <c r="G18" s="94"/>
      <c r="H18" s="94"/>
      <c r="I18" s="94"/>
      <c r="J18" s="94" t="s">
        <v>202</v>
      </c>
      <c r="K18" s="94" t="s">
        <v>202</v>
      </c>
      <c r="L18" s="94" t="s">
        <v>202</v>
      </c>
      <c r="M18" s="94" t="s">
        <v>202</v>
      </c>
      <c r="N18" s="94"/>
      <c r="O18" s="94"/>
      <c r="P18" s="94"/>
      <c r="Q18" s="94"/>
      <c r="R18" s="94"/>
      <c r="S18" s="94" t="s">
        <v>202</v>
      </c>
      <c r="T18" s="95" t="s">
        <v>202</v>
      </c>
      <c r="U18" s="94" t="s">
        <v>202</v>
      </c>
      <c r="V18" s="95"/>
      <c r="W18" s="94"/>
      <c r="X18" s="94" t="s">
        <v>202</v>
      </c>
      <c r="Y18" s="94" t="s">
        <v>202</v>
      </c>
      <c r="Z18" s="94"/>
      <c r="AA18" s="95"/>
      <c r="AB18" s="94"/>
      <c r="AC18" s="141"/>
      <c r="AD18" s="94"/>
      <c r="AE18" s="94"/>
      <c r="AF18" s="94"/>
      <c r="AG18" s="94"/>
      <c r="AH18" s="94"/>
      <c r="AI18" s="94"/>
      <c r="AJ18" s="94"/>
      <c r="AK18" s="94"/>
      <c r="AL18" s="97"/>
      <c r="AM18" s="98" t="s">
        <v>271</v>
      </c>
      <c r="AN18" s="99" t="s">
        <v>204</v>
      </c>
      <c r="AO18" s="99" t="s">
        <v>272</v>
      </c>
      <c r="AP18" s="100">
        <v>42912</v>
      </c>
      <c r="AQ18" s="101">
        <v>43004</v>
      </c>
      <c r="AR18" s="102" t="s">
        <v>206</v>
      </c>
      <c r="AS18" s="103" t="s">
        <v>206</v>
      </c>
      <c r="AT18" s="104"/>
      <c r="AU18" s="104" t="s">
        <v>207</v>
      </c>
      <c r="AV18" s="104">
        <v>20</v>
      </c>
      <c r="AW18" s="104">
        <v>10000</v>
      </c>
      <c r="AX18" s="105" t="s">
        <v>208</v>
      </c>
      <c r="AY18" s="106" t="s">
        <v>209</v>
      </c>
      <c r="AZ18" s="107" t="s">
        <v>209</v>
      </c>
      <c r="BA18" s="108" t="s">
        <v>209</v>
      </c>
      <c r="BB18" s="98" t="s">
        <v>271</v>
      </c>
      <c r="BC18" s="109" t="s">
        <v>244</v>
      </c>
      <c r="BD18" s="110" t="str">
        <f t="shared" si="0"/>
        <v>PCS-2PFBL3</v>
      </c>
      <c r="BE18" s="111" t="s">
        <v>201</v>
      </c>
      <c r="BF18" s="112" t="s">
        <v>211</v>
      </c>
      <c r="BG18" s="113">
        <v>12</v>
      </c>
      <c r="BH18" s="114">
        <v>144</v>
      </c>
      <c r="BI18" s="115">
        <v>65.010000000000005</v>
      </c>
      <c r="BJ18" s="116">
        <f>IF(BI18=0,"",IF(BI18=VLOOKUP("FIXO",[3]ARBOR!$A:$C,3,0),0.0001,IF(BI18&gt;VLOOKUP("FIXO",[3]ARBOR!$A:$C,3,0),"Maior que CAP!",IF((DOLLAR(BI18+(VLOOKUP("FIXO",[3]ARBOR!$A:$C,3,0)*-TRUNC(BI18/VLOOKUP("FIXO",[3]ARBOR!$A:$C,3,0)-1,4)),6))&lt;&gt;(DOLLAR(VLOOKUP("FIXO",[3]ARBOR!$A:$C,3,0),6)),-TRUNC(BI18/VLOOKUP("FIXO",[3]ARBOR!$A:$C,3,0)-1,4)+0.0001,-TRUNC(BI18/VLOOKUP("FIXO",[3]ARBOR!$A:$C,3,0)-1,4)))))</f>
        <v>0.1429</v>
      </c>
      <c r="BK18" s="117" t="str">
        <f>IF(ISERROR(IF(BJ18="","",VLOOKUP(($BC18&amp;BJ18&amp;"Template de desconto FLAT bundle - Fixo - Varejo - Ganho Tributário Cross"),[3]BENEFICIOS!$A:$E,5,0))),"Criar",IF(BJ18="","",VLOOKUP(($BC18&amp;BJ18&amp;"Template de desconto FLAT bundle - Fixo - Varejo - Ganho Tributário Cross"),[3]BENEFICIOS!$A:$E,5,0)))</f>
        <v>Criar</v>
      </c>
      <c r="BL18" s="65" t="s">
        <v>245</v>
      </c>
      <c r="BM18" s="66" t="s">
        <v>246</v>
      </c>
      <c r="BN18" s="111" t="s">
        <v>201</v>
      </c>
      <c r="BO18" s="112" t="s">
        <v>214</v>
      </c>
      <c r="BP18" s="143">
        <v>12</v>
      </c>
      <c r="BQ18" s="143">
        <v>60</v>
      </c>
      <c r="BR18" s="144" t="s">
        <v>230</v>
      </c>
      <c r="BS18" s="121">
        <v>84.9</v>
      </c>
      <c r="BT18" s="116">
        <f>IF(BS18=0,"",IF(BS18=VLOOKUP("PCS-30874g",[3]ARBOR!$A:$C,3,0),0.0001,IF(BS18&gt;VLOOKUP("PCS-30874g",[3]ARBOR!$A:$C,3,0),"Maior que CAP!",IF((DOLLAR(BS18+(VLOOKUP("PCS-30874g",[3]ARBOR!$A:$C,3,0)*-TRUNC(BS18/VLOOKUP("PCS-30874g",[3]ARBOR!$A:$C,3,0)-1,4)),6))&lt;&gt;(DOLLAR(VLOOKUP("PCS-30874g",[3]ARBOR!$A:$C,3,0),6)),-TRUNC(BS18/VLOOKUP("PCS-30874g",[3]ARBOR!$A:$C,3,0)-1,4)+0.0001,-TRUNC(BS18/VLOOKUP("PCS-30874g",[3]ARBOR!$A:$C,3,0)-1,4)))))</f>
        <v>0.1242</v>
      </c>
      <c r="BU18" s="117" t="str">
        <f>IF(ISERROR(IF(BT18="","",VLOOKUP(($BC18&amp;BT18&amp;"Template de desconto FLAT bundle - Velox XDSL - Varejo"),[3]BENEFICIOS!$A:$E,5,0))),"Criar",IF(BT18="","",VLOOKUP(($BC18&amp;BT18&amp;"Template de desconto FLAT bundle - Velox XDSL - Varejo"),[3]BENEFICIOS!$A:$E,5,0)))</f>
        <v>Criar</v>
      </c>
      <c r="BV18" s="144" t="s">
        <v>230</v>
      </c>
      <c r="BW18" s="121">
        <v>84.9</v>
      </c>
      <c r="BX18" s="116">
        <f>IF(BW18=0,"",IF(BW18=VLOOKUP("PCS-30577g",[3]ARBOR!$A:$C,3,0),0.0001,IF(BW18&gt;VLOOKUP("PCS-30577g",[3]ARBOR!$A:$C,3,0),"Maior que CAP!",IF((DOLLAR(BW18+(VLOOKUP("PCS-30577g",[3]ARBOR!$A:$C,3,0)*-TRUNC(BW18/VLOOKUP("PCS-30577g",[3]ARBOR!$A:$C,3,0)-1,4)),6))&lt;&gt;(DOLLAR(VLOOKUP("PCS-30577g",[3]ARBOR!$A:$C,3,0),6)),-TRUNC(BW18/VLOOKUP("PCS-30577g",[3]ARBOR!$A:$C,3,0)-1,4)+0.0001,-TRUNC(BW18/VLOOKUP("PCS-30577g",[3]ARBOR!$A:$C,3,0)-1,4)))))</f>
        <v>0.1242</v>
      </c>
      <c r="BY18" s="117" t="str">
        <f>IF(ISERROR(IF(BX18="","",VLOOKUP(($BC18&amp;BX18&amp;"Template de desconto FLAT bundle - Velox XDSL - Varejo"),[3]BENEFICIOS!$A:$E,5,0))),"Criar",IF(BX18="","",VLOOKUP(($BC18&amp;BX18&amp;"Template de desconto FLAT bundle - Velox XDSL - Varejo"),[3]BENEFICIOS!$A:$E,5,0)))</f>
        <v>Criar</v>
      </c>
      <c r="BZ18" s="144" t="s">
        <v>230</v>
      </c>
      <c r="CA18" s="121">
        <v>84.9</v>
      </c>
      <c r="CB18" s="116">
        <f>IF(CA18=0,"",IF(CA18=VLOOKUP("PCS-30604g",[3]ARBOR!$A:$C,3,0),0.0001,IF(CA18&gt;VLOOKUP("PCS-30604g",[3]ARBOR!$A:$C,3,0),"Maior que CAP!",IF((DOLLAR(CA18+(VLOOKUP("PCS-30604g",[3]ARBOR!$A:$C,3,0)*-TRUNC(CA18/VLOOKUP("PCS-30604g",[3]ARBOR!$A:$C,3,0)-1,4)),6))&lt;&gt;(DOLLAR(VLOOKUP("PCS-30604g",[3]ARBOR!$A:$C,3,0),6)),-TRUNC(CA18/VLOOKUP("PCS-30604g",[3]ARBOR!$A:$C,3,0)-1,4)+0.0001,-TRUNC(CA18/VLOOKUP("PCS-30604g",[3]ARBOR!$A:$C,3,0)-1,4)))))</f>
        <v>0.1242</v>
      </c>
      <c r="CC18" s="117" t="str">
        <f>IF(ISERROR(IF(CB18="","",VLOOKUP(($BC18&amp;CB18&amp;"Template de desconto FLAT bundle - Velox XDSL - Varejo"),[3]BENEFICIOS!$A:$E,5,0))),"Criar",IF(CB18="","",VLOOKUP(($BC18&amp;CB18&amp;"Template de desconto FLAT bundle - Velox XDSL - Varejo"),[3]BENEFICIOS!$A:$E,5,0)))</f>
        <v>Criar</v>
      </c>
      <c r="CD18" s="144" t="s">
        <v>230</v>
      </c>
      <c r="CE18" s="121">
        <v>84.9</v>
      </c>
      <c r="CF18" s="116">
        <f>IF(CE18=0,"",IF(CE18=VLOOKUP("PCS-30631g",[3]ARBOR!$A:$C,3,0),0.0001,IF(CE18&gt;VLOOKUP("PCS-30631g",[3]ARBOR!$A:$C,3,0),"Maior que CAP!",IF((DOLLAR(CE18+(VLOOKUP("PCS-30631g",[3]ARBOR!$A:$C,3,0)*-TRUNC(CE18/VLOOKUP("PCS-30631g",[3]ARBOR!$A:$C,3,0)-1,4)),6))&lt;&gt;(DOLLAR(VLOOKUP("PCS-30631g",[3]ARBOR!$A:$C,3,0),6)),-TRUNC(CE18/VLOOKUP("PCS-30631g",[3]ARBOR!$A:$C,3,0)-1,4)+0.0001,-TRUNC(CE18/VLOOKUP("PCS-30631g",[3]ARBOR!$A:$C,3,0)-1,4)))))</f>
        <v>0.13599999999999998</v>
      </c>
      <c r="CG18" s="117" t="str">
        <f>IF(ISERROR(IF(CF18="","",VLOOKUP(($BC18&amp;CF18&amp;"Template de desconto FLAT bundle - Velox XDSL - Varejo"),[3]BENEFICIOS!$A:$E,5,0))),"Criar",IF(CF18="","",VLOOKUP(($BC18&amp;CF18&amp;"Template de desconto FLAT bundle - Velox XDSL - Varejo"),[3]BENEFICIOS!$A:$E,5,0)))</f>
        <v>Criar</v>
      </c>
      <c r="CH18" s="123" t="s">
        <v>173</v>
      </c>
      <c r="CI18" s="121">
        <v>89.9</v>
      </c>
      <c r="CJ18" s="116">
        <f>IF(CI18=0,"",IF(CI18=VLOOKUP("PCS-30658g",[3]ARBOR!$A:$C,3,0),0.0001,IF(CI18&gt;VLOOKUP("PCS-30658g",[3]ARBOR!$A:$C,3,0),"Maior que CAP!",IF((DOLLAR(CI18+(VLOOKUP("PCS-30658g",[3]ARBOR!$A:$C,3,0)*-TRUNC(CI18/VLOOKUP("PCS-30658g",[3]ARBOR!$A:$C,3,0)-1,4)),6))&lt;&gt;(DOLLAR(VLOOKUP("PCS-30658g",[3]ARBOR!$A:$C,3,0),6)),-TRUNC(CI18/VLOOKUP("PCS-30658g",[3]ARBOR!$A:$C,3,0)-1,4)+0.0001,-TRUNC(CI18/VLOOKUP("PCS-30658g",[3]ARBOR!$A:$C,3,0)-1,4)))))</f>
        <v>0.1996</v>
      </c>
      <c r="CK18" s="117" t="str">
        <f>IF(ISERROR(IF(CJ18="","",VLOOKUP(($BC18&amp;CJ18&amp;"Template de desconto FLAT bundle - Velox XDSL - Varejo"),[3]BENEFICIOS!$A:$E,5,0))),"Criar",IF(CJ18="","",VLOOKUP(($BC18&amp;CJ18&amp;"Template de desconto FLAT bundle - Velox XDSL - Varejo"),[3]BENEFICIOS!$A:$E,5,0)))</f>
        <v>Criar</v>
      </c>
      <c r="CL18" s="123" t="s">
        <v>173</v>
      </c>
      <c r="CM18" s="121">
        <v>89.9</v>
      </c>
      <c r="CN18" s="116">
        <f>IF(CM18=0,"",IF(CM18=VLOOKUP("PCS-30685g",[3]ARBOR!$A:$C,3,0),0.0001,IF(CM18&gt;VLOOKUP("PCS-30685g",[3]ARBOR!$A:$C,3,0),"Maior que CAP!",IF((DOLLAR(CM18+(VLOOKUP("PCS-30685g",[3]ARBOR!$A:$C,3,0)*-TRUNC(CM18/VLOOKUP("PCS-30685g",[3]ARBOR!$A:$C,3,0)-1,4)),6))&lt;&gt;(DOLLAR(VLOOKUP("PCS-30685g",[3]ARBOR!$A:$C,3,0),6)),-TRUNC(CM18/VLOOKUP("PCS-30685g",[3]ARBOR!$A:$C,3,0)-1,4)+0.0001,-TRUNC(CM18/VLOOKUP("PCS-30685g",[3]ARBOR!$A:$C,3,0)-1,4)))))</f>
        <v>0.28849999999999998</v>
      </c>
      <c r="CO18" s="117" t="str">
        <f>IF(ISERROR(IF(CN18="","",VLOOKUP(($BC18&amp;CN18&amp;"Template de desconto FLAT bundle - Velox XDSL - Varejo"),[3]BENEFICIOS!$A:$E,5,0))),"Criar",IF(CN18="","",VLOOKUP(($BC18&amp;CN18&amp;"Template de desconto FLAT bundle - Velox XDSL - Varejo"),[3]BENEFICIOS!$A:$E,5,0)))</f>
        <v>Criar</v>
      </c>
      <c r="CP18" s="123" t="s">
        <v>173</v>
      </c>
      <c r="CQ18" s="121">
        <v>89.9</v>
      </c>
      <c r="CR18" s="116">
        <f>IF(CQ18=0,"",IF(CQ18=VLOOKUP("PCS-30712g",[3]ARBOR!$A:$C,3,0),0.0001,IF(CQ18&gt;VLOOKUP("PCS-30712g",[3]ARBOR!$A:$C,3,0),"Maior que CAP!",IF((DOLLAR(CQ18+(VLOOKUP("PCS-30712g",[3]ARBOR!$A:$C,3,0)*-TRUNC(CQ18/VLOOKUP("PCS-30712g",[3]ARBOR!$A:$C,3,0)-1,4)),6))&lt;&gt;(DOLLAR(VLOOKUP("PCS-30712g",[3]ARBOR!$A:$C,3,0),6)),-TRUNC(CQ18/VLOOKUP("PCS-30712g",[3]ARBOR!$A:$C,3,0)-1,4)+0.0001,-TRUNC(CQ18/VLOOKUP("PCS-30712g",[3]ARBOR!$A:$C,3,0)-1,4)))))</f>
        <v>0.35959999999999998</v>
      </c>
      <c r="CS18" s="117" t="str">
        <f>IF(ISERROR(IF(CR18="","",VLOOKUP(($BC18&amp;CR18&amp;"Template de desconto FLAT bundle - Velox XDSL - Varejo"),[3]BENEFICIOS!$A:$E,5,0))),"Criar",IF(CR18="","",VLOOKUP(($BC18&amp;CR18&amp;"Template de desconto FLAT bundle - Velox XDSL - Varejo"),[3]BENEFICIOS!$A:$E,5,0)))</f>
        <v>Criar</v>
      </c>
      <c r="CT18" s="123" t="s">
        <v>173</v>
      </c>
      <c r="CU18" s="121">
        <v>99.9</v>
      </c>
      <c r="CV18" s="116">
        <f>IF(CU18=0,"",IF(CU18=VLOOKUP("PCS-30739g",[3]ARBOR!$A:$C,3,0),0.0001,IF(CU18&gt;VLOOKUP("PCS-30739g",[3]ARBOR!$A:$C,3,0),"Maior que CAP!",IF((DOLLAR(CU18+(VLOOKUP("PCS-30739g",[3]ARBOR!$A:$C,3,0)*-TRUNC(CU18/VLOOKUP("PCS-30739g",[3]ARBOR!$A:$C,3,0)-1,4)),6))&lt;&gt;(DOLLAR(VLOOKUP("PCS-30739g",[3]ARBOR!$A:$C,3,0),6)),-TRUNC(CU18/VLOOKUP("PCS-30739g",[3]ARBOR!$A:$C,3,0)-1,4)+0.0001,-TRUNC(CU18/VLOOKUP("PCS-30739g",[3]ARBOR!$A:$C,3,0)-1,4)))))</f>
        <v>0.52559999999999996</v>
      </c>
      <c r="CW18" s="117" t="str">
        <f>IF(ISERROR(IF(CV18="","",VLOOKUP(($BC18&amp;CV18&amp;"Template de desconto FLAT bundle - Velox XDSL - Varejo"),[3]BENEFICIOS!$A:$E,5,0))),"Criar",IF(CV18="","",VLOOKUP(($BC18&amp;CV18&amp;"Template de desconto FLAT bundle - Velox XDSL - Varejo"),[3]BENEFICIOS!$A:$E,5,0)))</f>
        <v>Criar</v>
      </c>
      <c r="CX18" s="121"/>
      <c r="CY18" s="150"/>
      <c r="CZ18" s="116" t="str">
        <f>IF(CX18=0,"",IF(CX18=VLOOKUP("PCS-30739g",[3]ARBOR!$A:$C,3,0),0.0001,IF(CX18&gt;VLOOKUP("PCS-30739g",[3]ARBOR!$A:$C,3,0),"Maior que CAP!",IF((DOLLAR(CX18+(VLOOKUP("PCS-30739g",[3]ARBOR!$A:$C,3,0)*-TRUNC(CX18/VLOOKUP("PCS-30739g",[3]ARBOR!$A:$C,3,0)-1,4)),6))&lt;&gt;(DOLLAR(VLOOKUP("PCS-30739g",[3]ARBOR!$A:$C,3,0),6)),(-TRUNC(CX18/VLOOKUP("PCS-30739g",[3]ARBOR!$A:$C,3,0)-1,4)+0.0001)-CV18,-TRUNC(CX18/VLOOKUP("PCS-30739g",[3]ARBOR!$A:$C,3,0)-1,4)-CV18))))</f>
        <v/>
      </c>
      <c r="DA18" s="117" t="str">
        <f>IF(ISERROR(IF(CZ18="","",VLOOKUP(($BC18&amp;CZ18&amp;"Template de desconto percentual Bundle - Velox XDSL - Varejo"),[3]BENEFICIOS!$A:$E,5,0))),"Criar",IF(CZ18="","",VLOOKUP(($BC18&amp;CZ18&amp;"Template de desconto percentual Bundle - Velox XDSL - Varejo"),[3]BENEFICIOS!$A:$E,5,0)))</f>
        <v/>
      </c>
      <c r="DB18" s="123" t="s">
        <v>173</v>
      </c>
      <c r="DC18" s="121">
        <v>99.9</v>
      </c>
      <c r="DD18" s="116">
        <f>IF(DC18=0,"",IF(DC18=VLOOKUP("PCS-30766g",[3]ARBOR!$A:$C,3,0),0.0001,IF(DC18&gt;VLOOKUP("PCS-30766g",[3]ARBOR!$A:$C,3,0),"Maior que CAP!",IF((DOLLAR(DC18+(VLOOKUP("PCS-30766g",[3]ARBOR!$A:$C,3,0)*-TRUNC(DC18/VLOOKUP("PCS-30766g",[3]ARBOR!$A:$C,3,0)-1,4)),6))&lt;&gt;(DOLLAR(VLOOKUP("PCS-30766g",[3]ARBOR!$A:$C,3,0),6)),-TRUNC(DC18/VLOOKUP("PCS-30766g",[3]ARBOR!$A:$C,3,0)-1,4)+0.0001,-TRUNC(DC18/VLOOKUP("PCS-30766g",[3]ARBOR!$A:$C,3,0)-1,4)))))</f>
        <v>0.64419999999999999</v>
      </c>
      <c r="DE18" s="117" t="str">
        <f>IF(ISERROR(IF(DD18="","",VLOOKUP(($BC18&amp;DD18&amp;"Template de desconto FLAT bundle - Velox XDSL - Varejo"),[3]BENEFICIOS!$A:$E,5,0))),"Criar",IF(DD18="","",VLOOKUP(($BC18&amp;DD18&amp;"Template de desconto FLAT bundle - Velox XDSL - Varejo"),[3]BENEFICIOS!$A:$E,5,0)))</f>
        <v>Criar</v>
      </c>
      <c r="DF18" s="121"/>
      <c r="DG18" s="150"/>
      <c r="DH18" s="116" t="str">
        <f>IF(DF18=0,"",IF(DF18=VLOOKUP("PCS-30766g",[3]ARBOR!$A:$C,3,0),0.0001,IF(DF18&gt;VLOOKUP("PCS-30766g",[3]ARBOR!$A:$C,3,0),"Maior que CAP!",IF((DOLLAR(DF18+(VLOOKUP("PCS-30766g",[3]ARBOR!$A:$C,3,0)*-TRUNC(DF18/VLOOKUP("PCS-30766g",[3]ARBOR!$A:$C,3,0)-1,4)),6))&lt;&gt;(DOLLAR(VLOOKUP("PCS-30766g",[3]ARBOR!$A:$C,3,0),6)),(-TRUNC(DF18/VLOOKUP("PCS-30766g",[3]ARBOR!$A:$C,3,0)-1,4)+0.0001)-DD18,-TRUNC(DF18/VLOOKUP("PCS-30766g",[3]ARBOR!$A:$C,3,0)-1,4)-DD18))))</f>
        <v/>
      </c>
      <c r="DI18" s="117" t="str">
        <f>IF(ISERROR(IF(DH18="","",VLOOKUP(($BC18&amp;DH18&amp;"Template de desconto percentual Bundle - Velox XDSL - Varejo"),[3]BENEFICIOS!$A:$E,5,0))),"Criar",IF(DH18="","",VLOOKUP(($BC18&amp;DH18&amp;"Template de desconto percentual Bundle - Velox XDSL - Varejo"),[3]BENEFICIOS!$A:$E,5,0)))</f>
        <v/>
      </c>
      <c r="DJ18" s="123" t="s">
        <v>230</v>
      </c>
      <c r="DK18" s="121">
        <v>109.9</v>
      </c>
      <c r="DL18" s="116">
        <f>IF(DK18=0,"",IF(DK18=VLOOKUP("PCS-30793g",[3]ARBOR!$A:$C,3,0),0.0001,IF(DK18&gt;VLOOKUP("PCS-30793g",[3]ARBOR!$A:$C,3,0),"Maior que CAP!",IF((DOLLAR(DK18+(VLOOKUP("PCS-30793g",[3]ARBOR!$A:$C,3,0)*-TRUNC(DK18/VLOOKUP("PCS-30793g",[3]ARBOR!$A:$C,3,0)-1,4)),6))&lt;&gt;(DOLLAR(VLOOKUP("PCS-30793g",[3]ARBOR!$A:$C,3,0),6)),-TRUNC(DK18/VLOOKUP("PCS-30793g",[3]ARBOR!$A:$C,3,0)-1,4)+0.0001,-TRUNC(DK18/VLOOKUP("PCS-30793g",[3]ARBOR!$A:$C,3,0)-1,4)))))</f>
        <v>0.60860000000000003</v>
      </c>
      <c r="DM18" s="117" t="str">
        <f>IF(ISERROR(IF(DL18="","",VLOOKUP(($BC18&amp;DL18&amp;"Template de desconto FLAT bundle - Velox XDSL - Varejo"),[3]BENEFICIOS!$A:$E,5,0))),"Criar",IF(DL18="","",VLOOKUP(($BC18&amp;DL18&amp;"Template de desconto FLAT bundle - Velox XDSL - Varejo"),[3]BENEFICIOS!$A:$E,5,0)))</f>
        <v>Criar</v>
      </c>
      <c r="DN18" s="121"/>
      <c r="DO18" s="150"/>
      <c r="DP18" s="116" t="str">
        <f>IF(DN18=0,"",IF(DN18=VLOOKUP("PCS-30793g",[3]ARBOR!$A:$C,3,0),0.0001,IF(DN18&gt;VLOOKUP("PCS-30793g",[3]ARBOR!$A:$C,3,0),"Maior que CAP!",IF((DOLLAR(DN18+(VLOOKUP("PCS-30793g",[3]ARBOR!$A:$C,3,0)*-TRUNC(DN18/VLOOKUP("PCS-30793g",[3]ARBOR!$A:$C,3,0)-1,4)),6))&lt;&gt;(DOLLAR(VLOOKUP("PCS-30793g",[3]ARBOR!$A:$C,3,0),6)),(-TRUNC(DN18/VLOOKUP("PCS-30793g",[3]ARBOR!$A:$C,3,0)-1,4)+0.0001)-DL18,-TRUNC(DN18/VLOOKUP("PCS-30793g",[3]ARBOR!$A:$C,3,0)-1,4)-DL18))))</f>
        <v/>
      </c>
      <c r="DQ18" s="117" t="str">
        <f>IF(ISERROR(IF(DP18="","",VLOOKUP(($BC18&amp;DP18&amp;"Template de desconto percentual Bundle - Velox XDSL - Varejo"),[3]BENEFICIOS!$A:$E,5,0))),"Criar",IF(DP18="","",VLOOKUP(($BC18&amp;DP18&amp;"Template de desconto percentual Bundle - Velox XDSL - Varejo"),[3]BENEFICIOS!$A:$E,5,0)))</f>
        <v/>
      </c>
      <c r="DR18" s="123" t="s">
        <v>173</v>
      </c>
      <c r="DS18" s="121">
        <v>109.9</v>
      </c>
      <c r="DT18" s="116">
        <f>IF(DS18=0,"",IF(DS18=VLOOKUP("PCS-30820g",[3]ARBOR!$A:$C,3,0),0.0001,IF(DS18&gt;VLOOKUP("PCS-30820g",[3]ARBOR!$A:$C,3,0),"Maior que CAP!",IF((DOLLAR(DS18+(VLOOKUP("PCS-30820g",[3]ARBOR!$A:$C,3,0)*-TRUNC(DS18/VLOOKUP("PCS-30820g",[3]ARBOR!$A:$C,3,0)-1,4)),6))&lt;&gt;(DOLLAR(VLOOKUP("PCS-30820g",[3]ARBOR!$A:$C,3,0),6)),-TRUNC(DS18/VLOOKUP("PCS-30820g",[3]ARBOR!$A:$C,3,0)-1,4)+0.0001,-TRUNC(DS18/VLOOKUP("PCS-30820g",[3]ARBOR!$A:$C,3,0)-1,4)))))</f>
        <v>0.60860000000000003</v>
      </c>
      <c r="DU18" s="117" t="str">
        <f>IF(ISERROR(IF(DT18="","",VLOOKUP(($BC18&amp;DT18&amp;"Template de desconto FLAT bundle - Velox XDSL - Varejo"),[3]BENEFICIOS!$A:$E,5,0))),"Criar",IF(DT18="","",VLOOKUP(($BC18&amp;DT18&amp;"Template de desconto FLAT bundle - Velox XDSL - Varejo"),[3]BENEFICIOS!$A:$E,5,0)))</f>
        <v>Criar</v>
      </c>
      <c r="DV18" s="121"/>
      <c r="DW18" s="150"/>
      <c r="DX18" s="116" t="str">
        <f>IF(DV18=0,"",IF(DV18=VLOOKUP("PCS-30820g",[3]ARBOR!$A:$C,3,0),0.0001,IF(DV18&gt;VLOOKUP("PCS-30820g",[3]ARBOR!$A:$C,3,0),"Maior que CAP!",IF((DOLLAR(DV18+(VLOOKUP("PCS-30820g",[3]ARBOR!$A:$C,3,0)*-TRUNC(DV18/VLOOKUP("PCS-30820g",[3]ARBOR!$A:$C,3,0)-1,4)),6))&lt;&gt;(DOLLAR(VLOOKUP("PCS-30820g",[3]ARBOR!$A:$C,3,0),6)),(-TRUNC(DV18/VLOOKUP("PCS-30820g",[3]ARBOR!$A:$C,3,0)-1,4)+0.0001)-DT18,-TRUNC(DV18/VLOOKUP("PCS-30820g",[3]ARBOR!$A:$C,3,0)-1,4)-DT18))))</f>
        <v/>
      </c>
      <c r="DY18" s="117" t="str">
        <f>IF(ISERROR(IF(DX18="","",VLOOKUP(($BC18&amp;DX18&amp;"Template de desconto percentual Bundle - Velox XDSL - Varejo"),[3]BENEFICIOS!$A:$E,5,0))),"Criar",IF(DX18="","",VLOOKUP(($BC18&amp;DX18&amp;"Template de desconto percentual Bundle - Velox XDSL - Varejo"),[3]BENEFICIOS!$A:$E,5,0)))</f>
        <v/>
      </c>
      <c r="DZ18" s="124"/>
      <c r="EA18" s="116" t="str">
        <f>IF(DZ18=0,"",IF(DZ18=VLOOKUP("PCS-21448p2",[3]ARBOR!$A:$C,3,0),0.0001,IF(DZ18&gt;VLOOKUP("PCS-21448p2",[3]ARBOR!$A:$C,3,0),"Maior que CAP!",IF((DOLLAR(DZ18+(VLOOKUP("PCS-21448p2",[3]ARBOR!$A:$C,3,0)*-TRUNC(DZ18/VLOOKUP("PCS-21448p2",[3]ARBOR!$A:$C,3,0)-1,4)),6))&lt;&gt;(DOLLAR(VLOOKUP("PCS-21448p2",[3]ARBOR!$A:$C,3,0),6)),-TRUNC(DZ18/VLOOKUP("PCS-21448p2",[3]ARBOR!$A:$C,3,0)-1,4)+0.0001,-TRUNC(DZ18/VLOOKUP("PCS-21448p2",[3]ARBOR!$A:$C,3,0)-1,4)))))</f>
        <v/>
      </c>
      <c r="EB18" s="117" t="str">
        <f>IF(ISERROR(IF(EA18="","",VLOOKUP(("Oi Conta Total Plug 10GB Downgrade"&amp;EA18&amp;"Template de desconto percentual BL Móvel - Internet Total - Varejo"),[3]BENEFICIOS!$A:$E,5,0))),"Criar",IF(EA18="","",VLOOKUP(("Oi Conta Total Plug 10GB Downgrade"&amp;EA18&amp;"Template de desconto percentual BL Móvel - Internet Total - Varejo"),[3]BENEFICIOS!$A:$E,5,0)))</f>
        <v/>
      </c>
      <c r="EC18" s="145">
        <v>19.899999999999999</v>
      </c>
      <c r="ED18" s="126">
        <f>IF(EC18=0,"",IF(EC18=VLOOKUP("SVA",[3]ARBOR!$A:$C,3,0),0.0001,IF(EC18&gt;VLOOKUP("SVA",[3]ARBOR!$A:$C,3,0),"Maior que CAP!",IF((DOLLAR(EC18+(VLOOKUP("SVA",[3]ARBOR!$A:$C,3,0)*-TRUNC(EC18/VLOOKUP("SVA",[3]ARBOR!$A:$C,3,0)-1,4)),6))&lt;&gt;(DOLLAR(VLOOKUP("SVA",[3]ARBOR!$A:$C,3,0),6)),-TRUNC(EC18/VLOOKUP("SVA",[3]ARBOR!$A:$C,3,0)-1,4)+0.0001,-TRUNC(EC18/VLOOKUP("SVA",[3]ARBOR!$A:$C,3,0)-1,4)))))</f>
        <v>7.1400000000000005E-2</v>
      </c>
      <c r="EE18" s="127" t="s">
        <v>231</v>
      </c>
      <c r="EF18" s="151"/>
      <c r="EG18" s="152"/>
      <c r="EH18" s="153" t="str">
        <f t="shared" si="1"/>
        <v/>
      </c>
      <c r="EI18" s="154" t="str">
        <f>IF(EH18="S/Desc","S/Desc",IF(ISERROR(IF(EH18="","",VLOOKUP(($BC18&amp;EH18&amp;"Template Desc. % sobre Serviço SVA B2C"),[3]BENEFICIOS!$A:$G,5,0))),"Criar",IF(EH18="","",VLOOKUP(($BC18&amp;EH18&amp;"Template Desc. % sobre Serviço SVA B2C"),[3]BENEFICIOS!$A:$G,5,0))))</f>
        <v/>
      </c>
      <c r="EJ18" s="146" t="s">
        <v>209</v>
      </c>
      <c r="EK18" s="135" t="s">
        <v>256</v>
      </c>
      <c r="EL18" s="133" t="s">
        <v>224</v>
      </c>
      <c r="EM18" s="134" t="s">
        <v>225</v>
      </c>
      <c r="EN18" s="135"/>
      <c r="EO18" s="133"/>
      <c r="EP18" s="134"/>
      <c r="EQ18" s="136" t="s">
        <v>219</v>
      </c>
      <c r="ER18" s="137">
        <f t="shared" si="2"/>
        <v>154.91000000000003</v>
      </c>
      <c r="ES18" s="138" t="s">
        <v>220</v>
      </c>
      <c r="ET18" s="147" t="s">
        <v>273</v>
      </c>
      <c r="EU18" s="147" t="s">
        <v>227</v>
      </c>
      <c r="EV18" s="147"/>
      <c r="EW18" s="147"/>
      <c r="EX18" s="147"/>
      <c r="EY18" s="147"/>
      <c r="EZ18" s="147"/>
      <c r="FA18" s="147"/>
      <c r="FB18" s="148"/>
    </row>
    <row r="19" spans="1:158" ht="15" customHeight="1" x14ac:dyDescent="0.25">
      <c r="A19" s="90" t="s">
        <v>198</v>
      </c>
      <c r="B19" s="91" t="s">
        <v>199</v>
      </c>
      <c r="C19" s="91" t="s">
        <v>200</v>
      </c>
      <c r="D19" s="92" t="s">
        <v>201</v>
      </c>
      <c r="E19" s="93" t="s">
        <v>202</v>
      </c>
      <c r="F19" s="94" t="s">
        <v>202</v>
      </c>
      <c r="G19" s="94" t="s">
        <v>202</v>
      </c>
      <c r="H19" s="94" t="s">
        <v>202</v>
      </c>
      <c r="I19" s="94"/>
      <c r="J19" s="94" t="s">
        <v>202</v>
      </c>
      <c r="K19" s="94" t="s">
        <v>202</v>
      </c>
      <c r="L19" s="94" t="s">
        <v>202</v>
      </c>
      <c r="M19" s="94" t="s">
        <v>202</v>
      </c>
      <c r="N19" s="94" t="s">
        <v>202</v>
      </c>
      <c r="O19" s="94" t="s">
        <v>202</v>
      </c>
      <c r="P19" s="94" t="s">
        <v>202</v>
      </c>
      <c r="Q19" s="94" t="s">
        <v>202</v>
      </c>
      <c r="R19" s="94" t="s">
        <v>202</v>
      </c>
      <c r="S19" s="94" t="s">
        <v>202</v>
      </c>
      <c r="T19" s="95" t="s">
        <v>202</v>
      </c>
      <c r="U19" s="94" t="s">
        <v>202</v>
      </c>
      <c r="V19" s="95" t="s">
        <v>202</v>
      </c>
      <c r="W19" s="94" t="s">
        <v>202</v>
      </c>
      <c r="X19" s="94" t="s">
        <v>202</v>
      </c>
      <c r="Y19" s="94" t="s">
        <v>202</v>
      </c>
      <c r="Z19" s="94" t="s">
        <v>202</v>
      </c>
      <c r="AA19" s="95" t="s">
        <v>202</v>
      </c>
      <c r="AB19" s="94"/>
      <c r="AC19" s="141"/>
      <c r="AD19" s="95"/>
      <c r="AE19" s="94"/>
      <c r="AF19" s="94" t="s">
        <v>202</v>
      </c>
      <c r="AG19" s="94" t="s">
        <v>202</v>
      </c>
      <c r="AH19" s="94" t="s">
        <v>202</v>
      </c>
      <c r="AI19" s="94"/>
      <c r="AJ19" s="94"/>
      <c r="AK19" s="94"/>
      <c r="AL19" s="97"/>
      <c r="AM19" s="98" t="s">
        <v>274</v>
      </c>
      <c r="AN19" s="99" t="s">
        <v>204</v>
      </c>
      <c r="AO19" s="99" t="s">
        <v>275</v>
      </c>
      <c r="AP19" s="100">
        <v>42912</v>
      </c>
      <c r="AQ19" s="101">
        <v>43004</v>
      </c>
      <c r="AR19" s="102" t="s">
        <v>206</v>
      </c>
      <c r="AS19" s="103" t="s">
        <v>206</v>
      </c>
      <c r="AT19" s="104"/>
      <c r="AU19" s="104" t="s">
        <v>207</v>
      </c>
      <c r="AV19" s="104">
        <v>20</v>
      </c>
      <c r="AW19" s="104">
        <v>10000</v>
      </c>
      <c r="AX19" s="105" t="s">
        <v>208</v>
      </c>
      <c r="AY19" s="106" t="s">
        <v>209</v>
      </c>
      <c r="AZ19" s="107" t="s">
        <v>209</v>
      </c>
      <c r="BA19" s="108" t="s">
        <v>209</v>
      </c>
      <c r="BB19" s="98" t="s">
        <v>274</v>
      </c>
      <c r="BC19" s="109" t="s">
        <v>237</v>
      </c>
      <c r="BD19" s="110" t="str">
        <f t="shared" si="0"/>
        <v>PCS-2PFBL2</v>
      </c>
      <c r="BE19" s="111" t="s">
        <v>201</v>
      </c>
      <c r="BF19" s="112" t="s">
        <v>211</v>
      </c>
      <c r="BG19" s="113">
        <v>12</v>
      </c>
      <c r="BH19" s="114">
        <v>144</v>
      </c>
      <c r="BI19" s="115">
        <v>70.010000000000005</v>
      </c>
      <c r="BJ19" s="116">
        <f>IF(BI19=0,"",IF(BI19=VLOOKUP("FIXO",[3]ARBOR!$A:$C,3,0),0.0001,IF(BI19&gt;VLOOKUP("FIXO",[3]ARBOR!$A:$C,3,0),"Maior que CAP!",IF((DOLLAR(BI19+(VLOOKUP("FIXO",[3]ARBOR!$A:$C,3,0)*-TRUNC(BI19/VLOOKUP("FIXO",[3]ARBOR!$A:$C,3,0)-1,4)),6))&lt;&gt;(DOLLAR(VLOOKUP("FIXO",[3]ARBOR!$A:$C,3,0),6)),-TRUNC(BI19/VLOOKUP("FIXO",[3]ARBOR!$A:$C,3,0)-1,4)+0.0001,-TRUNC(BI19/VLOOKUP("FIXO",[3]ARBOR!$A:$C,3,0)-1,4)))))</f>
        <v>7.6899999999999996E-2</v>
      </c>
      <c r="BK19" s="117" t="str">
        <f>IF(ISERROR(IF(BJ19="","",VLOOKUP(($BC19&amp;BJ19&amp;"Template de desconto FLAT bundle - Fixo - Varejo - Ganho Tributário Cross"),[3]BENEFICIOS!$A:$E,5,0))),"Criar",IF(BJ19="","",VLOOKUP(($BC19&amp;BJ19&amp;"Template de desconto FLAT bundle - Fixo - Varejo - Ganho Tributário Cross"),[3]BENEFICIOS!$A:$E,5,0)))</f>
        <v>Criar</v>
      </c>
      <c r="BL19" s="65" t="s">
        <v>212</v>
      </c>
      <c r="BM19" s="66" t="s">
        <v>213</v>
      </c>
      <c r="BN19" s="111" t="s">
        <v>201</v>
      </c>
      <c r="BO19" s="112" t="s">
        <v>214</v>
      </c>
      <c r="BP19" s="143">
        <v>12</v>
      </c>
      <c r="BQ19" s="143">
        <v>60</v>
      </c>
      <c r="BR19" s="144" t="s">
        <v>230</v>
      </c>
      <c r="BS19" s="121">
        <v>84.9</v>
      </c>
      <c r="BT19" s="116">
        <f>IF(BS19=0,"",IF(BS19=VLOOKUP("PCS-30874g",[3]ARBOR!$A:$C,3,0),0.0001,IF(BS19&gt;VLOOKUP("PCS-30874g",[3]ARBOR!$A:$C,3,0),"Maior que CAP!",IF((DOLLAR(BS19+(VLOOKUP("PCS-30874g",[3]ARBOR!$A:$C,3,0)*-TRUNC(BS19/VLOOKUP("PCS-30874g",[3]ARBOR!$A:$C,3,0)-1,4)),6))&lt;&gt;(DOLLAR(VLOOKUP("PCS-30874g",[3]ARBOR!$A:$C,3,0),6)),-TRUNC(BS19/VLOOKUP("PCS-30874g",[3]ARBOR!$A:$C,3,0)-1,4)+0.0001,-TRUNC(BS19/VLOOKUP("PCS-30874g",[3]ARBOR!$A:$C,3,0)-1,4)))))</f>
        <v>0.1242</v>
      </c>
      <c r="BU19" s="117" t="str">
        <f>IF(ISERROR(IF(BT19="","",VLOOKUP(($BC19&amp;BT19&amp;"Template de desconto FLAT bundle - Velox XDSL - Varejo"),[3]BENEFICIOS!$A:$E,5,0))),"Criar",IF(BT19="","",VLOOKUP(($BC19&amp;BT19&amp;"Template de desconto FLAT bundle - Velox XDSL - Varejo"),[3]BENEFICIOS!$A:$E,5,0)))</f>
        <v>Criar</v>
      </c>
      <c r="BV19" s="144" t="s">
        <v>230</v>
      </c>
      <c r="BW19" s="121">
        <v>84.9</v>
      </c>
      <c r="BX19" s="116">
        <f>IF(BW19=0,"",IF(BW19=VLOOKUP("PCS-30577g",[3]ARBOR!$A:$C,3,0),0.0001,IF(BW19&gt;VLOOKUP("PCS-30577g",[3]ARBOR!$A:$C,3,0),"Maior que CAP!",IF((DOLLAR(BW19+(VLOOKUP("PCS-30577g",[3]ARBOR!$A:$C,3,0)*-TRUNC(BW19/VLOOKUP("PCS-30577g",[3]ARBOR!$A:$C,3,0)-1,4)),6))&lt;&gt;(DOLLAR(VLOOKUP("PCS-30577g",[3]ARBOR!$A:$C,3,0),6)),-TRUNC(BW19/VLOOKUP("PCS-30577g",[3]ARBOR!$A:$C,3,0)-1,4)+0.0001,-TRUNC(BW19/VLOOKUP("PCS-30577g",[3]ARBOR!$A:$C,3,0)-1,4)))))</f>
        <v>0.1242</v>
      </c>
      <c r="BY19" s="117" t="str">
        <f>IF(ISERROR(IF(BX19="","",VLOOKUP(($BC19&amp;BX19&amp;"Template de desconto FLAT bundle - Velox XDSL - Varejo"),[3]BENEFICIOS!$A:$E,5,0))),"Criar",IF(BX19="","",VLOOKUP(($BC19&amp;BX19&amp;"Template de desconto FLAT bundle - Velox XDSL - Varejo"),[3]BENEFICIOS!$A:$E,5,0)))</f>
        <v>Criar</v>
      </c>
      <c r="BZ19" s="144" t="s">
        <v>230</v>
      </c>
      <c r="CA19" s="121">
        <v>84.9</v>
      </c>
      <c r="CB19" s="116">
        <f>IF(CA19=0,"",IF(CA19=VLOOKUP("PCS-30604g",[3]ARBOR!$A:$C,3,0),0.0001,IF(CA19&gt;VLOOKUP("PCS-30604g",[3]ARBOR!$A:$C,3,0),"Maior que CAP!",IF((DOLLAR(CA19+(VLOOKUP("PCS-30604g",[3]ARBOR!$A:$C,3,0)*-TRUNC(CA19/VLOOKUP("PCS-30604g",[3]ARBOR!$A:$C,3,0)-1,4)),6))&lt;&gt;(DOLLAR(VLOOKUP("PCS-30604g",[3]ARBOR!$A:$C,3,0),6)),-TRUNC(CA19/VLOOKUP("PCS-30604g",[3]ARBOR!$A:$C,3,0)-1,4)+0.0001,-TRUNC(CA19/VLOOKUP("PCS-30604g",[3]ARBOR!$A:$C,3,0)-1,4)))))</f>
        <v>0.1242</v>
      </c>
      <c r="CC19" s="117" t="str">
        <f>IF(ISERROR(IF(CB19="","",VLOOKUP(($BC19&amp;CB19&amp;"Template de desconto FLAT bundle - Velox XDSL - Varejo"),[3]BENEFICIOS!$A:$E,5,0))),"Criar",IF(CB19="","",VLOOKUP(($BC19&amp;CB19&amp;"Template de desconto FLAT bundle - Velox XDSL - Varejo"),[3]BENEFICIOS!$A:$E,5,0)))</f>
        <v>Criar</v>
      </c>
      <c r="CD19" s="144" t="s">
        <v>230</v>
      </c>
      <c r="CE19" s="121">
        <v>84.9</v>
      </c>
      <c r="CF19" s="116">
        <f>IF(CE19=0,"",IF(CE19=VLOOKUP("PCS-30631g",[3]ARBOR!$A:$C,3,0),0.0001,IF(CE19&gt;VLOOKUP("PCS-30631g",[3]ARBOR!$A:$C,3,0),"Maior que CAP!",IF((DOLLAR(CE19+(VLOOKUP("PCS-30631g",[3]ARBOR!$A:$C,3,0)*-TRUNC(CE19/VLOOKUP("PCS-30631g",[3]ARBOR!$A:$C,3,0)-1,4)),6))&lt;&gt;(DOLLAR(VLOOKUP("PCS-30631g",[3]ARBOR!$A:$C,3,0),6)),-TRUNC(CE19/VLOOKUP("PCS-30631g",[3]ARBOR!$A:$C,3,0)-1,4)+0.0001,-TRUNC(CE19/VLOOKUP("PCS-30631g",[3]ARBOR!$A:$C,3,0)-1,4)))))</f>
        <v>0.13599999999999998</v>
      </c>
      <c r="CG19" s="117" t="str">
        <f>IF(ISERROR(IF(CF19="","",VLOOKUP(($BC19&amp;CF19&amp;"Template de desconto FLAT bundle - Velox XDSL - Varejo"),[3]BENEFICIOS!$A:$E,5,0))),"Criar",IF(CF19="","",VLOOKUP(($BC19&amp;CF19&amp;"Template de desconto FLAT bundle - Velox XDSL - Varejo"),[3]BENEFICIOS!$A:$E,5,0)))</f>
        <v>Criar</v>
      </c>
      <c r="CH19" s="123" t="s">
        <v>173</v>
      </c>
      <c r="CI19" s="121">
        <v>89.9</v>
      </c>
      <c r="CJ19" s="116">
        <f>IF(CI19=0,"",IF(CI19=VLOOKUP("PCS-30658g",[3]ARBOR!$A:$C,3,0),0.0001,IF(CI19&gt;VLOOKUP("PCS-30658g",[3]ARBOR!$A:$C,3,0),"Maior que CAP!",IF((DOLLAR(CI19+(VLOOKUP("PCS-30658g",[3]ARBOR!$A:$C,3,0)*-TRUNC(CI19/VLOOKUP("PCS-30658g",[3]ARBOR!$A:$C,3,0)-1,4)),6))&lt;&gt;(DOLLAR(VLOOKUP("PCS-30658g",[3]ARBOR!$A:$C,3,0),6)),-TRUNC(CI19/VLOOKUP("PCS-30658g",[3]ARBOR!$A:$C,3,0)-1,4)+0.0001,-TRUNC(CI19/VLOOKUP("PCS-30658g",[3]ARBOR!$A:$C,3,0)-1,4)))))</f>
        <v>0.1996</v>
      </c>
      <c r="CK19" s="117" t="str">
        <f>IF(ISERROR(IF(CJ19="","",VLOOKUP(($BC19&amp;CJ19&amp;"Template de desconto FLAT bundle - Velox XDSL - Varejo"),[3]BENEFICIOS!$A:$E,5,0))),"Criar",IF(CJ19="","",VLOOKUP(($BC19&amp;CJ19&amp;"Template de desconto FLAT bundle - Velox XDSL - Varejo"),[3]BENEFICIOS!$A:$E,5,0)))</f>
        <v>Criar</v>
      </c>
      <c r="CL19" s="123" t="s">
        <v>173</v>
      </c>
      <c r="CM19" s="121">
        <v>89.9</v>
      </c>
      <c r="CN19" s="116">
        <f>IF(CM19=0,"",IF(CM19=VLOOKUP("PCS-30685g",[3]ARBOR!$A:$C,3,0),0.0001,IF(CM19&gt;VLOOKUP("PCS-30685g",[3]ARBOR!$A:$C,3,0),"Maior que CAP!",IF((DOLLAR(CM19+(VLOOKUP("PCS-30685g",[3]ARBOR!$A:$C,3,0)*-TRUNC(CM19/VLOOKUP("PCS-30685g",[3]ARBOR!$A:$C,3,0)-1,4)),6))&lt;&gt;(DOLLAR(VLOOKUP("PCS-30685g",[3]ARBOR!$A:$C,3,0),6)),-TRUNC(CM19/VLOOKUP("PCS-30685g",[3]ARBOR!$A:$C,3,0)-1,4)+0.0001,-TRUNC(CM19/VLOOKUP("PCS-30685g",[3]ARBOR!$A:$C,3,0)-1,4)))))</f>
        <v>0.28849999999999998</v>
      </c>
      <c r="CO19" s="117" t="str">
        <f>IF(ISERROR(IF(CN19="","",VLOOKUP(($BC19&amp;CN19&amp;"Template de desconto FLAT bundle - Velox XDSL - Varejo"),[3]BENEFICIOS!$A:$E,5,0))),"Criar",IF(CN19="","",VLOOKUP(($BC19&amp;CN19&amp;"Template de desconto FLAT bundle - Velox XDSL - Varejo"),[3]BENEFICIOS!$A:$E,5,0)))</f>
        <v>Criar</v>
      </c>
      <c r="CP19" s="123" t="s">
        <v>173</v>
      </c>
      <c r="CQ19" s="121">
        <v>89.9</v>
      </c>
      <c r="CR19" s="116">
        <f>IF(CQ19=0,"",IF(CQ19=VLOOKUP("PCS-30712g",[3]ARBOR!$A:$C,3,0),0.0001,IF(CQ19&gt;VLOOKUP("PCS-30712g",[3]ARBOR!$A:$C,3,0),"Maior que CAP!",IF((DOLLAR(CQ19+(VLOOKUP("PCS-30712g",[3]ARBOR!$A:$C,3,0)*-TRUNC(CQ19/VLOOKUP("PCS-30712g",[3]ARBOR!$A:$C,3,0)-1,4)),6))&lt;&gt;(DOLLAR(VLOOKUP("PCS-30712g",[3]ARBOR!$A:$C,3,0),6)),-TRUNC(CQ19/VLOOKUP("PCS-30712g",[3]ARBOR!$A:$C,3,0)-1,4)+0.0001,-TRUNC(CQ19/VLOOKUP("PCS-30712g",[3]ARBOR!$A:$C,3,0)-1,4)))))</f>
        <v>0.35959999999999998</v>
      </c>
      <c r="CS19" s="117" t="str">
        <f>IF(ISERROR(IF(CR19="","",VLOOKUP(($BC19&amp;CR19&amp;"Template de desconto FLAT bundle - Velox XDSL - Varejo"),[3]BENEFICIOS!$A:$E,5,0))),"Criar",IF(CR19="","",VLOOKUP(($BC19&amp;CR19&amp;"Template de desconto FLAT bundle - Velox XDSL - Varejo"),[3]BENEFICIOS!$A:$E,5,0)))</f>
        <v>Criar</v>
      </c>
      <c r="CT19" s="123" t="s">
        <v>173</v>
      </c>
      <c r="CU19" s="121">
        <v>99.9</v>
      </c>
      <c r="CV19" s="116">
        <f>IF(CU19=0,"",IF(CU19=VLOOKUP("PCS-30739g",[3]ARBOR!$A:$C,3,0),0.0001,IF(CU19&gt;VLOOKUP("PCS-30739g",[3]ARBOR!$A:$C,3,0),"Maior que CAP!",IF((DOLLAR(CU19+(VLOOKUP("PCS-30739g",[3]ARBOR!$A:$C,3,0)*-TRUNC(CU19/VLOOKUP("PCS-30739g",[3]ARBOR!$A:$C,3,0)-1,4)),6))&lt;&gt;(DOLLAR(VLOOKUP("PCS-30739g",[3]ARBOR!$A:$C,3,0),6)),-TRUNC(CU19/VLOOKUP("PCS-30739g",[3]ARBOR!$A:$C,3,0)-1,4)+0.0001,-TRUNC(CU19/VLOOKUP("PCS-30739g",[3]ARBOR!$A:$C,3,0)-1,4)))))</f>
        <v>0.52559999999999996</v>
      </c>
      <c r="CW19" s="117" t="str">
        <f>IF(ISERROR(IF(CV19="","",VLOOKUP(($BC19&amp;CV19&amp;"Template de desconto FLAT bundle - Velox XDSL - Varejo"),[3]BENEFICIOS!$A:$E,5,0))),"Criar",IF(CV19="","",VLOOKUP(($BC19&amp;CV19&amp;"Template de desconto FLAT bundle - Velox XDSL - Varejo"),[3]BENEFICIOS!$A:$E,5,0)))</f>
        <v>Criar</v>
      </c>
      <c r="CX19" s="121"/>
      <c r="CY19" s="150"/>
      <c r="CZ19" s="116" t="str">
        <f>IF(CX19=0,"",IF(CX19=VLOOKUP("PCS-30739g",[3]ARBOR!$A:$C,3,0),0.0001,IF(CX19&gt;VLOOKUP("PCS-30739g",[3]ARBOR!$A:$C,3,0),"Maior que CAP!",IF((DOLLAR(CX19+(VLOOKUP("PCS-30739g",[3]ARBOR!$A:$C,3,0)*-TRUNC(CX19/VLOOKUP("PCS-30739g",[3]ARBOR!$A:$C,3,0)-1,4)),6))&lt;&gt;(DOLLAR(VLOOKUP("PCS-30739g",[3]ARBOR!$A:$C,3,0),6)),(-TRUNC(CX19/VLOOKUP("PCS-30739g",[3]ARBOR!$A:$C,3,0)-1,4)+0.0001)-CV19,-TRUNC(CX19/VLOOKUP("PCS-30739g",[3]ARBOR!$A:$C,3,0)-1,4)-CV19))))</f>
        <v/>
      </c>
      <c r="DA19" s="117" t="str">
        <f>IF(ISERROR(IF(CZ19="","",VLOOKUP(($BC19&amp;CZ19&amp;"Template de desconto percentual Bundle - Velox XDSL - Varejo"),[3]BENEFICIOS!$A:$E,5,0))),"Criar",IF(CZ19="","",VLOOKUP(($BC19&amp;CZ19&amp;"Template de desconto percentual Bundle - Velox XDSL - Varejo"),[3]BENEFICIOS!$A:$E,5,0)))</f>
        <v/>
      </c>
      <c r="DB19" s="123" t="s">
        <v>173</v>
      </c>
      <c r="DC19" s="121">
        <v>99.9</v>
      </c>
      <c r="DD19" s="116">
        <f>IF(DC19=0,"",IF(DC19=VLOOKUP("PCS-30766g",[3]ARBOR!$A:$C,3,0),0.0001,IF(DC19&gt;VLOOKUP("PCS-30766g",[3]ARBOR!$A:$C,3,0),"Maior que CAP!",IF((DOLLAR(DC19+(VLOOKUP("PCS-30766g",[3]ARBOR!$A:$C,3,0)*-TRUNC(DC19/VLOOKUP("PCS-30766g",[3]ARBOR!$A:$C,3,0)-1,4)),6))&lt;&gt;(DOLLAR(VLOOKUP("PCS-30766g",[3]ARBOR!$A:$C,3,0),6)),-TRUNC(DC19/VLOOKUP("PCS-30766g",[3]ARBOR!$A:$C,3,0)-1,4)+0.0001,-TRUNC(DC19/VLOOKUP("PCS-30766g",[3]ARBOR!$A:$C,3,0)-1,4)))))</f>
        <v>0.64419999999999999</v>
      </c>
      <c r="DE19" s="117" t="str">
        <f>IF(ISERROR(IF(DD19="","",VLOOKUP(($BC19&amp;DD19&amp;"Template de desconto FLAT bundle - Velox XDSL - Varejo"),[3]BENEFICIOS!$A:$E,5,0))),"Criar",IF(DD19="","",VLOOKUP(($BC19&amp;DD19&amp;"Template de desconto FLAT bundle - Velox XDSL - Varejo"),[3]BENEFICIOS!$A:$E,5,0)))</f>
        <v>Criar</v>
      </c>
      <c r="DF19" s="121"/>
      <c r="DG19" s="150"/>
      <c r="DH19" s="116" t="str">
        <f>IF(DF19=0,"",IF(DF19=VLOOKUP("PCS-30766g",[3]ARBOR!$A:$C,3,0),0.0001,IF(DF19&gt;VLOOKUP("PCS-30766g",[3]ARBOR!$A:$C,3,0),"Maior que CAP!",IF((DOLLAR(DF19+(VLOOKUP("PCS-30766g",[3]ARBOR!$A:$C,3,0)*-TRUNC(DF19/VLOOKUP("PCS-30766g",[3]ARBOR!$A:$C,3,0)-1,4)),6))&lt;&gt;(DOLLAR(VLOOKUP("PCS-30766g",[3]ARBOR!$A:$C,3,0),6)),(-TRUNC(DF19/VLOOKUP("PCS-30766g",[3]ARBOR!$A:$C,3,0)-1,4)+0.0001)-DD19,-TRUNC(DF19/VLOOKUP("PCS-30766g",[3]ARBOR!$A:$C,3,0)-1,4)-DD19))))</f>
        <v/>
      </c>
      <c r="DI19" s="117" t="str">
        <f>IF(ISERROR(IF(DH19="","",VLOOKUP(($BC19&amp;DH19&amp;"Template de desconto percentual Bundle - Velox XDSL - Varejo"),[3]BENEFICIOS!$A:$E,5,0))),"Criar",IF(DH19="","",VLOOKUP(($BC19&amp;DH19&amp;"Template de desconto percentual Bundle - Velox XDSL - Varejo"),[3]BENEFICIOS!$A:$E,5,0)))</f>
        <v/>
      </c>
      <c r="DJ19" s="123" t="s">
        <v>230</v>
      </c>
      <c r="DK19" s="121">
        <v>109.9</v>
      </c>
      <c r="DL19" s="116">
        <f>IF(DK19=0,"",IF(DK19=VLOOKUP("PCS-30793g",[3]ARBOR!$A:$C,3,0),0.0001,IF(DK19&gt;VLOOKUP("PCS-30793g",[3]ARBOR!$A:$C,3,0),"Maior que CAP!",IF((DOLLAR(DK19+(VLOOKUP("PCS-30793g",[3]ARBOR!$A:$C,3,0)*-TRUNC(DK19/VLOOKUP("PCS-30793g",[3]ARBOR!$A:$C,3,0)-1,4)),6))&lt;&gt;(DOLLAR(VLOOKUP("PCS-30793g",[3]ARBOR!$A:$C,3,0),6)),-TRUNC(DK19/VLOOKUP("PCS-30793g",[3]ARBOR!$A:$C,3,0)-1,4)+0.0001,-TRUNC(DK19/VLOOKUP("PCS-30793g",[3]ARBOR!$A:$C,3,0)-1,4)))))</f>
        <v>0.60860000000000003</v>
      </c>
      <c r="DM19" s="117" t="str">
        <f>IF(ISERROR(IF(DL19="","",VLOOKUP(($BC19&amp;DL19&amp;"Template de desconto FLAT bundle - Velox XDSL - Varejo"),[3]BENEFICIOS!$A:$E,5,0))),"Criar",IF(DL19="","",VLOOKUP(($BC19&amp;DL19&amp;"Template de desconto FLAT bundle - Velox XDSL - Varejo"),[3]BENEFICIOS!$A:$E,5,0)))</f>
        <v>Criar</v>
      </c>
      <c r="DN19" s="121"/>
      <c r="DO19" s="150"/>
      <c r="DP19" s="116" t="str">
        <f>IF(DN19=0,"",IF(DN19=VLOOKUP("PCS-30793g",[3]ARBOR!$A:$C,3,0),0.0001,IF(DN19&gt;VLOOKUP("PCS-30793g",[3]ARBOR!$A:$C,3,0),"Maior que CAP!",IF((DOLLAR(DN19+(VLOOKUP("PCS-30793g",[3]ARBOR!$A:$C,3,0)*-TRUNC(DN19/VLOOKUP("PCS-30793g",[3]ARBOR!$A:$C,3,0)-1,4)),6))&lt;&gt;(DOLLAR(VLOOKUP("PCS-30793g",[3]ARBOR!$A:$C,3,0),6)),(-TRUNC(DN19/VLOOKUP("PCS-30793g",[3]ARBOR!$A:$C,3,0)-1,4)+0.0001)-DL19,-TRUNC(DN19/VLOOKUP("PCS-30793g",[3]ARBOR!$A:$C,3,0)-1,4)-DL19))))</f>
        <v/>
      </c>
      <c r="DQ19" s="117" t="str">
        <f>IF(ISERROR(IF(DP19="","",VLOOKUP(($BC19&amp;DP19&amp;"Template de desconto percentual Bundle - Velox XDSL - Varejo"),[3]BENEFICIOS!$A:$E,5,0))),"Criar",IF(DP19="","",VLOOKUP(($BC19&amp;DP19&amp;"Template de desconto percentual Bundle - Velox XDSL - Varejo"),[3]BENEFICIOS!$A:$E,5,0)))</f>
        <v/>
      </c>
      <c r="DR19" s="123" t="s">
        <v>173</v>
      </c>
      <c r="DS19" s="121">
        <v>109.9</v>
      </c>
      <c r="DT19" s="116">
        <f>IF(DS19=0,"",IF(DS19=VLOOKUP("PCS-30820g",[3]ARBOR!$A:$C,3,0),0.0001,IF(DS19&gt;VLOOKUP("PCS-30820g",[3]ARBOR!$A:$C,3,0),"Maior que CAP!",IF((DOLLAR(DS19+(VLOOKUP("PCS-30820g",[3]ARBOR!$A:$C,3,0)*-TRUNC(DS19/VLOOKUP("PCS-30820g",[3]ARBOR!$A:$C,3,0)-1,4)),6))&lt;&gt;(DOLLAR(VLOOKUP("PCS-30820g",[3]ARBOR!$A:$C,3,0),6)),-TRUNC(DS19/VLOOKUP("PCS-30820g",[3]ARBOR!$A:$C,3,0)-1,4)+0.0001,-TRUNC(DS19/VLOOKUP("PCS-30820g",[3]ARBOR!$A:$C,3,0)-1,4)))))</f>
        <v>0.60860000000000003</v>
      </c>
      <c r="DU19" s="117" t="str">
        <f>IF(ISERROR(IF(DT19="","",VLOOKUP(($BC19&amp;DT19&amp;"Template de desconto FLAT bundle - Velox XDSL - Varejo"),[3]BENEFICIOS!$A:$E,5,0))),"Criar",IF(DT19="","",VLOOKUP(($BC19&amp;DT19&amp;"Template de desconto FLAT bundle - Velox XDSL - Varejo"),[3]BENEFICIOS!$A:$E,5,0)))</f>
        <v>Criar</v>
      </c>
      <c r="DV19" s="121"/>
      <c r="DW19" s="150"/>
      <c r="DX19" s="116" t="str">
        <f>IF(DV19=0,"",IF(DV19=VLOOKUP("PCS-30820g",[3]ARBOR!$A:$C,3,0),0.0001,IF(DV19&gt;VLOOKUP("PCS-30820g",[3]ARBOR!$A:$C,3,0),"Maior que CAP!",IF((DOLLAR(DV19+(VLOOKUP("PCS-30820g",[3]ARBOR!$A:$C,3,0)*-TRUNC(DV19/VLOOKUP("PCS-30820g",[3]ARBOR!$A:$C,3,0)-1,4)),6))&lt;&gt;(DOLLAR(VLOOKUP("PCS-30820g",[3]ARBOR!$A:$C,3,0),6)),(-TRUNC(DV19/VLOOKUP("PCS-30820g",[3]ARBOR!$A:$C,3,0)-1,4)+0.0001)-DT19,-TRUNC(DV19/VLOOKUP("PCS-30820g",[3]ARBOR!$A:$C,3,0)-1,4)-DT19))))</f>
        <v/>
      </c>
      <c r="DY19" s="117" t="str">
        <f>IF(ISERROR(IF(DX19="","",VLOOKUP(($BC19&amp;DX19&amp;"Template de desconto percentual Bundle - Velox XDSL - Varejo"),[3]BENEFICIOS!$A:$E,5,0))),"Criar",IF(DX19="","",VLOOKUP(($BC19&amp;DX19&amp;"Template de desconto percentual Bundle - Velox XDSL - Varejo"),[3]BENEFICIOS!$A:$E,5,0)))</f>
        <v/>
      </c>
      <c r="DZ19" s="124"/>
      <c r="EA19" s="116" t="str">
        <f>IF(DZ19=0,"",IF(DZ19=VLOOKUP("PCS-21448p2",[3]ARBOR!$A:$C,3,0),0.0001,IF(DZ19&gt;VLOOKUP("PCS-21448p2",[3]ARBOR!$A:$C,3,0),"Maior que CAP!",IF((DOLLAR(DZ19+(VLOOKUP("PCS-21448p2",[3]ARBOR!$A:$C,3,0)*-TRUNC(DZ19/VLOOKUP("PCS-21448p2",[3]ARBOR!$A:$C,3,0)-1,4)),6))&lt;&gt;(DOLLAR(VLOOKUP("PCS-21448p2",[3]ARBOR!$A:$C,3,0),6)),-TRUNC(DZ19/VLOOKUP("PCS-21448p2",[3]ARBOR!$A:$C,3,0)-1,4)+0.0001,-TRUNC(DZ19/VLOOKUP("PCS-21448p2",[3]ARBOR!$A:$C,3,0)-1,4)))))</f>
        <v/>
      </c>
      <c r="EB19" s="117" t="str">
        <f>IF(ISERROR(IF(EA19="","",VLOOKUP(("Oi Conta Total Plug 10GB Downgrade"&amp;EA19&amp;"Template de desconto percentual BL Móvel - Internet Total - Varejo"),[3]BENEFICIOS!$A:$E,5,0))),"Criar",IF(EA19="","",VLOOKUP(("Oi Conta Total Plug 10GB Downgrade"&amp;EA19&amp;"Template de desconto percentual BL Móvel - Internet Total - Varejo"),[3]BENEFICIOS!$A:$E,5,0)))</f>
        <v/>
      </c>
      <c r="EC19" s="145">
        <v>19.899999999999999</v>
      </c>
      <c r="ED19" s="126">
        <f>IF(EC19=0,"",IF(EC19=VLOOKUP("SVA",[3]ARBOR!$A:$C,3,0),0.0001,IF(EC19&gt;VLOOKUP("SVA",[3]ARBOR!$A:$C,3,0),"Maior que CAP!",IF((DOLLAR(EC19+(VLOOKUP("SVA",[3]ARBOR!$A:$C,3,0)*-TRUNC(EC19/VLOOKUP("SVA",[3]ARBOR!$A:$C,3,0)-1,4)),6))&lt;&gt;(DOLLAR(VLOOKUP("SVA",[3]ARBOR!$A:$C,3,0),6)),-TRUNC(EC19/VLOOKUP("SVA",[3]ARBOR!$A:$C,3,0)-1,4)+0.0001,-TRUNC(EC19/VLOOKUP("SVA",[3]ARBOR!$A:$C,3,0)-1,4)))))</f>
        <v>7.1400000000000005E-2</v>
      </c>
      <c r="EE19" s="127" t="s">
        <v>231</v>
      </c>
      <c r="EF19" s="151"/>
      <c r="EG19" s="152"/>
      <c r="EH19" s="153" t="str">
        <f t="shared" si="1"/>
        <v/>
      </c>
      <c r="EI19" s="154" t="str">
        <f>IF(EH19="S/Desc","S/Desc",IF(ISERROR(IF(EH19="","",VLOOKUP(($BC19&amp;EH19&amp;"Template Desc. % sobre Serviço SVA B2C"),[3]BENEFICIOS!$A:$G,5,0))),"Criar",IF(EH19="","",VLOOKUP(($BC19&amp;EH19&amp;"Template Desc. % sobre Serviço SVA B2C"),[3]BENEFICIOS!$A:$G,5,0))))</f>
        <v/>
      </c>
      <c r="EJ19" s="146" t="s">
        <v>209</v>
      </c>
      <c r="EK19" s="135" t="s">
        <v>216</v>
      </c>
      <c r="EL19" s="133" t="s">
        <v>217</v>
      </c>
      <c r="EM19" s="134" t="s">
        <v>218</v>
      </c>
      <c r="EN19" s="135"/>
      <c r="EO19" s="133"/>
      <c r="EP19" s="134"/>
      <c r="EQ19" s="136" t="s">
        <v>219</v>
      </c>
      <c r="ER19" s="137">
        <f t="shared" si="2"/>
        <v>159.91000000000003</v>
      </c>
      <c r="ES19" s="138" t="s">
        <v>220</v>
      </c>
      <c r="ET19" s="147" t="s">
        <v>276</v>
      </c>
      <c r="EU19" s="147" t="s">
        <v>227</v>
      </c>
      <c r="EV19" s="147"/>
      <c r="EW19" s="147"/>
      <c r="EX19" s="147"/>
      <c r="EY19" s="147"/>
      <c r="EZ19" s="147"/>
      <c r="FA19" s="147"/>
      <c r="FB19" s="148"/>
    </row>
    <row r="20" spans="1:158" x14ac:dyDescent="0.25">
      <c r="A20" s="90" t="s">
        <v>198</v>
      </c>
      <c r="B20" s="91" t="s">
        <v>199</v>
      </c>
      <c r="C20" s="91" t="s">
        <v>200</v>
      </c>
      <c r="D20" s="92" t="s">
        <v>201</v>
      </c>
      <c r="E20" s="93" t="s">
        <v>202</v>
      </c>
      <c r="F20" s="94" t="s">
        <v>202</v>
      </c>
      <c r="G20" s="94" t="s">
        <v>202</v>
      </c>
      <c r="H20" s="94" t="s">
        <v>202</v>
      </c>
      <c r="I20" s="94"/>
      <c r="J20" s="94" t="s">
        <v>202</v>
      </c>
      <c r="K20" s="94" t="s">
        <v>202</v>
      </c>
      <c r="L20" s="94" t="s">
        <v>202</v>
      </c>
      <c r="M20" s="94" t="s">
        <v>202</v>
      </c>
      <c r="N20" s="94" t="s">
        <v>202</v>
      </c>
      <c r="O20" s="94" t="s">
        <v>202</v>
      </c>
      <c r="P20" s="94" t="s">
        <v>202</v>
      </c>
      <c r="Q20" s="94" t="s">
        <v>202</v>
      </c>
      <c r="R20" s="94" t="s">
        <v>202</v>
      </c>
      <c r="S20" s="94" t="s">
        <v>202</v>
      </c>
      <c r="T20" s="95" t="s">
        <v>202</v>
      </c>
      <c r="U20" s="94" t="s">
        <v>202</v>
      </c>
      <c r="V20" s="95" t="s">
        <v>202</v>
      </c>
      <c r="W20" s="94" t="s">
        <v>202</v>
      </c>
      <c r="X20" s="94" t="s">
        <v>202</v>
      </c>
      <c r="Y20" s="94" t="s">
        <v>202</v>
      </c>
      <c r="Z20" s="94" t="s">
        <v>202</v>
      </c>
      <c r="AA20" s="95" t="s">
        <v>202</v>
      </c>
      <c r="AB20" s="94"/>
      <c r="AC20" s="141"/>
      <c r="AD20" s="95"/>
      <c r="AE20" s="94"/>
      <c r="AF20" s="94" t="s">
        <v>202</v>
      </c>
      <c r="AG20" s="94" t="s">
        <v>202</v>
      </c>
      <c r="AH20" s="94" t="s">
        <v>202</v>
      </c>
      <c r="AI20" s="94"/>
      <c r="AJ20" s="94"/>
      <c r="AK20" s="94"/>
      <c r="AL20" s="97"/>
      <c r="AM20" s="98" t="s">
        <v>277</v>
      </c>
      <c r="AN20" s="99" t="s">
        <v>204</v>
      </c>
      <c r="AO20" s="99" t="s">
        <v>278</v>
      </c>
      <c r="AP20" s="100">
        <v>42912</v>
      </c>
      <c r="AQ20" s="101">
        <v>43004</v>
      </c>
      <c r="AR20" s="102" t="s">
        <v>206</v>
      </c>
      <c r="AS20" s="103" t="s">
        <v>206</v>
      </c>
      <c r="AT20" s="104"/>
      <c r="AU20" s="104" t="s">
        <v>207</v>
      </c>
      <c r="AV20" s="104">
        <v>20</v>
      </c>
      <c r="AW20" s="104">
        <v>10000</v>
      </c>
      <c r="AX20" s="105" t="s">
        <v>208</v>
      </c>
      <c r="AY20" s="106" t="s">
        <v>209</v>
      </c>
      <c r="AZ20" s="107" t="s">
        <v>209</v>
      </c>
      <c r="BA20" s="108" t="s">
        <v>209</v>
      </c>
      <c r="BB20" s="98" t="s">
        <v>277</v>
      </c>
      <c r="BC20" s="109" t="s">
        <v>237</v>
      </c>
      <c r="BD20" s="110" t="str">
        <f t="shared" si="0"/>
        <v>PCS-2PFBL2</v>
      </c>
      <c r="BE20" s="111" t="s">
        <v>201</v>
      </c>
      <c r="BF20" s="112" t="s">
        <v>211</v>
      </c>
      <c r="BG20" s="113">
        <v>12</v>
      </c>
      <c r="BH20" s="114">
        <v>144</v>
      </c>
      <c r="BI20" s="115">
        <v>70.010000000000005</v>
      </c>
      <c r="BJ20" s="116">
        <f>IF(BI20=0,"",IF(BI20=VLOOKUP("FIXO",[3]ARBOR!$A:$C,3,0),0.0001,IF(BI20&gt;VLOOKUP("FIXO",[3]ARBOR!$A:$C,3,0),"Maior que CAP!",IF((DOLLAR(BI20+(VLOOKUP("FIXO",[3]ARBOR!$A:$C,3,0)*-TRUNC(BI20/VLOOKUP("FIXO",[3]ARBOR!$A:$C,3,0)-1,4)),6))&lt;&gt;(DOLLAR(VLOOKUP("FIXO",[3]ARBOR!$A:$C,3,0),6)),-TRUNC(BI20/VLOOKUP("FIXO",[3]ARBOR!$A:$C,3,0)-1,4)+0.0001,-TRUNC(BI20/VLOOKUP("FIXO",[3]ARBOR!$A:$C,3,0)-1,4)))))</f>
        <v>7.6899999999999996E-2</v>
      </c>
      <c r="BK20" s="117" t="str">
        <f>IF(ISERROR(IF(BJ20="","",VLOOKUP(($BC20&amp;BJ20&amp;"Template de desconto FLAT bundle - Fixo - Varejo - Ganho Tributário Cross"),[3]BENEFICIOS!$A:$E,5,0))),"Criar",IF(BJ20="","",VLOOKUP(($BC20&amp;BJ20&amp;"Template de desconto FLAT bundle - Fixo - Varejo - Ganho Tributário Cross"),[3]BENEFICIOS!$A:$E,5,0)))</f>
        <v>Criar</v>
      </c>
      <c r="BL20" s="65" t="s">
        <v>212</v>
      </c>
      <c r="BM20" s="66" t="s">
        <v>213</v>
      </c>
      <c r="BN20" s="111" t="s">
        <v>201</v>
      </c>
      <c r="BO20" s="112" t="s">
        <v>214</v>
      </c>
      <c r="BP20" s="143">
        <v>12</v>
      </c>
      <c r="BQ20" s="143">
        <v>60</v>
      </c>
      <c r="BR20" s="144" t="s">
        <v>230</v>
      </c>
      <c r="BS20" s="121">
        <v>84.9</v>
      </c>
      <c r="BT20" s="116">
        <f>IF(BS20=0,"",IF(BS20=VLOOKUP("PCS-30874g",[3]ARBOR!$A:$C,3,0),0.0001,IF(BS20&gt;VLOOKUP("PCS-30874g",[3]ARBOR!$A:$C,3,0),"Maior que CAP!",IF((DOLLAR(BS20+(VLOOKUP("PCS-30874g",[3]ARBOR!$A:$C,3,0)*-TRUNC(BS20/VLOOKUP("PCS-30874g",[3]ARBOR!$A:$C,3,0)-1,4)),6))&lt;&gt;(DOLLAR(VLOOKUP("PCS-30874g",[3]ARBOR!$A:$C,3,0),6)),-TRUNC(BS20/VLOOKUP("PCS-30874g",[3]ARBOR!$A:$C,3,0)-1,4)+0.0001,-TRUNC(BS20/VLOOKUP("PCS-30874g",[3]ARBOR!$A:$C,3,0)-1,4)))))</f>
        <v>0.1242</v>
      </c>
      <c r="BU20" s="117" t="str">
        <f>IF(ISERROR(IF(BT20="","",VLOOKUP(($BC20&amp;BT20&amp;"Template de desconto FLAT bundle - Velox XDSL - Varejo"),[3]BENEFICIOS!$A:$E,5,0))),"Criar",IF(BT20="","",VLOOKUP(($BC20&amp;BT20&amp;"Template de desconto FLAT bundle - Velox XDSL - Varejo"),[3]BENEFICIOS!$A:$E,5,0)))</f>
        <v>Criar</v>
      </c>
      <c r="BV20" s="144" t="s">
        <v>230</v>
      </c>
      <c r="BW20" s="121">
        <v>84.9</v>
      </c>
      <c r="BX20" s="116">
        <f>IF(BW20=0,"",IF(BW20=VLOOKUP("PCS-30577g",[3]ARBOR!$A:$C,3,0),0.0001,IF(BW20&gt;VLOOKUP("PCS-30577g",[3]ARBOR!$A:$C,3,0),"Maior que CAP!",IF((DOLLAR(BW20+(VLOOKUP("PCS-30577g",[3]ARBOR!$A:$C,3,0)*-TRUNC(BW20/VLOOKUP("PCS-30577g",[3]ARBOR!$A:$C,3,0)-1,4)),6))&lt;&gt;(DOLLAR(VLOOKUP("PCS-30577g",[3]ARBOR!$A:$C,3,0),6)),-TRUNC(BW20/VLOOKUP("PCS-30577g",[3]ARBOR!$A:$C,3,0)-1,4)+0.0001,-TRUNC(BW20/VLOOKUP("PCS-30577g",[3]ARBOR!$A:$C,3,0)-1,4)))))</f>
        <v>0.1242</v>
      </c>
      <c r="BY20" s="117" t="str">
        <f>IF(ISERROR(IF(BX20="","",VLOOKUP(($BC20&amp;BX20&amp;"Template de desconto FLAT bundle - Velox XDSL - Varejo"),[3]BENEFICIOS!$A:$E,5,0))),"Criar",IF(BX20="","",VLOOKUP(($BC20&amp;BX20&amp;"Template de desconto FLAT bundle - Velox XDSL - Varejo"),[3]BENEFICIOS!$A:$E,5,0)))</f>
        <v>Criar</v>
      </c>
      <c r="BZ20" s="144" t="s">
        <v>230</v>
      </c>
      <c r="CA20" s="121">
        <v>84.9</v>
      </c>
      <c r="CB20" s="116">
        <f>IF(CA20=0,"",IF(CA20=VLOOKUP("PCS-30604g",[3]ARBOR!$A:$C,3,0),0.0001,IF(CA20&gt;VLOOKUP("PCS-30604g",[3]ARBOR!$A:$C,3,0),"Maior que CAP!",IF((DOLLAR(CA20+(VLOOKUP("PCS-30604g",[3]ARBOR!$A:$C,3,0)*-TRUNC(CA20/VLOOKUP("PCS-30604g",[3]ARBOR!$A:$C,3,0)-1,4)),6))&lt;&gt;(DOLLAR(VLOOKUP("PCS-30604g",[3]ARBOR!$A:$C,3,0),6)),-TRUNC(CA20/VLOOKUP("PCS-30604g",[3]ARBOR!$A:$C,3,0)-1,4)+0.0001,-TRUNC(CA20/VLOOKUP("PCS-30604g",[3]ARBOR!$A:$C,3,0)-1,4)))))</f>
        <v>0.1242</v>
      </c>
      <c r="CC20" s="117" t="str">
        <f>IF(ISERROR(IF(CB20="","",VLOOKUP(($BC20&amp;CB20&amp;"Template de desconto FLAT bundle - Velox XDSL - Varejo"),[3]BENEFICIOS!$A:$E,5,0))),"Criar",IF(CB20="","",VLOOKUP(($BC20&amp;CB20&amp;"Template de desconto FLAT bundle - Velox XDSL - Varejo"),[3]BENEFICIOS!$A:$E,5,0)))</f>
        <v>Criar</v>
      </c>
      <c r="CD20" s="144" t="s">
        <v>230</v>
      </c>
      <c r="CE20" s="121">
        <v>84.9</v>
      </c>
      <c r="CF20" s="116">
        <f>IF(CE20=0,"",IF(CE20=VLOOKUP("PCS-30631g",[3]ARBOR!$A:$C,3,0),0.0001,IF(CE20&gt;VLOOKUP("PCS-30631g",[3]ARBOR!$A:$C,3,0),"Maior que CAP!",IF((DOLLAR(CE20+(VLOOKUP("PCS-30631g",[3]ARBOR!$A:$C,3,0)*-TRUNC(CE20/VLOOKUP("PCS-30631g",[3]ARBOR!$A:$C,3,0)-1,4)),6))&lt;&gt;(DOLLAR(VLOOKUP("PCS-30631g",[3]ARBOR!$A:$C,3,0),6)),-TRUNC(CE20/VLOOKUP("PCS-30631g",[3]ARBOR!$A:$C,3,0)-1,4)+0.0001,-TRUNC(CE20/VLOOKUP("PCS-30631g",[3]ARBOR!$A:$C,3,0)-1,4)))))</f>
        <v>0.13599999999999998</v>
      </c>
      <c r="CG20" s="117" t="str">
        <f>IF(ISERROR(IF(CF20="","",VLOOKUP(($BC20&amp;CF20&amp;"Template de desconto FLAT bundle - Velox XDSL - Varejo"),[3]BENEFICIOS!$A:$E,5,0))),"Criar",IF(CF20="","",VLOOKUP(($BC20&amp;CF20&amp;"Template de desconto FLAT bundle - Velox XDSL - Varejo"),[3]BENEFICIOS!$A:$E,5,0)))</f>
        <v>Criar</v>
      </c>
      <c r="CH20" s="123" t="s">
        <v>173</v>
      </c>
      <c r="CI20" s="121">
        <v>89.9</v>
      </c>
      <c r="CJ20" s="116">
        <f>IF(CI20=0,"",IF(CI20=VLOOKUP("PCS-30658g",[3]ARBOR!$A:$C,3,0),0.0001,IF(CI20&gt;VLOOKUP("PCS-30658g",[3]ARBOR!$A:$C,3,0),"Maior que CAP!",IF((DOLLAR(CI20+(VLOOKUP("PCS-30658g",[3]ARBOR!$A:$C,3,0)*-TRUNC(CI20/VLOOKUP("PCS-30658g",[3]ARBOR!$A:$C,3,0)-1,4)),6))&lt;&gt;(DOLLAR(VLOOKUP("PCS-30658g",[3]ARBOR!$A:$C,3,0),6)),-TRUNC(CI20/VLOOKUP("PCS-30658g",[3]ARBOR!$A:$C,3,0)-1,4)+0.0001,-TRUNC(CI20/VLOOKUP("PCS-30658g",[3]ARBOR!$A:$C,3,0)-1,4)))))</f>
        <v>0.1996</v>
      </c>
      <c r="CK20" s="117" t="str">
        <f>IF(ISERROR(IF(CJ20="","",VLOOKUP(($BC20&amp;CJ20&amp;"Template de desconto FLAT bundle - Velox XDSL - Varejo"),[3]BENEFICIOS!$A:$E,5,0))),"Criar",IF(CJ20="","",VLOOKUP(($BC20&amp;CJ20&amp;"Template de desconto FLAT bundle - Velox XDSL - Varejo"),[3]BENEFICIOS!$A:$E,5,0)))</f>
        <v>Criar</v>
      </c>
      <c r="CL20" s="123" t="s">
        <v>173</v>
      </c>
      <c r="CM20" s="121">
        <v>89.9</v>
      </c>
      <c r="CN20" s="116">
        <f>IF(CM20=0,"",IF(CM20=VLOOKUP("PCS-30685g",[3]ARBOR!$A:$C,3,0),0.0001,IF(CM20&gt;VLOOKUP("PCS-30685g",[3]ARBOR!$A:$C,3,0),"Maior que CAP!",IF((DOLLAR(CM20+(VLOOKUP("PCS-30685g",[3]ARBOR!$A:$C,3,0)*-TRUNC(CM20/VLOOKUP("PCS-30685g",[3]ARBOR!$A:$C,3,0)-1,4)),6))&lt;&gt;(DOLLAR(VLOOKUP("PCS-30685g",[3]ARBOR!$A:$C,3,0),6)),-TRUNC(CM20/VLOOKUP("PCS-30685g",[3]ARBOR!$A:$C,3,0)-1,4)+0.0001,-TRUNC(CM20/VLOOKUP("PCS-30685g",[3]ARBOR!$A:$C,3,0)-1,4)))))</f>
        <v>0.28849999999999998</v>
      </c>
      <c r="CO20" s="117" t="str">
        <f>IF(ISERROR(IF(CN20="","",VLOOKUP(($BC20&amp;CN20&amp;"Template de desconto FLAT bundle - Velox XDSL - Varejo"),[3]BENEFICIOS!$A:$E,5,0))),"Criar",IF(CN20="","",VLOOKUP(($BC20&amp;CN20&amp;"Template de desconto FLAT bundle - Velox XDSL - Varejo"),[3]BENEFICIOS!$A:$E,5,0)))</f>
        <v>Criar</v>
      </c>
      <c r="CP20" s="123" t="s">
        <v>173</v>
      </c>
      <c r="CQ20" s="121">
        <v>89.9</v>
      </c>
      <c r="CR20" s="116">
        <f>IF(CQ20=0,"",IF(CQ20=VLOOKUP("PCS-30712g",[3]ARBOR!$A:$C,3,0),0.0001,IF(CQ20&gt;VLOOKUP("PCS-30712g",[3]ARBOR!$A:$C,3,0),"Maior que CAP!",IF((DOLLAR(CQ20+(VLOOKUP("PCS-30712g",[3]ARBOR!$A:$C,3,0)*-TRUNC(CQ20/VLOOKUP("PCS-30712g",[3]ARBOR!$A:$C,3,0)-1,4)),6))&lt;&gt;(DOLLAR(VLOOKUP("PCS-30712g",[3]ARBOR!$A:$C,3,0),6)),-TRUNC(CQ20/VLOOKUP("PCS-30712g",[3]ARBOR!$A:$C,3,0)-1,4)+0.0001,-TRUNC(CQ20/VLOOKUP("PCS-30712g",[3]ARBOR!$A:$C,3,0)-1,4)))))</f>
        <v>0.35959999999999998</v>
      </c>
      <c r="CS20" s="117" t="str">
        <f>IF(ISERROR(IF(CR20="","",VLOOKUP(($BC20&amp;CR20&amp;"Template de desconto FLAT bundle - Velox XDSL - Varejo"),[3]BENEFICIOS!$A:$E,5,0))),"Criar",IF(CR20="","",VLOOKUP(($BC20&amp;CR20&amp;"Template de desconto FLAT bundle - Velox XDSL - Varejo"),[3]BENEFICIOS!$A:$E,5,0)))</f>
        <v>Criar</v>
      </c>
      <c r="CT20" s="123" t="s">
        <v>173</v>
      </c>
      <c r="CU20" s="121">
        <v>99.9</v>
      </c>
      <c r="CV20" s="116">
        <f>IF(CU20=0,"",IF(CU20=VLOOKUP("PCS-30739g",[3]ARBOR!$A:$C,3,0),0.0001,IF(CU20&gt;VLOOKUP("PCS-30739g",[3]ARBOR!$A:$C,3,0),"Maior que CAP!",IF((DOLLAR(CU20+(VLOOKUP("PCS-30739g",[3]ARBOR!$A:$C,3,0)*-TRUNC(CU20/VLOOKUP("PCS-30739g",[3]ARBOR!$A:$C,3,0)-1,4)),6))&lt;&gt;(DOLLAR(VLOOKUP("PCS-30739g",[3]ARBOR!$A:$C,3,0),6)),-TRUNC(CU20/VLOOKUP("PCS-30739g",[3]ARBOR!$A:$C,3,0)-1,4)+0.0001,-TRUNC(CU20/VLOOKUP("PCS-30739g",[3]ARBOR!$A:$C,3,0)-1,4)))))</f>
        <v>0.52559999999999996</v>
      </c>
      <c r="CW20" s="117" t="str">
        <f>IF(ISERROR(IF(CV20="","",VLOOKUP(($BC20&amp;CV20&amp;"Template de desconto FLAT bundle - Velox XDSL - Varejo"),[3]BENEFICIOS!$A:$E,5,0))),"Criar",IF(CV20="","",VLOOKUP(($BC20&amp;CV20&amp;"Template de desconto FLAT bundle - Velox XDSL - Varejo"),[3]BENEFICIOS!$A:$E,5,0)))</f>
        <v>Criar</v>
      </c>
      <c r="CX20" s="121"/>
      <c r="CY20" s="150"/>
      <c r="CZ20" s="116" t="str">
        <f>IF(CX20=0,"",IF(CX20=VLOOKUP("PCS-30739g",[3]ARBOR!$A:$C,3,0),0.0001,IF(CX20&gt;VLOOKUP("PCS-30739g",[3]ARBOR!$A:$C,3,0),"Maior que CAP!",IF((DOLLAR(CX20+(VLOOKUP("PCS-30739g",[3]ARBOR!$A:$C,3,0)*-TRUNC(CX20/VLOOKUP("PCS-30739g",[3]ARBOR!$A:$C,3,0)-1,4)),6))&lt;&gt;(DOLLAR(VLOOKUP("PCS-30739g",[3]ARBOR!$A:$C,3,0),6)),(-TRUNC(CX20/VLOOKUP("PCS-30739g",[3]ARBOR!$A:$C,3,0)-1,4)+0.0001)-CV20,-TRUNC(CX20/VLOOKUP("PCS-30739g",[3]ARBOR!$A:$C,3,0)-1,4)-CV20))))</f>
        <v/>
      </c>
      <c r="DA20" s="117" t="str">
        <f>IF(ISERROR(IF(CZ20="","",VLOOKUP(($BC20&amp;CZ20&amp;"Template de desconto percentual Bundle - Velox XDSL - Varejo"),[3]BENEFICIOS!$A:$E,5,0))),"Criar",IF(CZ20="","",VLOOKUP(($BC20&amp;CZ20&amp;"Template de desconto percentual Bundle - Velox XDSL - Varejo"),[3]BENEFICIOS!$A:$E,5,0)))</f>
        <v/>
      </c>
      <c r="DB20" s="123" t="s">
        <v>173</v>
      </c>
      <c r="DC20" s="121">
        <v>99.9</v>
      </c>
      <c r="DD20" s="116">
        <f>IF(DC20=0,"",IF(DC20=VLOOKUP("PCS-30766g",[3]ARBOR!$A:$C,3,0),0.0001,IF(DC20&gt;VLOOKUP("PCS-30766g",[3]ARBOR!$A:$C,3,0),"Maior que CAP!",IF((DOLLAR(DC20+(VLOOKUP("PCS-30766g",[3]ARBOR!$A:$C,3,0)*-TRUNC(DC20/VLOOKUP("PCS-30766g",[3]ARBOR!$A:$C,3,0)-1,4)),6))&lt;&gt;(DOLLAR(VLOOKUP("PCS-30766g",[3]ARBOR!$A:$C,3,0),6)),-TRUNC(DC20/VLOOKUP("PCS-30766g",[3]ARBOR!$A:$C,3,0)-1,4)+0.0001,-TRUNC(DC20/VLOOKUP("PCS-30766g",[3]ARBOR!$A:$C,3,0)-1,4)))))</f>
        <v>0.64419999999999999</v>
      </c>
      <c r="DE20" s="117" t="str">
        <f>IF(ISERROR(IF(DD20="","",VLOOKUP(($BC20&amp;DD20&amp;"Template de desconto FLAT bundle - Velox XDSL - Varejo"),[3]BENEFICIOS!$A:$E,5,0))),"Criar",IF(DD20="","",VLOOKUP(($BC20&amp;DD20&amp;"Template de desconto FLAT bundle - Velox XDSL - Varejo"),[3]BENEFICIOS!$A:$E,5,0)))</f>
        <v>Criar</v>
      </c>
      <c r="DF20" s="121"/>
      <c r="DG20" s="150"/>
      <c r="DH20" s="116" t="str">
        <f>IF(DF20=0,"",IF(DF20=VLOOKUP("PCS-30766g",[3]ARBOR!$A:$C,3,0),0.0001,IF(DF20&gt;VLOOKUP("PCS-30766g",[3]ARBOR!$A:$C,3,0),"Maior que CAP!",IF((DOLLAR(DF20+(VLOOKUP("PCS-30766g",[3]ARBOR!$A:$C,3,0)*-TRUNC(DF20/VLOOKUP("PCS-30766g",[3]ARBOR!$A:$C,3,0)-1,4)),6))&lt;&gt;(DOLLAR(VLOOKUP("PCS-30766g",[3]ARBOR!$A:$C,3,0),6)),(-TRUNC(DF20/VLOOKUP("PCS-30766g",[3]ARBOR!$A:$C,3,0)-1,4)+0.0001)-DD20,-TRUNC(DF20/VLOOKUP("PCS-30766g",[3]ARBOR!$A:$C,3,0)-1,4)-DD20))))</f>
        <v/>
      </c>
      <c r="DI20" s="117" t="str">
        <f>IF(ISERROR(IF(DH20="","",VLOOKUP(($BC20&amp;DH20&amp;"Template de desconto percentual Bundle - Velox XDSL - Varejo"),[3]BENEFICIOS!$A:$E,5,0))),"Criar",IF(DH20="","",VLOOKUP(($BC20&amp;DH20&amp;"Template de desconto percentual Bundle - Velox XDSL - Varejo"),[3]BENEFICIOS!$A:$E,5,0)))</f>
        <v/>
      </c>
      <c r="DJ20" s="123" t="s">
        <v>230</v>
      </c>
      <c r="DK20" s="121">
        <v>109.9</v>
      </c>
      <c r="DL20" s="116">
        <f>IF(DK20=0,"",IF(DK20=VLOOKUP("PCS-30793g",[3]ARBOR!$A:$C,3,0),0.0001,IF(DK20&gt;VLOOKUP("PCS-30793g",[3]ARBOR!$A:$C,3,0),"Maior que CAP!",IF((DOLLAR(DK20+(VLOOKUP("PCS-30793g",[3]ARBOR!$A:$C,3,0)*-TRUNC(DK20/VLOOKUP("PCS-30793g",[3]ARBOR!$A:$C,3,0)-1,4)),6))&lt;&gt;(DOLLAR(VLOOKUP("PCS-30793g",[3]ARBOR!$A:$C,3,0),6)),-TRUNC(DK20/VLOOKUP("PCS-30793g",[3]ARBOR!$A:$C,3,0)-1,4)+0.0001,-TRUNC(DK20/VLOOKUP("PCS-30793g",[3]ARBOR!$A:$C,3,0)-1,4)))))</f>
        <v>0.60860000000000003</v>
      </c>
      <c r="DM20" s="117" t="str">
        <f>IF(ISERROR(IF(DL20="","",VLOOKUP(($BC20&amp;DL20&amp;"Template de desconto FLAT bundle - Velox XDSL - Varejo"),[3]BENEFICIOS!$A:$E,5,0))),"Criar",IF(DL20="","",VLOOKUP(($BC20&amp;DL20&amp;"Template de desconto FLAT bundle - Velox XDSL - Varejo"),[3]BENEFICIOS!$A:$E,5,0)))</f>
        <v>Criar</v>
      </c>
      <c r="DN20" s="121"/>
      <c r="DO20" s="150"/>
      <c r="DP20" s="116" t="str">
        <f>IF(DN20=0,"",IF(DN20=VLOOKUP("PCS-30793g",[3]ARBOR!$A:$C,3,0),0.0001,IF(DN20&gt;VLOOKUP("PCS-30793g",[3]ARBOR!$A:$C,3,0),"Maior que CAP!",IF((DOLLAR(DN20+(VLOOKUP("PCS-30793g",[3]ARBOR!$A:$C,3,0)*-TRUNC(DN20/VLOOKUP("PCS-30793g",[3]ARBOR!$A:$C,3,0)-1,4)),6))&lt;&gt;(DOLLAR(VLOOKUP("PCS-30793g",[3]ARBOR!$A:$C,3,0),6)),(-TRUNC(DN20/VLOOKUP("PCS-30793g",[3]ARBOR!$A:$C,3,0)-1,4)+0.0001)-DL20,-TRUNC(DN20/VLOOKUP("PCS-30793g",[3]ARBOR!$A:$C,3,0)-1,4)-DL20))))</f>
        <v/>
      </c>
      <c r="DQ20" s="117" t="str">
        <f>IF(ISERROR(IF(DP20="","",VLOOKUP(($BC20&amp;DP20&amp;"Template de desconto percentual Bundle - Velox XDSL - Varejo"),[3]BENEFICIOS!$A:$E,5,0))),"Criar",IF(DP20="","",VLOOKUP(($BC20&amp;DP20&amp;"Template de desconto percentual Bundle - Velox XDSL - Varejo"),[3]BENEFICIOS!$A:$E,5,0)))</f>
        <v/>
      </c>
      <c r="DR20" s="123" t="s">
        <v>173</v>
      </c>
      <c r="DS20" s="121">
        <v>109.9</v>
      </c>
      <c r="DT20" s="116">
        <f>IF(DS20=0,"",IF(DS20=VLOOKUP("PCS-30820g",[3]ARBOR!$A:$C,3,0),0.0001,IF(DS20&gt;VLOOKUP("PCS-30820g",[3]ARBOR!$A:$C,3,0),"Maior que CAP!",IF((DOLLAR(DS20+(VLOOKUP("PCS-30820g",[3]ARBOR!$A:$C,3,0)*-TRUNC(DS20/VLOOKUP("PCS-30820g",[3]ARBOR!$A:$C,3,0)-1,4)),6))&lt;&gt;(DOLLAR(VLOOKUP("PCS-30820g",[3]ARBOR!$A:$C,3,0),6)),-TRUNC(DS20/VLOOKUP("PCS-30820g",[3]ARBOR!$A:$C,3,0)-1,4)+0.0001,-TRUNC(DS20/VLOOKUP("PCS-30820g",[3]ARBOR!$A:$C,3,0)-1,4)))))</f>
        <v>0.60860000000000003</v>
      </c>
      <c r="DU20" s="117" t="str">
        <f>IF(ISERROR(IF(DT20="","",VLOOKUP(($BC20&amp;DT20&amp;"Template de desconto FLAT bundle - Velox XDSL - Varejo"),[3]BENEFICIOS!$A:$E,5,0))),"Criar",IF(DT20="","",VLOOKUP(($BC20&amp;DT20&amp;"Template de desconto FLAT bundle - Velox XDSL - Varejo"),[3]BENEFICIOS!$A:$E,5,0)))</f>
        <v>Criar</v>
      </c>
      <c r="DV20" s="121"/>
      <c r="DW20" s="150"/>
      <c r="DX20" s="116" t="str">
        <f>IF(DV20=0,"",IF(DV20=VLOOKUP("PCS-30820g",[3]ARBOR!$A:$C,3,0),0.0001,IF(DV20&gt;VLOOKUP("PCS-30820g",[3]ARBOR!$A:$C,3,0),"Maior que CAP!",IF((DOLLAR(DV20+(VLOOKUP("PCS-30820g",[3]ARBOR!$A:$C,3,0)*-TRUNC(DV20/VLOOKUP("PCS-30820g",[3]ARBOR!$A:$C,3,0)-1,4)),6))&lt;&gt;(DOLLAR(VLOOKUP("PCS-30820g",[3]ARBOR!$A:$C,3,0),6)),(-TRUNC(DV20/VLOOKUP("PCS-30820g",[3]ARBOR!$A:$C,3,0)-1,4)+0.0001)-DT20,-TRUNC(DV20/VLOOKUP("PCS-30820g",[3]ARBOR!$A:$C,3,0)-1,4)-DT20))))</f>
        <v/>
      </c>
      <c r="DY20" s="117" t="str">
        <f>IF(ISERROR(IF(DX20="","",VLOOKUP(($BC20&amp;DX20&amp;"Template de desconto percentual Bundle - Velox XDSL - Varejo"),[3]BENEFICIOS!$A:$E,5,0))),"Criar",IF(DX20="","",VLOOKUP(($BC20&amp;DX20&amp;"Template de desconto percentual Bundle - Velox XDSL - Varejo"),[3]BENEFICIOS!$A:$E,5,0)))</f>
        <v/>
      </c>
      <c r="DZ20" s="124"/>
      <c r="EA20" s="116" t="str">
        <f>IF(DZ20=0,"",IF(DZ20=VLOOKUP("PCS-21448p2",[3]ARBOR!$A:$C,3,0),0.0001,IF(DZ20&gt;VLOOKUP("PCS-21448p2",[3]ARBOR!$A:$C,3,0),"Maior que CAP!",IF((DOLLAR(DZ20+(VLOOKUP("PCS-21448p2",[3]ARBOR!$A:$C,3,0)*-TRUNC(DZ20/VLOOKUP("PCS-21448p2",[3]ARBOR!$A:$C,3,0)-1,4)),6))&lt;&gt;(DOLLAR(VLOOKUP("PCS-21448p2",[3]ARBOR!$A:$C,3,0),6)),-TRUNC(DZ20/VLOOKUP("PCS-21448p2",[3]ARBOR!$A:$C,3,0)-1,4)+0.0001,-TRUNC(DZ20/VLOOKUP("PCS-21448p2",[3]ARBOR!$A:$C,3,0)-1,4)))))</f>
        <v/>
      </c>
      <c r="EB20" s="117" t="str">
        <f>IF(ISERROR(IF(EA20="","",VLOOKUP(("Oi Conta Total Plug 10GB Downgrade"&amp;EA20&amp;"Template de desconto percentual BL Móvel - Internet Total - Varejo"),[3]BENEFICIOS!$A:$E,5,0))),"Criar",IF(EA20="","",VLOOKUP(("Oi Conta Total Plug 10GB Downgrade"&amp;EA20&amp;"Template de desconto percentual BL Móvel - Internet Total - Varejo"),[3]BENEFICIOS!$A:$E,5,0)))</f>
        <v/>
      </c>
      <c r="EC20" s="145">
        <v>19.899999999999999</v>
      </c>
      <c r="ED20" s="126">
        <f>IF(EC20=0,"",IF(EC20=VLOOKUP("SVA",[3]ARBOR!$A:$C,3,0),0.0001,IF(EC20&gt;VLOOKUP("SVA",[3]ARBOR!$A:$C,3,0),"Maior que CAP!",IF((DOLLAR(EC20+(VLOOKUP("SVA",[3]ARBOR!$A:$C,3,0)*-TRUNC(EC20/VLOOKUP("SVA",[3]ARBOR!$A:$C,3,0)-1,4)),6))&lt;&gt;(DOLLAR(VLOOKUP("SVA",[3]ARBOR!$A:$C,3,0),6)),-TRUNC(EC20/VLOOKUP("SVA",[3]ARBOR!$A:$C,3,0)-1,4)+0.0001,-TRUNC(EC20/VLOOKUP("SVA",[3]ARBOR!$A:$C,3,0)-1,4)))))</f>
        <v>7.1400000000000005E-2</v>
      </c>
      <c r="EE20" s="127" t="s">
        <v>231</v>
      </c>
      <c r="EF20" s="151"/>
      <c r="EG20" s="152"/>
      <c r="EH20" s="153" t="str">
        <f t="shared" si="1"/>
        <v/>
      </c>
      <c r="EI20" s="154" t="str">
        <f>IF(EH20="S/Desc","S/Desc",IF(ISERROR(IF(EH20="","",VLOOKUP(($BC20&amp;EH20&amp;"Template Desc. % sobre Serviço SVA B2C"),[3]BENEFICIOS!$A:$G,5,0))),"Criar",IF(EH20="","",VLOOKUP(($BC20&amp;EH20&amp;"Template Desc. % sobre Serviço SVA B2C"),[3]BENEFICIOS!$A:$G,5,0))))</f>
        <v/>
      </c>
      <c r="EJ20" s="146" t="s">
        <v>209</v>
      </c>
      <c r="EK20" s="135" t="s">
        <v>223</v>
      </c>
      <c r="EL20" s="133" t="s">
        <v>224</v>
      </c>
      <c r="EM20" s="134" t="s">
        <v>225</v>
      </c>
      <c r="EN20" s="135"/>
      <c r="EO20" s="133"/>
      <c r="EP20" s="134"/>
      <c r="EQ20" s="136" t="s">
        <v>219</v>
      </c>
      <c r="ER20" s="137">
        <f t="shared" si="2"/>
        <v>159.91000000000003</v>
      </c>
      <c r="ES20" s="138" t="s">
        <v>220</v>
      </c>
      <c r="ET20" s="147" t="s">
        <v>279</v>
      </c>
      <c r="EU20" s="147" t="s">
        <v>227</v>
      </c>
      <c r="EV20" s="147"/>
      <c r="EW20" s="147"/>
      <c r="EX20" s="147"/>
      <c r="EY20" s="147"/>
      <c r="EZ20" s="147"/>
      <c r="FA20" s="147"/>
      <c r="FB20" s="148"/>
    </row>
    <row r="21" spans="1:158" x14ac:dyDescent="0.25">
      <c r="A21" s="90" t="s">
        <v>198</v>
      </c>
      <c r="B21" s="91" t="s">
        <v>199</v>
      </c>
      <c r="C21" s="91" t="s">
        <v>200</v>
      </c>
      <c r="D21" s="92" t="s">
        <v>201</v>
      </c>
      <c r="E21" s="93" t="s">
        <v>202</v>
      </c>
      <c r="F21" s="94" t="s">
        <v>202</v>
      </c>
      <c r="G21" s="94"/>
      <c r="H21" s="94"/>
      <c r="I21" s="94"/>
      <c r="J21" s="94" t="s">
        <v>202</v>
      </c>
      <c r="K21" s="94" t="s">
        <v>202</v>
      </c>
      <c r="L21" s="94" t="s">
        <v>202</v>
      </c>
      <c r="M21" s="94" t="s">
        <v>202</v>
      </c>
      <c r="N21" s="94"/>
      <c r="O21" s="94"/>
      <c r="P21" s="94"/>
      <c r="Q21" s="94"/>
      <c r="R21" s="94"/>
      <c r="S21" s="94" t="s">
        <v>202</v>
      </c>
      <c r="T21" s="95" t="s">
        <v>202</v>
      </c>
      <c r="U21" s="94" t="s">
        <v>202</v>
      </c>
      <c r="V21" s="95"/>
      <c r="W21" s="94"/>
      <c r="X21" s="94" t="s">
        <v>202</v>
      </c>
      <c r="Y21" s="94" t="s">
        <v>202</v>
      </c>
      <c r="Z21" s="94"/>
      <c r="AA21" s="95"/>
      <c r="AB21" s="94"/>
      <c r="AC21" s="141"/>
      <c r="AD21" s="94"/>
      <c r="AE21" s="94"/>
      <c r="AF21" s="94"/>
      <c r="AG21" s="94"/>
      <c r="AH21" s="94"/>
      <c r="AI21" s="94"/>
      <c r="AJ21" s="94"/>
      <c r="AK21" s="94"/>
      <c r="AL21" s="97"/>
      <c r="AM21" s="98" t="s">
        <v>280</v>
      </c>
      <c r="AN21" s="99" t="s">
        <v>204</v>
      </c>
      <c r="AO21" s="99" t="s">
        <v>281</v>
      </c>
      <c r="AP21" s="100">
        <v>42912</v>
      </c>
      <c r="AQ21" s="101">
        <v>43004</v>
      </c>
      <c r="AR21" s="102" t="s">
        <v>206</v>
      </c>
      <c r="AS21" s="103" t="s">
        <v>206</v>
      </c>
      <c r="AT21" s="104"/>
      <c r="AU21" s="104" t="s">
        <v>207</v>
      </c>
      <c r="AV21" s="104">
        <v>20</v>
      </c>
      <c r="AW21" s="104">
        <v>10000</v>
      </c>
      <c r="AX21" s="105" t="s">
        <v>208</v>
      </c>
      <c r="AY21" s="106" t="s">
        <v>209</v>
      </c>
      <c r="AZ21" s="107" t="s">
        <v>209</v>
      </c>
      <c r="BA21" s="108" t="s">
        <v>209</v>
      </c>
      <c r="BB21" s="98" t="s">
        <v>280</v>
      </c>
      <c r="BC21" s="109" t="s">
        <v>237</v>
      </c>
      <c r="BD21" s="110" t="str">
        <f t="shared" si="0"/>
        <v>PCS-2PFBL2</v>
      </c>
      <c r="BE21" s="111" t="s">
        <v>201</v>
      </c>
      <c r="BF21" s="112" t="s">
        <v>211</v>
      </c>
      <c r="BG21" s="113">
        <v>12</v>
      </c>
      <c r="BH21" s="114">
        <v>144</v>
      </c>
      <c r="BI21" s="115">
        <v>60.01</v>
      </c>
      <c r="BJ21" s="116">
        <f>IF(BI21=0,"",IF(BI21=VLOOKUP("FIXO",[3]ARBOR!$A:$C,3,0),0.0001,IF(BI21&gt;VLOOKUP("FIXO",[3]ARBOR!$A:$C,3,0),"Maior que CAP!",IF((DOLLAR(BI21+(VLOOKUP("FIXO",[3]ARBOR!$A:$C,3,0)*-TRUNC(BI21/VLOOKUP("FIXO",[3]ARBOR!$A:$C,3,0)-1,4)),6))&lt;&gt;(DOLLAR(VLOOKUP("FIXO",[3]ARBOR!$A:$C,3,0),6)),-TRUNC(BI21/VLOOKUP("FIXO",[3]ARBOR!$A:$C,3,0)-1,4)+0.0001,-TRUNC(BI21/VLOOKUP("FIXO",[3]ARBOR!$A:$C,3,0)-1,4)))))</f>
        <v>0.20879999999999999</v>
      </c>
      <c r="BK21" s="117" t="str">
        <f>IF(ISERROR(IF(BJ21="","",VLOOKUP(($BC21&amp;BJ21&amp;"Template de desconto FLAT bundle - Fixo - Varejo - Ganho Tributário Cross"),[3]BENEFICIOS!$A:$E,5,0))),"Criar",IF(BJ21="","",VLOOKUP(($BC21&amp;BJ21&amp;"Template de desconto FLAT bundle - Fixo - Varejo - Ganho Tributário Cross"),[3]BENEFICIOS!$A:$E,5,0)))</f>
        <v>Criar</v>
      </c>
      <c r="BL21" s="65" t="s">
        <v>212</v>
      </c>
      <c r="BM21" s="66" t="s">
        <v>213</v>
      </c>
      <c r="BN21" s="111" t="s">
        <v>201</v>
      </c>
      <c r="BO21" s="112" t="s">
        <v>214</v>
      </c>
      <c r="BP21" s="143">
        <v>12</v>
      </c>
      <c r="BQ21" s="143">
        <v>60</v>
      </c>
      <c r="BR21" s="144" t="s">
        <v>230</v>
      </c>
      <c r="BS21" s="121">
        <v>84.9</v>
      </c>
      <c r="BT21" s="116">
        <f>IF(BS21=0,"",IF(BS21=VLOOKUP("PCS-30874g",[3]ARBOR!$A:$C,3,0),0.0001,IF(BS21&gt;VLOOKUP("PCS-30874g",[3]ARBOR!$A:$C,3,0),"Maior que CAP!",IF((DOLLAR(BS21+(VLOOKUP("PCS-30874g",[3]ARBOR!$A:$C,3,0)*-TRUNC(BS21/VLOOKUP("PCS-30874g",[3]ARBOR!$A:$C,3,0)-1,4)),6))&lt;&gt;(DOLLAR(VLOOKUP("PCS-30874g",[3]ARBOR!$A:$C,3,0),6)),-TRUNC(BS21/VLOOKUP("PCS-30874g",[3]ARBOR!$A:$C,3,0)-1,4)+0.0001,-TRUNC(BS21/VLOOKUP("PCS-30874g",[3]ARBOR!$A:$C,3,0)-1,4)))))</f>
        <v>0.1242</v>
      </c>
      <c r="BU21" s="117" t="str">
        <f>IF(ISERROR(IF(BT21="","",VLOOKUP(($BC21&amp;BT21&amp;"Template de desconto FLAT bundle - Velox XDSL - Varejo"),[3]BENEFICIOS!$A:$E,5,0))),"Criar",IF(BT21="","",VLOOKUP(($BC21&amp;BT21&amp;"Template de desconto FLAT bundle - Velox XDSL - Varejo"),[3]BENEFICIOS!$A:$E,5,0)))</f>
        <v>Criar</v>
      </c>
      <c r="BV21" s="144" t="s">
        <v>230</v>
      </c>
      <c r="BW21" s="121">
        <v>84.9</v>
      </c>
      <c r="BX21" s="116">
        <f>IF(BW21=0,"",IF(BW21=VLOOKUP("PCS-30577g",[3]ARBOR!$A:$C,3,0),0.0001,IF(BW21&gt;VLOOKUP("PCS-30577g",[3]ARBOR!$A:$C,3,0),"Maior que CAP!",IF((DOLLAR(BW21+(VLOOKUP("PCS-30577g",[3]ARBOR!$A:$C,3,0)*-TRUNC(BW21/VLOOKUP("PCS-30577g",[3]ARBOR!$A:$C,3,0)-1,4)),6))&lt;&gt;(DOLLAR(VLOOKUP("PCS-30577g",[3]ARBOR!$A:$C,3,0),6)),-TRUNC(BW21/VLOOKUP("PCS-30577g",[3]ARBOR!$A:$C,3,0)-1,4)+0.0001,-TRUNC(BW21/VLOOKUP("PCS-30577g",[3]ARBOR!$A:$C,3,0)-1,4)))))</f>
        <v>0.1242</v>
      </c>
      <c r="BY21" s="117" t="str">
        <f>IF(ISERROR(IF(BX21="","",VLOOKUP(($BC21&amp;BX21&amp;"Template de desconto FLAT bundle - Velox XDSL - Varejo"),[3]BENEFICIOS!$A:$E,5,0))),"Criar",IF(BX21="","",VLOOKUP(($BC21&amp;BX21&amp;"Template de desconto FLAT bundle - Velox XDSL - Varejo"),[3]BENEFICIOS!$A:$E,5,0)))</f>
        <v>Criar</v>
      </c>
      <c r="BZ21" s="144" t="s">
        <v>230</v>
      </c>
      <c r="CA21" s="121">
        <v>84.9</v>
      </c>
      <c r="CB21" s="116">
        <f>IF(CA21=0,"",IF(CA21=VLOOKUP("PCS-30604g",[3]ARBOR!$A:$C,3,0),0.0001,IF(CA21&gt;VLOOKUP("PCS-30604g",[3]ARBOR!$A:$C,3,0),"Maior que CAP!",IF((DOLLAR(CA21+(VLOOKUP("PCS-30604g",[3]ARBOR!$A:$C,3,0)*-TRUNC(CA21/VLOOKUP("PCS-30604g",[3]ARBOR!$A:$C,3,0)-1,4)),6))&lt;&gt;(DOLLAR(VLOOKUP("PCS-30604g",[3]ARBOR!$A:$C,3,0),6)),-TRUNC(CA21/VLOOKUP("PCS-30604g",[3]ARBOR!$A:$C,3,0)-1,4)+0.0001,-TRUNC(CA21/VLOOKUP("PCS-30604g",[3]ARBOR!$A:$C,3,0)-1,4)))))</f>
        <v>0.1242</v>
      </c>
      <c r="CC21" s="117" t="str">
        <f>IF(ISERROR(IF(CB21="","",VLOOKUP(($BC21&amp;CB21&amp;"Template de desconto FLAT bundle - Velox XDSL - Varejo"),[3]BENEFICIOS!$A:$E,5,0))),"Criar",IF(CB21="","",VLOOKUP(($BC21&amp;CB21&amp;"Template de desconto FLAT bundle - Velox XDSL - Varejo"),[3]BENEFICIOS!$A:$E,5,0)))</f>
        <v>Criar</v>
      </c>
      <c r="CD21" s="144" t="s">
        <v>230</v>
      </c>
      <c r="CE21" s="121">
        <v>84.9</v>
      </c>
      <c r="CF21" s="116">
        <f>IF(CE21=0,"",IF(CE21=VLOOKUP("PCS-30631g",[3]ARBOR!$A:$C,3,0),0.0001,IF(CE21&gt;VLOOKUP("PCS-30631g",[3]ARBOR!$A:$C,3,0),"Maior que CAP!",IF((DOLLAR(CE21+(VLOOKUP("PCS-30631g",[3]ARBOR!$A:$C,3,0)*-TRUNC(CE21/VLOOKUP("PCS-30631g",[3]ARBOR!$A:$C,3,0)-1,4)),6))&lt;&gt;(DOLLAR(VLOOKUP("PCS-30631g",[3]ARBOR!$A:$C,3,0),6)),-TRUNC(CE21/VLOOKUP("PCS-30631g",[3]ARBOR!$A:$C,3,0)-1,4)+0.0001,-TRUNC(CE21/VLOOKUP("PCS-30631g",[3]ARBOR!$A:$C,3,0)-1,4)))))</f>
        <v>0.13599999999999998</v>
      </c>
      <c r="CG21" s="117" t="str">
        <f>IF(ISERROR(IF(CF21="","",VLOOKUP(($BC21&amp;CF21&amp;"Template de desconto FLAT bundle - Velox XDSL - Varejo"),[3]BENEFICIOS!$A:$E,5,0))),"Criar",IF(CF21="","",VLOOKUP(($BC21&amp;CF21&amp;"Template de desconto FLAT bundle - Velox XDSL - Varejo"),[3]BENEFICIOS!$A:$E,5,0)))</f>
        <v>Criar</v>
      </c>
      <c r="CH21" s="123" t="s">
        <v>173</v>
      </c>
      <c r="CI21" s="121">
        <v>89.9</v>
      </c>
      <c r="CJ21" s="116">
        <f>IF(CI21=0,"",IF(CI21=VLOOKUP("PCS-30658g",[3]ARBOR!$A:$C,3,0),0.0001,IF(CI21&gt;VLOOKUP("PCS-30658g",[3]ARBOR!$A:$C,3,0),"Maior que CAP!",IF((DOLLAR(CI21+(VLOOKUP("PCS-30658g",[3]ARBOR!$A:$C,3,0)*-TRUNC(CI21/VLOOKUP("PCS-30658g",[3]ARBOR!$A:$C,3,0)-1,4)),6))&lt;&gt;(DOLLAR(VLOOKUP("PCS-30658g",[3]ARBOR!$A:$C,3,0),6)),-TRUNC(CI21/VLOOKUP("PCS-30658g",[3]ARBOR!$A:$C,3,0)-1,4)+0.0001,-TRUNC(CI21/VLOOKUP("PCS-30658g",[3]ARBOR!$A:$C,3,0)-1,4)))))</f>
        <v>0.1996</v>
      </c>
      <c r="CK21" s="117" t="str">
        <f>IF(ISERROR(IF(CJ21="","",VLOOKUP(($BC21&amp;CJ21&amp;"Template de desconto FLAT bundle - Velox XDSL - Varejo"),[3]BENEFICIOS!$A:$E,5,0))),"Criar",IF(CJ21="","",VLOOKUP(($BC21&amp;CJ21&amp;"Template de desconto FLAT bundle - Velox XDSL - Varejo"),[3]BENEFICIOS!$A:$E,5,0)))</f>
        <v>Criar</v>
      </c>
      <c r="CL21" s="123" t="s">
        <v>173</v>
      </c>
      <c r="CM21" s="121">
        <v>89.9</v>
      </c>
      <c r="CN21" s="116">
        <f>IF(CM21=0,"",IF(CM21=VLOOKUP("PCS-30685g",[3]ARBOR!$A:$C,3,0),0.0001,IF(CM21&gt;VLOOKUP("PCS-30685g",[3]ARBOR!$A:$C,3,0),"Maior que CAP!",IF((DOLLAR(CM21+(VLOOKUP("PCS-30685g",[3]ARBOR!$A:$C,3,0)*-TRUNC(CM21/VLOOKUP("PCS-30685g",[3]ARBOR!$A:$C,3,0)-1,4)),6))&lt;&gt;(DOLLAR(VLOOKUP("PCS-30685g",[3]ARBOR!$A:$C,3,0),6)),-TRUNC(CM21/VLOOKUP("PCS-30685g",[3]ARBOR!$A:$C,3,0)-1,4)+0.0001,-TRUNC(CM21/VLOOKUP("PCS-30685g",[3]ARBOR!$A:$C,3,0)-1,4)))))</f>
        <v>0.28849999999999998</v>
      </c>
      <c r="CO21" s="117" t="str">
        <f>IF(ISERROR(IF(CN21="","",VLOOKUP(($BC21&amp;CN21&amp;"Template de desconto FLAT bundle - Velox XDSL - Varejo"),[3]BENEFICIOS!$A:$E,5,0))),"Criar",IF(CN21="","",VLOOKUP(($BC21&amp;CN21&amp;"Template de desconto FLAT bundle - Velox XDSL - Varejo"),[3]BENEFICIOS!$A:$E,5,0)))</f>
        <v>Criar</v>
      </c>
      <c r="CP21" s="123" t="s">
        <v>173</v>
      </c>
      <c r="CQ21" s="121">
        <v>89.9</v>
      </c>
      <c r="CR21" s="116">
        <f>IF(CQ21=0,"",IF(CQ21=VLOOKUP("PCS-30712g",[3]ARBOR!$A:$C,3,0),0.0001,IF(CQ21&gt;VLOOKUP("PCS-30712g",[3]ARBOR!$A:$C,3,0),"Maior que CAP!",IF((DOLLAR(CQ21+(VLOOKUP("PCS-30712g",[3]ARBOR!$A:$C,3,0)*-TRUNC(CQ21/VLOOKUP("PCS-30712g",[3]ARBOR!$A:$C,3,0)-1,4)),6))&lt;&gt;(DOLLAR(VLOOKUP("PCS-30712g",[3]ARBOR!$A:$C,3,0),6)),-TRUNC(CQ21/VLOOKUP("PCS-30712g",[3]ARBOR!$A:$C,3,0)-1,4)+0.0001,-TRUNC(CQ21/VLOOKUP("PCS-30712g",[3]ARBOR!$A:$C,3,0)-1,4)))))</f>
        <v>0.35959999999999998</v>
      </c>
      <c r="CS21" s="117" t="str">
        <f>IF(ISERROR(IF(CR21="","",VLOOKUP(($BC21&amp;CR21&amp;"Template de desconto FLAT bundle - Velox XDSL - Varejo"),[3]BENEFICIOS!$A:$E,5,0))),"Criar",IF(CR21="","",VLOOKUP(($BC21&amp;CR21&amp;"Template de desconto FLAT bundle - Velox XDSL - Varejo"),[3]BENEFICIOS!$A:$E,5,0)))</f>
        <v>Criar</v>
      </c>
      <c r="CT21" s="123" t="s">
        <v>173</v>
      </c>
      <c r="CU21" s="121">
        <v>99.9</v>
      </c>
      <c r="CV21" s="116">
        <f>IF(CU21=0,"",IF(CU21=VLOOKUP("PCS-30739g",[3]ARBOR!$A:$C,3,0),0.0001,IF(CU21&gt;VLOOKUP("PCS-30739g",[3]ARBOR!$A:$C,3,0),"Maior que CAP!",IF((DOLLAR(CU21+(VLOOKUP("PCS-30739g",[3]ARBOR!$A:$C,3,0)*-TRUNC(CU21/VLOOKUP("PCS-30739g",[3]ARBOR!$A:$C,3,0)-1,4)),6))&lt;&gt;(DOLLAR(VLOOKUP("PCS-30739g",[3]ARBOR!$A:$C,3,0),6)),-TRUNC(CU21/VLOOKUP("PCS-30739g",[3]ARBOR!$A:$C,3,0)-1,4)+0.0001,-TRUNC(CU21/VLOOKUP("PCS-30739g",[3]ARBOR!$A:$C,3,0)-1,4)))))</f>
        <v>0.52559999999999996</v>
      </c>
      <c r="CW21" s="117" t="str">
        <f>IF(ISERROR(IF(CV21="","",VLOOKUP(($BC21&amp;CV21&amp;"Template de desconto FLAT bundle - Velox XDSL - Varejo"),[3]BENEFICIOS!$A:$E,5,0))),"Criar",IF(CV21="","",VLOOKUP(($BC21&amp;CV21&amp;"Template de desconto FLAT bundle - Velox XDSL - Varejo"),[3]BENEFICIOS!$A:$E,5,0)))</f>
        <v>Criar</v>
      </c>
      <c r="CX21" s="121"/>
      <c r="CY21" s="150"/>
      <c r="CZ21" s="116" t="str">
        <f>IF(CX21=0,"",IF(CX21=VLOOKUP("PCS-30739g",[3]ARBOR!$A:$C,3,0),0.0001,IF(CX21&gt;VLOOKUP("PCS-30739g",[3]ARBOR!$A:$C,3,0),"Maior que CAP!",IF((DOLLAR(CX21+(VLOOKUP("PCS-30739g",[3]ARBOR!$A:$C,3,0)*-TRUNC(CX21/VLOOKUP("PCS-30739g",[3]ARBOR!$A:$C,3,0)-1,4)),6))&lt;&gt;(DOLLAR(VLOOKUP("PCS-30739g",[3]ARBOR!$A:$C,3,0),6)),(-TRUNC(CX21/VLOOKUP("PCS-30739g",[3]ARBOR!$A:$C,3,0)-1,4)+0.0001)-CV21,-TRUNC(CX21/VLOOKUP("PCS-30739g",[3]ARBOR!$A:$C,3,0)-1,4)-CV21))))</f>
        <v/>
      </c>
      <c r="DA21" s="117" t="str">
        <f>IF(ISERROR(IF(CZ21="","",VLOOKUP(($BC21&amp;CZ21&amp;"Template de desconto percentual Bundle - Velox XDSL - Varejo"),[3]BENEFICIOS!$A:$E,5,0))),"Criar",IF(CZ21="","",VLOOKUP(($BC21&amp;CZ21&amp;"Template de desconto percentual Bundle - Velox XDSL - Varejo"),[3]BENEFICIOS!$A:$E,5,0)))</f>
        <v/>
      </c>
      <c r="DB21" s="123" t="s">
        <v>173</v>
      </c>
      <c r="DC21" s="121">
        <v>99.9</v>
      </c>
      <c r="DD21" s="116">
        <f>IF(DC21=0,"",IF(DC21=VLOOKUP("PCS-30766g",[3]ARBOR!$A:$C,3,0),0.0001,IF(DC21&gt;VLOOKUP("PCS-30766g",[3]ARBOR!$A:$C,3,0),"Maior que CAP!",IF((DOLLAR(DC21+(VLOOKUP("PCS-30766g",[3]ARBOR!$A:$C,3,0)*-TRUNC(DC21/VLOOKUP("PCS-30766g",[3]ARBOR!$A:$C,3,0)-1,4)),6))&lt;&gt;(DOLLAR(VLOOKUP("PCS-30766g",[3]ARBOR!$A:$C,3,0),6)),-TRUNC(DC21/VLOOKUP("PCS-30766g",[3]ARBOR!$A:$C,3,0)-1,4)+0.0001,-TRUNC(DC21/VLOOKUP("PCS-30766g",[3]ARBOR!$A:$C,3,0)-1,4)))))</f>
        <v>0.64419999999999999</v>
      </c>
      <c r="DE21" s="117" t="str">
        <f>IF(ISERROR(IF(DD21="","",VLOOKUP(($BC21&amp;DD21&amp;"Template de desconto FLAT bundle - Velox XDSL - Varejo"),[3]BENEFICIOS!$A:$E,5,0))),"Criar",IF(DD21="","",VLOOKUP(($BC21&amp;DD21&amp;"Template de desconto FLAT bundle - Velox XDSL - Varejo"),[3]BENEFICIOS!$A:$E,5,0)))</f>
        <v>Criar</v>
      </c>
      <c r="DF21" s="121"/>
      <c r="DG21" s="150"/>
      <c r="DH21" s="116" t="str">
        <f>IF(DF21=0,"",IF(DF21=VLOOKUP("PCS-30766g",[3]ARBOR!$A:$C,3,0),0.0001,IF(DF21&gt;VLOOKUP("PCS-30766g",[3]ARBOR!$A:$C,3,0),"Maior que CAP!",IF((DOLLAR(DF21+(VLOOKUP("PCS-30766g",[3]ARBOR!$A:$C,3,0)*-TRUNC(DF21/VLOOKUP("PCS-30766g",[3]ARBOR!$A:$C,3,0)-1,4)),6))&lt;&gt;(DOLLAR(VLOOKUP("PCS-30766g",[3]ARBOR!$A:$C,3,0),6)),(-TRUNC(DF21/VLOOKUP("PCS-30766g",[3]ARBOR!$A:$C,3,0)-1,4)+0.0001)-DD21,-TRUNC(DF21/VLOOKUP("PCS-30766g",[3]ARBOR!$A:$C,3,0)-1,4)-DD21))))</f>
        <v/>
      </c>
      <c r="DI21" s="117" t="str">
        <f>IF(ISERROR(IF(DH21="","",VLOOKUP(($BC21&amp;DH21&amp;"Template de desconto percentual Bundle - Velox XDSL - Varejo"),[3]BENEFICIOS!$A:$E,5,0))),"Criar",IF(DH21="","",VLOOKUP(($BC21&amp;DH21&amp;"Template de desconto percentual Bundle - Velox XDSL - Varejo"),[3]BENEFICIOS!$A:$E,5,0)))</f>
        <v/>
      </c>
      <c r="DJ21" s="123" t="s">
        <v>230</v>
      </c>
      <c r="DK21" s="121">
        <v>109.9</v>
      </c>
      <c r="DL21" s="116">
        <f>IF(DK21=0,"",IF(DK21=VLOOKUP("PCS-30793g",[3]ARBOR!$A:$C,3,0),0.0001,IF(DK21&gt;VLOOKUP("PCS-30793g",[3]ARBOR!$A:$C,3,0),"Maior que CAP!",IF((DOLLAR(DK21+(VLOOKUP("PCS-30793g",[3]ARBOR!$A:$C,3,0)*-TRUNC(DK21/VLOOKUP("PCS-30793g",[3]ARBOR!$A:$C,3,0)-1,4)),6))&lt;&gt;(DOLLAR(VLOOKUP("PCS-30793g",[3]ARBOR!$A:$C,3,0),6)),-TRUNC(DK21/VLOOKUP("PCS-30793g",[3]ARBOR!$A:$C,3,0)-1,4)+0.0001,-TRUNC(DK21/VLOOKUP("PCS-30793g",[3]ARBOR!$A:$C,3,0)-1,4)))))</f>
        <v>0.60860000000000003</v>
      </c>
      <c r="DM21" s="117" t="str">
        <f>IF(ISERROR(IF(DL21="","",VLOOKUP(($BC21&amp;DL21&amp;"Template de desconto FLAT bundle - Velox XDSL - Varejo"),[3]BENEFICIOS!$A:$E,5,0))),"Criar",IF(DL21="","",VLOOKUP(($BC21&amp;DL21&amp;"Template de desconto FLAT bundle - Velox XDSL - Varejo"),[3]BENEFICIOS!$A:$E,5,0)))</f>
        <v>Criar</v>
      </c>
      <c r="DN21" s="121"/>
      <c r="DO21" s="150"/>
      <c r="DP21" s="116" t="str">
        <f>IF(DN21=0,"",IF(DN21=VLOOKUP("PCS-30793g",[3]ARBOR!$A:$C,3,0),0.0001,IF(DN21&gt;VLOOKUP("PCS-30793g",[3]ARBOR!$A:$C,3,0),"Maior que CAP!",IF((DOLLAR(DN21+(VLOOKUP("PCS-30793g",[3]ARBOR!$A:$C,3,0)*-TRUNC(DN21/VLOOKUP("PCS-30793g",[3]ARBOR!$A:$C,3,0)-1,4)),6))&lt;&gt;(DOLLAR(VLOOKUP("PCS-30793g",[3]ARBOR!$A:$C,3,0),6)),(-TRUNC(DN21/VLOOKUP("PCS-30793g",[3]ARBOR!$A:$C,3,0)-1,4)+0.0001)-DL21,-TRUNC(DN21/VLOOKUP("PCS-30793g",[3]ARBOR!$A:$C,3,0)-1,4)-DL21))))</f>
        <v/>
      </c>
      <c r="DQ21" s="117" t="str">
        <f>IF(ISERROR(IF(DP21="","",VLOOKUP(($BC21&amp;DP21&amp;"Template de desconto percentual Bundle - Velox XDSL - Varejo"),[3]BENEFICIOS!$A:$E,5,0))),"Criar",IF(DP21="","",VLOOKUP(($BC21&amp;DP21&amp;"Template de desconto percentual Bundle - Velox XDSL - Varejo"),[3]BENEFICIOS!$A:$E,5,0)))</f>
        <v/>
      </c>
      <c r="DR21" s="123" t="s">
        <v>173</v>
      </c>
      <c r="DS21" s="121">
        <v>109.9</v>
      </c>
      <c r="DT21" s="116">
        <f>IF(DS21=0,"",IF(DS21=VLOOKUP("PCS-30820g",[3]ARBOR!$A:$C,3,0),0.0001,IF(DS21&gt;VLOOKUP("PCS-30820g",[3]ARBOR!$A:$C,3,0),"Maior que CAP!",IF((DOLLAR(DS21+(VLOOKUP("PCS-30820g",[3]ARBOR!$A:$C,3,0)*-TRUNC(DS21/VLOOKUP("PCS-30820g",[3]ARBOR!$A:$C,3,0)-1,4)),6))&lt;&gt;(DOLLAR(VLOOKUP("PCS-30820g",[3]ARBOR!$A:$C,3,0),6)),-TRUNC(DS21/VLOOKUP("PCS-30820g",[3]ARBOR!$A:$C,3,0)-1,4)+0.0001,-TRUNC(DS21/VLOOKUP("PCS-30820g",[3]ARBOR!$A:$C,3,0)-1,4)))))</f>
        <v>0.60860000000000003</v>
      </c>
      <c r="DU21" s="117" t="str">
        <f>IF(ISERROR(IF(DT21="","",VLOOKUP(($BC21&amp;DT21&amp;"Template de desconto FLAT bundle - Velox XDSL - Varejo"),[3]BENEFICIOS!$A:$E,5,0))),"Criar",IF(DT21="","",VLOOKUP(($BC21&amp;DT21&amp;"Template de desconto FLAT bundle - Velox XDSL - Varejo"),[3]BENEFICIOS!$A:$E,5,0)))</f>
        <v>Criar</v>
      </c>
      <c r="DV21" s="121"/>
      <c r="DW21" s="150"/>
      <c r="DX21" s="116" t="str">
        <f>IF(DV21=0,"",IF(DV21=VLOOKUP("PCS-30820g",[3]ARBOR!$A:$C,3,0),0.0001,IF(DV21&gt;VLOOKUP("PCS-30820g",[3]ARBOR!$A:$C,3,0),"Maior que CAP!",IF((DOLLAR(DV21+(VLOOKUP("PCS-30820g",[3]ARBOR!$A:$C,3,0)*-TRUNC(DV21/VLOOKUP("PCS-30820g",[3]ARBOR!$A:$C,3,0)-1,4)),6))&lt;&gt;(DOLLAR(VLOOKUP("PCS-30820g",[3]ARBOR!$A:$C,3,0),6)),(-TRUNC(DV21/VLOOKUP("PCS-30820g",[3]ARBOR!$A:$C,3,0)-1,4)+0.0001)-DT21,-TRUNC(DV21/VLOOKUP("PCS-30820g",[3]ARBOR!$A:$C,3,0)-1,4)-DT21))))</f>
        <v/>
      </c>
      <c r="DY21" s="117" t="str">
        <f>IF(ISERROR(IF(DX21="","",VLOOKUP(($BC21&amp;DX21&amp;"Template de desconto percentual Bundle - Velox XDSL - Varejo"),[3]BENEFICIOS!$A:$E,5,0))),"Criar",IF(DX21="","",VLOOKUP(($BC21&amp;DX21&amp;"Template de desconto percentual Bundle - Velox XDSL - Varejo"),[3]BENEFICIOS!$A:$E,5,0)))</f>
        <v/>
      </c>
      <c r="DZ21" s="124"/>
      <c r="EA21" s="116" t="str">
        <f>IF(DZ21=0,"",IF(DZ21=VLOOKUP("PCS-21448p2",[3]ARBOR!$A:$C,3,0),0.0001,IF(DZ21&gt;VLOOKUP("PCS-21448p2",[3]ARBOR!$A:$C,3,0),"Maior que CAP!",IF((DOLLAR(DZ21+(VLOOKUP("PCS-21448p2",[3]ARBOR!$A:$C,3,0)*-TRUNC(DZ21/VLOOKUP("PCS-21448p2",[3]ARBOR!$A:$C,3,0)-1,4)),6))&lt;&gt;(DOLLAR(VLOOKUP("PCS-21448p2",[3]ARBOR!$A:$C,3,0),6)),-TRUNC(DZ21/VLOOKUP("PCS-21448p2",[3]ARBOR!$A:$C,3,0)-1,4)+0.0001,-TRUNC(DZ21/VLOOKUP("PCS-21448p2",[3]ARBOR!$A:$C,3,0)-1,4)))))</f>
        <v/>
      </c>
      <c r="EB21" s="117" t="str">
        <f>IF(ISERROR(IF(EA21="","",VLOOKUP(("Oi Conta Total Plug 10GB Downgrade"&amp;EA21&amp;"Template de desconto percentual BL Móvel - Internet Total - Varejo"),[3]BENEFICIOS!$A:$E,5,0))),"Criar",IF(EA21="","",VLOOKUP(("Oi Conta Total Plug 10GB Downgrade"&amp;EA21&amp;"Template de desconto percentual BL Móvel - Internet Total - Varejo"),[3]BENEFICIOS!$A:$E,5,0)))</f>
        <v/>
      </c>
      <c r="EC21" s="145">
        <v>19.899999999999999</v>
      </c>
      <c r="ED21" s="126">
        <f>IF(EC21=0,"",IF(EC21=VLOOKUP("SVA",[3]ARBOR!$A:$C,3,0),0.0001,IF(EC21&gt;VLOOKUP("SVA",[3]ARBOR!$A:$C,3,0),"Maior que CAP!",IF((DOLLAR(EC21+(VLOOKUP("SVA",[3]ARBOR!$A:$C,3,0)*-TRUNC(EC21/VLOOKUP("SVA",[3]ARBOR!$A:$C,3,0)-1,4)),6))&lt;&gt;(DOLLAR(VLOOKUP("SVA",[3]ARBOR!$A:$C,3,0),6)),-TRUNC(EC21/VLOOKUP("SVA",[3]ARBOR!$A:$C,3,0)-1,4)+0.0001,-TRUNC(EC21/VLOOKUP("SVA",[3]ARBOR!$A:$C,3,0)-1,4)))))</f>
        <v>7.1400000000000005E-2</v>
      </c>
      <c r="EE21" s="127" t="s">
        <v>231</v>
      </c>
      <c r="EF21" s="151"/>
      <c r="EG21" s="152"/>
      <c r="EH21" s="153" t="str">
        <f t="shared" si="1"/>
        <v/>
      </c>
      <c r="EI21" s="154" t="str">
        <f>IF(EH21="S/Desc","S/Desc",IF(ISERROR(IF(EH21="","",VLOOKUP(($BC21&amp;EH21&amp;"Template Desc. % sobre Serviço SVA B2C"),[3]BENEFICIOS!$A:$G,5,0))),"Criar",IF(EH21="","",VLOOKUP(($BC21&amp;EH21&amp;"Template Desc. % sobre Serviço SVA B2C"),[3]BENEFICIOS!$A:$G,5,0))))</f>
        <v/>
      </c>
      <c r="EJ21" s="146" t="s">
        <v>209</v>
      </c>
      <c r="EK21" s="135"/>
      <c r="EL21" s="133"/>
      <c r="EM21" s="134"/>
      <c r="EN21" s="135"/>
      <c r="EO21" s="133"/>
      <c r="EP21" s="134"/>
      <c r="EQ21" s="136" t="s">
        <v>219</v>
      </c>
      <c r="ER21" s="137">
        <f t="shared" si="2"/>
        <v>149.91</v>
      </c>
      <c r="ES21" s="138" t="s">
        <v>220</v>
      </c>
      <c r="ET21" s="147" t="s">
        <v>282</v>
      </c>
      <c r="EU21" s="147" t="s">
        <v>227</v>
      </c>
      <c r="EV21" s="147"/>
      <c r="EW21" s="147"/>
      <c r="EX21" s="147"/>
      <c r="EY21" s="147"/>
      <c r="EZ21" s="147"/>
      <c r="FA21" s="147"/>
      <c r="FB21" s="148"/>
    </row>
    <row r="22" spans="1:158" x14ac:dyDescent="0.25">
      <c r="A22" s="90" t="s">
        <v>198</v>
      </c>
      <c r="B22" s="91" t="s">
        <v>199</v>
      </c>
      <c r="C22" s="91" t="s">
        <v>200</v>
      </c>
      <c r="D22" s="92" t="s">
        <v>201</v>
      </c>
      <c r="E22" s="93" t="s">
        <v>202</v>
      </c>
      <c r="F22" s="94" t="s">
        <v>202</v>
      </c>
      <c r="G22" s="94"/>
      <c r="H22" s="94"/>
      <c r="I22" s="94"/>
      <c r="J22" s="94" t="s">
        <v>202</v>
      </c>
      <c r="K22" s="94" t="s">
        <v>202</v>
      </c>
      <c r="L22" s="94" t="s">
        <v>202</v>
      </c>
      <c r="M22" s="94" t="s">
        <v>202</v>
      </c>
      <c r="N22" s="94"/>
      <c r="O22" s="94"/>
      <c r="P22" s="94"/>
      <c r="Q22" s="94"/>
      <c r="R22" s="94"/>
      <c r="S22" s="94" t="s">
        <v>202</v>
      </c>
      <c r="T22" s="95" t="s">
        <v>202</v>
      </c>
      <c r="U22" s="94" t="s">
        <v>202</v>
      </c>
      <c r="V22" s="95"/>
      <c r="W22" s="94"/>
      <c r="X22" s="94" t="s">
        <v>202</v>
      </c>
      <c r="Y22" s="94" t="s">
        <v>202</v>
      </c>
      <c r="Z22" s="94"/>
      <c r="AA22" s="95"/>
      <c r="AB22" s="94"/>
      <c r="AC22" s="141"/>
      <c r="AD22" s="94"/>
      <c r="AE22" s="94"/>
      <c r="AF22" s="94"/>
      <c r="AG22" s="94"/>
      <c r="AH22" s="94"/>
      <c r="AI22" s="94"/>
      <c r="AJ22" s="94"/>
      <c r="AK22" s="94"/>
      <c r="AL22" s="97"/>
      <c r="AM22" s="98" t="s">
        <v>283</v>
      </c>
      <c r="AN22" s="99" t="s">
        <v>204</v>
      </c>
      <c r="AO22" s="99" t="s">
        <v>284</v>
      </c>
      <c r="AP22" s="100">
        <v>42912</v>
      </c>
      <c r="AQ22" s="101">
        <v>43004</v>
      </c>
      <c r="AR22" s="102" t="s">
        <v>206</v>
      </c>
      <c r="AS22" s="103" t="s">
        <v>206</v>
      </c>
      <c r="AT22" s="104"/>
      <c r="AU22" s="104" t="s">
        <v>207</v>
      </c>
      <c r="AV22" s="104">
        <v>20</v>
      </c>
      <c r="AW22" s="104">
        <v>10000</v>
      </c>
      <c r="AX22" s="105" t="s">
        <v>208</v>
      </c>
      <c r="AY22" s="106" t="s">
        <v>209</v>
      </c>
      <c r="AZ22" s="107" t="s">
        <v>209</v>
      </c>
      <c r="BA22" s="108" t="s">
        <v>209</v>
      </c>
      <c r="BB22" s="98" t="s">
        <v>283</v>
      </c>
      <c r="BC22" s="109" t="s">
        <v>237</v>
      </c>
      <c r="BD22" s="110" t="str">
        <f t="shared" si="0"/>
        <v>PCS-2PFBL2</v>
      </c>
      <c r="BE22" s="111" t="s">
        <v>201</v>
      </c>
      <c r="BF22" s="112" t="s">
        <v>211</v>
      </c>
      <c r="BG22" s="113">
        <v>12</v>
      </c>
      <c r="BH22" s="114">
        <v>144</v>
      </c>
      <c r="BI22" s="115">
        <v>65.010000000000005</v>
      </c>
      <c r="BJ22" s="116">
        <f>IF(BI22=0,"",IF(BI22=VLOOKUP("FIXO",[3]ARBOR!$A:$C,3,0),0.0001,IF(BI22&gt;VLOOKUP("FIXO",[3]ARBOR!$A:$C,3,0),"Maior que CAP!",IF((DOLLAR(BI22+(VLOOKUP("FIXO",[3]ARBOR!$A:$C,3,0)*-TRUNC(BI22/VLOOKUP("FIXO",[3]ARBOR!$A:$C,3,0)-1,4)),6))&lt;&gt;(DOLLAR(VLOOKUP("FIXO",[3]ARBOR!$A:$C,3,0),6)),-TRUNC(BI22/VLOOKUP("FIXO",[3]ARBOR!$A:$C,3,0)-1,4)+0.0001,-TRUNC(BI22/VLOOKUP("FIXO",[3]ARBOR!$A:$C,3,0)-1,4)))))</f>
        <v>0.1429</v>
      </c>
      <c r="BK22" s="117" t="str">
        <f>IF(ISERROR(IF(BJ22="","",VLOOKUP(($BC22&amp;BJ22&amp;"Template de desconto FLAT bundle - Fixo - Varejo - Ganho Tributário Cross"),[3]BENEFICIOS!$A:$E,5,0))),"Criar",IF(BJ22="","",VLOOKUP(($BC22&amp;BJ22&amp;"Template de desconto FLAT bundle - Fixo - Varejo - Ganho Tributário Cross"),[3]BENEFICIOS!$A:$E,5,0)))</f>
        <v>Criar</v>
      </c>
      <c r="BL22" s="65" t="s">
        <v>212</v>
      </c>
      <c r="BM22" s="66" t="s">
        <v>213</v>
      </c>
      <c r="BN22" s="111" t="s">
        <v>201</v>
      </c>
      <c r="BO22" s="112" t="s">
        <v>214</v>
      </c>
      <c r="BP22" s="143">
        <v>12</v>
      </c>
      <c r="BQ22" s="143">
        <v>60</v>
      </c>
      <c r="BR22" s="144" t="s">
        <v>230</v>
      </c>
      <c r="BS22" s="121">
        <v>84.9</v>
      </c>
      <c r="BT22" s="116">
        <f>IF(BS22=0,"",IF(BS22=VLOOKUP("PCS-30874g",[3]ARBOR!$A:$C,3,0),0.0001,IF(BS22&gt;VLOOKUP("PCS-30874g",[3]ARBOR!$A:$C,3,0),"Maior que CAP!",IF((DOLLAR(BS22+(VLOOKUP("PCS-30874g",[3]ARBOR!$A:$C,3,0)*-TRUNC(BS22/VLOOKUP("PCS-30874g",[3]ARBOR!$A:$C,3,0)-1,4)),6))&lt;&gt;(DOLLAR(VLOOKUP("PCS-30874g",[3]ARBOR!$A:$C,3,0),6)),-TRUNC(BS22/VLOOKUP("PCS-30874g",[3]ARBOR!$A:$C,3,0)-1,4)+0.0001,-TRUNC(BS22/VLOOKUP("PCS-30874g",[3]ARBOR!$A:$C,3,0)-1,4)))))</f>
        <v>0.1242</v>
      </c>
      <c r="BU22" s="117" t="str">
        <f>IF(ISERROR(IF(BT22="","",VLOOKUP(($BC22&amp;BT22&amp;"Template de desconto FLAT bundle - Velox XDSL - Varejo"),[3]BENEFICIOS!$A:$E,5,0))),"Criar",IF(BT22="","",VLOOKUP(($BC22&amp;BT22&amp;"Template de desconto FLAT bundle - Velox XDSL - Varejo"),[3]BENEFICIOS!$A:$E,5,0)))</f>
        <v>Criar</v>
      </c>
      <c r="BV22" s="144" t="s">
        <v>230</v>
      </c>
      <c r="BW22" s="121">
        <v>84.9</v>
      </c>
      <c r="BX22" s="116">
        <f>IF(BW22=0,"",IF(BW22=VLOOKUP("PCS-30577g",[3]ARBOR!$A:$C,3,0),0.0001,IF(BW22&gt;VLOOKUP("PCS-30577g",[3]ARBOR!$A:$C,3,0),"Maior que CAP!",IF((DOLLAR(BW22+(VLOOKUP("PCS-30577g",[3]ARBOR!$A:$C,3,0)*-TRUNC(BW22/VLOOKUP("PCS-30577g",[3]ARBOR!$A:$C,3,0)-1,4)),6))&lt;&gt;(DOLLAR(VLOOKUP("PCS-30577g",[3]ARBOR!$A:$C,3,0),6)),-TRUNC(BW22/VLOOKUP("PCS-30577g",[3]ARBOR!$A:$C,3,0)-1,4)+0.0001,-TRUNC(BW22/VLOOKUP("PCS-30577g",[3]ARBOR!$A:$C,3,0)-1,4)))))</f>
        <v>0.1242</v>
      </c>
      <c r="BY22" s="117" t="str">
        <f>IF(ISERROR(IF(BX22="","",VLOOKUP(($BC22&amp;BX22&amp;"Template de desconto FLAT bundle - Velox XDSL - Varejo"),[3]BENEFICIOS!$A:$E,5,0))),"Criar",IF(BX22="","",VLOOKUP(($BC22&amp;BX22&amp;"Template de desconto FLAT bundle - Velox XDSL - Varejo"),[3]BENEFICIOS!$A:$E,5,0)))</f>
        <v>Criar</v>
      </c>
      <c r="BZ22" s="144" t="s">
        <v>230</v>
      </c>
      <c r="CA22" s="121">
        <v>84.9</v>
      </c>
      <c r="CB22" s="116">
        <f>IF(CA22=0,"",IF(CA22=VLOOKUP("PCS-30604g",[3]ARBOR!$A:$C,3,0),0.0001,IF(CA22&gt;VLOOKUP("PCS-30604g",[3]ARBOR!$A:$C,3,0),"Maior que CAP!",IF((DOLLAR(CA22+(VLOOKUP("PCS-30604g",[3]ARBOR!$A:$C,3,0)*-TRUNC(CA22/VLOOKUP("PCS-30604g",[3]ARBOR!$A:$C,3,0)-1,4)),6))&lt;&gt;(DOLLAR(VLOOKUP("PCS-30604g",[3]ARBOR!$A:$C,3,0),6)),-TRUNC(CA22/VLOOKUP("PCS-30604g",[3]ARBOR!$A:$C,3,0)-1,4)+0.0001,-TRUNC(CA22/VLOOKUP("PCS-30604g",[3]ARBOR!$A:$C,3,0)-1,4)))))</f>
        <v>0.1242</v>
      </c>
      <c r="CC22" s="117" t="str">
        <f>IF(ISERROR(IF(CB22="","",VLOOKUP(($BC22&amp;CB22&amp;"Template de desconto FLAT bundle - Velox XDSL - Varejo"),[3]BENEFICIOS!$A:$E,5,0))),"Criar",IF(CB22="","",VLOOKUP(($BC22&amp;CB22&amp;"Template de desconto FLAT bundle - Velox XDSL - Varejo"),[3]BENEFICIOS!$A:$E,5,0)))</f>
        <v>Criar</v>
      </c>
      <c r="CD22" s="144" t="s">
        <v>230</v>
      </c>
      <c r="CE22" s="121">
        <v>84.9</v>
      </c>
      <c r="CF22" s="116">
        <f>IF(CE22=0,"",IF(CE22=VLOOKUP("PCS-30631g",[3]ARBOR!$A:$C,3,0),0.0001,IF(CE22&gt;VLOOKUP("PCS-30631g",[3]ARBOR!$A:$C,3,0),"Maior que CAP!",IF((DOLLAR(CE22+(VLOOKUP("PCS-30631g",[3]ARBOR!$A:$C,3,0)*-TRUNC(CE22/VLOOKUP("PCS-30631g",[3]ARBOR!$A:$C,3,0)-1,4)),6))&lt;&gt;(DOLLAR(VLOOKUP("PCS-30631g",[3]ARBOR!$A:$C,3,0),6)),-TRUNC(CE22/VLOOKUP("PCS-30631g",[3]ARBOR!$A:$C,3,0)-1,4)+0.0001,-TRUNC(CE22/VLOOKUP("PCS-30631g",[3]ARBOR!$A:$C,3,0)-1,4)))))</f>
        <v>0.13599999999999998</v>
      </c>
      <c r="CG22" s="117" t="str">
        <f>IF(ISERROR(IF(CF22="","",VLOOKUP(($BC22&amp;CF22&amp;"Template de desconto FLAT bundle - Velox XDSL - Varejo"),[3]BENEFICIOS!$A:$E,5,0))),"Criar",IF(CF22="","",VLOOKUP(($BC22&amp;CF22&amp;"Template de desconto FLAT bundle - Velox XDSL - Varejo"),[3]BENEFICIOS!$A:$E,5,0)))</f>
        <v>Criar</v>
      </c>
      <c r="CH22" s="123" t="s">
        <v>173</v>
      </c>
      <c r="CI22" s="121">
        <v>89.9</v>
      </c>
      <c r="CJ22" s="116">
        <f>IF(CI22=0,"",IF(CI22=VLOOKUP("PCS-30658g",[3]ARBOR!$A:$C,3,0),0.0001,IF(CI22&gt;VLOOKUP("PCS-30658g",[3]ARBOR!$A:$C,3,0),"Maior que CAP!",IF((DOLLAR(CI22+(VLOOKUP("PCS-30658g",[3]ARBOR!$A:$C,3,0)*-TRUNC(CI22/VLOOKUP("PCS-30658g",[3]ARBOR!$A:$C,3,0)-1,4)),6))&lt;&gt;(DOLLAR(VLOOKUP("PCS-30658g",[3]ARBOR!$A:$C,3,0),6)),-TRUNC(CI22/VLOOKUP("PCS-30658g",[3]ARBOR!$A:$C,3,0)-1,4)+0.0001,-TRUNC(CI22/VLOOKUP("PCS-30658g",[3]ARBOR!$A:$C,3,0)-1,4)))))</f>
        <v>0.1996</v>
      </c>
      <c r="CK22" s="117" t="str">
        <f>IF(ISERROR(IF(CJ22="","",VLOOKUP(($BC22&amp;CJ22&amp;"Template de desconto FLAT bundle - Velox XDSL - Varejo"),[3]BENEFICIOS!$A:$E,5,0))),"Criar",IF(CJ22="","",VLOOKUP(($BC22&amp;CJ22&amp;"Template de desconto FLAT bundle - Velox XDSL - Varejo"),[3]BENEFICIOS!$A:$E,5,0)))</f>
        <v>Criar</v>
      </c>
      <c r="CL22" s="123" t="s">
        <v>173</v>
      </c>
      <c r="CM22" s="121">
        <v>89.9</v>
      </c>
      <c r="CN22" s="116">
        <f>IF(CM22=0,"",IF(CM22=VLOOKUP("PCS-30685g",[3]ARBOR!$A:$C,3,0),0.0001,IF(CM22&gt;VLOOKUP("PCS-30685g",[3]ARBOR!$A:$C,3,0),"Maior que CAP!",IF((DOLLAR(CM22+(VLOOKUP("PCS-30685g",[3]ARBOR!$A:$C,3,0)*-TRUNC(CM22/VLOOKUP("PCS-30685g",[3]ARBOR!$A:$C,3,0)-1,4)),6))&lt;&gt;(DOLLAR(VLOOKUP("PCS-30685g",[3]ARBOR!$A:$C,3,0),6)),-TRUNC(CM22/VLOOKUP("PCS-30685g",[3]ARBOR!$A:$C,3,0)-1,4)+0.0001,-TRUNC(CM22/VLOOKUP("PCS-30685g",[3]ARBOR!$A:$C,3,0)-1,4)))))</f>
        <v>0.28849999999999998</v>
      </c>
      <c r="CO22" s="117" t="str">
        <f>IF(ISERROR(IF(CN22="","",VLOOKUP(($BC22&amp;CN22&amp;"Template de desconto FLAT bundle - Velox XDSL - Varejo"),[3]BENEFICIOS!$A:$E,5,0))),"Criar",IF(CN22="","",VLOOKUP(($BC22&amp;CN22&amp;"Template de desconto FLAT bundle - Velox XDSL - Varejo"),[3]BENEFICIOS!$A:$E,5,0)))</f>
        <v>Criar</v>
      </c>
      <c r="CP22" s="123" t="s">
        <v>173</v>
      </c>
      <c r="CQ22" s="121">
        <v>89.9</v>
      </c>
      <c r="CR22" s="116">
        <f>IF(CQ22=0,"",IF(CQ22=VLOOKUP("PCS-30712g",[3]ARBOR!$A:$C,3,0),0.0001,IF(CQ22&gt;VLOOKUP("PCS-30712g",[3]ARBOR!$A:$C,3,0),"Maior que CAP!",IF((DOLLAR(CQ22+(VLOOKUP("PCS-30712g",[3]ARBOR!$A:$C,3,0)*-TRUNC(CQ22/VLOOKUP("PCS-30712g",[3]ARBOR!$A:$C,3,0)-1,4)),6))&lt;&gt;(DOLLAR(VLOOKUP("PCS-30712g",[3]ARBOR!$A:$C,3,0),6)),-TRUNC(CQ22/VLOOKUP("PCS-30712g",[3]ARBOR!$A:$C,3,0)-1,4)+0.0001,-TRUNC(CQ22/VLOOKUP("PCS-30712g",[3]ARBOR!$A:$C,3,0)-1,4)))))</f>
        <v>0.35959999999999998</v>
      </c>
      <c r="CS22" s="117" t="str">
        <f>IF(ISERROR(IF(CR22="","",VLOOKUP(($BC22&amp;CR22&amp;"Template de desconto FLAT bundle - Velox XDSL - Varejo"),[3]BENEFICIOS!$A:$E,5,0))),"Criar",IF(CR22="","",VLOOKUP(($BC22&amp;CR22&amp;"Template de desconto FLAT bundle - Velox XDSL - Varejo"),[3]BENEFICIOS!$A:$E,5,0)))</f>
        <v>Criar</v>
      </c>
      <c r="CT22" s="123" t="s">
        <v>173</v>
      </c>
      <c r="CU22" s="121">
        <v>99.9</v>
      </c>
      <c r="CV22" s="116">
        <f>IF(CU22=0,"",IF(CU22=VLOOKUP("PCS-30739g",[3]ARBOR!$A:$C,3,0),0.0001,IF(CU22&gt;VLOOKUP("PCS-30739g",[3]ARBOR!$A:$C,3,0),"Maior que CAP!",IF((DOLLAR(CU22+(VLOOKUP("PCS-30739g",[3]ARBOR!$A:$C,3,0)*-TRUNC(CU22/VLOOKUP("PCS-30739g",[3]ARBOR!$A:$C,3,0)-1,4)),6))&lt;&gt;(DOLLAR(VLOOKUP("PCS-30739g",[3]ARBOR!$A:$C,3,0),6)),-TRUNC(CU22/VLOOKUP("PCS-30739g",[3]ARBOR!$A:$C,3,0)-1,4)+0.0001,-TRUNC(CU22/VLOOKUP("PCS-30739g",[3]ARBOR!$A:$C,3,0)-1,4)))))</f>
        <v>0.52559999999999996</v>
      </c>
      <c r="CW22" s="117" t="str">
        <f>IF(ISERROR(IF(CV22="","",VLOOKUP(($BC22&amp;CV22&amp;"Template de desconto FLAT bundle - Velox XDSL - Varejo"),[3]BENEFICIOS!$A:$E,5,0))),"Criar",IF(CV22="","",VLOOKUP(($BC22&amp;CV22&amp;"Template de desconto FLAT bundle - Velox XDSL - Varejo"),[3]BENEFICIOS!$A:$E,5,0)))</f>
        <v>Criar</v>
      </c>
      <c r="CX22" s="121"/>
      <c r="CY22" s="150"/>
      <c r="CZ22" s="116" t="str">
        <f>IF(CX22=0,"",IF(CX22=VLOOKUP("PCS-30739g",[3]ARBOR!$A:$C,3,0),0.0001,IF(CX22&gt;VLOOKUP("PCS-30739g",[3]ARBOR!$A:$C,3,0),"Maior que CAP!",IF((DOLLAR(CX22+(VLOOKUP("PCS-30739g",[3]ARBOR!$A:$C,3,0)*-TRUNC(CX22/VLOOKUP("PCS-30739g",[3]ARBOR!$A:$C,3,0)-1,4)),6))&lt;&gt;(DOLLAR(VLOOKUP("PCS-30739g",[3]ARBOR!$A:$C,3,0),6)),(-TRUNC(CX22/VLOOKUP("PCS-30739g",[3]ARBOR!$A:$C,3,0)-1,4)+0.0001)-CV22,-TRUNC(CX22/VLOOKUP("PCS-30739g",[3]ARBOR!$A:$C,3,0)-1,4)-CV22))))</f>
        <v/>
      </c>
      <c r="DA22" s="117" t="str">
        <f>IF(ISERROR(IF(CZ22="","",VLOOKUP(($BC22&amp;CZ22&amp;"Template de desconto percentual Bundle - Velox XDSL - Varejo"),[3]BENEFICIOS!$A:$E,5,0))),"Criar",IF(CZ22="","",VLOOKUP(($BC22&amp;CZ22&amp;"Template de desconto percentual Bundle - Velox XDSL - Varejo"),[3]BENEFICIOS!$A:$E,5,0)))</f>
        <v/>
      </c>
      <c r="DB22" s="123" t="s">
        <v>173</v>
      </c>
      <c r="DC22" s="121">
        <v>99.9</v>
      </c>
      <c r="DD22" s="116">
        <f>IF(DC22=0,"",IF(DC22=VLOOKUP("PCS-30766g",[3]ARBOR!$A:$C,3,0),0.0001,IF(DC22&gt;VLOOKUP("PCS-30766g",[3]ARBOR!$A:$C,3,0),"Maior que CAP!",IF((DOLLAR(DC22+(VLOOKUP("PCS-30766g",[3]ARBOR!$A:$C,3,0)*-TRUNC(DC22/VLOOKUP("PCS-30766g",[3]ARBOR!$A:$C,3,0)-1,4)),6))&lt;&gt;(DOLLAR(VLOOKUP("PCS-30766g",[3]ARBOR!$A:$C,3,0),6)),-TRUNC(DC22/VLOOKUP("PCS-30766g",[3]ARBOR!$A:$C,3,0)-1,4)+0.0001,-TRUNC(DC22/VLOOKUP("PCS-30766g",[3]ARBOR!$A:$C,3,0)-1,4)))))</f>
        <v>0.64419999999999999</v>
      </c>
      <c r="DE22" s="117" t="str">
        <f>IF(ISERROR(IF(DD22="","",VLOOKUP(($BC22&amp;DD22&amp;"Template de desconto FLAT bundle - Velox XDSL - Varejo"),[3]BENEFICIOS!$A:$E,5,0))),"Criar",IF(DD22="","",VLOOKUP(($BC22&amp;DD22&amp;"Template de desconto FLAT bundle - Velox XDSL - Varejo"),[3]BENEFICIOS!$A:$E,5,0)))</f>
        <v>Criar</v>
      </c>
      <c r="DF22" s="121"/>
      <c r="DG22" s="150"/>
      <c r="DH22" s="116" t="str">
        <f>IF(DF22=0,"",IF(DF22=VLOOKUP("PCS-30766g",[3]ARBOR!$A:$C,3,0),0.0001,IF(DF22&gt;VLOOKUP("PCS-30766g",[3]ARBOR!$A:$C,3,0),"Maior que CAP!",IF((DOLLAR(DF22+(VLOOKUP("PCS-30766g",[3]ARBOR!$A:$C,3,0)*-TRUNC(DF22/VLOOKUP("PCS-30766g",[3]ARBOR!$A:$C,3,0)-1,4)),6))&lt;&gt;(DOLLAR(VLOOKUP("PCS-30766g",[3]ARBOR!$A:$C,3,0),6)),(-TRUNC(DF22/VLOOKUP("PCS-30766g",[3]ARBOR!$A:$C,3,0)-1,4)+0.0001)-DD22,-TRUNC(DF22/VLOOKUP("PCS-30766g",[3]ARBOR!$A:$C,3,0)-1,4)-DD22))))</f>
        <v/>
      </c>
      <c r="DI22" s="117" t="str">
        <f>IF(ISERROR(IF(DH22="","",VLOOKUP(($BC22&amp;DH22&amp;"Template de desconto percentual Bundle - Velox XDSL - Varejo"),[3]BENEFICIOS!$A:$E,5,0))),"Criar",IF(DH22="","",VLOOKUP(($BC22&amp;DH22&amp;"Template de desconto percentual Bundle - Velox XDSL - Varejo"),[3]BENEFICIOS!$A:$E,5,0)))</f>
        <v/>
      </c>
      <c r="DJ22" s="123" t="s">
        <v>230</v>
      </c>
      <c r="DK22" s="121">
        <v>109.9</v>
      </c>
      <c r="DL22" s="116">
        <f>IF(DK22=0,"",IF(DK22=VLOOKUP("PCS-30793g",[3]ARBOR!$A:$C,3,0),0.0001,IF(DK22&gt;VLOOKUP("PCS-30793g",[3]ARBOR!$A:$C,3,0),"Maior que CAP!",IF((DOLLAR(DK22+(VLOOKUP("PCS-30793g",[3]ARBOR!$A:$C,3,0)*-TRUNC(DK22/VLOOKUP("PCS-30793g",[3]ARBOR!$A:$C,3,0)-1,4)),6))&lt;&gt;(DOLLAR(VLOOKUP("PCS-30793g",[3]ARBOR!$A:$C,3,0),6)),-TRUNC(DK22/VLOOKUP("PCS-30793g",[3]ARBOR!$A:$C,3,0)-1,4)+0.0001,-TRUNC(DK22/VLOOKUP("PCS-30793g",[3]ARBOR!$A:$C,3,0)-1,4)))))</f>
        <v>0.60860000000000003</v>
      </c>
      <c r="DM22" s="117" t="str">
        <f>IF(ISERROR(IF(DL22="","",VLOOKUP(($BC22&amp;DL22&amp;"Template de desconto FLAT bundle - Velox XDSL - Varejo"),[3]BENEFICIOS!$A:$E,5,0))),"Criar",IF(DL22="","",VLOOKUP(($BC22&amp;DL22&amp;"Template de desconto FLAT bundle - Velox XDSL - Varejo"),[3]BENEFICIOS!$A:$E,5,0)))</f>
        <v>Criar</v>
      </c>
      <c r="DN22" s="121"/>
      <c r="DO22" s="150"/>
      <c r="DP22" s="116" t="str">
        <f>IF(DN22=0,"",IF(DN22=VLOOKUP("PCS-30793g",[3]ARBOR!$A:$C,3,0),0.0001,IF(DN22&gt;VLOOKUP("PCS-30793g",[3]ARBOR!$A:$C,3,0),"Maior que CAP!",IF((DOLLAR(DN22+(VLOOKUP("PCS-30793g",[3]ARBOR!$A:$C,3,0)*-TRUNC(DN22/VLOOKUP("PCS-30793g",[3]ARBOR!$A:$C,3,0)-1,4)),6))&lt;&gt;(DOLLAR(VLOOKUP("PCS-30793g",[3]ARBOR!$A:$C,3,0),6)),(-TRUNC(DN22/VLOOKUP("PCS-30793g",[3]ARBOR!$A:$C,3,0)-1,4)+0.0001)-DL22,-TRUNC(DN22/VLOOKUP("PCS-30793g",[3]ARBOR!$A:$C,3,0)-1,4)-DL22))))</f>
        <v/>
      </c>
      <c r="DQ22" s="117" t="str">
        <f>IF(ISERROR(IF(DP22="","",VLOOKUP(($BC22&amp;DP22&amp;"Template de desconto percentual Bundle - Velox XDSL - Varejo"),[3]BENEFICIOS!$A:$E,5,0))),"Criar",IF(DP22="","",VLOOKUP(($BC22&amp;DP22&amp;"Template de desconto percentual Bundle - Velox XDSL - Varejo"),[3]BENEFICIOS!$A:$E,5,0)))</f>
        <v/>
      </c>
      <c r="DR22" s="123" t="s">
        <v>173</v>
      </c>
      <c r="DS22" s="121">
        <v>109.9</v>
      </c>
      <c r="DT22" s="116">
        <f>IF(DS22=0,"",IF(DS22=VLOOKUP("PCS-30820g",[3]ARBOR!$A:$C,3,0),0.0001,IF(DS22&gt;VLOOKUP("PCS-30820g",[3]ARBOR!$A:$C,3,0),"Maior que CAP!",IF((DOLLAR(DS22+(VLOOKUP("PCS-30820g",[3]ARBOR!$A:$C,3,0)*-TRUNC(DS22/VLOOKUP("PCS-30820g",[3]ARBOR!$A:$C,3,0)-1,4)),6))&lt;&gt;(DOLLAR(VLOOKUP("PCS-30820g",[3]ARBOR!$A:$C,3,0),6)),-TRUNC(DS22/VLOOKUP("PCS-30820g",[3]ARBOR!$A:$C,3,0)-1,4)+0.0001,-TRUNC(DS22/VLOOKUP("PCS-30820g",[3]ARBOR!$A:$C,3,0)-1,4)))))</f>
        <v>0.60860000000000003</v>
      </c>
      <c r="DU22" s="117" t="str">
        <f>IF(ISERROR(IF(DT22="","",VLOOKUP(($BC22&amp;DT22&amp;"Template de desconto FLAT bundle - Velox XDSL - Varejo"),[3]BENEFICIOS!$A:$E,5,0))),"Criar",IF(DT22="","",VLOOKUP(($BC22&amp;DT22&amp;"Template de desconto FLAT bundle - Velox XDSL - Varejo"),[3]BENEFICIOS!$A:$E,5,0)))</f>
        <v>Criar</v>
      </c>
      <c r="DV22" s="121"/>
      <c r="DW22" s="150"/>
      <c r="DX22" s="116" t="str">
        <f>IF(DV22=0,"",IF(DV22=VLOOKUP("PCS-30820g",[3]ARBOR!$A:$C,3,0),0.0001,IF(DV22&gt;VLOOKUP("PCS-30820g",[3]ARBOR!$A:$C,3,0),"Maior que CAP!",IF((DOLLAR(DV22+(VLOOKUP("PCS-30820g",[3]ARBOR!$A:$C,3,0)*-TRUNC(DV22/VLOOKUP("PCS-30820g",[3]ARBOR!$A:$C,3,0)-1,4)),6))&lt;&gt;(DOLLAR(VLOOKUP("PCS-30820g",[3]ARBOR!$A:$C,3,0),6)),(-TRUNC(DV22/VLOOKUP("PCS-30820g",[3]ARBOR!$A:$C,3,0)-1,4)+0.0001)-DT22,-TRUNC(DV22/VLOOKUP("PCS-30820g",[3]ARBOR!$A:$C,3,0)-1,4)-DT22))))</f>
        <v/>
      </c>
      <c r="DY22" s="117" t="str">
        <f>IF(ISERROR(IF(DX22="","",VLOOKUP(($BC22&amp;DX22&amp;"Template de desconto percentual Bundle - Velox XDSL - Varejo"),[3]BENEFICIOS!$A:$E,5,0))),"Criar",IF(DX22="","",VLOOKUP(($BC22&amp;DX22&amp;"Template de desconto percentual Bundle - Velox XDSL - Varejo"),[3]BENEFICIOS!$A:$E,5,0)))</f>
        <v/>
      </c>
      <c r="DZ22" s="124"/>
      <c r="EA22" s="116" t="str">
        <f>IF(DZ22=0,"",IF(DZ22=VLOOKUP("PCS-21448p2",[3]ARBOR!$A:$C,3,0),0.0001,IF(DZ22&gt;VLOOKUP("PCS-21448p2",[3]ARBOR!$A:$C,3,0),"Maior que CAP!",IF((DOLLAR(DZ22+(VLOOKUP("PCS-21448p2",[3]ARBOR!$A:$C,3,0)*-TRUNC(DZ22/VLOOKUP("PCS-21448p2",[3]ARBOR!$A:$C,3,0)-1,4)),6))&lt;&gt;(DOLLAR(VLOOKUP("PCS-21448p2",[3]ARBOR!$A:$C,3,0),6)),-TRUNC(DZ22/VLOOKUP("PCS-21448p2",[3]ARBOR!$A:$C,3,0)-1,4)+0.0001,-TRUNC(DZ22/VLOOKUP("PCS-21448p2",[3]ARBOR!$A:$C,3,0)-1,4)))))</f>
        <v/>
      </c>
      <c r="EB22" s="117" t="str">
        <f>IF(ISERROR(IF(EA22="","",VLOOKUP(("Oi Conta Total Plug 10GB Downgrade"&amp;EA22&amp;"Template de desconto percentual BL Móvel - Internet Total - Varejo"),[3]BENEFICIOS!$A:$E,5,0))),"Criar",IF(EA22="","",VLOOKUP(("Oi Conta Total Plug 10GB Downgrade"&amp;EA22&amp;"Template de desconto percentual BL Móvel - Internet Total - Varejo"),[3]BENEFICIOS!$A:$E,5,0)))</f>
        <v/>
      </c>
      <c r="EC22" s="145">
        <v>19.899999999999999</v>
      </c>
      <c r="ED22" s="126">
        <f>IF(EC22=0,"",IF(EC22=VLOOKUP("SVA",[3]ARBOR!$A:$C,3,0),0.0001,IF(EC22&gt;VLOOKUP("SVA",[3]ARBOR!$A:$C,3,0),"Maior que CAP!",IF((DOLLAR(EC22+(VLOOKUP("SVA",[3]ARBOR!$A:$C,3,0)*-TRUNC(EC22/VLOOKUP("SVA",[3]ARBOR!$A:$C,3,0)-1,4)),6))&lt;&gt;(DOLLAR(VLOOKUP("SVA",[3]ARBOR!$A:$C,3,0),6)),-TRUNC(EC22/VLOOKUP("SVA",[3]ARBOR!$A:$C,3,0)-1,4)+0.0001,-TRUNC(EC22/VLOOKUP("SVA",[3]ARBOR!$A:$C,3,0)-1,4)))))</f>
        <v>7.1400000000000005E-2</v>
      </c>
      <c r="EE22" s="127" t="s">
        <v>231</v>
      </c>
      <c r="EF22" s="151"/>
      <c r="EG22" s="152"/>
      <c r="EH22" s="153" t="str">
        <f t="shared" si="1"/>
        <v/>
      </c>
      <c r="EI22" s="154" t="str">
        <f>IF(EH22="S/Desc","S/Desc",IF(ISERROR(IF(EH22="","",VLOOKUP(($BC22&amp;EH22&amp;"Template Desc. % sobre Serviço SVA B2C"),[3]BENEFICIOS!$A:$G,5,0))),"Criar",IF(EH22="","",VLOOKUP(($BC22&amp;EH22&amp;"Template Desc. % sobre Serviço SVA B2C"),[3]BENEFICIOS!$A:$G,5,0))))</f>
        <v/>
      </c>
      <c r="EJ22" s="146" t="s">
        <v>209</v>
      </c>
      <c r="EK22" s="135" t="s">
        <v>256</v>
      </c>
      <c r="EL22" s="133" t="s">
        <v>224</v>
      </c>
      <c r="EM22" s="134" t="s">
        <v>225</v>
      </c>
      <c r="EN22" s="135"/>
      <c r="EO22" s="133"/>
      <c r="EP22" s="134"/>
      <c r="EQ22" s="136" t="s">
        <v>219</v>
      </c>
      <c r="ER22" s="137">
        <f t="shared" si="2"/>
        <v>154.91000000000003</v>
      </c>
      <c r="ES22" s="138" t="s">
        <v>220</v>
      </c>
      <c r="ET22" s="147" t="s">
        <v>285</v>
      </c>
      <c r="EU22" s="147" t="s">
        <v>227</v>
      </c>
      <c r="EV22" s="147"/>
      <c r="EW22" s="147"/>
      <c r="EX22" s="147"/>
      <c r="EY22" s="147"/>
      <c r="EZ22" s="147"/>
      <c r="FA22" s="147"/>
      <c r="FB22" s="148"/>
    </row>
  </sheetData>
  <mergeCells count="25">
    <mergeCell ref="ES1:FB1"/>
    <mergeCell ref="DJ1:DQ1"/>
    <mergeCell ref="DR1:DY1"/>
    <mergeCell ref="DZ1:EB1"/>
    <mergeCell ref="EC1:EI1"/>
    <mergeCell ref="EK1:EM1"/>
    <mergeCell ref="EN1:EP1"/>
    <mergeCell ref="DB1:DI1"/>
    <mergeCell ref="BE1:BH1"/>
    <mergeCell ref="BI1:BM1"/>
    <mergeCell ref="BN1:BQ1"/>
    <mergeCell ref="BR1:BU1"/>
    <mergeCell ref="BV1:BY1"/>
    <mergeCell ref="BZ1:CC1"/>
    <mergeCell ref="CD1:CG1"/>
    <mergeCell ref="CH1:CK1"/>
    <mergeCell ref="CL1:CO1"/>
    <mergeCell ref="CP1:CS1"/>
    <mergeCell ref="CT1:DA1"/>
    <mergeCell ref="BB1:BD1"/>
    <mergeCell ref="E1:AL1"/>
    <mergeCell ref="AM1:AO1"/>
    <mergeCell ref="AP1:AQ1"/>
    <mergeCell ref="AR1:AX1"/>
    <mergeCell ref="AY1:BA1"/>
  </mergeCells>
  <conditionalFormatting sqref="BB2">
    <cfRule type="cellIs" dxfId="79" priority="88" operator="equal">
      <formula>"Falta(m) Dado(s)"</formula>
    </cfRule>
  </conditionalFormatting>
  <conditionalFormatting sqref="DJ4">
    <cfRule type="cellIs" dxfId="78" priority="79" operator="equal">
      <formula>"Tratamento"</formula>
    </cfRule>
  </conditionalFormatting>
  <conditionalFormatting sqref="BB4">
    <cfRule type="duplicateValues" dxfId="77" priority="78"/>
  </conditionalFormatting>
  <conditionalFormatting sqref="BP4:BQ4">
    <cfRule type="expression" dxfId="76" priority="77">
      <formula>$BT4=""</formula>
    </cfRule>
  </conditionalFormatting>
  <conditionalFormatting sqref="BG4:BH4">
    <cfRule type="expression" dxfId="75" priority="76">
      <formula>$BT4=""</formula>
    </cfRule>
  </conditionalFormatting>
  <conditionalFormatting sqref="DJ5">
    <cfRule type="cellIs" dxfId="74" priority="75" operator="equal">
      <formula>"Tratamento"</formula>
    </cfRule>
  </conditionalFormatting>
  <conditionalFormatting sqref="BB5">
    <cfRule type="duplicateValues" dxfId="73" priority="74"/>
  </conditionalFormatting>
  <conditionalFormatting sqref="BP5:BQ5">
    <cfRule type="expression" dxfId="72" priority="73">
      <formula>$BT5=""</formula>
    </cfRule>
  </conditionalFormatting>
  <conditionalFormatting sqref="BG5:BH5">
    <cfRule type="expression" dxfId="71" priority="72">
      <formula>$BT5=""</formula>
    </cfRule>
  </conditionalFormatting>
  <conditionalFormatting sqref="DJ6">
    <cfRule type="cellIs" dxfId="70" priority="71" operator="equal">
      <formula>"Tratamento"</formula>
    </cfRule>
  </conditionalFormatting>
  <conditionalFormatting sqref="BB6">
    <cfRule type="duplicateValues" dxfId="69" priority="70"/>
  </conditionalFormatting>
  <conditionalFormatting sqref="BP6:BQ6">
    <cfRule type="expression" dxfId="68" priority="69">
      <formula>$BT6=""</formula>
    </cfRule>
  </conditionalFormatting>
  <conditionalFormatting sqref="BG6:BH6">
    <cfRule type="expression" dxfId="67" priority="68">
      <formula>$BT6=""</formula>
    </cfRule>
  </conditionalFormatting>
  <conditionalFormatting sqref="DJ7">
    <cfRule type="cellIs" dxfId="66" priority="67" operator="equal">
      <formula>"Tratamento"</formula>
    </cfRule>
  </conditionalFormatting>
  <conditionalFormatting sqref="BB7">
    <cfRule type="duplicateValues" dxfId="65" priority="66"/>
  </conditionalFormatting>
  <conditionalFormatting sqref="BP7:BQ7">
    <cfRule type="expression" dxfId="64" priority="65">
      <formula>$BT7=""</formula>
    </cfRule>
  </conditionalFormatting>
  <conditionalFormatting sqref="BG7:BH7">
    <cfRule type="expression" dxfId="63" priority="64">
      <formula>$BT7=""</formula>
    </cfRule>
  </conditionalFormatting>
  <conditionalFormatting sqref="DJ8">
    <cfRule type="cellIs" dxfId="62" priority="63" operator="equal">
      <formula>"Tratamento"</formula>
    </cfRule>
  </conditionalFormatting>
  <conditionalFormatting sqref="BB8">
    <cfRule type="duplicateValues" dxfId="61" priority="62"/>
  </conditionalFormatting>
  <conditionalFormatting sqref="BP8:BQ8">
    <cfRule type="expression" dxfId="60" priority="61">
      <formula>$BT8=""</formula>
    </cfRule>
  </conditionalFormatting>
  <conditionalFormatting sqref="BG8:BH8">
    <cfRule type="expression" dxfId="59" priority="60">
      <formula>$BT8=""</formula>
    </cfRule>
  </conditionalFormatting>
  <conditionalFormatting sqref="DJ9">
    <cfRule type="cellIs" dxfId="58" priority="59" operator="equal">
      <formula>"Tratamento"</formula>
    </cfRule>
  </conditionalFormatting>
  <conditionalFormatting sqref="BB9">
    <cfRule type="duplicateValues" dxfId="57" priority="58"/>
  </conditionalFormatting>
  <conditionalFormatting sqref="BP9:BQ9">
    <cfRule type="expression" dxfId="56" priority="57">
      <formula>$BT9=""</formula>
    </cfRule>
  </conditionalFormatting>
  <conditionalFormatting sqref="BG9:BH9">
    <cfRule type="expression" dxfId="55" priority="56">
      <formula>$BT9=""</formula>
    </cfRule>
  </conditionalFormatting>
  <conditionalFormatting sqref="DJ10">
    <cfRule type="cellIs" dxfId="54" priority="55" operator="equal">
      <formula>"Tratamento"</formula>
    </cfRule>
  </conditionalFormatting>
  <conditionalFormatting sqref="BB10">
    <cfRule type="duplicateValues" dxfId="53" priority="54"/>
  </conditionalFormatting>
  <conditionalFormatting sqref="BP10:BQ10">
    <cfRule type="expression" dxfId="52" priority="53">
      <formula>$BT10=""</formula>
    </cfRule>
  </conditionalFormatting>
  <conditionalFormatting sqref="BG10:BH10">
    <cfRule type="expression" dxfId="51" priority="52">
      <formula>$BT10=""</formula>
    </cfRule>
  </conditionalFormatting>
  <conditionalFormatting sqref="DJ11">
    <cfRule type="cellIs" dxfId="50" priority="51" operator="equal">
      <formula>"Tratamento"</formula>
    </cfRule>
  </conditionalFormatting>
  <conditionalFormatting sqref="BB11">
    <cfRule type="duplicateValues" dxfId="49" priority="50"/>
  </conditionalFormatting>
  <conditionalFormatting sqref="BP11:BQ11">
    <cfRule type="expression" dxfId="48" priority="49">
      <formula>$BT11=""</formula>
    </cfRule>
  </conditionalFormatting>
  <conditionalFormatting sqref="BG11:BH11">
    <cfRule type="expression" dxfId="47" priority="48">
      <formula>$BT11=""</formula>
    </cfRule>
  </conditionalFormatting>
  <conditionalFormatting sqref="DJ12">
    <cfRule type="cellIs" dxfId="46" priority="47" operator="equal">
      <formula>"Tratamento"</formula>
    </cfRule>
  </conditionalFormatting>
  <conditionalFormatting sqref="BB12">
    <cfRule type="duplicateValues" dxfId="45" priority="46"/>
  </conditionalFormatting>
  <conditionalFormatting sqref="BP12:BQ12">
    <cfRule type="expression" dxfId="44" priority="45">
      <formula>$BT12=""</formula>
    </cfRule>
  </conditionalFormatting>
  <conditionalFormatting sqref="BG12:BH12">
    <cfRule type="expression" dxfId="43" priority="44">
      <formula>$BT12=""</formula>
    </cfRule>
  </conditionalFormatting>
  <conditionalFormatting sqref="DJ13">
    <cfRule type="cellIs" dxfId="42" priority="43" operator="equal">
      <formula>"Tratamento"</formula>
    </cfRule>
  </conditionalFormatting>
  <conditionalFormatting sqref="BB13">
    <cfRule type="duplicateValues" dxfId="41" priority="42"/>
  </conditionalFormatting>
  <conditionalFormatting sqref="BP13:BQ13">
    <cfRule type="expression" dxfId="40" priority="41">
      <formula>$BT13=""</formula>
    </cfRule>
  </conditionalFormatting>
  <conditionalFormatting sqref="BG13:BH13">
    <cfRule type="expression" dxfId="39" priority="40">
      <formula>$BT13=""</formula>
    </cfRule>
  </conditionalFormatting>
  <conditionalFormatting sqref="DJ14">
    <cfRule type="cellIs" dxfId="38" priority="39" operator="equal">
      <formula>"Tratamento"</formula>
    </cfRule>
  </conditionalFormatting>
  <conditionalFormatting sqref="BB14">
    <cfRule type="duplicateValues" dxfId="37" priority="38"/>
  </conditionalFormatting>
  <conditionalFormatting sqref="BP14:BQ14">
    <cfRule type="expression" dxfId="36" priority="37">
      <formula>$BT14=""</formula>
    </cfRule>
  </conditionalFormatting>
  <conditionalFormatting sqref="BG14:BH14">
    <cfRule type="expression" dxfId="35" priority="36">
      <formula>$BT14=""</formula>
    </cfRule>
  </conditionalFormatting>
  <conditionalFormatting sqref="DJ15">
    <cfRule type="cellIs" dxfId="34" priority="35" operator="equal">
      <formula>"Tratamento"</formula>
    </cfRule>
  </conditionalFormatting>
  <conditionalFormatting sqref="BB15">
    <cfRule type="duplicateValues" dxfId="33" priority="34"/>
  </conditionalFormatting>
  <conditionalFormatting sqref="BP15:BQ15">
    <cfRule type="expression" dxfId="32" priority="33">
      <formula>$BT15=""</formula>
    </cfRule>
  </conditionalFormatting>
  <conditionalFormatting sqref="BG15:BH15">
    <cfRule type="expression" dxfId="31" priority="32">
      <formula>$BT15=""</formula>
    </cfRule>
  </conditionalFormatting>
  <conditionalFormatting sqref="DJ16">
    <cfRule type="cellIs" dxfId="30" priority="31" operator="equal">
      <formula>"Tratamento"</formula>
    </cfRule>
  </conditionalFormatting>
  <conditionalFormatting sqref="BB16">
    <cfRule type="duplicateValues" dxfId="29" priority="30"/>
  </conditionalFormatting>
  <conditionalFormatting sqref="BP16:BQ16">
    <cfRule type="expression" dxfId="28" priority="29">
      <formula>$BT16=""</formula>
    </cfRule>
  </conditionalFormatting>
  <conditionalFormatting sqref="BG16:BH16">
    <cfRule type="expression" dxfId="27" priority="28">
      <formula>$BT16=""</formula>
    </cfRule>
  </conditionalFormatting>
  <conditionalFormatting sqref="DJ17">
    <cfRule type="cellIs" dxfId="26" priority="27" operator="equal">
      <formula>"Tratamento"</formula>
    </cfRule>
  </conditionalFormatting>
  <conditionalFormatting sqref="BB17">
    <cfRule type="duplicateValues" dxfId="25" priority="26"/>
  </conditionalFormatting>
  <conditionalFormatting sqref="BP17:BQ17">
    <cfRule type="expression" dxfId="24" priority="25">
      <formula>$BT17=""</formula>
    </cfRule>
  </conditionalFormatting>
  <conditionalFormatting sqref="BG17:BH17">
    <cfRule type="expression" dxfId="23" priority="24">
      <formula>$BT17=""</formula>
    </cfRule>
  </conditionalFormatting>
  <conditionalFormatting sqref="DJ18">
    <cfRule type="cellIs" dxfId="22" priority="23" operator="equal">
      <formula>"Tratamento"</formula>
    </cfRule>
  </conditionalFormatting>
  <conditionalFormatting sqref="BP18:BQ18">
    <cfRule type="expression" dxfId="21" priority="22">
      <formula>$BT18=""</formula>
    </cfRule>
  </conditionalFormatting>
  <conditionalFormatting sqref="BG18:BH18">
    <cfRule type="expression" dxfId="20" priority="21">
      <formula>$BT18=""</formula>
    </cfRule>
  </conditionalFormatting>
  <conditionalFormatting sqref="DJ19">
    <cfRule type="cellIs" dxfId="19" priority="20" operator="equal">
      <formula>"Tratamento"</formula>
    </cfRule>
  </conditionalFormatting>
  <conditionalFormatting sqref="BB19">
    <cfRule type="duplicateValues" dxfId="18" priority="19"/>
  </conditionalFormatting>
  <conditionalFormatting sqref="BP19:BQ19">
    <cfRule type="expression" dxfId="17" priority="18">
      <formula>$BT19=""</formula>
    </cfRule>
  </conditionalFormatting>
  <conditionalFormatting sqref="BG19:BH19">
    <cfRule type="expression" dxfId="16" priority="17">
      <formula>$BT19=""</formula>
    </cfRule>
  </conditionalFormatting>
  <conditionalFormatting sqref="DJ20">
    <cfRule type="cellIs" dxfId="15" priority="16" operator="equal">
      <formula>"Tratamento"</formula>
    </cfRule>
  </conditionalFormatting>
  <conditionalFormatting sqref="BB20">
    <cfRule type="duplicateValues" dxfId="14" priority="15"/>
  </conditionalFormatting>
  <conditionalFormatting sqref="BP20:BQ20">
    <cfRule type="expression" dxfId="13" priority="14">
      <formula>$BT20=""</formula>
    </cfRule>
  </conditionalFormatting>
  <conditionalFormatting sqref="BG20:BH20">
    <cfRule type="expression" dxfId="12" priority="13">
      <formula>$BT20=""</formula>
    </cfRule>
  </conditionalFormatting>
  <conditionalFormatting sqref="DJ21">
    <cfRule type="cellIs" dxfId="11" priority="12" operator="equal">
      <formula>"Tratamento"</formula>
    </cfRule>
  </conditionalFormatting>
  <conditionalFormatting sqref="BB21">
    <cfRule type="duplicateValues" dxfId="10" priority="11"/>
  </conditionalFormatting>
  <conditionalFormatting sqref="BP21:BQ21">
    <cfRule type="expression" dxfId="9" priority="10">
      <formula>$BT21=""</formula>
    </cfRule>
  </conditionalFormatting>
  <conditionalFormatting sqref="BG21:BH21">
    <cfRule type="expression" dxfId="8" priority="9">
      <formula>$BT21=""</formula>
    </cfRule>
  </conditionalFormatting>
  <conditionalFormatting sqref="DJ22">
    <cfRule type="cellIs" dxfId="7" priority="8" operator="equal">
      <formula>"Tratamento"</formula>
    </cfRule>
  </conditionalFormatting>
  <conditionalFormatting sqref="BB22">
    <cfRule type="duplicateValues" dxfId="6" priority="7"/>
  </conditionalFormatting>
  <conditionalFormatting sqref="BP22:BQ22">
    <cfRule type="expression" dxfId="5" priority="6">
      <formula>$BT22=""</formula>
    </cfRule>
  </conditionalFormatting>
  <conditionalFormatting sqref="BG22:BH22">
    <cfRule type="expression" dxfId="4" priority="5">
      <formula>$BT22=""</formula>
    </cfRule>
  </conditionalFormatting>
  <conditionalFormatting sqref="DJ3">
    <cfRule type="cellIs" dxfId="3" priority="4" operator="equal">
      <formula>"Tratamento"</formula>
    </cfRule>
  </conditionalFormatting>
  <conditionalFormatting sqref="BB3">
    <cfRule type="duplicateValues" dxfId="2" priority="3"/>
  </conditionalFormatting>
  <conditionalFormatting sqref="BP3:BQ3">
    <cfRule type="expression" dxfId="1" priority="2">
      <formula>$BT3=""</formula>
    </cfRule>
  </conditionalFormatting>
  <conditionalFormatting sqref="BG3:BH3">
    <cfRule type="expression" dxfId="0" priority="1">
      <formula>$BT3=""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19"/>
  <sheetViews>
    <sheetView workbookViewId="0">
      <selection activeCell="D7" sqref="D7"/>
    </sheetView>
  </sheetViews>
  <sheetFormatPr defaultRowHeight="15" x14ac:dyDescent="0.25"/>
  <cols>
    <col min="2" max="3" width="55.7109375" bestFit="1" customWidth="1"/>
  </cols>
  <sheetData>
    <row r="2" spans="2:3" x14ac:dyDescent="0.25">
      <c r="B2" t="s">
        <v>286</v>
      </c>
      <c r="C2" t="e">
        <f>VLOOKUP(B2,'2PBL Com Fidelidade'!$AL$5:$AL$1940,1,FALSE)</f>
        <v>#N/A</v>
      </c>
    </row>
    <row r="3" spans="2:3" x14ac:dyDescent="0.25">
      <c r="B3" t="s">
        <v>287</v>
      </c>
      <c r="C3" t="e">
        <f>VLOOKUP(B3,'2PBL Com Fidelidade'!$AL$5:$AL$1940,1,FALSE)</f>
        <v>#N/A</v>
      </c>
    </row>
    <row r="4" spans="2:3" x14ac:dyDescent="0.25">
      <c r="B4" t="s">
        <v>288</v>
      </c>
      <c r="C4" t="e">
        <f>VLOOKUP(B4,'2PBL Com Fidelidade'!$AL$5:$AL$1940,1,FALSE)</f>
        <v>#N/A</v>
      </c>
    </row>
    <row r="5" spans="2:3" x14ac:dyDescent="0.25">
      <c r="B5" t="s">
        <v>289</v>
      </c>
      <c r="C5" t="e">
        <f>VLOOKUP(B5,'2PBL Com Fidelidade'!$AL$5:$AL$1940,1,FALSE)</f>
        <v>#N/A</v>
      </c>
    </row>
    <row r="6" spans="2:3" x14ac:dyDescent="0.25">
      <c r="B6" t="s">
        <v>290</v>
      </c>
      <c r="C6" t="e">
        <f>VLOOKUP(B6,'2PBL Com Fidelidade'!$AL$5:$AL$1940,1,FALSE)</f>
        <v>#N/A</v>
      </c>
    </row>
    <row r="7" spans="2:3" x14ac:dyDescent="0.25">
      <c r="B7" t="s">
        <v>291</v>
      </c>
      <c r="C7" t="e">
        <f>VLOOKUP(B7,'2PBL Com Fidelidade'!$AL$5:$AL$1940,1,FALSE)</f>
        <v>#N/A</v>
      </c>
    </row>
    <row r="8" spans="2:3" x14ac:dyDescent="0.25">
      <c r="B8" t="s">
        <v>292</v>
      </c>
      <c r="C8" t="e">
        <f>VLOOKUP(B8,'2PBL Com Fidelidade'!$AL$5:$AL$1940,1,FALSE)</f>
        <v>#N/A</v>
      </c>
    </row>
    <row r="9" spans="2:3" x14ac:dyDescent="0.25">
      <c r="B9" t="s">
        <v>293</v>
      </c>
      <c r="C9" t="e">
        <f>VLOOKUP(B9,'2PBL Com Fidelidade'!$AL$5:$AL$1940,1,FALSE)</f>
        <v>#N/A</v>
      </c>
    </row>
    <row r="10" spans="2:3" x14ac:dyDescent="0.25">
      <c r="B10" t="s">
        <v>294</v>
      </c>
      <c r="C10" t="e">
        <f>VLOOKUP(B10,'2PBL Com Fidelidade'!$AL$5:$AL$1940,1,FALSE)</f>
        <v>#N/A</v>
      </c>
    </row>
    <row r="11" spans="2:3" x14ac:dyDescent="0.25">
      <c r="B11" t="s">
        <v>295</v>
      </c>
      <c r="C11" t="e">
        <f>VLOOKUP(B11,'2PBL Com Fidelidade'!$AL$5:$AL$1940,1,FALSE)</f>
        <v>#N/A</v>
      </c>
    </row>
    <row r="12" spans="2:3" x14ac:dyDescent="0.25">
      <c r="B12" t="s">
        <v>296</v>
      </c>
      <c r="C12" t="e">
        <f>VLOOKUP(B12,'2PBL Com Fidelidade'!$AL$5:$AL$1940,1,FALSE)</f>
        <v>#N/A</v>
      </c>
    </row>
    <row r="13" spans="2:3" x14ac:dyDescent="0.25">
      <c r="B13" t="s">
        <v>297</v>
      </c>
      <c r="C13" t="e">
        <f>VLOOKUP(B13,'2PBL Com Fidelidade'!$AJ$5:$AJ$1940,1,FALSE)</f>
        <v>#N/A</v>
      </c>
    </row>
    <row r="14" spans="2:3" x14ac:dyDescent="0.25">
      <c r="B14" t="s">
        <v>298</v>
      </c>
      <c r="C14" t="e">
        <f>VLOOKUP(B14,'2PBL Com Fidelidade'!$AJ$5:$AJ$1940,1,FALSE)</f>
        <v>#N/A</v>
      </c>
    </row>
    <row r="15" spans="2:3" x14ac:dyDescent="0.25">
      <c r="B15" t="s">
        <v>299</v>
      </c>
      <c r="C15" t="e">
        <f>VLOOKUP(B15,'2PBL Com Fidelidade'!$AJ$5:$AJ$1940,1,FALSE)</f>
        <v>#N/A</v>
      </c>
    </row>
    <row r="16" spans="2:3" x14ac:dyDescent="0.25">
      <c r="B16" t="s">
        <v>300</v>
      </c>
      <c r="C16" t="e">
        <f>VLOOKUP(B16,'2PBL Com Fidelidade'!$AJ$5:$AJ$1940,1,FALSE)</f>
        <v>#N/A</v>
      </c>
    </row>
    <row r="17" spans="2:3" x14ac:dyDescent="0.25">
      <c r="B17" t="s">
        <v>301</v>
      </c>
      <c r="C17" t="e">
        <f>VLOOKUP(B17,'2PBL Com Fidelidade'!$AJ$5:$AJ$1940,1,FALSE)</f>
        <v>#N/A</v>
      </c>
    </row>
    <row r="18" spans="2:3" x14ac:dyDescent="0.25">
      <c r="B18" t="s">
        <v>302</v>
      </c>
      <c r="C18" t="e">
        <f>VLOOKUP(B18,'2PBL Com Fidelidade'!$AJ$5:$AJ$1940,1,FALSE)</f>
        <v>#N/A</v>
      </c>
    </row>
    <row r="19" spans="2:3" x14ac:dyDescent="0.25">
      <c r="B19" t="s">
        <v>303</v>
      </c>
      <c r="C19" t="e">
        <f>VLOOKUP(B19,'2PBL Com Fidelidade'!$AJ$5:$AJ$1940,1,FALSE)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2PBL Com Fidelidade</vt:lpstr>
      <vt:lpstr>2PBL Sem Fidelidade</vt:lpstr>
      <vt:lpstr>Erro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2018-11-06T17:43:19Z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5daa68d2-1b1b-4109-8839-f2ff9fe44958</vt:lpwstr>
  </property>
</Properties>
</file>
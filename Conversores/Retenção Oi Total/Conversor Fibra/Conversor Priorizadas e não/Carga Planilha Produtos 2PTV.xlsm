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Documents\Oferta 690\"/>
    </mc:Choice>
  </mc:AlternateContent>
  <xr:revisionPtr revIDLastSave="0" documentId="10_ncr:100000_{C82741C4-8ED2-495C-BBF0-88C3CA881F70}" xr6:coauthVersionLast="31" xr6:coauthVersionMax="31" xr10:uidLastSave="{00000000-0000-0000-0000-000000000000}"/>
  <bookViews>
    <workbookView xWindow="0" yWindow="0" windowWidth="20490" windowHeight="7530" xr2:uid="{00000000-000D-0000-FFFF-FFFF00000000}"/>
  </bookViews>
  <sheets>
    <sheet name="2PTV Com Fidelidade" sheetId="1" r:id="rId1"/>
    <sheet name="Sheet2" sheetId="4" r:id="rId2"/>
    <sheet name="2PTV Sem Fidelidade" sheetId="2" r:id="rId3"/>
    <sheet name="Erro" sheetId="3" r:id="rId4"/>
  </sheets>
  <functionGroups builtInGroupCount="19"/>
  <externalReferences>
    <externalReference r:id="rId5"/>
    <externalReference r:id="rId6"/>
    <externalReference r:id="rId7"/>
    <externalReference r:id="rId8"/>
  </externalReferences>
  <definedNames>
    <definedName name="_xlnm._FilterDatabase" localSheetId="0" hidden="1">'2PTV Com Fidelidade'!$A$4:$AW$30</definedName>
    <definedName name="validValues">[1]Settings!$A$1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SQ6" i="3" l="1"/>
  <c r="CSP6" i="3"/>
  <c r="CSO6" i="3"/>
  <c r="CSN6" i="3"/>
  <c r="CSM6" i="3"/>
  <c r="CSL6" i="3"/>
  <c r="CSK6" i="3"/>
  <c r="CSJ6" i="3"/>
  <c r="CSI6" i="3"/>
  <c r="CSH6" i="3"/>
  <c r="CSG6" i="3"/>
  <c r="CSF6" i="3"/>
  <c r="CSE6" i="3"/>
  <c r="CSD6" i="3"/>
  <c r="CSC6" i="3"/>
  <c r="CSB6" i="3"/>
  <c r="CSA6" i="3"/>
  <c r="CRZ6" i="3"/>
  <c r="CRY6" i="3"/>
  <c r="CRX6" i="3"/>
  <c r="CRW6" i="3"/>
  <c r="CRV6" i="3"/>
  <c r="CRU6" i="3"/>
  <c r="CRT6" i="3"/>
  <c r="CRS6" i="3"/>
  <c r="CRP6" i="3"/>
  <c r="CRO6" i="3"/>
  <c r="CRN6" i="3"/>
  <c r="BYT6" i="3"/>
  <c r="BYS6" i="3"/>
  <c r="BYR6" i="3"/>
  <c r="BYQ6" i="3"/>
  <c r="BYP6" i="3"/>
  <c r="BYO6" i="3"/>
  <c r="BYN6" i="3"/>
  <c r="BYM6" i="3"/>
  <c r="BYL6" i="3"/>
  <c r="BYK6" i="3"/>
  <c r="BYJ6" i="3"/>
  <c r="BYI6" i="3"/>
  <c r="BYH6" i="3"/>
  <c r="BYG6" i="3"/>
  <c r="BYF6" i="3"/>
  <c r="BYE6" i="3"/>
  <c r="BYD6" i="3"/>
  <c r="BYC6" i="3"/>
  <c r="BYB6" i="3"/>
  <c r="BYA6" i="3"/>
  <c r="BXZ6" i="3"/>
  <c r="BXY6" i="3"/>
  <c r="BXX6" i="3"/>
  <c r="BXW6" i="3"/>
  <c r="BXV6" i="3"/>
  <c r="BXU6" i="3"/>
  <c r="BXT6" i="3"/>
  <c r="BXQ6" i="3"/>
  <c r="BXP6" i="3"/>
  <c r="BXO6" i="3"/>
  <c r="BXN6" i="3"/>
  <c r="BXM6" i="3"/>
  <c r="BXL6" i="3"/>
  <c r="BXK6" i="3"/>
  <c r="BXJ6" i="3"/>
  <c r="BXI6" i="3"/>
  <c r="BXH6" i="3"/>
  <c r="BXG6" i="3"/>
  <c r="BXF6" i="3"/>
  <c r="BXE6" i="3"/>
  <c r="BXD6" i="3"/>
  <c r="BXC6" i="3"/>
  <c r="BXB6" i="3"/>
  <c r="BXA6" i="3"/>
  <c r="BWZ6" i="3"/>
  <c r="BWY6" i="3"/>
  <c r="BWX6" i="3"/>
  <c r="BWW6" i="3"/>
  <c r="BWV6" i="3"/>
  <c r="BWU6" i="3"/>
  <c r="BWT6" i="3"/>
  <c r="BWS6" i="3"/>
  <c r="BWR6" i="3"/>
  <c r="BWQ6" i="3"/>
  <c r="BWN6" i="3"/>
  <c r="BWM6" i="3"/>
  <c r="BWL6" i="3"/>
  <c r="BWK6" i="3"/>
  <c r="BWJ6" i="3"/>
  <c r="BWI6" i="3"/>
  <c r="BWH6" i="3"/>
  <c r="BWG6" i="3"/>
  <c r="BWF6" i="3"/>
  <c r="BWE6" i="3"/>
  <c r="BWD6" i="3"/>
  <c r="BWC6" i="3"/>
  <c r="BWB6" i="3"/>
  <c r="BWA6" i="3"/>
  <c r="BVZ6" i="3"/>
  <c r="BVY6" i="3"/>
  <c r="BVX6" i="3"/>
  <c r="BVW6" i="3"/>
  <c r="BVV6" i="3"/>
  <c r="BVU6" i="3"/>
  <c r="BVT6" i="3"/>
  <c r="BVS6" i="3"/>
  <c r="BVR6" i="3"/>
  <c r="BVQ6" i="3"/>
  <c r="BVP6" i="3"/>
  <c r="BVO6" i="3"/>
  <c r="BVN6" i="3"/>
  <c r="BVK6" i="3"/>
  <c r="BVJ6" i="3"/>
  <c r="BVI6" i="3"/>
  <c r="BVH6" i="3"/>
  <c r="BVG6" i="3"/>
  <c r="BVF6" i="3"/>
  <c r="BVE6" i="3"/>
  <c r="BVD6" i="3"/>
  <c r="BVC6" i="3"/>
  <c r="BVB6" i="3"/>
  <c r="BVA6" i="3"/>
  <c r="BUZ6" i="3"/>
  <c r="BUY6" i="3"/>
  <c r="BUX6" i="3"/>
  <c r="BUW6" i="3"/>
  <c r="BUV6" i="3"/>
  <c r="BUU6" i="3"/>
  <c r="BUT6" i="3"/>
  <c r="BUS6" i="3"/>
  <c r="BUR6" i="3"/>
  <c r="BUQ6" i="3"/>
  <c r="BUP6" i="3"/>
  <c r="BUO6" i="3"/>
  <c r="BUN6" i="3"/>
  <c r="BUM6" i="3"/>
  <c r="BUL6" i="3"/>
  <c r="BUK6" i="3"/>
  <c r="BUH6" i="3"/>
  <c r="BUG6" i="3"/>
  <c r="BUF6" i="3"/>
  <c r="BUE6" i="3"/>
  <c r="BUD6" i="3"/>
  <c r="BUC6" i="3"/>
  <c r="BUB6" i="3"/>
  <c r="BUA6" i="3"/>
  <c r="BTZ6" i="3"/>
  <c r="BTY6" i="3"/>
  <c r="BTX6" i="3"/>
  <c r="BTW6" i="3"/>
  <c r="BTV6" i="3"/>
  <c r="BTU6" i="3"/>
  <c r="BTT6" i="3"/>
  <c r="BTS6" i="3"/>
  <c r="BTR6" i="3"/>
  <c r="BTQ6" i="3"/>
  <c r="BTP6" i="3"/>
  <c r="BTO6" i="3"/>
  <c r="BTN6" i="3"/>
  <c r="BTM6" i="3"/>
  <c r="BTL6" i="3"/>
  <c r="BTK6" i="3"/>
  <c r="BTJ6" i="3"/>
  <c r="BTI6" i="3"/>
  <c r="BTH6" i="3"/>
  <c r="BTE6" i="3"/>
  <c r="BTD6" i="3"/>
  <c r="BTC6" i="3"/>
  <c r="BTB6" i="3"/>
  <c r="BTA6" i="3"/>
  <c r="BSZ6" i="3"/>
  <c r="BSY6" i="3"/>
  <c r="BSX6" i="3"/>
  <c r="BSW6" i="3"/>
  <c r="BSV6" i="3"/>
  <c r="BSU6" i="3"/>
  <c r="BST6" i="3"/>
  <c r="BSS6" i="3"/>
  <c r="BSR6" i="3"/>
  <c r="BSQ6" i="3"/>
  <c r="BSP6" i="3"/>
  <c r="BSO6" i="3"/>
  <c r="BSN6" i="3"/>
  <c r="BSM6" i="3"/>
  <c r="BSL6" i="3"/>
  <c r="BSK6" i="3"/>
  <c r="BSJ6" i="3"/>
  <c r="BSI6" i="3"/>
  <c r="BSH6" i="3"/>
  <c r="BSG6" i="3"/>
  <c r="BSF6" i="3"/>
  <c r="BSE6" i="3"/>
  <c r="BSB6" i="3"/>
  <c r="BSA6" i="3"/>
  <c r="BRZ6" i="3"/>
  <c r="BRY6" i="3"/>
  <c r="BRX6" i="3"/>
  <c r="BRW6" i="3"/>
  <c r="BRV6" i="3"/>
  <c r="BRU6" i="3"/>
  <c r="BRT6" i="3"/>
  <c r="BRS6" i="3"/>
  <c r="BRR6" i="3"/>
  <c r="BRQ6" i="3"/>
  <c r="BRP6" i="3"/>
  <c r="BRO6" i="3"/>
  <c r="BRN6" i="3"/>
  <c r="BRM6" i="3"/>
  <c r="BRL6" i="3"/>
  <c r="BRK6" i="3"/>
  <c r="BRJ6" i="3"/>
  <c r="BRI6" i="3"/>
  <c r="BRH6" i="3"/>
  <c r="BRG6" i="3"/>
  <c r="BRF6" i="3"/>
  <c r="BRE6" i="3"/>
  <c r="BRD6" i="3"/>
  <c r="BRC6" i="3"/>
  <c r="BRB6" i="3"/>
  <c r="BQY6" i="3"/>
  <c r="BQX6" i="3"/>
  <c r="BQW6" i="3"/>
  <c r="BQV6" i="3"/>
  <c r="BQU6" i="3"/>
  <c r="BQT6" i="3"/>
  <c r="BQS6" i="3"/>
  <c r="BQR6" i="3"/>
  <c r="BQQ6" i="3"/>
  <c r="BQP6" i="3"/>
  <c r="BQO6" i="3"/>
  <c r="BQN6" i="3"/>
  <c r="BQM6" i="3"/>
  <c r="BQL6" i="3"/>
  <c r="BQK6" i="3"/>
  <c r="BQJ6" i="3"/>
  <c r="BQI6" i="3"/>
  <c r="BQH6" i="3"/>
  <c r="BQG6" i="3"/>
  <c r="BQF6" i="3"/>
  <c r="BQE6" i="3"/>
  <c r="BQD6" i="3"/>
  <c r="BQC6" i="3"/>
  <c r="BQB6" i="3"/>
  <c r="BQA6" i="3"/>
  <c r="BPZ6" i="3"/>
  <c r="BPY6" i="3"/>
  <c r="BPV6" i="3"/>
  <c r="BPU6" i="3"/>
  <c r="BPT6" i="3"/>
  <c r="BPS6" i="3"/>
  <c r="BPR6" i="3"/>
  <c r="BPQ6" i="3"/>
  <c r="BPP6" i="3"/>
  <c r="BPO6" i="3"/>
  <c r="BPN6" i="3"/>
  <c r="BPM6" i="3"/>
  <c r="BPL6" i="3"/>
  <c r="BPK6" i="3"/>
  <c r="BPJ6" i="3"/>
  <c r="BPI6" i="3"/>
  <c r="BPH6" i="3"/>
  <c r="BPG6" i="3"/>
  <c r="BPF6" i="3"/>
  <c r="BPE6" i="3"/>
  <c r="BPD6" i="3"/>
  <c r="BPC6" i="3"/>
  <c r="BPB6" i="3"/>
  <c r="BPA6" i="3"/>
  <c r="BOZ6" i="3"/>
  <c r="BOY6" i="3"/>
  <c r="BOX6" i="3"/>
  <c r="BOW6" i="3"/>
  <c r="BOV6" i="3"/>
  <c r="BJD6" i="3"/>
  <c r="BJC6" i="3"/>
  <c r="BJB6" i="3"/>
  <c r="BJA6" i="3"/>
  <c r="BIZ6" i="3"/>
  <c r="BIY6" i="3"/>
  <c r="BIX6" i="3"/>
  <c r="BIW6" i="3"/>
  <c r="BIV6" i="3"/>
  <c r="BIU6" i="3"/>
  <c r="BIT6" i="3"/>
  <c r="BIS6" i="3"/>
  <c r="BIR6" i="3"/>
  <c r="BIQ6" i="3"/>
  <c r="BIP6" i="3"/>
  <c r="BIO6" i="3"/>
  <c r="BIN6" i="3"/>
  <c r="BIM6" i="3"/>
  <c r="BIL6" i="3"/>
  <c r="BIK6" i="3"/>
  <c r="BIJ6" i="3"/>
  <c r="BII6" i="3"/>
  <c r="BIH6" i="3"/>
  <c r="BIG6" i="3"/>
  <c r="BIF6" i="3"/>
  <c r="BIE6" i="3"/>
  <c r="BID6" i="3"/>
  <c r="BIA6" i="3"/>
  <c r="BHZ6" i="3"/>
  <c r="BHY6" i="3"/>
  <c r="BHX6" i="3"/>
  <c r="BHW6" i="3"/>
  <c r="BHV6" i="3"/>
  <c r="BHU6" i="3"/>
  <c r="BHT6" i="3"/>
  <c r="BHS6" i="3"/>
  <c r="BHR6" i="3"/>
  <c r="BHQ6" i="3"/>
  <c r="BHP6" i="3"/>
  <c r="BHO6" i="3"/>
  <c r="BHN6" i="3"/>
  <c r="BHM6" i="3"/>
  <c r="BHL6" i="3"/>
  <c r="BHK6" i="3"/>
  <c r="BHJ6" i="3"/>
  <c r="BHI6" i="3"/>
  <c r="BHH6" i="3"/>
  <c r="BHG6" i="3"/>
  <c r="BHF6" i="3"/>
  <c r="BHE6" i="3"/>
  <c r="BHD6" i="3"/>
  <c r="BHC6" i="3"/>
  <c r="BHB6" i="3"/>
  <c r="BHA6" i="3"/>
  <c r="BGX6" i="3"/>
  <c r="BGW6" i="3"/>
  <c r="BGV6" i="3"/>
  <c r="BGU6" i="3"/>
  <c r="BGT6" i="3"/>
  <c r="BGS6" i="3"/>
  <c r="BGR6" i="3"/>
  <c r="BGQ6" i="3"/>
  <c r="BGP6" i="3"/>
  <c r="BGO6" i="3"/>
  <c r="BGN6" i="3"/>
  <c r="BGM6" i="3"/>
  <c r="BGL6" i="3"/>
  <c r="BGK6" i="3"/>
  <c r="BGJ6" i="3"/>
  <c r="BGI6" i="3"/>
  <c r="BGH6" i="3"/>
  <c r="BGG6" i="3"/>
  <c r="BGF6" i="3"/>
  <c r="BGE6" i="3"/>
  <c r="BGD6" i="3"/>
  <c r="BGC6" i="3"/>
  <c r="BGB6" i="3"/>
  <c r="BGA6" i="3"/>
  <c r="BFZ6" i="3"/>
  <c r="BFY6" i="3"/>
  <c r="BFX6" i="3"/>
  <c r="BFU6" i="3"/>
  <c r="BFT6" i="3"/>
  <c r="BFS6" i="3"/>
  <c r="BFR6" i="3"/>
  <c r="BFQ6" i="3"/>
  <c r="BFP6" i="3"/>
  <c r="BFO6" i="3"/>
  <c r="BFN6" i="3"/>
  <c r="BFM6" i="3"/>
  <c r="BFL6" i="3"/>
  <c r="BFK6" i="3"/>
  <c r="BFJ6" i="3"/>
  <c r="BFI6" i="3"/>
  <c r="BFH6" i="3"/>
  <c r="BFG6" i="3"/>
  <c r="BFF6" i="3"/>
  <c r="BFE6" i="3"/>
  <c r="BFD6" i="3"/>
  <c r="BFC6" i="3"/>
  <c r="BFB6" i="3"/>
  <c r="BFA6" i="3"/>
  <c r="BEZ6" i="3"/>
  <c r="BEY6" i="3"/>
  <c r="BEX6" i="3"/>
  <c r="BEW6" i="3"/>
  <c r="BEV6" i="3"/>
  <c r="BEU6" i="3"/>
  <c r="BER6" i="3"/>
  <c r="BEQ6" i="3"/>
  <c r="BEP6" i="3"/>
  <c r="BEO6" i="3"/>
  <c r="BEN6" i="3"/>
  <c r="BEM6" i="3"/>
  <c r="BEL6" i="3"/>
  <c r="BEK6" i="3"/>
  <c r="BEJ6" i="3"/>
  <c r="BEI6" i="3"/>
  <c r="BEH6" i="3"/>
  <c r="BEG6" i="3"/>
  <c r="BEF6" i="3"/>
  <c r="BEE6" i="3"/>
  <c r="BED6" i="3"/>
  <c r="BEC6" i="3"/>
  <c r="BEB6" i="3"/>
  <c r="BEA6" i="3"/>
  <c r="BDZ6" i="3"/>
  <c r="BDY6" i="3"/>
  <c r="BDX6" i="3"/>
  <c r="BDW6" i="3"/>
  <c r="BDV6" i="3"/>
  <c r="BDU6" i="3"/>
  <c r="BDT6" i="3"/>
  <c r="BDS6" i="3"/>
  <c r="BDR6" i="3"/>
  <c r="BDO6" i="3"/>
  <c r="BDN6" i="3"/>
  <c r="BDM6" i="3"/>
  <c r="BDL6" i="3"/>
  <c r="BDK6" i="3"/>
  <c r="BDJ6" i="3"/>
  <c r="BDI6" i="3"/>
  <c r="BDH6" i="3"/>
  <c r="BDG6" i="3"/>
  <c r="BDF6" i="3"/>
  <c r="BDE6" i="3"/>
  <c r="BDD6" i="3"/>
  <c r="BDC6" i="3"/>
  <c r="BDB6" i="3"/>
  <c r="BDA6" i="3"/>
  <c r="BCZ6" i="3"/>
  <c r="BCY6" i="3"/>
  <c r="BCX6" i="3"/>
  <c r="BCW6" i="3"/>
  <c r="BCV6" i="3"/>
  <c r="BCU6" i="3"/>
  <c r="BCT6" i="3"/>
  <c r="BCS6" i="3"/>
  <c r="BCR6" i="3"/>
  <c r="BCQ6" i="3"/>
  <c r="BCP6" i="3"/>
  <c r="BCO6" i="3"/>
  <c r="BCL6" i="3"/>
  <c r="BCK6" i="3"/>
  <c r="BCJ6" i="3"/>
  <c r="BCI6" i="3"/>
  <c r="BCH6" i="3"/>
  <c r="BCG6" i="3"/>
  <c r="BCF6" i="3"/>
  <c r="BCE6" i="3"/>
  <c r="BCD6" i="3"/>
  <c r="BCC6" i="3"/>
  <c r="BCB6" i="3"/>
  <c r="BCA6" i="3"/>
  <c r="BBZ6" i="3"/>
  <c r="BBY6" i="3"/>
  <c r="BBX6" i="3"/>
  <c r="BBW6" i="3"/>
  <c r="BBV6" i="3"/>
  <c r="BBU6" i="3"/>
  <c r="BBT6" i="3"/>
  <c r="BBS6" i="3"/>
  <c r="BBR6" i="3"/>
  <c r="BBQ6" i="3"/>
  <c r="BBP6" i="3"/>
  <c r="BBO6" i="3"/>
  <c r="BBN6" i="3"/>
  <c r="BBM6" i="3"/>
  <c r="BBL6" i="3"/>
  <c r="BBI6" i="3"/>
  <c r="BBH6" i="3"/>
  <c r="BBG6" i="3"/>
  <c r="BBF6" i="3"/>
  <c r="BBE6" i="3"/>
  <c r="BBD6" i="3"/>
  <c r="BBC6" i="3"/>
  <c r="BBB6" i="3"/>
  <c r="BBA6" i="3"/>
  <c r="BAZ6" i="3"/>
  <c r="BAY6" i="3"/>
  <c r="BAX6" i="3"/>
  <c r="BAW6" i="3"/>
  <c r="BAV6" i="3"/>
  <c r="BAU6" i="3"/>
  <c r="BAT6" i="3"/>
  <c r="BAS6" i="3"/>
  <c r="BAR6" i="3"/>
  <c r="BAQ6" i="3"/>
  <c r="BAP6" i="3"/>
  <c r="BAO6" i="3"/>
  <c r="BAN6" i="3"/>
  <c r="BAM6" i="3"/>
  <c r="BAL6" i="3"/>
  <c r="BAK6" i="3"/>
  <c r="BAJ6" i="3"/>
  <c r="BAI6" i="3"/>
  <c r="BAF6" i="3"/>
  <c r="BAE6" i="3"/>
  <c r="BAD6" i="3"/>
  <c r="BAC6" i="3"/>
  <c r="BAB6" i="3"/>
  <c r="BAA6" i="3"/>
  <c r="AZZ6" i="3"/>
  <c r="AZY6" i="3"/>
  <c r="AZX6" i="3"/>
  <c r="AZW6" i="3"/>
  <c r="AZV6" i="3"/>
  <c r="AZU6" i="3"/>
  <c r="AZT6" i="3"/>
  <c r="AZS6" i="3"/>
  <c r="AZR6" i="3"/>
  <c r="AZQ6" i="3"/>
  <c r="AZP6" i="3"/>
  <c r="AZO6" i="3"/>
  <c r="AZN6" i="3"/>
  <c r="AZM6" i="3"/>
  <c r="AZL6" i="3"/>
  <c r="AZK6" i="3"/>
  <c r="AZJ6" i="3"/>
  <c r="AZI6" i="3"/>
  <c r="AZH6" i="3"/>
  <c r="AZG6" i="3"/>
  <c r="AZF6" i="3"/>
  <c r="AZC6" i="3"/>
  <c r="AZB6" i="3"/>
  <c r="AZA6" i="3"/>
  <c r="AYZ6" i="3"/>
  <c r="AYY6" i="3"/>
  <c r="AYX6" i="3"/>
  <c r="AYW6" i="3"/>
  <c r="AYV6" i="3"/>
  <c r="AYU6" i="3"/>
  <c r="AYT6" i="3"/>
  <c r="AYS6" i="3"/>
  <c r="AYR6" i="3"/>
  <c r="AYQ6" i="3"/>
  <c r="AYP6" i="3"/>
  <c r="AYO6" i="3"/>
  <c r="AYN6" i="3"/>
  <c r="AYM6" i="3"/>
  <c r="AYL6" i="3"/>
  <c r="AYK6" i="3"/>
  <c r="AYJ6" i="3"/>
  <c r="AYI6" i="3"/>
  <c r="AYH6" i="3"/>
  <c r="AYG6" i="3"/>
  <c r="AYF6" i="3"/>
  <c r="AYE6" i="3"/>
  <c r="AYD6" i="3"/>
  <c r="AYC6" i="3"/>
  <c r="AXZ6" i="3"/>
  <c r="AXY6" i="3"/>
  <c r="AXX6" i="3"/>
  <c r="AXW6" i="3"/>
  <c r="AXV6" i="3"/>
  <c r="AXU6" i="3"/>
  <c r="AXT6" i="3"/>
  <c r="AXS6" i="3"/>
  <c r="AXR6" i="3"/>
  <c r="AXQ6" i="3"/>
  <c r="AXP6" i="3"/>
  <c r="AXO6" i="3"/>
  <c r="AXN6" i="3"/>
  <c r="AXM6" i="3"/>
  <c r="AXL6" i="3"/>
  <c r="AXK6" i="3"/>
  <c r="AXJ6" i="3"/>
  <c r="AXI6" i="3"/>
  <c r="AXH6" i="3"/>
  <c r="AXG6" i="3"/>
  <c r="AXF6" i="3"/>
  <c r="AXE6" i="3"/>
  <c r="AXD6" i="3"/>
  <c r="AXC6" i="3"/>
  <c r="AXB6" i="3"/>
  <c r="AXA6" i="3"/>
  <c r="AWZ6" i="3"/>
  <c r="AWW6" i="3"/>
  <c r="AWV6" i="3"/>
  <c r="AWU6" i="3"/>
  <c r="AWT6" i="3"/>
  <c r="AWS6" i="3"/>
  <c r="AWR6" i="3"/>
  <c r="AWQ6" i="3"/>
  <c r="AWP6" i="3"/>
  <c r="AWO6" i="3"/>
  <c r="AWN6" i="3"/>
  <c r="AWM6" i="3"/>
  <c r="AWL6" i="3"/>
  <c r="AWK6" i="3"/>
  <c r="AWJ6" i="3"/>
  <c r="AWI6" i="3"/>
  <c r="AWH6" i="3"/>
  <c r="AWG6" i="3"/>
  <c r="AWF6" i="3"/>
  <c r="AWE6" i="3"/>
  <c r="AWD6" i="3"/>
  <c r="AWC6" i="3"/>
  <c r="AWB6" i="3"/>
  <c r="AWA6" i="3"/>
  <c r="AVZ6" i="3"/>
  <c r="AVY6" i="3"/>
  <c r="AVX6" i="3"/>
  <c r="AVW6" i="3"/>
  <c r="AVT6" i="3"/>
  <c r="AVS6" i="3"/>
  <c r="AVR6" i="3"/>
  <c r="AVQ6" i="3"/>
  <c r="AVP6" i="3"/>
  <c r="AVO6" i="3"/>
  <c r="AVN6" i="3"/>
  <c r="AVM6" i="3"/>
  <c r="AVL6" i="3"/>
  <c r="AVK6" i="3"/>
  <c r="AVJ6" i="3"/>
  <c r="AVI6" i="3"/>
  <c r="AVH6" i="3"/>
  <c r="AVG6" i="3"/>
  <c r="AVF6" i="3"/>
  <c r="AVE6" i="3"/>
  <c r="AVD6" i="3"/>
  <c r="AVC6" i="3"/>
  <c r="AVB6" i="3"/>
  <c r="AVA6" i="3"/>
  <c r="AUZ6" i="3"/>
  <c r="AUY6" i="3"/>
  <c r="AUX6" i="3"/>
  <c r="AUW6" i="3"/>
  <c r="AUV6" i="3"/>
  <c r="AUU6" i="3"/>
  <c r="AUT6" i="3"/>
  <c r="AUQ6" i="3"/>
  <c r="AUP6" i="3"/>
  <c r="AUO6" i="3"/>
  <c r="AUN6" i="3"/>
  <c r="AUM6" i="3"/>
  <c r="AUL6" i="3"/>
  <c r="AUK6" i="3"/>
  <c r="AUJ6" i="3"/>
  <c r="AUI6" i="3"/>
  <c r="AUH6" i="3"/>
  <c r="AUG6" i="3"/>
  <c r="AUF6" i="3"/>
  <c r="AUE6" i="3"/>
  <c r="AUD6" i="3"/>
  <c r="AUC6" i="3"/>
  <c r="AUB6" i="3"/>
  <c r="AUA6" i="3"/>
  <c r="ATZ6" i="3"/>
  <c r="ATY6" i="3"/>
  <c r="ATX6" i="3"/>
  <c r="ATW6" i="3"/>
  <c r="ATV6" i="3"/>
  <c r="ATU6" i="3"/>
  <c r="ATT6" i="3"/>
  <c r="ATS6" i="3"/>
  <c r="ATR6" i="3"/>
  <c r="ATQ6" i="3"/>
  <c r="ATN6" i="3"/>
  <c r="ATM6" i="3"/>
  <c r="ATL6" i="3"/>
  <c r="ATK6" i="3"/>
  <c r="ATJ6" i="3"/>
  <c r="ATI6" i="3"/>
  <c r="ATH6" i="3"/>
  <c r="ATG6" i="3"/>
  <c r="ATF6" i="3"/>
  <c r="ATE6" i="3"/>
  <c r="ATD6" i="3"/>
  <c r="ATC6" i="3"/>
  <c r="ATB6" i="3"/>
  <c r="ATA6" i="3"/>
  <c r="ASZ6" i="3"/>
  <c r="ASY6" i="3"/>
  <c r="ASX6" i="3"/>
  <c r="ASW6" i="3"/>
  <c r="ASV6" i="3"/>
  <c r="ASU6" i="3"/>
  <c r="AST6" i="3"/>
  <c r="ASS6" i="3"/>
  <c r="ASR6" i="3"/>
  <c r="ASQ6" i="3"/>
  <c r="ASP6" i="3"/>
  <c r="ASO6" i="3"/>
  <c r="ASN6" i="3"/>
  <c r="ASK6" i="3"/>
  <c r="ASJ6" i="3"/>
  <c r="ASI6" i="3"/>
  <c r="ASH6" i="3"/>
  <c r="ASG6" i="3"/>
  <c r="ASF6" i="3"/>
  <c r="ASE6" i="3"/>
  <c r="ASD6" i="3"/>
  <c r="ASC6" i="3"/>
  <c r="ASB6" i="3"/>
  <c r="ASA6" i="3"/>
  <c r="ARZ6" i="3"/>
  <c r="ARY6" i="3"/>
  <c r="ARX6" i="3"/>
  <c r="ARW6" i="3"/>
  <c r="ARV6" i="3"/>
  <c r="ARU6" i="3"/>
  <c r="ART6" i="3"/>
  <c r="ARS6" i="3"/>
  <c r="ARR6" i="3"/>
  <c r="ARQ6" i="3"/>
  <c r="ARP6" i="3"/>
  <c r="ARO6" i="3"/>
  <c r="ARN6" i="3"/>
  <c r="ARM6" i="3"/>
  <c r="ARL6" i="3"/>
  <c r="ARK6" i="3"/>
  <c r="ARH6" i="3"/>
  <c r="ARG6" i="3"/>
  <c r="ARF6" i="3"/>
  <c r="ARE6" i="3"/>
  <c r="ARD6" i="3"/>
  <c r="ARC6" i="3"/>
  <c r="ARB6" i="3"/>
  <c r="ARA6" i="3"/>
  <c r="AQZ6" i="3"/>
  <c r="AQY6" i="3"/>
  <c r="AQX6" i="3"/>
  <c r="AQW6" i="3"/>
  <c r="AQV6" i="3"/>
  <c r="AQU6" i="3"/>
  <c r="AQT6" i="3"/>
  <c r="AQS6" i="3"/>
  <c r="AQR6" i="3"/>
  <c r="AQQ6" i="3"/>
  <c r="AQP6" i="3"/>
  <c r="AQO6" i="3"/>
  <c r="AQN6" i="3"/>
  <c r="AQM6" i="3"/>
  <c r="AQL6" i="3"/>
  <c r="AQK6" i="3"/>
  <c r="AQJ6" i="3"/>
  <c r="AQI6" i="3"/>
  <c r="AQH6" i="3"/>
  <c r="AQE6" i="3"/>
  <c r="AQD6" i="3"/>
  <c r="AQC6" i="3"/>
  <c r="AQB6" i="3"/>
  <c r="AQA6" i="3"/>
  <c r="APZ6" i="3"/>
  <c r="APY6" i="3"/>
  <c r="APX6" i="3"/>
  <c r="APW6" i="3"/>
  <c r="APV6" i="3"/>
  <c r="APU6" i="3"/>
  <c r="APT6" i="3"/>
  <c r="APS6" i="3"/>
  <c r="APR6" i="3"/>
  <c r="APQ6" i="3"/>
  <c r="APP6" i="3"/>
  <c r="APO6" i="3"/>
  <c r="APN6" i="3"/>
  <c r="APM6" i="3"/>
  <c r="APL6" i="3"/>
  <c r="APK6" i="3"/>
  <c r="APJ6" i="3"/>
  <c r="API6" i="3"/>
  <c r="APH6" i="3"/>
  <c r="APG6" i="3"/>
  <c r="APF6" i="3"/>
  <c r="APE6" i="3"/>
  <c r="APB6" i="3"/>
  <c r="APA6" i="3"/>
  <c r="AOZ6" i="3"/>
  <c r="AOY6" i="3"/>
  <c r="AOX6" i="3"/>
  <c r="AOW6" i="3"/>
  <c r="AOV6" i="3"/>
  <c r="AOU6" i="3"/>
  <c r="AOT6" i="3"/>
  <c r="AOS6" i="3"/>
  <c r="AOR6" i="3"/>
  <c r="AOQ6" i="3"/>
  <c r="AOP6" i="3"/>
  <c r="AOO6" i="3"/>
  <c r="AON6" i="3"/>
  <c r="AOM6" i="3"/>
  <c r="AOL6" i="3"/>
  <c r="AOK6" i="3"/>
  <c r="AOJ6" i="3"/>
  <c r="AOI6" i="3"/>
  <c r="AOH6" i="3"/>
  <c r="AOG6" i="3"/>
  <c r="AOF6" i="3"/>
  <c r="AOE6" i="3"/>
  <c r="AOD6" i="3"/>
  <c r="AOC6" i="3"/>
  <c r="AOB6" i="3"/>
  <c r="ANY6" i="3"/>
  <c r="ANX6" i="3"/>
  <c r="ANW6" i="3"/>
  <c r="ANV6" i="3"/>
  <c r="ANU6" i="3"/>
  <c r="ANT6" i="3"/>
  <c r="ANS6" i="3"/>
  <c r="ANR6" i="3"/>
  <c r="ANQ6" i="3"/>
  <c r="ANP6" i="3"/>
  <c r="ANO6" i="3"/>
  <c r="ANN6" i="3"/>
  <c r="ANM6" i="3"/>
  <c r="ANL6" i="3"/>
  <c r="ANK6" i="3"/>
  <c r="ANJ6" i="3"/>
  <c r="ANI6" i="3"/>
  <c r="ANH6" i="3"/>
  <c r="ANG6" i="3"/>
  <c r="ANF6" i="3"/>
  <c r="ANE6" i="3"/>
  <c r="AND6" i="3"/>
  <c r="ANC6" i="3"/>
  <c r="ANB6" i="3"/>
  <c r="ANA6" i="3"/>
  <c r="AMZ6" i="3"/>
  <c r="AMY6" i="3"/>
  <c r="AMV6" i="3"/>
  <c r="AMU6" i="3"/>
  <c r="AMT6" i="3"/>
  <c r="AMS6" i="3"/>
  <c r="AMR6" i="3"/>
  <c r="AMQ6" i="3"/>
  <c r="AMP6" i="3"/>
  <c r="AMO6" i="3"/>
  <c r="AMN6" i="3"/>
  <c r="AMM6" i="3"/>
  <c r="AML6" i="3"/>
  <c r="AMK6" i="3"/>
  <c r="AMJ6" i="3"/>
  <c r="AMI6" i="3"/>
  <c r="AMH6" i="3"/>
  <c r="AMG6" i="3"/>
  <c r="AMF6" i="3"/>
  <c r="AME6" i="3"/>
  <c r="AMD6" i="3"/>
  <c r="AMC6" i="3"/>
  <c r="AMB6" i="3"/>
  <c r="AMA6" i="3"/>
  <c r="ALZ6" i="3"/>
  <c r="ALY6" i="3"/>
  <c r="ALX6" i="3"/>
  <c r="ALW6" i="3"/>
  <c r="ALV6" i="3"/>
  <c r="ALS6" i="3"/>
  <c r="ALR6" i="3"/>
  <c r="ALQ6" i="3"/>
  <c r="ALP6" i="3"/>
  <c r="ALO6" i="3"/>
  <c r="ALN6" i="3"/>
  <c r="ALM6" i="3"/>
  <c r="ALL6" i="3"/>
  <c r="ALK6" i="3"/>
  <c r="ALJ6" i="3"/>
  <c r="ALI6" i="3"/>
  <c r="ALH6" i="3"/>
  <c r="ALG6" i="3"/>
  <c r="ALF6" i="3"/>
  <c r="ALE6" i="3"/>
  <c r="ALD6" i="3"/>
  <c r="ALC6" i="3"/>
  <c r="ALB6" i="3"/>
  <c r="ALA6" i="3"/>
  <c r="AKZ6" i="3"/>
  <c r="AKY6" i="3"/>
  <c r="AKX6" i="3"/>
  <c r="AKW6" i="3"/>
  <c r="AKV6" i="3"/>
  <c r="AKU6" i="3"/>
  <c r="AKT6" i="3"/>
  <c r="AKS6" i="3"/>
  <c r="AKP6" i="3"/>
  <c r="AKO6" i="3"/>
  <c r="AKN6" i="3"/>
  <c r="AKM6" i="3"/>
  <c r="AKL6" i="3"/>
  <c r="AKK6" i="3"/>
  <c r="AKJ6" i="3"/>
  <c r="AKI6" i="3"/>
  <c r="AKH6" i="3"/>
  <c r="AKG6" i="3"/>
  <c r="AKF6" i="3"/>
  <c r="AKE6" i="3"/>
  <c r="AKD6" i="3"/>
  <c r="AKC6" i="3"/>
  <c r="AKB6" i="3"/>
  <c r="AKA6" i="3"/>
  <c r="AJZ6" i="3"/>
  <c r="AJY6" i="3"/>
  <c r="AJX6" i="3"/>
  <c r="AJW6" i="3"/>
  <c r="AJV6" i="3"/>
  <c r="AJU6" i="3"/>
  <c r="AJT6" i="3"/>
  <c r="AJS6" i="3"/>
  <c r="AJR6" i="3"/>
  <c r="AJQ6" i="3"/>
  <c r="AJP6" i="3"/>
  <c r="AJM6" i="3"/>
  <c r="AJL6" i="3"/>
  <c r="AJK6" i="3"/>
  <c r="AJJ6" i="3"/>
  <c r="AJI6" i="3"/>
  <c r="AJH6" i="3"/>
  <c r="AJG6" i="3"/>
  <c r="AJF6" i="3"/>
  <c r="AJE6" i="3"/>
  <c r="AJD6" i="3"/>
  <c r="AJC6" i="3"/>
  <c r="AJB6" i="3"/>
  <c r="AJA6" i="3"/>
  <c r="AIZ6" i="3"/>
  <c r="AIY6" i="3"/>
  <c r="AIX6" i="3"/>
  <c r="AIW6" i="3"/>
  <c r="AIV6" i="3"/>
  <c r="AIU6" i="3"/>
  <c r="AIT6" i="3"/>
  <c r="AIS6" i="3"/>
  <c r="AIR6" i="3"/>
  <c r="AIQ6" i="3"/>
  <c r="AIP6" i="3"/>
  <c r="AIO6" i="3"/>
  <c r="AIN6" i="3"/>
  <c r="AIM6" i="3"/>
  <c r="AIJ6" i="3"/>
  <c r="AII6" i="3"/>
  <c r="AIH6" i="3"/>
  <c r="AIG6" i="3"/>
  <c r="AIF6" i="3"/>
  <c r="AIE6" i="3"/>
  <c r="AID6" i="3"/>
  <c r="AIC6" i="3"/>
  <c r="AIB6" i="3"/>
  <c r="AIA6" i="3"/>
  <c r="AHZ6" i="3"/>
  <c r="AHY6" i="3"/>
  <c r="AHX6" i="3"/>
  <c r="AHW6" i="3"/>
  <c r="AHV6" i="3"/>
  <c r="AHU6" i="3"/>
  <c r="AHT6" i="3"/>
  <c r="AHS6" i="3"/>
  <c r="AHR6" i="3"/>
  <c r="AHQ6" i="3"/>
  <c r="AHP6" i="3"/>
  <c r="AHO6" i="3"/>
  <c r="AHN6" i="3"/>
  <c r="AHM6" i="3"/>
  <c r="AHL6" i="3"/>
  <c r="AHK6" i="3"/>
  <c r="AHJ6" i="3"/>
  <c r="AGA6" i="3"/>
  <c r="AFZ6" i="3"/>
  <c r="AFY6" i="3"/>
  <c r="AFX6" i="3"/>
  <c r="AFW6" i="3"/>
  <c r="AFV6" i="3"/>
  <c r="AFU6" i="3"/>
  <c r="AFT6" i="3"/>
  <c r="AFS6" i="3"/>
  <c r="AFR6" i="3"/>
  <c r="AFQ6" i="3"/>
  <c r="AFP6" i="3"/>
  <c r="AFO6" i="3"/>
  <c r="AFN6" i="3"/>
  <c r="AFM6" i="3"/>
  <c r="AFL6" i="3"/>
  <c r="AFK6" i="3"/>
  <c r="AFJ6" i="3"/>
  <c r="AFI6" i="3"/>
  <c r="AFH6" i="3"/>
  <c r="AFG6" i="3"/>
  <c r="AFF6" i="3"/>
  <c r="AFE6" i="3"/>
  <c r="AFD6" i="3"/>
  <c r="AFC6" i="3"/>
  <c r="AFB6" i="3"/>
  <c r="AFA6" i="3"/>
  <c r="ADT6" i="3"/>
  <c r="ADS6" i="3"/>
  <c r="ADR6" i="3"/>
  <c r="ADQ6" i="3"/>
  <c r="ADP6" i="3"/>
  <c r="ADO6" i="3"/>
  <c r="ADN6" i="3"/>
  <c r="ADM6" i="3"/>
  <c r="ADL6" i="3"/>
  <c r="ADK6" i="3"/>
  <c r="ADJ6" i="3"/>
  <c r="ADI6" i="3"/>
  <c r="ADH6" i="3"/>
  <c r="ADG6" i="3"/>
  <c r="ADF6" i="3"/>
  <c r="ADE6" i="3"/>
  <c r="ADD6" i="3"/>
  <c r="ADC6" i="3"/>
  <c r="ADB6" i="3"/>
  <c r="ADA6" i="3"/>
  <c r="ACZ6" i="3"/>
  <c r="ACY6" i="3"/>
  <c r="ACX6" i="3"/>
  <c r="ACW6" i="3"/>
  <c r="ACV6" i="3"/>
  <c r="ACU6" i="3"/>
  <c r="ACT6" i="3"/>
  <c r="EB6" i="3"/>
  <c r="CJ6" i="3"/>
  <c r="CI6" i="3"/>
  <c r="BC6" i="3"/>
  <c r="AY6" i="3"/>
  <c r="AW6" i="3"/>
  <c r="CSQ5" i="3"/>
  <c r="CSP5" i="3"/>
  <c r="CSO5" i="3"/>
  <c r="CSN5" i="3"/>
  <c r="CSM5" i="3"/>
  <c r="CSL5" i="3"/>
  <c r="CSK5" i="3"/>
  <c r="CSJ5" i="3"/>
  <c r="CSI5" i="3"/>
  <c r="CSH5" i="3"/>
  <c r="CSG5" i="3"/>
  <c r="CSF5" i="3"/>
  <c r="CSE5" i="3"/>
  <c r="CSD5" i="3"/>
  <c r="CSC5" i="3"/>
  <c r="CSB5" i="3"/>
  <c r="CSA5" i="3"/>
  <c r="CRZ5" i="3"/>
  <c r="CRY5" i="3"/>
  <c r="CRX5" i="3"/>
  <c r="CRW5" i="3"/>
  <c r="CRV5" i="3"/>
  <c r="CRU5" i="3"/>
  <c r="CRT5" i="3"/>
  <c r="CRS5" i="3"/>
  <c r="CRP5" i="3"/>
  <c r="CRO5" i="3"/>
  <c r="CRN5" i="3"/>
  <c r="BYT5" i="3"/>
  <c r="BYS5" i="3"/>
  <c r="BYR5" i="3"/>
  <c r="BYQ5" i="3"/>
  <c r="BYP5" i="3"/>
  <c r="BYO5" i="3"/>
  <c r="BYN5" i="3"/>
  <c r="BYM5" i="3"/>
  <c r="BYL5" i="3"/>
  <c r="BYK5" i="3"/>
  <c r="BYJ5" i="3"/>
  <c r="BYI5" i="3"/>
  <c r="BYH5" i="3"/>
  <c r="BYG5" i="3"/>
  <c r="BYF5" i="3"/>
  <c r="BYE5" i="3"/>
  <c r="BYD5" i="3"/>
  <c r="BYC5" i="3"/>
  <c r="BYB5" i="3"/>
  <c r="BYA5" i="3"/>
  <c r="BXZ5" i="3"/>
  <c r="BXY5" i="3"/>
  <c r="BXX5" i="3"/>
  <c r="BXW5" i="3"/>
  <c r="BXV5" i="3"/>
  <c r="BXU5" i="3"/>
  <c r="BXT5" i="3"/>
  <c r="BXQ5" i="3"/>
  <c r="BXP5" i="3"/>
  <c r="BXO5" i="3"/>
  <c r="BXN5" i="3"/>
  <c r="BXM5" i="3"/>
  <c r="BXL5" i="3"/>
  <c r="BXK5" i="3"/>
  <c r="BXJ5" i="3"/>
  <c r="BXI5" i="3"/>
  <c r="BXH5" i="3"/>
  <c r="BXG5" i="3"/>
  <c r="BXF5" i="3"/>
  <c r="BXE5" i="3"/>
  <c r="BXD5" i="3"/>
  <c r="BXC5" i="3"/>
  <c r="BXB5" i="3"/>
  <c r="BXA5" i="3"/>
  <c r="BWZ5" i="3"/>
  <c r="BWY5" i="3"/>
  <c r="BWX5" i="3"/>
  <c r="BWW5" i="3"/>
  <c r="BWV5" i="3"/>
  <c r="BWU5" i="3"/>
  <c r="BWT5" i="3"/>
  <c r="BWS5" i="3"/>
  <c r="BWR5" i="3"/>
  <c r="BWQ5" i="3"/>
  <c r="BWN5" i="3"/>
  <c r="BWM5" i="3"/>
  <c r="BWL5" i="3"/>
  <c r="BWK5" i="3"/>
  <c r="BWJ5" i="3"/>
  <c r="BWI5" i="3"/>
  <c r="BWH5" i="3"/>
  <c r="BWG5" i="3"/>
  <c r="BWF5" i="3"/>
  <c r="BWE5" i="3"/>
  <c r="BWD5" i="3"/>
  <c r="BWC5" i="3"/>
  <c r="BWB5" i="3"/>
  <c r="BWA5" i="3"/>
  <c r="BVZ5" i="3"/>
  <c r="BVY5" i="3"/>
  <c r="BVX5" i="3"/>
  <c r="BVW5" i="3"/>
  <c r="BVV5" i="3"/>
  <c r="BVU5" i="3"/>
  <c r="BVT5" i="3"/>
  <c r="BVS5" i="3"/>
  <c r="BVR5" i="3"/>
  <c r="BVQ5" i="3"/>
  <c r="BVP5" i="3"/>
  <c r="BVO5" i="3"/>
  <c r="BVN5" i="3"/>
  <c r="BVK5" i="3"/>
  <c r="BVJ5" i="3"/>
  <c r="BVI5" i="3"/>
  <c r="BVH5" i="3"/>
  <c r="BVG5" i="3"/>
  <c r="BVF5" i="3"/>
  <c r="BVE5" i="3"/>
  <c r="BVD5" i="3"/>
  <c r="BVC5" i="3"/>
  <c r="BVB5" i="3"/>
  <c r="BVA5" i="3"/>
  <c r="BUZ5" i="3"/>
  <c r="BUY5" i="3"/>
  <c r="BUX5" i="3"/>
  <c r="BUW5" i="3"/>
  <c r="BUV5" i="3"/>
  <c r="BUU5" i="3"/>
  <c r="BUT5" i="3"/>
  <c r="BUS5" i="3"/>
  <c r="BUR5" i="3"/>
  <c r="BUQ5" i="3"/>
  <c r="BUP5" i="3"/>
  <c r="BUO5" i="3"/>
  <c r="BUN5" i="3"/>
  <c r="BUM5" i="3"/>
  <c r="BUL5" i="3"/>
  <c r="BUK5" i="3"/>
  <c r="BUH5" i="3"/>
  <c r="BUG5" i="3"/>
  <c r="BUF5" i="3"/>
  <c r="BUE5" i="3"/>
  <c r="BUD5" i="3"/>
  <c r="BUC5" i="3"/>
  <c r="BUB5" i="3"/>
  <c r="BUA5" i="3"/>
  <c r="BTZ5" i="3"/>
  <c r="BTY5" i="3"/>
  <c r="BTX5" i="3"/>
  <c r="BTW5" i="3"/>
  <c r="BTV5" i="3"/>
  <c r="BTU5" i="3"/>
  <c r="BTT5" i="3"/>
  <c r="BTS5" i="3"/>
  <c r="BTR5" i="3"/>
  <c r="BTQ5" i="3"/>
  <c r="BTP5" i="3"/>
  <c r="BTO5" i="3"/>
  <c r="BTN5" i="3"/>
  <c r="BTM5" i="3"/>
  <c r="BTL5" i="3"/>
  <c r="BTK5" i="3"/>
  <c r="BTJ5" i="3"/>
  <c r="BTI5" i="3"/>
  <c r="BTH5" i="3"/>
  <c r="BTE5" i="3"/>
  <c r="BTD5" i="3"/>
  <c r="BTC5" i="3"/>
  <c r="BTB5" i="3"/>
  <c r="BTA5" i="3"/>
  <c r="BSZ5" i="3"/>
  <c r="BSY5" i="3"/>
  <c r="BSX5" i="3"/>
  <c r="BSW5" i="3"/>
  <c r="BSV5" i="3"/>
  <c r="BSU5" i="3"/>
  <c r="BST5" i="3"/>
  <c r="BSS5" i="3"/>
  <c r="BSR5" i="3"/>
  <c r="BSQ5" i="3"/>
  <c r="BSP5" i="3"/>
  <c r="BSO5" i="3"/>
  <c r="BSN5" i="3"/>
  <c r="BSM5" i="3"/>
  <c r="BSL5" i="3"/>
  <c r="BSK5" i="3"/>
  <c r="BSJ5" i="3"/>
  <c r="BSI5" i="3"/>
  <c r="BSH5" i="3"/>
  <c r="BSG5" i="3"/>
  <c r="BSF5" i="3"/>
  <c r="BSE5" i="3"/>
  <c r="BSB5" i="3"/>
  <c r="BSA5" i="3"/>
  <c r="BRZ5" i="3"/>
  <c r="BRY5" i="3"/>
  <c r="BRX5" i="3"/>
  <c r="BRW5" i="3"/>
  <c r="BRV5" i="3"/>
  <c r="BRU5" i="3"/>
  <c r="BRT5" i="3"/>
  <c r="BRS5" i="3"/>
  <c r="BRR5" i="3"/>
  <c r="BRQ5" i="3"/>
  <c r="BRP5" i="3"/>
  <c r="BRO5" i="3"/>
  <c r="BRN5" i="3"/>
  <c r="BRM5" i="3"/>
  <c r="BRL5" i="3"/>
  <c r="BRK5" i="3"/>
  <c r="BRJ5" i="3"/>
  <c r="BRI5" i="3"/>
  <c r="BRH5" i="3"/>
  <c r="BRG5" i="3"/>
  <c r="BRF5" i="3"/>
  <c r="BRE5" i="3"/>
  <c r="BRD5" i="3"/>
  <c r="BRC5" i="3"/>
  <c r="BRB5" i="3"/>
  <c r="BQY5" i="3"/>
  <c r="BQX5" i="3"/>
  <c r="BQW5" i="3"/>
  <c r="BQV5" i="3"/>
  <c r="BQU5" i="3"/>
  <c r="BQT5" i="3"/>
  <c r="BQS5" i="3"/>
  <c r="BQR5" i="3"/>
  <c r="BQQ5" i="3"/>
  <c r="BQP5" i="3"/>
  <c r="BQO5" i="3"/>
  <c r="BQN5" i="3"/>
  <c r="BQM5" i="3"/>
  <c r="BQL5" i="3"/>
  <c r="BQK5" i="3"/>
  <c r="BQJ5" i="3"/>
  <c r="BQI5" i="3"/>
  <c r="BQH5" i="3"/>
  <c r="BQG5" i="3"/>
  <c r="BQF5" i="3"/>
  <c r="BQE5" i="3"/>
  <c r="BQD5" i="3"/>
  <c r="BQC5" i="3"/>
  <c r="BQB5" i="3"/>
  <c r="BQA5" i="3"/>
  <c r="BPZ5" i="3"/>
  <c r="BPY5" i="3"/>
  <c r="BPV5" i="3"/>
  <c r="BPU5" i="3"/>
  <c r="BPT5" i="3"/>
  <c r="BPS5" i="3"/>
  <c r="BPR5" i="3"/>
  <c r="BPQ5" i="3"/>
  <c r="BPP5" i="3"/>
  <c r="BPO5" i="3"/>
  <c r="BPN5" i="3"/>
  <c r="BPM5" i="3"/>
  <c r="BPL5" i="3"/>
  <c r="BPK5" i="3"/>
  <c r="BPJ5" i="3"/>
  <c r="BPI5" i="3"/>
  <c r="BPH5" i="3"/>
  <c r="BPG5" i="3"/>
  <c r="BPF5" i="3"/>
  <c r="BPE5" i="3"/>
  <c r="BPD5" i="3"/>
  <c r="BPC5" i="3"/>
  <c r="BPB5" i="3"/>
  <c r="BPA5" i="3"/>
  <c r="BOZ5" i="3"/>
  <c r="BOY5" i="3"/>
  <c r="BOX5" i="3"/>
  <c r="BOW5" i="3"/>
  <c r="BOV5" i="3"/>
  <c r="BJD5" i="3"/>
  <c r="BJC5" i="3"/>
  <c r="BJB5" i="3"/>
  <c r="BJA5" i="3"/>
  <c r="BIZ5" i="3"/>
  <c r="BIY5" i="3"/>
  <c r="BIX5" i="3"/>
  <c r="BIW5" i="3"/>
  <c r="BIV5" i="3"/>
  <c r="BIU5" i="3"/>
  <c r="BIT5" i="3"/>
  <c r="BIS5" i="3"/>
  <c r="BIR5" i="3"/>
  <c r="BIQ5" i="3"/>
  <c r="BIP5" i="3"/>
  <c r="BIO5" i="3"/>
  <c r="BIN5" i="3"/>
  <c r="BIM5" i="3"/>
  <c r="BIL5" i="3"/>
  <c r="BIK5" i="3"/>
  <c r="BIJ5" i="3"/>
  <c r="BII5" i="3"/>
  <c r="BIH5" i="3"/>
  <c r="BIG5" i="3"/>
  <c r="BIF5" i="3"/>
  <c r="BIE5" i="3"/>
  <c r="BID5" i="3"/>
  <c r="BCL5" i="3"/>
  <c r="BCK5" i="3"/>
  <c r="BCJ5" i="3"/>
  <c r="BCI5" i="3"/>
  <c r="BCH5" i="3"/>
  <c r="BCG5" i="3"/>
  <c r="BCF5" i="3"/>
  <c r="BCE5" i="3"/>
  <c r="BCD5" i="3"/>
  <c r="BCC5" i="3"/>
  <c r="BCB5" i="3"/>
  <c r="BCA5" i="3"/>
  <c r="BBZ5" i="3"/>
  <c r="BBY5" i="3"/>
  <c r="BBX5" i="3"/>
  <c r="BBW5" i="3"/>
  <c r="BBV5" i="3"/>
  <c r="BBU5" i="3"/>
  <c r="BBT5" i="3"/>
  <c r="BBS5" i="3"/>
  <c r="BBR5" i="3"/>
  <c r="BBQ5" i="3"/>
  <c r="BBP5" i="3"/>
  <c r="BBO5" i="3"/>
  <c r="BBN5" i="3"/>
  <c r="BBM5" i="3"/>
  <c r="BBL5" i="3"/>
  <c r="AVT5" i="3"/>
  <c r="AVS5" i="3"/>
  <c r="AVR5" i="3"/>
  <c r="AVQ5" i="3"/>
  <c r="AVP5" i="3"/>
  <c r="AVO5" i="3"/>
  <c r="AVN5" i="3"/>
  <c r="AVM5" i="3"/>
  <c r="AVL5" i="3"/>
  <c r="AVK5" i="3"/>
  <c r="AVJ5" i="3"/>
  <c r="AVI5" i="3"/>
  <c r="AVH5" i="3"/>
  <c r="AVG5" i="3"/>
  <c r="AVF5" i="3"/>
  <c r="AVE5" i="3"/>
  <c r="AVD5" i="3"/>
  <c r="AVC5" i="3"/>
  <c r="AVB5" i="3"/>
  <c r="AVA5" i="3"/>
  <c r="AUZ5" i="3"/>
  <c r="AUY5" i="3"/>
  <c r="AUX5" i="3"/>
  <c r="AUW5" i="3"/>
  <c r="AUV5" i="3"/>
  <c r="AUU5" i="3"/>
  <c r="AUT5" i="3"/>
  <c r="ASK5" i="3"/>
  <c r="ASJ5" i="3"/>
  <c r="ASI5" i="3"/>
  <c r="ASH5" i="3"/>
  <c r="ASG5" i="3"/>
  <c r="ASF5" i="3"/>
  <c r="ASE5" i="3"/>
  <c r="ASD5" i="3"/>
  <c r="ASC5" i="3"/>
  <c r="ASB5" i="3"/>
  <c r="ASA5" i="3"/>
  <c r="ARZ5" i="3"/>
  <c r="ARY5" i="3"/>
  <c r="ARX5" i="3"/>
  <c r="ARW5" i="3"/>
  <c r="ARV5" i="3"/>
  <c r="ARU5" i="3"/>
  <c r="ART5" i="3"/>
  <c r="ARS5" i="3"/>
  <c r="ARR5" i="3"/>
  <c r="ARQ5" i="3"/>
  <c r="ARP5" i="3"/>
  <c r="ARO5" i="3"/>
  <c r="ARN5" i="3"/>
  <c r="ARM5" i="3"/>
  <c r="ARL5" i="3"/>
  <c r="ARK5" i="3"/>
  <c r="ARH5" i="3"/>
  <c r="ARG5" i="3"/>
  <c r="ARF5" i="3"/>
  <c r="ARE5" i="3"/>
  <c r="ARD5" i="3"/>
  <c r="ARC5" i="3"/>
  <c r="ARB5" i="3"/>
  <c r="ARA5" i="3"/>
  <c r="AQZ5" i="3"/>
  <c r="AQY5" i="3"/>
  <c r="AQX5" i="3"/>
  <c r="AQW5" i="3"/>
  <c r="AQV5" i="3"/>
  <c r="AQU5" i="3"/>
  <c r="AQT5" i="3"/>
  <c r="AQS5" i="3"/>
  <c r="AQR5" i="3"/>
  <c r="AQQ5" i="3"/>
  <c r="AQP5" i="3"/>
  <c r="AQO5" i="3"/>
  <c r="AQN5" i="3"/>
  <c r="AQM5" i="3"/>
  <c r="AQL5" i="3"/>
  <c r="AQK5" i="3"/>
  <c r="AQJ5" i="3"/>
  <c r="AQI5" i="3"/>
  <c r="AQH5" i="3"/>
  <c r="AQE5" i="3"/>
  <c r="AQD5" i="3"/>
  <c r="AQC5" i="3"/>
  <c r="AQB5" i="3"/>
  <c r="AQA5" i="3"/>
  <c r="APZ5" i="3"/>
  <c r="APY5" i="3"/>
  <c r="APX5" i="3"/>
  <c r="APW5" i="3"/>
  <c r="APV5" i="3"/>
  <c r="APU5" i="3"/>
  <c r="APT5" i="3"/>
  <c r="APS5" i="3"/>
  <c r="APR5" i="3"/>
  <c r="APQ5" i="3"/>
  <c r="APP5" i="3"/>
  <c r="APO5" i="3"/>
  <c r="APN5" i="3"/>
  <c r="APM5" i="3"/>
  <c r="APL5" i="3"/>
  <c r="APK5" i="3"/>
  <c r="APJ5" i="3"/>
  <c r="API5" i="3"/>
  <c r="APH5" i="3"/>
  <c r="APG5" i="3"/>
  <c r="APF5" i="3"/>
  <c r="APE5" i="3"/>
  <c r="APB5" i="3"/>
  <c r="APA5" i="3"/>
  <c r="AOZ5" i="3"/>
  <c r="AOY5" i="3"/>
  <c r="AOX5" i="3"/>
  <c r="AOW5" i="3"/>
  <c r="AOV5" i="3"/>
  <c r="AOU5" i="3"/>
  <c r="AOT5" i="3"/>
  <c r="AOS5" i="3"/>
  <c r="AOR5" i="3"/>
  <c r="AOQ5" i="3"/>
  <c r="AOP5" i="3"/>
  <c r="AOO5" i="3"/>
  <c r="AON5" i="3"/>
  <c r="AOM5" i="3"/>
  <c r="AOL5" i="3"/>
  <c r="AOK5" i="3"/>
  <c r="AOJ5" i="3"/>
  <c r="AOI5" i="3"/>
  <c r="AOH5" i="3"/>
  <c r="AOG5" i="3"/>
  <c r="AOF5" i="3"/>
  <c r="AOE5" i="3"/>
  <c r="AOD5" i="3"/>
  <c r="AOC5" i="3"/>
  <c r="AOB5" i="3"/>
  <c r="AIJ5" i="3"/>
  <c r="AII5" i="3"/>
  <c r="AIH5" i="3"/>
  <c r="AIG5" i="3"/>
  <c r="AIF5" i="3"/>
  <c r="AIE5" i="3"/>
  <c r="AID5" i="3"/>
  <c r="AIC5" i="3"/>
  <c r="AIB5" i="3"/>
  <c r="AIA5" i="3"/>
  <c r="AHZ5" i="3"/>
  <c r="AHY5" i="3"/>
  <c r="AHX5" i="3"/>
  <c r="AHW5" i="3"/>
  <c r="AHV5" i="3"/>
  <c r="AHU5" i="3"/>
  <c r="AHT5" i="3"/>
  <c r="AHS5" i="3"/>
  <c r="AHR5" i="3"/>
  <c r="AHQ5" i="3"/>
  <c r="AHP5" i="3"/>
  <c r="AHO5" i="3"/>
  <c r="AHN5" i="3"/>
  <c r="AHM5" i="3"/>
  <c r="AHL5" i="3"/>
  <c r="AHK5" i="3"/>
  <c r="AHJ5" i="3"/>
  <c r="AHG5" i="3"/>
  <c r="AHF5" i="3"/>
  <c r="AHE5" i="3"/>
  <c r="AHD5" i="3"/>
  <c r="AHC5" i="3"/>
  <c r="AHB5" i="3"/>
  <c r="AHA5" i="3"/>
  <c r="AGZ5" i="3"/>
  <c r="AGY5" i="3"/>
  <c r="AGX5" i="3"/>
  <c r="AGW5" i="3"/>
  <c r="AGV5" i="3"/>
  <c r="AGU5" i="3"/>
  <c r="AGT5" i="3"/>
  <c r="AGS5" i="3"/>
  <c r="AGR5" i="3"/>
  <c r="AGQ5" i="3"/>
  <c r="AGP5" i="3"/>
  <c r="AGO5" i="3"/>
  <c r="AGN5" i="3"/>
  <c r="AGM5" i="3"/>
  <c r="AGL5" i="3"/>
  <c r="AGK5" i="3"/>
  <c r="AGJ5" i="3"/>
  <c r="AGI5" i="3"/>
  <c r="AGH5" i="3"/>
  <c r="AGG5" i="3"/>
  <c r="AGA5" i="3"/>
  <c r="AFZ5" i="3"/>
  <c r="AFY5" i="3"/>
  <c r="AFX5" i="3"/>
  <c r="AFW5" i="3"/>
  <c r="AFV5" i="3"/>
  <c r="AFU5" i="3"/>
  <c r="AFT5" i="3"/>
  <c r="AFS5" i="3"/>
  <c r="AFR5" i="3"/>
  <c r="AFQ5" i="3"/>
  <c r="AFP5" i="3"/>
  <c r="AFO5" i="3"/>
  <c r="AFN5" i="3"/>
  <c r="AFM5" i="3"/>
  <c r="AFL5" i="3"/>
  <c r="AFK5" i="3"/>
  <c r="AFJ5" i="3"/>
  <c r="AFI5" i="3"/>
  <c r="AFH5" i="3"/>
  <c r="AFG5" i="3"/>
  <c r="AFF5" i="3"/>
  <c r="AFE5" i="3"/>
  <c r="AFD5" i="3"/>
  <c r="AFC5" i="3"/>
  <c r="AFB5" i="3"/>
  <c r="AFA5" i="3"/>
  <c r="ADT5" i="3"/>
  <c r="ADS5" i="3"/>
  <c r="ADR5" i="3"/>
  <c r="ADQ5" i="3"/>
  <c r="ADP5" i="3"/>
  <c r="ADO5" i="3"/>
  <c r="ADN5" i="3"/>
  <c r="ADM5" i="3"/>
  <c r="ADL5" i="3"/>
  <c r="ADK5" i="3"/>
  <c r="ADJ5" i="3"/>
  <c r="ADI5" i="3"/>
  <c r="ADH5" i="3"/>
  <c r="ADG5" i="3"/>
  <c r="ADF5" i="3"/>
  <c r="ADE5" i="3"/>
  <c r="ADD5" i="3"/>
  <c r="ADC5" i="3"/>
  <c r="ADB5" i="3"/>
  <c r="ADA5" i="3"/>
  <c r="ACZ5" i="3"/>
  <c r="ACY5" i="3"/>
  <c r="ACX5" i="3"/>
  <c r="ACW5" i="3"/>
  <c r="ACV5" i="3"/>
  <c r="ACU5" i="3"/>
  <c r="ACT5" i="3"/>
  <c r="EB5" i="3"/>
  <c r="CJ5" i="3"/>
  <c r="CI5" i="3"/>
  <c r="BC5" i="3"/>
  <c r="AY5" i="3"/>
  <c r="AW5" i="3"/>
  <c r="CSQ4" i="3"/>
  <c r="CSP4" i="3"/>
  <c r="CSO4" i="3"/>
  <c r="CSN4" i="3"/>
  <c r="CSM4" i="3"/>
  <c r="CSL4" i="3"/>
  <c r="CSK4" i="3"/>
  <c r="CSJ4" i="3"/>
  <c r="CSI4" i="3"/>
  <c r="CSH4" i="3"/>
  <c r="CSG4" i="3"/>
  <c r="CSF4" i="3"/>
  <c r="CSE4" i="3"/>
  <c r="CSD4" i="3"/>
  <c r="CSC4" i="3"/>
  <c r="CSB4" i="3"/>
  <c r="CSA4" i="3"/>
  <c r="CRZ4" i="3"/>
  <c r="CRY4" i="3"/>
  <c r="CRX4" i="3"/>
  <c r="CRW4" i="3"/>
  <c r="CRV4" i="3"/>
  <c r="CRU4" i="3"/>
  <c r="CRT4" i="3"/>
  <c r="CRS4" i="3"/>
  <c r="CRP4" i="3"/>
  <c r="CRO4" i="3"/>
  <c r="CRN4" i="3"/>
  <c r="BYT4" i="3"/>
  <c r="BYS4" i="3"/>
  <c r="BYR4" i="3"/>
  <c r="BYQ4" i="3"/>
  <c r="BYP4" i="3"/>
  <c r="BYO4" i="3"/>
  <c r="BYN4" i="3"/>
  <c r="BYM4" i="3"/>
  <c r="BYL4" i="3"/>
  <c r="BYK4" i="3"/>
  <c r="BYJ4" i="3"/>
  <c r="BYI4" i="3"/>
  <c r="BYH4" i="3"/>
  <c r="BYG4" i="3"/>
  <c r="BYF4" i="3"/>
  <c r="BYE4" i="3"/>
  <c r="BYD4" i="3"/>
  <c r="BYC4" i="3"/>
  <c r="BYB4" i="3"/>
  <c r="BYA4" i="3"/>
  <c r="BXZ4" i="3"/>
  <c r="BXY4" i="3"/>
  <c r="BXX4" i="3"/>
  <c r="BXW4" i="3"/>
  <c r="BXV4" i="3"/>
  <c r="BXU4" i="3"/>
  <c r="BXT4" i="3"/>
  <c r="BXQ4" i="3"/>
  <c r="BXP4" i="3"/>
  <c r="BXO4" i="3"/>
  <c r="BXN4" i="3"/>
  <c r="BXM4" i="3"/>
  <c r="BXL4" i="3"/>
  <c r="BXK4" i="3"/>
  <c r="BXJ4" i="3"/>
  <c r="BXI4" i="3"/>
  <c r="BXH4" i="3"/>
  <c r="BXG4" i="3"/>
  <c r="BXF4" i="3"/>
  <c r="BXE4" i="3"/>
  <c r="BXD4" i="3"/>
  <c r="BXC4" i="3"/>
  <c r="BXB4" i="3"/>
  <c r="BXA4" i="3"/>
  <c r="BWZ4" i="3"/>
  <c r="BWY4" i="3"/>
  <c r="BWX4" i="3"/>
  <c r="BWW4" i="3"/>
  <c r="BWV4" i="3"/>
  <c r="BWU4" i="3"/>
  <c r="BWT4" i="3"/>
  <c r="BWS4" i="3"/>
  <c r="BWR4" i="3"/>
  <c r="BWQ4" i="3"/>
  <c r="BWN4" i="3"/>
  <c r="BWM4" i="3"/>
  <c r="BWL4" i="3"/>
  <c r="BWK4" i="3"/>
  <c r="BWJ4" i="3"/>
  <c r="BWI4" i="3"/>
  <c r="BWH4" i="3"/>
  <c r="BWG4" i="3"/>
  <c r="BWF4" i="3"/>
  <c r="BWE4" i="3"/>
  <c r="BWD4" i="3"/>
  <c r="BWC4" i="3"/>
  <c r="BWB4" i="3"/>
  <c r="BWA4" i="3"/>
  <c r="BVZ4" i="3"/>
  <c r="BVY4" i="3"/>
  <c r="BVX4" i="3"/>
  <c r="BVW4" i="3"/>
  <c r="BVV4" i="3"/>
  <c r="BVU4" i="3"/>
  <c r="BVT4" i="3"/>
  <c r="BVS4" i="3"/>
  <c r="BVR4" i="3"/>
  <c r="BVQ4" i="3"/>
  <c r="BVP4" i="3"/>
  <c r="BVO4" i="3"/>
  <c r="BVN4" i="3"/>
  <c r="BVK4" i="3"/>
  <c r="BVJ4" i="3"/>
  <c r="BVI4" i="3"/>
  <c r="BVH4" i="3"/>
  <c r="BVG4" i="3"/>
  <c r="BVF4" i="3"/>
  <c r="BVE4" i="3"/>
  <c r="BVD4" i="3"/>
  <c r="BVC4" i="3"/>
  <c r="BVB4" i="3"/>
  <c r="BVA4" i="3"/>
  <c r="BUZ4" i="3"/>
  <c r="BUY4" i="3"/>
  <c r="BUX4" i="3"/>
  <c r="BUW4" i="3"/>
  <c r="BUV4" i="3"/>
  <c r="BUU4" i="3"/>
  <c r="BUT4" i="3"/>
  <c r="BUS4" i="3"/>
  <c r="BUR4" i="3"/>
  <c r="BUQ4" i="3"/>
  <c r="BUP4" i="3"/>
  <c r="BUO4" i="3"/>
  <c r="BUN4" i="3"/>
  <c r="BUM4" i="3"/>
  <c r="BUL4" i="3"/>
  <c r="BUK4" i="3"/>
  <c r="BUH4" i="3"/>
  <c r="BUG4" i="3"/>
  <c r="BUF4" i="3"/>
  <c r="BUE4" i="3"/>
  <c r="BUD4" i="3"/>
  <c r="BUC4" i="3"/>
  <c r="BUB4" i="3"/>
  <c r="BUA4" i="3"/>
  <c r="BTZ4" i="3"/>
  <c r="BTY4" i="3"/>
  <c r="BTX4" i="3"/>
  <c r="BTW4" i="3"/>
  <c r="BTV4" i="3"/>
  <c r="BTU4" i="3"/>
  <c r="BTT4" i="3"/>
  <c r="BTS4" i="3"/>
  <c r="BTR4" i="3"/>
  <c r="BTQ4" i="3"/>
  <c r="BTP4" i="3"/>
  <c r="BTO4" i="3"/>
  <c r="BTN4" i="3"/>
  <c r="BTM4" i="3"/>
  <c r="BTL4" i="3"/>
  <c r="BTK4" i="3"/>
  <c r="BTJ4" i="3"/>
  <c r="BTI4" i="3"/>
  <c r="BTH4" i="3"/>
  <c r="BTE4" i="3"/>
  <c r="BTD4" i="3"/>
  <c r="BTC4" i="3"/>
  <c r="BTB4" i="3"/>
  <c r="BTA4" i="3"/>
  <c r="BSZ4" i="3"/>
  <c r="BSY4" i="3"/>
  <c r="BSX4" i="3"/>
  <c r="BSW4" i="3"/>
  <c r="BSV4" i="3"/>
  <c r="BSU4" i="3"/>
  <c r="BST4" i="3"/>
  <c r="BSS4" i="3"/>
  <c r="BSR4" i="3"/>
  <c r="BSQ4" i="3"/>
  <c r="BSP4" i="3"/>
  <c r="BSO4" i="3"/>
  <c r="BSN4" i="3"/>
  <c r="BSM4" i="3"/>
  <c r="BSL4" i="3"/>
  <c r="BSK4" i="3"/>
  <c r="BSJ4" i="3"/>
  <c r="BSI4" i="3"/>
  <c r="BSH4" i="3"/>
  <c r="BSG4" i="3"/>
  <c r="BSF4" i="3"/>
  <c r="BSE4" i="3"/>
  <c r="BSB4" i="3"/>
  <c r="BSA4" i="3"/>
  <c r="BRZ4" i="3"/>
  <c r="BRY4" i="3"/>
  <c r="BRX4" i="3"/>
  <c r="BRW4" i="3"/>
  <c r="BRV4" i="3"/>
  <c r="BRU4" i="3"/>
  <c r="BRT4" i="3"/>
  <c r="BRS4" i="3"/>
  <c r="BRR4" i="3"/>
  <c r="BRQ4" i="3"/>
  <c r="BRP4" i="3"/>
  <c r="BRO4" i="3"/>
  <c r="BRN4" i="3"/>
  <c r="BRM4" i="3"/>
  <c r="BRL4" i="3"/>
  <c r="BRK4" i="3"/>
  <c r="BRJ4" i="3"/>
  <c r="BRI4" i="3"/>
  <c r="BRH4" i="3"/>
  <c r="BRG4" i="3"/>
  <c r="BRF4" i="3"/>
  <c r="BRE4" i="3"/>
  <c r="BRD4" i="3"/>
  <c r="BRC4" i="3"/>
  <c r="BRB4" i="3"/>
  <c r="BQY4" i="3"/>
  <c r="BQX4" i="3"/>
  <c r="BQW4" i="3"/>
  <c r="BQV4" i="3"/>
  <c r="BQU4" i="3"/>
  <c r="BQT4" i="3"/>
  <c r="BQS4" i="3"/>
  <c r="BQR4" i="3"/>
  <c r="BQQ4" i="3"/>
  <c r="BQP4" i="3"/>
  <c r="BQO4" i="3"/>
  <c r="BQN4" i="3"/>
  <c r="BQM4" i="3"/>
  <c r="BQL4" i="3"/>
  <c r="BQK4" i="3"/>
  <c r="BQJ4" i="3"/>
  <c r="BQI4" i="3"/>
  <c r="BQH4" i="3"/>
  <c r="BQG4" i="3"/>
  <c r="BQF4" i="3"/>
  <c r="BQE4" i="3"/>
  <c r="BQD4" i="3"/>
  <c r="BQC4" i="3"/>
  <c r="BQB4" i="3"/>
  <c r="BQA4" i="3"/>
  <c r="BPZ4" i="3"/>
  <c r="BPY4" i="3"/>
  <c r="BPV4" i="3"/>
  <c r="BPU4" i="3"/>
  <c r="BPT4" i="3"/>
  <c r="BPS4" i="3"/>
  <c r="BPR4" i="3"/>
  <c r="BPQ4" i="3"/>
  <c r="BPP4" i="3"/>
  <c r="BPO4" i="3"/>
  <c r="BPN4" i="3"/>
  <c r="BPM4" i="3"/>
  <c r="BPL4" i="3"/>
  <c r="BPK4" i="3"/>
  <c r="BPJ4" i="3"/>
  <c r="BPI4" i="3"/>
  <c r="BPH4" i="3"/>
  <c r="BPG4" i="3"/>
  <c r="BPF4" i="3"/>
  <c r="BPE4" i="3"/>
  <c r="BPD4" i="3"/>
  <c r="BPC4" i="3"/>
  <c r="BPB4" i="3"/>
  <c r="BPA4" i="3"/>
  <c r="BOZ4" i="3"/>
  <c r="BOY4" i="3"/>
  <c r="BOX4" i="3"/>
  <c r="BOW4" i="3"/>
  <c r="BOV4" i="3"/>
  <c r="BJD4" i="3"/>
  <c r="BJC4" i="3"/>
  <c r="BJB4" i="3"/>
  <c r="BJA4" i="3"/>
  <c r="BIZ4" i="3"/>
  <c r="BIY4" i="3"/>
  <c r="BIX4" i="3"/>
  <c r="BIW4" i="3"/>
  <c r="BIV4" i="3"/>
  <c r="BIU4" i="3"/>
  <c r="BIT4" i="3"/>
  <c r="BIS4" i="3"/>
  <c r="BIR4" i="3"/>
  <c r="BIQ4" i="3"/>
  <c r="BIP4" i="3"/>
  <c r="BIO4" i="3"/>
  <c r="BIN4" i="3"/>
  <c r="BIM4" i="3"/>
  <c r="BIL4" i="3"/>
  <c r="BIK4" i="3"/>
  <c r="BIJ4" i="3"/>
  <c r="BII4" i="3"/>
  <c r="BIH4" i="3"/>
  <c r="BIG4" i="3"/>
  <c r="BIF4" i="3"/>
  <c r="BIE4" i="3"/>
  <c r="BID4" i="3"/>
  <c r="BIA4" i="3"/>
  <c r="BHZ4" i="3"/>
  <c r="BHY4" i="3"/>
  <c r="BHX4" i="3"/>
  <c r="BHW4" i="3"/>
  <c r="BHV4" i="3"/>
  <c r="BHU4" i="3"/>
  <c r="BHT4" i="3"/>
  <c r="BHS4" i="3"/>
  <c r="BHR4" i="3"/>
  <c r="BHQ4" i="3"/>
  <c r="BHP4" i="3"/>
  <c r="BHO4" i="3"/>
  <c r="BHN4" i="3"/>
  <c r="BHM4" i="3"/>
  <c r="BHL4" i="3"/>
  <c r="BHK4" i="3"/>
  <c r="BHJ4" i="3"/>
  <c r="BHI4" i="3"/>
  <c r="BHH4" i="3"/>
  <c r="BHG4" i="3"/>
  <c r="BHF4" i="3"/>
  <c r="BHE4" i="3"/>
  <c r="BHD4" i="3"/>
  <c r="BHC4" i="3"/>
  <c r="BHB4" i="3"/>
  <c r="BHA4" i="3"/>
  <c r="BGX4" i="3"/>
  <c r="BGW4" i="3"/>
  <c r="BGV4" i="3"/>
  <c r="BGU4" i="3"/>
  <c r="BGT4" i="3"/>
  <c r="BGS4" i="3"/>
  <c r="BGR4" i="3"/>
  <c r="BGQ4" i="3"/>
  <c r="BGP4" i="3"/>
  <c r="BGO4" i="3"/>
  <c r="BGN4" i="3"/>
  <c r="BGM4" i="3"/>
  <c r="BGL4" i="3"/>
  <c r="BGK4" i="3"/>
  <c r="BGJ4" i="3"/>
  <c r="BGI4" i="3"/>
  <c r="BGH4" i="3"/>
  <c r="BGG4" i="3"/>
  <c r="BGF4" i="3"/>
  <c r="BGE4" i="3"/>
  <c r="BGD4" i="3"/>
  <c r="BGC4" i="3"/>
  <c r="BGB4" i="3"/>
  <c r="BGA4" i="3"/>
  <c r="BFZ4" i="3"/>
  <c r="BFY4" i="3"/>
  <c r="BFX4" i="3"/>
  <c r="BFU4" i="3"/>
  <c r="BFT4" i="3"/>
  <c r="BFS4" i="3"/>
  <c r="BFR4" i="3"/>
  <c r="BFQ4" i="3"/>
  <c r="BFP4" i="3"/>
  <c r="BFO4" i="3"/>
  <c r="BFN4" i="3"/>
  <c r="BFM4" i="3"/>
  <c r="BFL4" i="3"/>
  <c r="BFK4" i="3"/>
  <c r="BFJ4" i="3"/>
  <c r="BFI4" i="3"/>
  <c r="BFH4" i="3"/>
  <c r="BFG4" i="3"/>
  <c r="BFF4" i="3"/>
  <c r="BFE4" i="3"/>
  <c r="BFD4" i="3"/>
  <c r="BFC4" i="3"/>
  <c r="BFB4" i="3"/>
  <c r="BFA4" i="3"/>
  <c r="BEZ4" i="3"/>
  <c r="BEY4" i="3"/>
  <c r="BEX4" i="3"/>
  <c r="BEW4" i="3"/>
  <c r="BEV4" i="3"/>
  <c r="BEU4" i="3"/>
  <c r="BER4" i="3"/>
  <c r="BEQ4" i="3"/>
  <c r="BEP4" i="3"/>
  <c r="BEO4" i="3"/>
  <c r="BEN4" i="3"/>
  <c r="BEM4" i="3"/>
  <c r="BEL4" i="3"/>
  <c r="BEK4" i="3"/>
  <c r="BEJ4" i="3"/>
  <c r="BEI4" i="3"/>
  <c r="BEH4" i="3"/>
  <c r="BEG4" i="3"/>
  <c r="BEF4" i="3"/>
  <c r="BEE4" i="3"/>
  <c r="BED4" i="3"/>
  <c r="BEC4" i="3"/>
  <c r="BEB4" i="3"/>
  <c r="BEA4" i="3"/>
  <c r="BDZ4" i="3"/>
  <c r="BDY4" i="3"/>
  <c r="BDX4" i="3"/>
  <c r="BDW4" i="3"/>
  <c r="BDV4" i="3"/>
  <c r="BDU4" i="3"/>
  <c r="BDT4" i="3"/>
  <c r="BDS4" i="3"/>
  <c r="BDR4" i="3"/>
  <c r="BDO4" i="3"/>
  <c r="BDN4" i="3"/>
  <c r="BDM4" i="3"/>
  <c r="BDL4" i="3"/>
  <c r="BDK4" i="3"/>
  <c r="BDJ4" i="3"/>
  <c r="BDI4" i="3"/>
  <c r="BDH4" i="3"/>
  <c r="BDG4" i="3"/>
  <c r="BDF4" i="3"/>
  <c r="BDE4" i="3"/>
  <c r="BDD4" i="3"/>
  <c r="BDC4" i="3"/>
  <c r="BDB4" i="3"/>
  <c r="BDA4" i="3"/>
  <c r="BCZ4" i="3"/>
  <c r="BCY4" i="3"/>
  <c r="BCX4" i="3"/>
  <c r="BCW4" i="3"/>
  <c r="BCV4" i="3"/>
  <c r="BCU4" i="3"/>
  <c r="BCT4" i="3"/>
  <c r="BCS4" i="3"/>
  <c r="BCR4" i="3"/>
  <c r="BCQ4" i="3"/>
  <c r="BCP4" i="3"/>
  <c r="BCO4" i="3"/>
  <c r="BBI4" i="3"/>
  <c r="BBH4" i="3"/>
  <c r="BBG4" i="3"/>
  <c r="BBF4" i="3"/>
  <c r="BBE4" i="3"/>
  <c r="BBD4" i="3"/>
  <c r="BBC4" i="3"/>
  <c r="BBB4" i="3"/>
  <c r="BBA4" i="3"/>
  <c r="BAZ4" i="3"/>
  <c r="BAY4" i="3"/>
  <c r="BAX4" i="3"/>
  <c r="BAW4" i="3"/>
  <c r="BAV4" i="3"/>
  <c r="BAU4" i="3"/>
  <c r="BAT4" i="3"/>
  <c r="BAS4" i="3"/>
  <c r="BAR4" i="3"/>
  <c r="BAQ4" i="3"/>
  <c r="BAP4" i="3"/>
  <c r="BAO4" i="3"/>
  <c r="BAN4" i="3"/>
  <c r="BAM4" i="3"/>
  <c r="BAL4" i="3"/>
  <c r="BAK4" i="3"/>
  <c r="BAJ4" i="3"/>
  <c r="BAI4" i="3"/>
  <c r="BAF4" i="3"/>
  <c r="BAE4" i="3"/>
  <c r="BAD4" i="3"/>
  <c r="BAC4" i="3"/>
  <c r="BAB4" i="3"/>
  <c r="BAA4" i="3"/>
  <c r="AZZ4" i="3"/>
  <c r="AZY4" i="3"/>
  <c r="AZX4" i="3"/>
  <c r="AZW4" i="3"/>
  <c r="AZV4" i="3"/>
  <c r="AZU4" i="3"/>
  <c r="AZT4" i="3"/>
  <c r="AZS4" i="3"/>
  <c r="AZR4" i="3"/>
  <c r="AZQ4" i="3"/>
  <c r="AZP4" i="3"/>
  <c r="AZO4" i="3"/>
  <c r="AZN4" i="3"/>
  <c r="AZM4" i="3"/>
  <c r="AZL4" i="3"/>
  <c r="AZK4" i="3"/>
  <c r="AZJ4" i="3"/>
  <c r="AZI4" i="3"/>
  <c r="AZH4" i="3"/>
  <c r="AZG4" i="3"/>
  <c r="AZF4" i="3"/>
  <c r="AZC4" i="3"/>
  <c r="AZB4" i="3"/>
  <c r="AZA4" i="3"/>
  <c r="AYZ4" i="3"/>
  <c r="AYY4" i="3"/>
  <c r="AYX4" i="3"/>
  <c r="AYW4" i="3"/>
  <c r="AYV4" i="3"/>
  <c r="AYU4" i="3"/>
  <c r="AYT4" i="3"/>
  <c r="AYS4" i="3"/>
  <c r="AYR4" i="3"/>
  <c r="AYQ4" i="3"/>
  <c r="AYP4" i="3"/>
  <c r="AYO4" i="3"/>
  <c r="AYN4" i="3"/>
  <c r="AYM4" i="3"/>
  <c r="AYL4" i="3"/>
  <c r="AYK4" i="3"/>
  <c r="AYJ4" i="3"/>
  <c r="AYI4" i="3"/>
  <c r="AYH4" i="3"/>
  <c r="AYG4" i="3"/>
  <c r="AYF4" i="3"/>
  <c r="AYE4" i="3"/>
  <c r="AYD4" i="3"/>
  <c r="AYC4" i="3"/>
  <c r="AXZ4" i="3"/>
  <c r="AXY4" i="3"/>
  <c r="AXX4" i="3"/>
  <c r="AXW4" i="3"/>
  <c r="AXV4" i="3"/>
  <c r="AXU4" i="3"/>
  <c r="AXT4" i="3"/>
  <c r="AXS4" i="3"/>
  <c r="AXR4" i="3"/>
  <c r="AXQ4" i="3"/>
  <c r="AXP4" i="3"/>
  <c r="AXO4" i="3"/>
  <c r="AXN4" i="3"/>
  <c r="AXM4" i="3"/>
  <c r="AXL4" i="3"/>
  <c r="AXK4" i="3"/>
  <c r="AXJ4" i="3"/>
  <c r="AXI4" i="3"/>
  <c r="AXH4" i="3"/>
  <c r="AXG4" i="3"/>
  <c r="AXF4" i="3"/>
  <c r="AXE4" i="3"/>
  <c r="AXD4" i="3"/>
  <c r="AXC4" i="3"/>
  <c r="AXB4" i="3"/>
  <c r="AXA4" i="3"/>
  <c r="AWZ4" i="3"/>
  <c r="AWW4" i="3"/>
  <c r="AWV4" i="3"/>
  <c r="AWU4" i="3"/>
  <c r="AWT4" i="3"/>
  <c r="AWS4" i="3"/>
  <c r="AWR4" i="3"/>
  <c r="AWQ4" i="3"/>
  <c r="AWP4" i="3"/>
  <c r="AWO4" i="3"/>
  <c r="AWN4" i="3"/>
  <c r="AWM4" i="3"/>
  <c r="AWL4" i="3"/>
  <c r="AWK4" i="3"/>
  <c r="AWJ4" i="3"/>
  <c r="AWI4" i="3"/>
  <c r="AWH4" i="3"/>
  <c r="AWG4" i="3"/>
  <c r="AWF4" i="3"/>
  <c r="AWE4" i="3"/>
  <c r="AWD4" i="3"/>
  <c r="AWC4" i="3"/>
  <c r="AWB4" i="3"/>
  <c r="AWA4" i="3"/>
  <c r="AVZ4" i="3"/>
  <c r="AVY4" i="3"/>
  <c r="AVX4" i="3"/>
  <c r="AVW4" i="3"/>
  <c r="AUQ4" i="3"/>
  <c r="AUP4" i="3"/>
  <c r="AUO4" i="3"/>
  <c r="AUN4" i="3"/>
  <c r="AUM4" i="3"/>
  <c r="AUL4" i="3"/>
  <c r="AUK4" i="3"/>
  <c r="AUJ4" i="3"/>
  <c r="AUI4" i="3"/>
  <c r="AUH4" i="3"/>
  <c r="AUG4" i="3"/>
  <c r="AUF4" i="3"/>
  <c r="AUE4" i="3"/>
  <c r="AUD4" i="3"/>
  <c r="AUC4" i="3"/>
  <c r="AUB4" i="3"/>
  <c r="AUA4" i="3"/>
  <c r="ATZ4" i="3"/>
  <c r="ATY4" i="3"/>
  <c r="ATX4" i="3"/>
  <c r="ATW4" i="3"/>
  <c r="ATV4" i="3"/>
  <c r="ATU4" i="3"/>
  <c r="ATT4" i="3"/>
  <c r="ATS4" i="3"/>
  <c r="ATR4" i="3"/>
  <c r="ATQ4" i="3"/>
  <c r="ATN4" i="3"/>
  <c r="ATM4" i="3"/>
  <c r="ATL4" i="3"/>
  <c r="ATK4" i="3"/>
  <c r="ATJ4" i="3"/>
  <c r="ATI4" i="3"/>
  <c r="ATH4" i="3"/>
  <c r="ATG4" i="3"/>
  <c r="ATF4" i="3"/>
  <c r="ATE4" i="3"/>
  <c r="ATD4" i="3"/>
  <c r="ATC4" i="3"/>
  <c r="ATB4" i="3"/>
  <c r="ATA4" i="3"/>
  <c r="ASZ4" i="3"/>
  <c r="ASY4" i="3"/>
  <c r="ASX4" i="3"/>
  <c r="ASW4" i="3"/>
  <c r="ASV4" i="3"/>
  <c r="ASU4" i="3"/>
  <c r="AST4" i="3"/>
  <c r="ASS4" i="3"/>
  <c r="ASR4" i="3"/>
  <c r="ASQ4" i="3"/>
  <c r="ASP4" i="3"/>
  <c r="ASO4" i="3"/>
  <c r="ASN4" i="3"/>
  <c r="ASK4" i="3"/>
  <c r="ASJ4" i="3"/>
  <c r="ASI4" i="3"/>
  <c r="ASH4" i="3"/>
  <c r="ASG4" i="3"/>
  <c r="ASF4" i="3"/>
  <c r="ASE4" i="3"/>
  <c r="ASD4" i="3"/>
  <c r="ASC4" i="3"/>
  <c r="ASB4" i="3"/>
  <c r="ASA4" i="3"/>
  <c r="ARZ4" i="3"/>
  <c r="ARY4" i="3"/>
  <c r="ARX4" i="3"/>
  <c r="ARW4" i="3"/>
  <c r="ARV4" i="3"/>
  <c r="ARU4" i="3"/>
  <c r="ART4" i="3"/>
  <c r="ARS4" i="3"/>
  <c r="ARR4" i="3"/>
  <c r="ARQ4" i="3"/>
  <c r="ARP4" i="3"/>
  <c r="ARO4" i="3"/>
  <c r="ARN4" i="3"/>
  <c r="ARM4" i="3"/>
  <c r="ARL4" i="3"/>
  <c r="ARK4" i="3"/>
  <c r="ARH4" i="3"/>
  <c r="ARG4" i="3"/>
  <c r="ARF4" i="3"/>
  <c r="ARE4" i="3"/>
  <c r="ARD4" i="3"/>
  <c r="ARC4" i="3"/>
  <c r="ARB4" i="3"/>
  <c r="ARA4" i="3"/>
  <c r="AQZ4" i="3"/>
  <c r="AQY4" i="3"/>
  <c r="AQX4" i="3"/>
  <c r="AQW4" i="3"/>
  <c r="AQV4" i="3"/>
  <c r="AQU4" i="3"/>
  <c r="AQT4" i="3"/>
  <c r="AQS4" i="3"/>
  <c r="AQR4" i="3"/>
  <c r="AQQ4" i="3"/>
  <c r="AQP4" i="3"/>
  <c r="AQO4" i="3"/>
  <c r="AQN4" i="3"/>
  <c r="AQM4" i="3"/>
  <c r="AQL4" i="3"/>
  <c r="AQK4" i="3"/>
  <c r="AQJ4" i="3"/>
  <c r="AQI4" i="3"/>
  <c r="AQH4" i="3"/>
  <c r="AQE4" i="3"/>
  <c r="AQD4" i="3"/>
  <c r="AQC4" i="3"/>
  <c r="AQB4" i="3"/>
  <c r="AQA4" i="3"/>
  <c r="APZ4" i="3"/>
  <c r="APY4" i="3"/>
  <c r="APX4" i="3"/>
  <c r="APW4" i="3"/>
  <c r="APV4" i="3"/>
  <c r="APU4" i="3"/>
  <c r="APT4" i="3"/>
  <c r="APS4" i="3"/>
  <c r="APR4" i="3"/>
  <c r="APQ4" i="3"/>
  <c r="APP4" i="3"/>
  <c r="APO4" i="3"/>
  <c r="APN4" i="3"/>
  <c r="APM4" i="3"/>
  <c r="APL4" i="3"/>
  <c r="APK4" i="3"/>
  <c r="APJ4" i="3"/>
  <c r="API4" i="3"/>
  <c r="APH4" i="3"/>
  <c r="APG4" i="3"/>
  <c r="APF4" i="3"/>
  <c r="APE4" i="3"/>
  <c r="APB4" i="3"/>
  <c r="APA4" i="3"/>
  <c r="AOZ4" i="3"/>
  <c r="AOY4" i="3"/>
  <c r="AOX4" i="3"/>
  <c r="AOW4" i="3"/>
  <c r="AOV4" i="3"/>
  <c r="AOU4" i="3"/>
  <c r="AOT4" i="3"/>
  <c r="AOS4" i="3"/>
  <c r="AOR4" i="3"/>
  <c r="AOQ4" i="3"/>
  <c r="AOP4" i="3"/>
  <c r="AOO4" i="3"/>
  <c r="AON4" i="3"/>
  <c r="AOM4" i="3"/>
  <c r="AOL4" i="3"/>
  <c r="AOK4" i="3"/>
  <c r="AOJ4" i="3"/>
  <c r="AOI4" i="3"/>
  <c r="AOH4" i="3"/>
  <c r="AOG4" i="3"/>
  <c r="AOF4" i="3"/>
  <c r="AOE4" i="3"/>
  <c r="AOD4" i="3"/>
  <c r="AOC4" i="3"/>
  <c r="AOB4" i="3"/>
  <c r="ANY4" i="3"/>
  <c r="ANX4" i="3"/>
  <c r="ANW4" i="3"/>
  <c r="ANV4" i="3"/>
  <c r="ANU4" i="3"/>
  <c r="ANT4" i="3"/>
  <c r="ANS4" i="3"/>
  <c r="ANR4" i="3"/>
  <c r="ANQ4" i="3"/>
  <c r="ANP4" i="3"/>
  <c r="ANO4" i="3"/>
  <c r="ANN4" i="3"/>
  <c r="ANM4" i="3"/>
  <c r="ANL4" i="3"/>
  <c r="ANK4" i="3"/>
  <c r="ANJ4" i="3"/>
  <c r="ANI4" i="3"/>
  <c r="ANH4" i="3"/>
  <c r="ANG4" i="3"/>
  <c r="ANF4" i="3"/>
  <c r="ANE4" i="3"/>
  <c r="AND4" i="3"/>
  <c r="ANC4" i="3"/>
  <c r="ANB4" i="3"/>
  <c r="ANA4" i="3"/>
  <c r="AMZ4" i="3"/>
  <c r="AMY4" i="3"/>
  <c r="AMV4" i="3"/>
  <c r="AMU4" i="3"/>
  <c r="AMT4" i="3"/>
  <c r="AMS4" i="3"/>
  <c r="AMR4" i="3"/>
  <c r="AMQ4" i="3"/>
  <c r="AMP4" i="3"/>
  <c r="AMO4" i="3"/>
  <c r="AMN4" i="3"/>
  <c r="AMM4" i="3"/>
  <c r="AML4" i="3"/>
  <c r="AMK4" i="3"/>
  <c r="AMJ4" i="3"/>
  <c r="AMI4" i="3"/>
  <c r="AMH4" i="3"/>
  <c r="AMG4" i="3"/>
  <c r="AMF4" i="3"/>
  <c r="AME4" i="3"/>
  <c r="AMD4" i="3"/>
  <c r="AMC4" i="3"/>
  <c r="AMB4" i="3"/>
  <c r="AMA4" i="3"/>
  <c r="ALZ4" i="3"/>
  <c r="ALY4" i="3"/>
  <c r="ALX4" i="3"/>
  <c r="ALW4" i="3"/>
  <c r="ALV4" i="3"/>
  <c r="ALS4" i="3"/>
  <c r="ALR4" i="3"/>
  <c r="ALQ4" i="3"/>
  <c r="ALP4" i="3"/>
  <c r="ALO4" i="3"/>
  <c r="ALN4" i="3"/>
  <c r="ALM4" i="3"/>
  <c r="ALL4" i="3"/>
  <c r="ALK4" i="3"/>
  <c r="ALJ4" i="3"/>
  <c r="ALI4" i="3"/>
  <c r="ALH4" i="3"/>
  <c r="ALG4" i="3"/>
  <c r="ALF4" i="3"/>
  <c r="ALE4" i="3"/>
  <c r="ALD4" i="3"/>
  <c r="ALC4" i="3"/>
  <c r="ALB4" i="3"/>
  <c r="ALA4" i="3"/>
  <c r="AKZ4" i="3"/>
  <c r="AKY4" i="3"/>
  <c r="AKX4" i="3"/>
  <c r="AKW4" i="3"/>
  <c r="AKV4" i="3"/>
  <c r="AKU4" i="3"/>
  <c r="AKT4" i="3"/>
  <c r="AKS4" i="3"/>
  <c r="AKP4" i="3"/>
  <c r="AKO4" i="3"/>
  <c r="AKN4" i="3"/>
  <c r="AKM4" i="3"/>
  <c r="AKL4" i="3"/>
  <c r="AKK4" i="3"/>
  <c r="AKJ4" i="3"/>
  <c r="AKI4" i="3"/>
  <c r="AKH4" i="3"/>
  <c r="AKG4" i="3"/>
  <c r="AKF4" i="3"/>
  <c r="AKE4" i="3"/>
  <c r="AKD4" i="3"/>
  <c r="AKC4" i="3"/>
  <c r="AKB4" i="3"/>
  <c r="AKA4" i="3"/>
  <c r="AJZ4" i="3"/>
  <c r="AJY4" i="3"/>
  <c r="AJX4" i="3"/>
  <c r="AJW4" i="3"/>
  <c r="AJV4" i="3"/>
  <c r="AJU4" i="3"/>
  <c r="AJT4" i="3"/>
  <c r="AJS4" i="3"/>
  <c r="AJR4" i="3"/>
  <c r="AJQ4" i="3"/>
  <c r="AJP4" i="3"/>
  <c r="AJM4" i="3"/>
  <c r="AJL4" i="3"/>
  <c r="AJK4" i="3"/>
  <c r="AJJ4" i="3"/>
  <c r="AJI4" i="3"/>
  <c r="AJH4" i="3"/>
  <c r="AJG4" i="3"/>
  <c r="AJF4" i="3"/>
  <c r="AJE4" i="3"/>
  <c r="AJD4" i="3"/>
  <c r="AJC4" i="3"/>
  <c r="AJB4" i="3"/>
  <c r="AJA4" i="3"/>
  <c r="AIZ4" i="3"/>
  <c r="AIY4" i="3"/>
  <c r="AIX4" i="3"/>
  <c r="AIW4" i="3"/>
  <c r="AIV4" i="3"/>
  <c r="AIU4" i="3"/>
  <c r="AIT4" i="3"/>
  <c r="AIS4" i="3"/>
  <c r="AIR4" i="3"/>
  <c r="AIQ4" i="3"/>
  <c r="AIP4" i="3"/>
  <c r="AIO4" i="3"/>
  <c r="AIN4" i="3"/>
  <c r="AIM4" i="3"/>
  <c r="AHG4" i="3"/>
  <c r="AHF4" i="3"/>
  <c r="AHE4" i="3"/>
  <c r="AHD4" i="3"/>
  <c r="AHC4" i="3"/>
  <c r="AHB4" i="3"/>
  <c r="AHA4" i="3"/>
  <c r="AGZ4" i="3"/>
  <c r="AGY4" i="3"/>
  <c r="AGX4" i="3"/>
  <c r="AGW4" i="3"/>
  <c r="AGV4" i="3"/>
  <c r="AGU4" i="3"/>
  <c r="AGT4" i="3"/>
  <c r="AGS4" i="3"/>
  <c r="AGR4" i="3"/>
  <c r="AGQ4" i="3"/>
  <c r="AGP4" i="3"/>
  <c r="AGO4" i="3"/>
  <c r="AGN4" i="3"/>
  <c r="AGM4" i="3"/>
  <c r="AGL4" i="3"/>
  <c r="AGK4" i="3"/>
  <c r="AGJ4" i="3"/>
  <c r="AGI4" i="3"/>
  <c r="AGH4" i="3"/>
  <c r="AGG4" i="3"/>
  <c r="AGA4" i="3"/>
  <c r="AFZ4" i="3"/>
  <c r="AFY4" i="3"/>
  <c r="AFX4" i="3"/>
  <c r="AFW4" i="3"/>
  <c r="AFV4" i="3"/>
  <c r="AFU4" i="3"/>
  <c r="AFT4" i="3"/>
  <c r="AFS4" i="3"/>
  <c r="AFR4" i="3"/>
  <c r="AFQ4" i="3"/>
  <c r="AFP4" i="3"/>
  <c r="AFO4" i="3"/>
  <c r="AFN4" i="3"/>
  <c r="AFM4" i="3"/>
  <c r="AFL4" i="3"/>
  <c r="AFK4" i="3"/>
  <c r="AFJ4" i="3"/>
  <c r="AFI4" i="3"/>
  <c r="AFH4" i="3"/>
  <c r="AFG4" i="3"/>
  <c r="AFF4" i="3"/>
  <c r="AFE4" i="3"/>
  <c r="AFD4" i="3"/>
  <c r="AFC4" i="3"/>
  <c r="AFB4" i="3"/>
  <c r="AFA4" i="3"/>
  <c r="ADT4" i="3"/>
  <c r="ADS4" i="3"/>
  <c r="ADR4" i="3"/>
  <c r="ADQ4" i="3"/>
  <c r="ADP4" i="3"/>
  <c r="ADO4" i="3"/>
  <c r="ADN4" i="3"/>
  <c r="ADM4" i="3"/>
  <c r="ADL4" i="3"/>
  <c r="ADK4" i="3"/>
  <c r="ADJ4" i="3"/>
  <c r="ADI4" i="3"/>
  <c r="ADH4" i="3"/>
  <c r="ADG4" i="3"/>
  <c r="ADF4" i="3"/>
  <c r="ADE4" i="3"/>
  <c r="ADD4" i="3"/>
  <c r="ADC4" i="3"/>
  <c r="ADB4" i="3"/>
  <c r="ADA4" i="3"/>
  <c r="ACZ4" i="3"/>
  <c r="ACY4" i="3"/>
  <c r="ACX4" i="3"/>
  <c r="ACW4" i="3"/>
  <c r="ACV4" i="3"/>
  <c r="ACU4" i="3"/>
  <c r="ACT4" i="3"/>
  <c r="EB4" i="3"/>
  <c r="CJ4" i="3"/>
  <c r="CI4" i="3"/>
  <c r="BC4" i="3"/>
  <c r="AY4" i="3"/>
  <c r="AW4" i="3"/>
  <c r="CSQ3" i="3"/>
  <c r="CSP3" i="3"/>
  <c r="CSO3" i="3"/>
  <c r="CSN3" i="3"/>
  <c r="CSM3" i="3"/>
  <c r="CSL3" i="3"/>
  <c r="CSK3" i="3"/>
  <c r="CSJ3" i="3"/>
  <c r="CSI3" i="3"/>
  <c r="CSH3" i="3"/>
  <c r="CSG3" i="3"/>
  <c r="CSF3" i="3"/>
  <c r="CSE3" i="3"/>
  <c r="CSD3" i="3"/>
  <c r="CSC3" i="3"/>
  <c r="CSB3" i="3"/>
  <c r="CSA3" i="3"/>
  <c r="CRZ3" i="3"/>
  <c r="CRY3" i="3"/>
  <c r="CRX3" i="3"/>
  <c r="CRW3" i="3"/>
  <c r="CRV3" i="3"/>
  <c r="CRU3" i="3"/>
  <c r="CRT3" i="3"/>
  <c r="CRS3" i="3"/>
  <c r="CRP3" i="3"/>
  <c r="CRO3" i="3"/>
  <c r="CRN3" i="3"/>
  <c r="BYT3" i="3"/>
  <c r="BYS3" i="3"/>
  <c r="BYR3" i="3"/>
  <c r="BYQ3" i="3"/>
  <c r="BYP3" i="3"/>
  <c r="BYO3" i="3"/>
  <c r="BYN3" i="3"/>
  <c r="BYM3" i="3"/>
  <c r="BYL3" i="3"/>
  <c r="BYK3" i="3"/>
  <c r="BYJ3" i="3"/>
  <c r="BYI3" i="3"/>
  <c r="BYH3" i="3"/>
  <c r="BYG3" i="3"/>
  <c r="BYF3" i="3"/>
  <c r="BYE3" i="3"/>
  <c r="BYD3" i="3"/>
  <c r="BYC3" i="3"/>
  <c r="BYB3" i="3"/>
  <c r="BYA3" i="3"/>
  <c r="BXZ3" i="3"/>
  <c r="BXY3" i="3"/>
  <c r="BXX3" i="3"/>
  <c r="BXW3" i="3"/>
  <c r="BXV3" i="3"/>
  <c r="BXU3" i="3"/>
  <c r="BXT3" i="3"/>
  <c r="BXQ3" i="3"/>
  <c r="BXP3" i="3"/>
  <c r="BXO3" i="3"/>
  <c r="BXN3" i="3"/>
  <c r="BXM3" i="3"/>
  <c r="BXL3" i="3"/>
  <c r="BXK3" i="3"/>
  <c r="BXJ3" i="3"/>
  <c r="BXI3" i="3"/>
  <c r="BXH3" i="3"/>
  <c r="BXG3" i="3"/>
  <c r="BXF3" i="3"/>
  <c r="BXE3" i="3"/>
  <c r="BXD3" i="3"/>
  <c r="BXC3" i="3"/>
  <c r="BXB3" i="3"/>
  <c r="BXA3" i="3"/>
  <c r="BWZ3" i="3"/>
  <c r="BWY3" i="3"/>
  <c r="BWX3" i="3"/>
  <c r="BWW3" i="3"/>
  <c r="BWV3" i="3"/>
  <c r="BWU3" i="3"/>
  <c r="BWT3" i="3"/>
  <c r="BWS3" i="3"/>
  <c r="BWR3" i="3"/>
  <c r="BWQ3" i="3"/>
  <c r="BWN3" i="3"/>
  <c r="BWM3" i="3"/>
  <c r="BWL3" i="3"/>
  <c r="BWK3" i="3"/>
  <c r="BWJ3" i="3"/>
  <c r="BWI3" i="3"/>
  <c r="BWH3" i="3"/>
  <c r="BWG3" i="3"/>
  <c r="BWF3" i="3"/>
  <c r="BWE3" i="3"/>
  <c r="BWD3" i="3"/>
  <c r="BWC3" i="3"/>
  <c r="BWB3" i="3"/>
  <c r="BWA3" i="3"/>
  <c r="BVZ3" i="3"/>
  <c r="BVY3" i="3"/>
  <c r="BVX3" i="3"/>
  <c r="BVW3" i="3"/>
  <c r="BVV3" i="3"/>
  <c r="BVU3" i="3"/>
  <c r="BVT3" i="3"/>
  <c r="BVS3" i="3"/>
  <c r="BVR3" i="3"/>
  <c r="BVQ3" i="3"/>
  <c r="BVP3" i="3"/>
  <c r="BVO3" i="3"/>
  <c r="BVN3" i="3"/>
  <c r="BVK3" i="3"/>
  <c r="BVJ3" i="3"/>
  <c r="BVI3" i="3"/>
  <c r="BVH3" i="3"/>
  <c r="BVG3" i="3"/>
  <c r="BVF3" i="3"/>
  <c r="BVE3" i="3"/>
  <c r="BVD3" i="3"/>
  <c r="BVC3" i="3"/>
  <c r="BVB3" i="3"/>
  <c r="BVA3" i="3"/>
  <c r="BUZ3" i="3"/>
  <c r="BUY3" i="3"/>
  <c r="BUX3" i="3"/>
  <c r="BUW3" i="3"/>
  <c r="BUV3" i="3"/>
  <c r="BUU3" i="3"/>
  <c r="BUT3" i="3"/>
  <c r="BUS3" i="3"/>
  <c r="BUR3" i="3"/>
  <c r="BUQ3" i="3"/>
  <c r="BUP3" i="3"/>
  <c r="BUO3" i="3"/>
  <c r="BUN3" i="3"/>
  <c r="BUM3" i="3"/>
  <c r="BUL3" i="3"/>
  <c r="BUK3" i="3"/>
  <c r="BUH3" i="3"/>
  <c r="BUG3" i="3"/>
  <c r="BUF3" i="3"/>
  <c r="BUE3" i="3"/>
  <c r="BUD3" i="3"/>
  <c r="BUC3" i="3"/>
  <c r="BUB3" i="3"/>
  <c r="BUA3" i="3"/>
  <c r="BTZ3" i="3"/>
  <c r="BTY3" i="3"/>
  <c r="BTX3" i="3"/>
  <c r="BTW3" i="3"/>
  <c r="BTV3" i="3"/>
  <c r="BTU3" i="3"/>
  <c r="BTT3" i="3"/>
  <c r="BTS3" i="3"/>
  <c r="BTR3" i="3"/>
  <c r="BTQ3" i="3"/>
  <c r="BTP3" i="3"/>
  <c r="BTO3" i="3"/>
  <c r="BTN3" i="3"/>
  <c r="BTM3" i="3"/>
  <c r="BTL3" i="3"/>
  <c r="BTK3" i="3"/>
  <c r="BTJ3" i="3"/>
  <c r="BTI3" i="3"/>
  <c r="BTH3" i="3"/>
  <c r="BTE3" i="3"/>
  <c r="BTD3" i="3"/>
  <c r="BTC3" i="3"/>
  <c r="BTB3" i="3"/>
  <c r="BTA3" i="3"/>
  <c r="BSZ3" i="3"/>
  <c r="BSY3" i="3"/>
  <c r="BSX3" i="3"/>
  <c r="BSW3" i="3"/>
  <c r="BSV3" i="3"/>
  <c r="BSU3" i="3"/>
  <c r="BST3" i="3"/>
  <c r="BSS3" i="3"/>
  <c r="BSR3" i="3"/>
  <c r="BSQ3" i="3"/>
  <c r="BSP3" i="3"/>
  <c r="BSO3" i="3"/>
  <c r="BSN3" i="3"/>
  <c r="BSM3" i="3"/>
  <c r="BSL3" i="3"/>
  <c r="BSK3" i="3"/>
  <c r="BSJ3" i="3"/>
  <c r="BSI3" i="3"/>
  <c r="BSH3" i="3"/>
  <c r="BSG3" i="3"/>
  <c r="BSF3" i="3"/>
  <c r="BSE3" i="3"/>
  <c r="BSB3" i="3"/>
  <c r="BSA3" i="3"/>
  <c r="BRZ3" i="3"/>
  <c r="BRY3" i="3"/>
  <c r="BRX3" i="3"/>
  <c r="BRW3" i="3"/>
  <c r="BRV3" i="3"/>
  <c r="BRU3" i="3"/>
  <c r="BRT3" i="3"/>
  <c r="BRS3" i="3"/>
  <c r="BRR3" i="3"/>
  <c r="BRQ3" i="3"/>
  <c r="BRP3" i="3"/>
  <c r="BRO3" i="3"/>
  <c r="BRN3" i="3"/>
  <c r="BRM3" i="3"/>
  <c r="BRL3" i="3"/>
  <c r="BRK3" i="3"/>
  <c r="BRJ3" i="3"/>
  <c r="BRI3" i="3"/>
  <c r="BRH3" i="3"/>
  <c r="BRG3" i="3"/>
  <c r="BRF3" i="3"/>
  <c r="BRE3" i="3"/>
  <c r="BRD3" i="3"/>
  <c r="BRC3" i="3"/>
  <c r="BRB3" i="3"/>
  <c r="BQY3" i="3"/>
  <c r="BQX3" i="3"/>
  <c r="BQW3" i="3"/>
  <c r="BQV3" i="3"/>
  <c r="BQU3" i="3"/>
  <c r="BQT3" i="3"/>
  <c r="BQS3" i="3"/>
  <c r="BQR3" i="3"/>
  <c r="BQQ3" i="3"/>
  <c r="BQP3" i="3"/>
  <c r="BQO3" i="3"/>
  <c r="BQN3" i="3"/>
  <c r="BQM3" i="3"/>
  <c r="BQL3" i="3"/>
  <c r="BQK3" i="3"/>
  <c r="BQJ3" i="3"/>
  <c r="BQI3" i="3"/>
  <c r="BQH3" i="3"/>
  <c r="BQG3" i="3"/>
  <c r="BQF3" i="3"/>
  <c r="BQE3" i="3"/>
  <c r="BQD3" i="3"/>
  <c r="BQC3" i="3"/>
  <c r="BQB3" i="3"/>
  <c r="BQA3" i="3"/>
  <c r="BPZ3" i="3"/>
  <c r="BPY3" i="3"/>
  <c r="BPV3" i="3"/>
  <c r="BPU3" i="3"/>
  <c r="BPT3" i="3"/>
  <c r="BPS3" i="3"/>
  <c r="BPR3" i="3"/>
  <c r="BPQ3" i="3"/>
  <c r="BPP3" i="3"/>
  <c r="BPO3" i="3"/>
  <c r="BPN3" i="3"/>
  <c r="BPM3" i="3"/>
  <c r="BPL3" i="3"/>
  <c r="BPK3" i="3"/>
  <c r="BPJ3" i="3"/>
  <c r="BPI3" i="3"/>
  <c r="BPH3" i="3"/>
  <c r="BPG3" i="3"/>
  <c r="BPF3" i="3"/>
  <c r="BPE3" i="3"/>
  <c r="BPD3" i="3"/>
  <c r="BPC3" i="3"/>
  <c r="BPB3" i="3"/>
  <c r="BPA3" i="3"/>
  <c r="BOZ3" i="3"/>
  <c r="BOY3" i="3"/>
  <c r="BOX3" i="3"/>
  <c r="BOW3" i="3"/>
  <c r="BOV3" i="3"/>
  <c r="BJD3" i="3"/>
  <c r="BJC3" i="3"/>
  <c r="BJB3" i="3"/>
  <c r="BJA3" i="3"/>
  <c r="BIZ3" i="3"/>
  <c r="BIY3" i="3"/>
  <c r="BIX3" i="3"/>
  <c r="BIW3" i="3"/>
  <c r="BIV3" i="3"/>
  <c r="BIU3" i="3"/>
  <c r="BIT3" i="3"/>
  <c r="BIS3" i="3"/>
  <c r="BIR3" i="3"/>
  <c r="BIQ3" i="3"/>
  <c r="BIP3" i="3"/>
  <c r="BIO3" i="3"/>
  <c r="BIN3" i="3"/>
  <c r="BIM3" i="3"/>
  <c r="BIL3" i="3"/>
  <c r="BIK3" i="3"/>
  <c r="BIJ3" i="3"/>
  <c r="BII3" i="3"/>
  <c r="BIH3" i="3"/>
  <c r="BIG3" i="3"/>
  <c r="BIF3" i="3"/>
  <c r="BIE3" i="3"/>
  <c r="BID3" i="3"/>
  <c r="BIA3" i="3"/>
  <c r="BIA5" i="3" s="1"/>
  <c r="BHZ3" i="3"/>
  <c r="BHZ5" i="3" s="1"/>
  <c r="BHY3" i="3"/>
  <c r="BHY5" i="3" s="1"/>
  <c r="BHX3" i="3"/>
  <c r="BHX5" i="3" s="1"/>
  <c r="BHW3" i="3"/>
  <c r="BHW5" i="3" s="1"/>
  <c r="BHV3" i="3"/>
  <c r="BHV5" i="3" s="1"/>
  <c r="BHU3" i="3"/>
  <c r="BHU5" i="3" s="1"/>
  <c r="BHT3" i="3"/>
  <c r="BHT5" i="3" s="1"/>
  <c r="BHS3" i="3"/>
  <c r="BHS5" i="3" s="1"/>
  <c r="BHR3" i="3"/>
  <c r="BHR5" i="3" s="1"/>
  <c r="BHQ3" i="3"/>
  <c r="BHQ5" i="3" s="1"/>
  <c r="BHP3" i="3"/>
  <c r="BHP5" i="3" s="1"/>
  <c r="BHO3" i="3"/>
  <c r="BHO5" i="3" s="1"/>
  <c r="BHN3" i="3"/>
  <c r="BHN5" i="3" s="1"/>
  <c r="BHM3" i="3"/>
  <c r="BHM5" i="3" s="1"/>
  <c r="BHL3" i="3"/>
  <c r="BHL5" i="3" s="1"/>
  <c r="BHK3" i="3"/>
  <c r="BHK5" i="3" s="1"/>
  <c r="BHJ3" i="3"/>
  <c r="BHJ5" i="3" s="1"/>
  <c r="BHI3" i="3"/>
  <c r="BHI5" i="3" s="1"/>
  <c r="BHH3" i="3"/>
  <c r="BHH5" i="3" s="1"/>
  <c r="BHG3" i="3"/>
  <c r="BHG5" i="3" s="1"/>
  <c r="BHF3" i="3"/>
  <c r="BHF5" i="3" s="1"/>
  <c r="BHE3" i="3"/>
  <c r="BHE5" i="3" s="1"/>
  <c r="BHD3" i="3"/>
  <c r="BHD5" i="3" s="1"/>
  <c r="BHC3" i="3"/>
  <c r="BHC5" i="3" s="1"/>
  <c r="BHB3" i="3"/>
  <c r="BHB5" i="3" s="1"/>
  <c r="BHA3" i="3"/>
  <c r="BHA5" i="3" s="1"/>
  <c r="BGZ5" i="3" s="1"/>
  <c r="BGX3" i="3"/>
  <c r="BGX5" i="3" s="1"/>
  <c r="BGW3" i="3"/>
  <c r="BGW5" i="3" s="1"/>
  <c r="BGV3" i="3"/>
  <c r="BGV5" i="3" s="1"/>
  <c r="BGU3" i="3"/>
  <c r="BGU5" i="3" s="1"/>
  <c r="BGT3" i="3"/>
  <c r="BGT5" i="3" s="1"/>
  <c r="BGS3" i="3"/>
  <c r="BGS5" i="3" s="1"/>
  <c r="BGR3" i="3"/>
  <c r="BGR5" i="3" s="1"/>
  <c r="BGQ3" i="3"/>
  <c r="BGQ5" i="3" s="1"/>
  <c r="BGP3" i="3"/>
  <c r="BGP5" i="3" s="1"/>
  <c r="BGO3" i="3"/>
  <c r="BGO5" i="3" s="1"/>
  <c r="BGN3" i="3"/>
  <c r="BGN5" i="3" s="1"/>
  <c r="BGM3" i="3"/>
  <c r="BGM5" i="3" s="1"/>
  <c r="BGL3" i="3"/>
  <c r="BGL5" i="3" s="1"/>
  <c r="BGK3" i="3"/>
  <c r="BGK5" i="3" s="1"/>
  <c r="BGJ3" i="3"/>
  <c r="BGJ5" i="3" s="1"/>
  <c r="BGI3" i="3"/>
  <c r="BGI5" i="3" s="1"/>
  <c r="BGH3" i="3"/>
  <c r="BGH5" i="3" s="1"/>
  <c r="BGG3" i="3"/>
  <c r="BGG5" i="3" s="1"/>
  <c r="BGF3" i="3"/>
  <c r="BGF5" i="3" s="1"/>
  <c r="BGE3" i="3"/>
  <c r="BGE5" i="3" s="1"/>
  <c r="BGD3" i="3"/>
  <c r="BGD5" i="3" s="1"/>
  <c r="BGC3" i="3"/>
  <c r="BGC5" i="3" s="1"/>
  <c r="BGB3" i="3"/>
  <c r="BGB5" i="3" s="1"/>
  <c r="BGA3" i="3"/>
  <c r="BGA5" i="3" s="1"/>
  <c r="BFZ3" i="3"/>
  <c r="BFZ5" i="3" s="1"/>
  <c r="BFY3" i="3"/>
  <c r="BFY5" i="3" s="1"/>
  <c r="BFX3" i="3"/>
  <c r="BFX5" i="3" s="1"/>
  <c r="BFW5" i="3" s="1"/>
  <c r="BFU3" i="3"/>
  <c r="BFU5" i="3" s="1"/>
  <c r="BFT3" i="3"/>
  <c r="BFT5" i="3" s="1"/>
  <c r="BFS3" i="3"/>
  <c r="BFS5" i="3" s="1"/>
  <c r="BFR3" i="3"/>
  <c r="BFR5" i="3" s="1"/>
  <c r="BFQ3" i="3"/>
  <c r="BFQ5" i="3" s="1"/>
  <c r="BFP3" i="3"/>
  <c r="BFP5" i="3" s="1"/>
  <c r="BFO3" i="3"/>
  <c r="BFO5" i="3" s="1"/>
  <c r="BFN3" i="3"/>
  <c r="BFN5" i="3" s="1"/>
  <c r="BFM3" i="3"/>
  <c r="BFM5" i="3" s="1"/>
  <c r="BFL3" i="3"/>
  <c r="BFL5" i="3" s="1"/>
  <c r="BFK3" i="3"/>
  <c r="BFK5" i="3" s="1"/>
  <c r="BFJ3" i="3"/>
  <c r="BFJ5" i="3" s="1"/>
  <c r="BFI3" i="3"/>
  <c r="BFI5" i="3" s="1"/>
  <c r="BFH3" i="3"/>
  <c r="BFH5" i="3" s="1"/>
  <c r="BFG3" i="3"/>
  <c r="BFG5" i="3" s="1"/>
  <c r="BFF3" i="3"/>
  <c r="BFF5" i="3" s="1"/>
  <c r="BFE3" i="3"/>
  <c r="BFE5" i="3" s="1"/>
  <c r="BFD3" i="3"/>
  <c r="BFD5" i="3" s="1"/>
  <c r="BFC3" i="3"/>
  <c r="BFC5" i="3" s="1"/>
  <c r="BFB3" i="3"/>
  <c r="BFB5" i="3" s="1"/>
  <c r="BFA3" i="3"/>
  <c r="BFA5" i="3" s="1"/>
  <c r="BEZ3" i="3"/>
  <c r="BEZ5" i="3" s="1"/>
  <c r="BEY3" i="3"/>
  <c r="BEY5" i="3" s="1"/>
  <c r="BEX3" i="3"/>
  <c r="BEX5" i="3" s="1"/>
  <c r="BEW3" i="3"/>
  <c r="BEW5" i="3" s="1"/>
  <c r="BEV3" i="3"/>
  <c r="BEV5" i="3" s="1"/>
  <c r="BEU3" i="3"/>
  <c r="BEU5" i="3" s="1"/>
  <c r="BET5" i="3" s="1"/>
  <c r="BER3" i="3"/>
  <c r="BER5" i="3" s="1"/>
  <c r="BEQ3" i="3"/>
  <c r="BEQ5" i="3" s="1"/>
  <c r="BEP3" i="3"/>
  <c r="BEP5" i="3" s="1"/>
  <c r="BEO3" i="3"/>
  <c r="BEO5" i="3" s="1"/>
  <c r="BEN3" i="3"/>
  <c r="BEN5" i="3" s="1"/>
  <c r="BEM3" i="3"/>
  <c r="BEM5" i="3" s="1"/>
  <c r="BEL3" i="3"/>
  <c r="BEL5" i="3" s="1"/>
  <c r="BEK3" i="3"/>
  <c r="BEK5" i="3" s="1"/>
  <c r="BEJ3" i="3"/>
  <c r="BEJ5" i="3" s="1"/>
  <c r="BEI3" i="3"/>
  <c r="BEI5" i="3" s="1"/>
  <c r="BEH3" i="3"/>
  <c r="BEH5" i="3" s="1"/>
  <c r="BEG3" i="3"/>
  <c r="BEG5" i="3" s="1"/>
  <c r="BEF3" i="3"/>
  <c r="BEF5" i="3" s="1"/>
  <c r="BEE3" i="3"/>
  <c r="BEE5" i="3" s="1"/>
  <c r="BED3" i="3"/>
  <c r="BED5" i="3" s="1"/>
  <c r="BEC3" i="3"/>
  <c r="BEC5" i="3" s="1"/>
  <c r="BEB3" i="3"/>
  <c r="BEB5" i="3" s="1"/>
  <c r="BEA3" i="3"/>
  <c r="BEA5" i="3" s="1"/>
  <c r="BDZ3" i="3"/>
  <c r="BDZ5" i="3" s="1"/>
  <c r="BDY3" i="3"/>
  <c r="BDY5" i="3" s="1"/>
  <c r="BDX3" i="3"/>
  <c r="BDX5" i="3" s="1"/>
  <c r="BDW3" i="3"/>
  <c r="BDW5" i="3" s="1"/>
  <c r="BDV3" i="3"/>
  <c r="BDV5" i="3" s="1"/>
  <c r="BDU3" i="3"/>
  <c r="BDU5" i="3" s="1"/>
  <c r="BDT3" i="3"/>
  <c r="BDT5" i="3" s="1"/>
  <c r="BDS3" i="3"/>
  <c r="BDS5" i="3" s="1"/>
  <c r="BDR3" i="3"/>
  <c r="BDR5" i="3" s="1"/>
  <c r="BDQ5" i="3" s="1"/>
  <c r="BDO3" i="3"/>
  <c r="BDO5" i="3" s="1"/>
  <c r="BDN3" i="3"/>
  <c r="BDN5" i="3" s="1"/>
  <c r="BDM3" i="3"/>
  <c r="BDM5" i="3" s="1"/>
  <c r="BDL3" i="3"/>
  <c r="BDL5" i="3" s="1"/>
  <c r="BDK3" i="3"/>
  <c r="BDK5" i="3" s="1"/>
  <c r="BDJ3" i="3"/>
  <c r="BDJ5" i="3" s="1"/>
  <c r="BDI3" i="3"/>
  <c r="BDI5" i="3" s="1"/>
  <c r="BDH3" i="3"/>
  <c r="BDH5" i="3" s="1"/>
  <c r="BDG3" i="3"/>
  <c r="BDG5" i="3" s="1"/>
  <c r="BDF3" i="3"/>
  <c r="BDF5" i="3" s="1"/>
  <c r="BDE3" i="3"/>
  <c r="BDE5" i="3" s="1"/>
  <c r="BDD3" i="3"/>
  <c r="BDD5" i="3" s="1"/>
  <c r="BDC3" i="3"/>
  <c r="BDC5" i="3" s="1"/>
  <c r="BDB3" i="3"/>
  <c r="BDB5" i="3" s="1"/>
  <c r="BDA3" i="3"/>
  <c r="BDA5" i="3" s="1"/>
  <c r="BCZ3" i="3"/>
  <c r="BCZ5" i="3" s="1"/>
  <c r="BCY3" i="3"/>
  <c r="BCY5" i="3" s="1"/>
  <c r="BCX3" i="3"/>
  <c r="BCX5" i="3" s="1"/>
  <c r="BCW3" i="3"/>
  <c r="BCW5" i="3" s="1"/>
  <c r="BCV3" i="3"/>
  <c r="BCV5" i="3" s="1"/>
  <c r="BCU3" i="3"/>
  <c r="BCU5" i="3" s="1"/>
  <c r="BCT3" i="3"/>
  <c r="BCT5" i="3" s="1"/>
  <c r="BCS3" i="3"/>
  <c r="BCS5" i="3" s="1"/>
  <c r="BCR3" i="3"/>
  <c r="BCR5" i="3" s="1"/>
  <c r="BCQ3" i="3"/>
  <c r="BCQ5" i="3" s="1"/>
  <c r="BCP3" i="3"/>
  <c r="BCP5" i="3" s="1"/>
  <c r="BCO3" i="3"/>
  <c r="BCO5" i="3" s="1"/>
  <c r="BCN5" i="3" s="1"/>
  <c r="BCL3" i="3"/>
  <c r="BCL4" i="3" s="1"/>
  <c r="BCK3" i="3"/>
  <c r="BCK4" i="3" s="1"/>
  <c r="BCJ3" i="3"/>
  <c r="BCJ4" i="3" s="1"/>
  <c r="BCI3" i="3"/>
  <c r="BCI4" i="3" s="1"/>
  <c r="BCH3" i="3"/>
  <c r="BCH4" i="3" s="1"/>
  <c r="BCG3" i="3"/>
  <c r="BCG4" i="3" s="1"/>
  <c r="BCF3" i="3"/>
  <c r="BCF4" i="3" s="1"/>
  <c r="BCE3" i="3"/>
  <c r="BCE4" i="3" s="1"/>
  <c r="BCD3" i="3"/>
  <c r="BCD4" i="3" s="1"/>
  <c r="BCC3" i="3"/>
  <c r="BCC4" i="3" s="1"/>
  <c r="BCB3" i="3"/>
  <c r="BCB4" i="3" s="1"/>
  <c r="BCA3" i="3"/>
  <c r="BCA4" i="3" s="1"/>
  <c r="BBZ3" i="3"/>
  <c r="BBZ4" i="3" s="1"/>
  <c r="BBY3" i="3"/>
  <c r="BBY4" i="3" s="1"/>
  <c r="BBX3" i="3"/>
  <c r="BBX4" i="3" s="1"/>
  <c r="BBW3" i="3"/>
  <c r="BBW4" i="3" s="1"/>
  <c r="BBV3" i="3"/>
  <c r="BBV4" i="3" s="1"/>
  <c r="BBU3" i="3"/>
  <c r="BBU4" i="3" s="1"/>
  <c r="BBT3" i="3"/>
  <c r="BBT4" i="3" s="1"/>
  <c r="BBS3" i="3"/>
  <c r="BBS4" i="3" s="1"/>
  <c r="BBR3" i="3"/>
  <c r="BBR4" i="3" s="1"/>
  <c r="BBQ3" i="3"/>
  <c r="BBQ4" i="3" s="1"/>
  <c r="BBP3" i="3"/>
  <c r="BBP4" i="3" s="1"/>
  <c r="BBO3" i="3"/>
  <c r="BBO4" i="3" s="1"/>
  <c r="BBN3" i="3"/>
  <c r="BBN4" i="3" s="1"/>
  <c r="BBM3" i="3"/>
  <c r="BBM4" i="3" s="1"/>
  <c r="BBL3" i="3"/>
  <c r="BBL4" i="3" s="1"/>
  <c r="BBK4" i="3" s="1"/>
  <c r="BBI3" i="3"/>
  <c r="BBI5" i="3" s="1"/>
  <c r="BBH3" i="3"/>
  <c r="BBH5" i="3" s="1"/>
  <c r="BBG3" i="3"/>
  <c r="BBG5" i="3" s="1"/>
  <c r="BBF3" i="3"/>
  <c r="BBF5" i="3" s="1"/>
  <c r="BBE3" i="3"/>
  <c r="BBE5" i="3" s="1"/>
  <c r="BBD3" i="3"/>
  <c r="BBD5" i="3" s="1"/>
  <c r="BBC3" i="3"/>
  <c r="BBC5" i="3" s="1"/>
  <c r="BBB3" i="3"/>
  <c r="BBB5" i="3" s="1"/>
  <c r="BBA3" i="3"/>
  <c r="BBA5" i="3" s="1"/>
  <c r="BAZ3" i="3"/>
  <c r="BAZ5" i="3" s="1"/>
  <c r="BAY3" i="3"/>
  <c r="BAY5" i="3" s="1"/>
  <c r="BAX3" i="3"/>
  <c r="BAX5" i="3" s="1"/>
  <c r="BAW3" i="3"/>
  <c r="BAW5" i="3" s="1"/>
  <c r="BAV3" i="3"/>
  <c r="BAV5" i="3" s="1"/>
  <c r="BAU3" i="3"/>
  <c r="BAU5" i="3" s="1"/>
  <c r="BAT3" i="3"/>
  <c r="BAT5" i="3" s="1"/>
  <c r="BAS3" i="3"/>
  <c r="BAS5" i="3" s="1"/>
  <c r="BAR3" i="3"/>
  <c r="BAR5" i="3" s="1"/>
  <c r="BAQ3" i="3"/>
  <c r="BAQ5" i="3" s="1"/>
  <c r="BAP3" i="3"/>
  <c r="BAP5" i="3" s="1"/>
  <c r="BAO3" i="3"/>
  <c r="BAO5" i="3" s="1"/>
  <c r="BAN3" i="3"/>
  <c r="BAN5" i="3" s="1"/>
  <c r="BAM3" i="3"/>
  <c r="BAM5" i="3" s="1"/>
  <c r="BAL3" i="3"/>
  <c r="BAL5" i="3" s="1"/>
  <c r="BAK3" i="3"/>
  <c r="BAK5" i="3" s="1"/>
  <c r="BAJ3" i="3"/>
  <c r="BAJ5" i="3" s="1"/>
  <c r="BAI3" i="3"/>
  <c r="BAI5" i="3" s="1"/>
  <c r="BAH5" i="3" s="1"/>
  <c r="BAF3" i="3"/>
  <c r="BAF5" i="3" s="1"/>
  <c r="BAE3" i="3"/>
  <c r="BAE5" i="3" s="1"/>
  <c r="BAD3" i="3"/>
  <c r="BAD5" i="3" s="1"/>
  <c r="BAC3" i="3"/>
  <c r="BAC5" i="3" s="1"/>
  <c r="BAB3" i="3"/>
  <c r="BAB5" i="3" s="1"/>
  <c r="BAA3" i="3"/>
  <c r="BAA5" i="3" s="1"/>
  <c r="AZZ3" i="3"/>
  <c r="AZZ5" i="3" s="1"/>
  <c r="AZY3" i="3"/>
  <c r="AZY5" i="3" s="1"/>
  <c r="AZX3" i="3"/>
  <c r="AZX5" i="3" s="1"/>
  <c r="AZW3" i="3"/>
  <c r="AZW5" i="3" s="1"/>
  <c r="AZV3" i="3"/>
  <c r="AZV5" i="3" s="1"/>
  <c r="AZU3" i="3"/>
  <c r="AZU5" i="3" s="1"/>
  <c r="AZT3" i="3"/>
  <c r="AZT5" i="3" s="1"/>
  <c r="AZS3" i="3"/>
  <c r="AZS5" i="3" s="1"/>
  <c r="AZR3" i="3"/>
  <c r="AZR5" i="3" s="1"/>
  <c r="AZQ3" i="3"/>
  <c r="AZQ5" i="3" s="1"/>
  <c r="AZP3" i="3"/>
  <c r="AZP5" i="3" s="1"/>
  <c r="AZO3" i="3"/>
  <c r="AZO5" i="3" s="1"/>
  <c r="AZN3" i="3"/>
  <c r="AZN5" i="3" s="1"/>
  <c r="AZM3" i="3"/>
  <c r="AZM5" i="3" s="1"/>
  <c r="AZL3" i="3"/>
  <c r="AZL5" i="3" s="1"/>
  <c r="AZK3" i="3"/>
  <c r="AZK5" i="3" s="1"/>
  <c r="AZJ3" i="3"/>
  <c r="AZJ5" i="3" s="1"/>
  <c r="AZI3" i="3"/>
  <c r="AZI5" i="3" s="1"/>
  <c r="AZH3" i="3"/>
  <c r="AZH5" i="3" s="1"/>
  <c r="AZG3" i="3"/>
  <c r="AZG5" i="3" s="1"/>
  <c r="AZF3" i="3"/>
  <c r="AZF5" i="3" s="1"/>
  <c r="AZE5" i="3" s="1"/>
  <c r="AZC3" i="3"/>
  <c r="AZC5" i="3" s="1"/>
  <c r="AZB3" i="3"/>
  <c r="AZB5" i="3" s="1"/>
  <c r="AZA3" i="3"/>
  <c r="AZA5" i="3" s="1"/>
  <c r="AYZ3" i="3"/>
  <c r="AYZ5" i="3" s="1"/>
  <c r="AYY3" i="3"/>
  <c r="AYY5" i="3" s="1"/>
  <c r="AYX3" i="3"/>
  <c r="AYX5" i="3" s="1"/>
  <c r="AYW3" i="3"/>
  <c r="AYW5" i="3" s="1"/>
  <c r="AYV3" i="3"/>
  <c r="AYV5" i="3" s="1"/>
  <c r="AYU3" i="3"/>
  <c r="AYU5" i="3" s="1"/>
  <c r="AYT3" i="3"/>
  <c r="AYT5" i="3" s="1"/>
  <c r="AYS3" i="3"/>
  <c r="AYS5" i="3" s="1"/>
  <c r="AYR3" i="3"/>
  <c r="AYR5" i="3" s="1"/>
  <c r="AYQ3" i="3"/>
  <c r="AYQ5" i="3" s="1"/>
  <c r="AYP3" i="3"/>
  <c r="AYP5" i="3" s="1"/>
  <c r="AYO3" i="3"/>
  <c r="AYO5" i="3" s="1"/>
  <c r="AYN3" i="3"/>
  <c r="AYN5" i="3" s="1"/>
  <c r="AYM3" i="3"/>
  <c r="AYM5" i="3" s="1"/>
  <c r="AYL3" i="3"/>
  <c r="AYL5" i="3" s="1"/>
  <c r="AYK3" i="3"/>
  <c r="AYK5" i="3" s="1"/>
  <c r="AYJ3" i="3"/>
  <c r="AYJ5" i="3" s="1"/>
  <c r="AYI3" i="3"/>
  <c r="AYI5" i="3" s="1"/>
  <c r="AYH3" i="3"/>
  <c r="AYH5" i="3" s="1"/>
  <c r="AYG3" i="3"/>
  <c r="AYG5" i="3" s="1"/>
  <c r="AYF3" i="3"/>
  <c r="AYF5" i="3" s="1"/>
  <c r="AYE3" i="3"/>
  <c r="AYE5" i="3" s="1"/>
  <c r="AYD3" i="3"/>
  <c r="AYD5" i="3" s="1"/>
  <c r="AYC3" i="3"/>
  <c r="AYC5" i="3" s="1"/>
  <c r="AYB5" i="3" s="1"/>
  <c r="AXZ3" i="3"/>
  <c r="AXZ5" i="3" s="1"/>
  <c r="AXY3" i="3"/>
  <c r="AXY5" i="3" s="1"/>
  <c r="AXX3" i="3"/>
  <c r="AXX5" i="3" s="1"/>
  <c r="AXW3" i="3"/>
  <c r="AXW5" i="3" s="1"/>
  <c r="AXV3" i="3"/>
  <c r="AXV5" i="3" s="1"/>
  <c r="AXU3" i="3"/>
  <c r="AXU5" i="3" s="1"/>
  <c r="AXT3" i="3"/>
  <c r="AXT5" i="3" s="1"/>
  <c r="AXS3" i="3"/>
  <c r="AXS5" i="3" s="1"/>
  <c r="AXR3" i="3"/>
  <c r="AXR5" i="3" s="1"/>
  <c r="AXQ3" i="3"/>
  <c r="AXQ5" i="3" s="1"/>
  <c r="AXP3" i="3"/>
  <c r="AXP5" i="3" s="1"/>
  <c r="AXO3" i="3"/>
  <c r="AXO5" i="3" s="1"/>
  <c r="AXN3" i="3"/>
  <c r="AXN5" i="3" s="1"/>
  <c r="AXM3" i="3"/>
  <c r="AXM5" i="3" s="1"/>
  <c r="AXL3" i="3"/>
  <c r="AXL5" i="3" s="1"/>
  <c r="AXK3" i="3"/>
  <c r="AXK5" i="3" s="1"/>
  <c r="AXJ3" i="3"/>
  <c r="AXJ5" i="3" s="1"/>
  <c r="AXI3" i="3"/>
  <c r="AXI5" i="3" s="1"/>
  <c r="AXH3" i="3"/>
  <c r="AXH5" i="3" s="1"/>
  <c r="AXG3" i="3"/>
  <c r="AXG5" i="3" s="1"/>
  <c r="AXF3" i="3"/>
  <c r="AXF5" i="3" s="1"/>
  <c r="AXE3" i="3"/>
  <c r="AXE5" i="3" s="1"/>
  <c r="AXD3" i="3"/>
  <c r="AXD5" i="3" s="1"/>
  <c r="AXC3" i="3"/>
  <c r="AXC5" i="3" s="1"/>
  <c r="AXB3" i="3"/>
  <c r="AXB5" i="3" s="1"/>
  <c r="AXA3" i="3"/>
  <c r="AXA5" i="3" s="1"/>
  <c r="AWZ3" i="3"/>
  <c r="AWZ5" i="3" s="1"/>
  <c r="AWY5" i="3" s="1"/>
  <c r="AWW3" i="3"/>
  <c r="AWW5" i="3" s="1"/>
  <c r="AWV3" i="3"/>
  <c r="AWV5" i="3" s="1"/>
  <c r="AWU3" i="3"/>
  <c r="AWU5" i="3" s="1"/>
  <c r="AWT3" i="3"/>
  <c r="AWT5" i="3" s="1"/>
  <c r="AWS3" i="3"/>
  <c r="AWS5" i="3" s="1"/>
  <c r="AWR3" i="3"/>
  <c r="AWR5" i="3" s="1"/>
  <c r="AWQ3" i="3"/>
  <c r="AWQ5" i="3" s="1"/>
  <c r="AWP3" i="3"/>
  <c r="AWP5" i="3" s="1"/>
  <c r="AWO3" i="3"/>
  <c r="AWO5" i="3" s="1"/>
  <c r="AWN3" i="3"/>
  <c r="AWN5" i="3" s="1"/>
  <c r="AWM3" i="3"/>
  <c r="AWM5" i="3" s="1"/>
  <c r="AWL3" i="3"/>
  <c r="AWL5" i="3" s="1"/>
  <c r="AWK3" i="3"/>
  <c r="AWK5" i="3" s="1"/>
  <c r="AWJ3" i="3"/>
  <c r="AWJ5" i="3" s="1"/>
  <c r="AWI3" i="3"/>
  <c r="AWI5" i="3" s="1"/>
  <c r="AWH3" i="3"/>
  <c r="AWH5" i="3" s="1"/>
  <c r="AWG3" i="3"/>
  <c r="AWG5" i="3" s="1"/>
  <c r="AWF3" i="3"/>
  <c r="AWF5" i="3" s="1"/>
  <c r="AWE3" i="3"/>
  <c r="AWE5" i="3" s="1"/>
  <c r="AWD3" i="3"/>
  <c r="AWD5" i="3" s="1"/>
  <c r="AWC3" i="3"/>
  <c r="AWC5" i="3" s="1"/>
  <c r="AWB3" i="3"/>
  <c r="AWB5" i="3" s="1"/>
  <c r="AWA3" i="3"/>
  <c r="AWA5" i="3" s="1"/>
  <c r="AVZ3" i="3"/>
  <c r="AVZ5" i="3" s="1"/>
  <c r="AVY3" i="3"/>
  <c r="AVY5" i="3" s="1"/>
  <c r="AVX3" i="3"/>
  <c r="AVX5" i="3" s="1"/>
  <c r="AVW3" i="3"/>
  <c r="AVW5" i="3" s="1"/>
  <c r="AVV5" i="3" s="1"/>
  <c r="AVT3" i="3"/>
  <c r="AVT4" i="3" s="1"/>
  <c r="AVS3" i="3"/>
  <c r="AVS4" i="3" s="1"/>
  <c r="AVR3" i="3"/>
  <c r="AVR4" i="3" s="1"/>
  <c r="AVQ3" i="3"/>
  <c r="AVQ4" i="3" s="1"/>
  <c r="AVP3" i="3"/>
  <c r="AVP4" i="3" s="1"/>
  <c r="AVO3" i="3"/>
  <c r="AVO4" i="3" s="1"/>
  <c r="AVN3" i="3"/>
  <c r="AVN4" i="3" s="1"/>
  <c r="AVM3" i="3"/>
  <c r="AVM4" i="3" s="1"/>
  <c r="AVL3" i="3"/>
  <c r="AVL4" i="3" s="1"/>
  <c r="AVK3" i="3"/>
  <c r="AVK4" i="3" s="1"/>
  <c r="AVJ3" i="3"/>
  <c r="AVJ4" i="3" s="1"/>
  <c r="AVI3" i="3"/>
  <c r="AVI4" i="3" s="1"/>
  <c r="AVH3" i="3"/>
  <c r="AVH4" i="3" s="1"/>
  <c r="AVG3" i="3"/>
  <c r="AVG4" i="3" s="1"/>
  <c r="AVF3" i="3"/>
  <c r="AVF4" i="3" s="1"/>
  <c r="AVE3" i="3"/>
  <c r="AVE4" i="3" s="1"/>
  <c r="AVD3" i="3"/>
  <c r="AVD4" i="3" s="1"/>
  <c r="AVC3" i="3"/>
  <c r="AVC4" i="3" s="1"/>
  <c r="AVB3" i="3"/>
  <c r="AVB4" i="3" s="1"/>
  <c r="AVA3" i="3"/>
  <c r="AVA4" i="3" s="1"/>
  <c r="AUZ3" i="3"/>
  <c r="AUZ4" i="3" s="1"/>
  <c r="AUY3" i="3"/>
  <c r="AUY4" i="3" s="1"/>
  <c r="AUX3" i="3"/>
  <c r="AUX4" i="3" s="1"/>
  <c r="AUW3" i="3"/>
  <c r="AUW4" i="3" s="1"/>
  <c r="AUV3" i="3"/>
  <c r="AUV4" i="3" s="1"/>
  <c r="AUU3" i="3"/>
  <c r="AUU4" i="3" s="1"/>
  <c r="AUT3" i="3"/>
  <c r="AUT4" i="3" s="1"/>
  <c r="AUS4" i="3" s="1"/>
  <c r="AUQ3" i="3"/>
  <c r="AUQ5" i="3" s="1"/>
  <c r="AUP3" i="3"/>
  <c r="AUP5" i="3" s="1"/>
  <c r="AUO3" i="3"/>
  <c r="AUO5" i="3" s="1"/>
  <c r="AUN3" i="3"/>
  <c r="AUN5" i="3" s="1"/>
  <c r="AUM3" i="3"/>
  <c r="AUM5" i="3" s="1"/>
  <c r="AUL3" i="3"/>
  <c r="AUL5" i="3" s="1"/>
  <c r="AUK3" i="3"/>
  <c r="AUK5" i="3" s="1"/>
  <c r="AUJ3" i="3"/>
  <c r="AUJ5" i="3" s="1"/>
  <c r="AUI3" i="3"/>
  <c r="AUI5" i="3" s="1"/>
  <c r="AUH3" i="3"/>
  <c r="AUH5" i="3" s="1"/>
  <c r="AUG3" i="3"/>
  <c r="AUG5" i="3" s="1"/>
  <c r="AUF3" i="3"/>
  <c r="AUF5" i="3" s="1"/>
  <c r="AUE3" i="3"/>
  <c r="AUE5" i="3" s="1"/>
  <c r="AUD3" i="3"/>
  <c r="AUD5" i="3" s="1"/>
  <c r="AUC3" i="3"/>
  <c r="AUC5" i="3" s="1"/>
  <c r="AUB3" i="3"/>
  <c r="AUB5" i="3" s="1"/>
  <c r="AUA3" i="3"/>
  <c r="AUA5" i="3" s="1"/>
  <c r="ATZ3" i="3"/>
  <c r="ATZ5" i="3" s="1"/>
  <c r="ATY3" i="3"/>
  <c r="ATY5" i="3" s="1"/>
  <c r="ATX3" i="3"/>
  <c r="ATX5" i="3" s="1"/>
  <c r="ATW3" i="3"/>
  <c r="ATW5" i="3" s="1"/>
  <c r="ATV3" i="3"/>
  <c r="ATV5" i="3" s="1"/>
  <c r="ATU3" i="3"/>
  <c r="ATU5" i="3" s="1"/>
  <c r="ATT3" i="3"/>
  <c r="ATT5" i="3" s="1"/>
  <c r="ATS3" i="3"/>
  <c r="ATS5" i="3" s="1"/>
  <c r="ATR3" i="3"/>
  <c r="ATR5" i="3" s="1"/>
  <c r="ATQ3" i="3"/>
  <c r="ATQ5" i="3" s="1"/>
  <c r="ATP5" i="3" s="1"/>
  <c r="ATN3" i="3"/>
  <c r="ATN5" i="3" s="1"/>
  <c r="ATM3" i="3"/>
  <c r="ATM5" i="3" s="1"/>
  <c r="ATL3" i="3"/>
  <c r="ATL5" i="3" s="1"/>
  <c r="ATK3" i="3"/>
  <c r="ATK5" i="3" s="1"/>
  <c r="ATJ3" i="3"/>
  <c r="ATJ5" i="3" s="1"/>
  <c r="ATI3" i="3"/>
  <c r="ATI5" i="3" s="1"/>
  <c r="ATH3" i="3"/>
  <c r="ATH5" i="3" s="1"/>
  <c r="ATG3" i="3"/>
  <c r="ATG5" i="3" s="1"/>
  <c r="ATF3" i="3"/>
  <c r="ATF5" i="3" s="1"/>
  <c r="ATE3" i="3"/>
  <c r="ATE5" i="3" s="1"/>
  <c r="ATD3" i="3"/>
  <c r="ATD5" i="3" s="1"/>
  <c r="ATC3" i="3"/>
  <c r="ATC5" i="3" s="1"/>
  <c r="ATB3" i="3"/>
  <c r="ATB5" i="3" s="1"/>
  <c r="ATA3" i="3"/>
  <c r="ATA5" i="3" s="1"/>
  <c r="ASZ3" i="3"/>
  <c r="ASZ5" i="3" s="1"/>
  <c r="ASY3" i="3"/>
  <c r="ASY5" i="3" s="1"/>
  <c r="ASX3" i="3"/>
  <c r="ASX5" i="3" s="1"/>
  <c r="ASW3" i="3"/>
  <c r="ASW5" i="3" s="1"/>
  <c r="ASV3" i="3"/>
  <c r="ASV5" i="3" s="1"/>
  <c r="ASU3" i="3"/>
  <c r="ASU5" i="3" s="1"/>
  <c r="AST3" i="3"/>
  <c r="AST5" i="3" s="1"/>
  <c r="ASS3" i="3"/>
  <c r="ASS5" i="3" s="1"/>
  <c r="ASR3" i="3"/>
  <c r="ASR5" i="3" s="1"/>
  <c r="ASQ3" i="3"/>
  <c r="ASQ5" i="3" s="1"/>
  <c r="ASP3" i="3"/>
  <c r="ASP5" i="3" s="1"/>
  <c r="ASO3" i="3"/>
  <c r="ASO5" i="3" s="1"/>
  <c r="ASN3" i="3"/>
  <c r="ASN5" i="3" s="1"/>
  <c r="ASM5" i="3" s="1"/>
  <c r="ASK3" i="3"/>
  <c r="ASJ3" i="3"/>
  <c r="ASI3" i="3"/>
  <c r="ASH3" i="3"/>
  <c r="ASG3" i="3"/>
  <c r="ASF3" i="3"/>
  <c r="ASE3" i="3"/>
  <c r="ASD3" i="3"/>
  <c r="ASC3" i="3"/>
  <c r="ASB3" i="3"/>
  <c r="ASA3" i="3"/>
  <c r="ARZ3" i="3"/>
  <c r="ARY3" i="3"/>
  <c r="ARX3" i="3"/>
  <c r="ARW3" i="3"/>
  <c r="ARV3" i="3"/>
  <c r="ARU3" i="3"/>
  <c r="ART3" i="3"/>
  <c r="ARS3" i="3"/>
  <c r="ARR3" i="3"/>
  <c r="ARQ3" i="3"/>
  <c r="ARP3" i="3"/>
  <c r="ARO3" i="3"/>
  <c r="ARN3" i="3"/>
  <c r="ARM3" i="3"/>
  <c r="ARL3" i="3"/>
  <c r="ARK3" i="3"/>
  <c r="ARH3" i="3"/>
  <c r="ARG3" i="3"/>
  <c r="ARF3" i="3"/>
  <c r="ARE3" i="3"/>
  <c r="ARD3" i="3"/>
  <c r="ARC3" i="3"/>
  <c r="ARB3" i="3"/>
  <c r="ARA3" i="3"/>
  <c r="AQZ3" i="3"/>
  <c r="AQY3" i="3"/>
  <c r="AQX3" i="3"/>
  <c r="AQW3" i="3"/>
  <c r="AQV3" i="3"/>
  <c r="AQU3" i="3"/>
  <c r="AQT3" i="3"/>
  <c r="AQS3" i="3"/>
  <c r="AQR3" i="3"/>
  <c r="AQQ3" i="3"/>
  <c r="AQP3" i="3"/>
  <c r="AQO3" i="3"/>
  <c r="AQN3" i="3"/>
  <c r="AQM3" i="3"/>
  <c r="AQL3" i="3"/>
  <c r="AQK3" i="3"/>
  <c r="AQJ3" i="3"/>
  <c r="AQI3" i="3"/>
  <c r="AQH3" i="3"/>
  <c r="AQE3" i="3"/>
  <c r="AQD3" i="3"/>
  <c r="AQC3" i="3"/>
  <c r="AQB3" i="3"/>
  <c r="AQA3" i="3"/>
  <c r="APZ3" i="3"/>
  <c r="APY3" i="3"/>
  <c r="APX3" i="3"/>
  <c r="APW3" i="3"/>
  <c r="APV3" i="3"/>
  <c r="APU3" i="3"/>
  <c r="APT3" i="3"/>
  <c r="APS3" i="3"/>
  <c r="APR3" i="3"/>
  <c r="APQ3" i="3"/>
  <c r="APP3" i="3"/>
  <c r="APO3" i="3"/>
  <c r="APN3" i="3"/>
  <c r="APM3" i="3"/>
  <c r="APL3" i="3"/>
  <c r="APK3" i="3"/>
  <c r="APJ3" i="3"/>
  <c r="API3" i="3"/>
  <c r="APH3" i="3"/>
  <c r="APG3" i="3"/>
  <c r="APF3" i="3"/>
  <c r="APE3" i="3"/>
  <c r="APB3" i="3"/>
  <c r="APA3" i="3"/>
  <c r="AOZ3" i="3"/>
  <c r="AOY3" i="3"/>
  <c r="AOX3" i="3"/>
  <c r="AOW3" i="3"/>
  <c r="AOV3" i="3"/>
  <c r="AOU3" i="3"/>
  <c r="AOT3" i="3"/>
  <c r="AOS3" i="3"/>
  <c r="AOR3" i="3"/>
  <c r="AOQ3" i="3"/>
  <c r="AOP3" i="3"/>
  <c r="AOO3" i="3"/>
  <c r="AON3" i="3"/>
  <c r="AOM3" i="3"/>
  <c r="AOL3" i="3"/>
  <c r="AOK3" i="3"/>
  <c r="AOJ3" i="3"/>
  <c r="AOI3" i="3"/>
  <c r="AOH3" i="3"/>
  <c r="AOG3" i="3"/>
  <c r="AOF3" i="3"/>
  <c r="AOE3" i="3"/>
  <c r="AOD3" i="3"/>
  <c r="AOC3" i="3"/>
  <c r="AOB3" i="3"/>
  <c r="ANY3" i="3"/>
  <c r="ANY5" i="3" s="1"/>
  <c r="ANX3" i="3"/>
  <c r="ANX5" i="3" s="1"/>
  <c r="ANW3" i="3"/>
  <c r="ANW5" i="3" s="1"/>
  <c r="ANV3" i="3"/>
  <c r="ANV5" i="3" s="1"/>
  <c r="ANU3" i="3"/>
  <c r="ANU5" i="3" s="1"/>
  <c r="ANT3" i="3"/>
  <c r="ANT5" i="3" s="1"/>
  <c r="ANS3" i="3"/>
  <c r="ANS5" i="3" s="1"/>
  <c r="ANR3" i="3"/>
  <c r="ANR5" i="3" s="1"/>
  <c r="ANQ3" i="3"/>
  <c r="ANQ5" i="3" s="1"/>
  <c r="ANP3" i="3"/>
  <c r="ANP5" i="3" s="1"/>
  <c r="ANO3" i="3"/>
  <c r="ANO5" i="3" s="1"/>
  <c r="ANN3" i="3"/>
  <c r="ANN5" i="3" s="1"/>
  <c r="ANM3" i="3"/>
  <c r="ANM5" i="3" s="1"/>
  <c r="ANL3" i="3"/>
  <c r="ANL5" i="3" s="1"/>
  <c r="ANK3" i="3"/>
  <c r="ANK5" i="3" s="1"/>
  <c r="ANJ3" i="3"/>
  <c r="ANJ5" i="3" s="1"/>
  <c r="ANI3" i="3"/>
  <c r="ANI5" i="3" s="1"/>
  <c r="ANH3" i="3"/>
  <c r="ANH5" i="3" s="1"/>
  <c r="ANG3" i="3"/>
  <c r="ANG5" i="3" s="1"/>
  <c r="ANF3" i="3"/>
  <c r="ANF5" i="3" s="1"/>
  <c r="ANE3" i="3"/>
  <c r="ANE5" i="3" s="1"/>
  <c r="AND3" i="3"/>
  <c r="AND5" i="3" s="1"/>
  <c r="ANC3" i="3"/>
  <c r="ANC5" i="3" s="1"/>
  <c r="ANB3" i="3"/>
  <c r="ANB5" i="3" s="1"/>
  <c r="ANA3" i="3"/>
  <c r="ANA5" i="3" s="1"/>
  <c r="AMZ3" i="3"/>
  <c r="AMZ5" i="3" s="1"/>
  <c r="AMY3" i="3"/>
  <c r="AMY5" i="3" s="1"/>
  <c r="AMX5" i="3" s="1"/>
  <c r="AMV3" i="3"/>
  <c r="AMV5" i="3" s="1"/>
  <c r="AMU3" i="3"/>
  <c r="AMU5" i="3" s="1"/>
  <c r="AMT3" i="3"/>
  <c r="AMT5" i="3" s="1"/>
  <c r="AMS3" i="3"/>
  <c r="AMS5" i="3" s="1"/>
  <c r="AMR3" i="3"/>
  <c r="AMR5" i="3" s="1"/>
  <c r="AMQ3" i="3"/>
  <c r="AMQ5" i="3" s="1"/>
  <c r="AMP3" i="3"/>
  <c r="AMP5" i="3" s="1"/>
  <c r="AMO3" i="3"/>
  <c r="AMO5" i="3" s="1"/>
  <c r="AMN3" i="3"/>
  <c r="AMN5" i="3" s="1"/>
  <c r="AMM3" i="3"/>
  <c r="AMM5" i="3" s="1"/>
  <c r="AML3" i="3"/>
  <c r="AML5" i="3" s="1"/>
  <c r="AMK3" i="3"/>
  <c r="AMK5" i="3" s="1"/>
  <c r="AMJ3" i="3"/>
  <c r="AMJ5" i="3" s="1"/>
  <c r="AMI3" i="3"/>
  <c r="AMI5" i="3" s="1"/>
  <c r="AMH3" i="3"/>
  <c r="AMH5" i="3" s="1"/>
  <c r="AMG3" i="3"/>
  <c r="AMG5" i="3" s="1"/>
  <c r="AMF3" i="3"/>
  <c r="AMF5" i="3" s="1"/>
  <c r="AME3" i="3"/>
  <c r="AME5" i="3" s="1"/>
  <c r="AMD3" i="3"/>
  <c r="AMD5" i="3" s="1"/>
  <c r="AMC3" i="3"/>
  <c r="AMC5" i="3" s="1"/>
  <c r="AMB3" i="3"/>
  <c r="AMB5" i="3" s="1"/>
  <c r="AMA3" i="3"/>
  <c r="AMA5" i="3" s="1"/>
  <c r="ALZ3" i="3"/>
  <c r="ALZ5" i="3" s="1"/>
  <c r="ALY3" i="3"/>
  <c r="ALY5" i="3" s="1"/>
  <c r="ALX3" i="3"/>
  <c r="ALX5" i="3" s="1"/>
  <c r="ALW3" i="3"/>
  <c r="ALW5" i="3" s="1"/>
  <c r="ALV3" i="3"/>
  <c r="ALV5" i="3" s="1"/>
  <c r="ALU5" i="3" s="1"/>
  <c r="ALS3" i="3"/>
  <c r="ALS5" i="3" s="1"/>
  <c r="ALR3" i="3"/>
  <c r="ALR5" i="3" s="1"/>
  <c r="ALQ3" i="3"/>
  <c r="ALQ5" i="3" s="1"/>
  <c r="ALP3" i="3"/>
  <c r="ALP5" i="3" s="1"/>
  <c r="ALO3" i="3"/>
  <c r="ALO5" i="3" s="1"/>
  <c r="ALN3" i="3"/>
  <c r="ALN5" i="3" s="1"/>
  <c r="ALM3" i="3"/>
  <c r="ALM5" i="3" s="1"/>
  <c r="ALL3" i="3"/>
  <c r="ALL5" i="3" s="1"/>
  <c r="ALK3" i="3"/>
  <c r="ALK5" i="3" s="1"/>
  <c r="ALJ3" i="3"/>
  <c r="ALJ5" i="3" s="1"/>
  <c r="ALI3" i="3"/>
  <c r="ALI5" i="3" s="1"/>
  <c r="ALH3" i="3"/>
  <c r="ALH5" i="3" s="1"/>
  <c r="ALG3" i="3"/>
  <c r="ALG5" i="3" s="1"/>
  <c r="ALF3" i="3"/>
  <c r="ALF5" i="3" s="1"/>
  <c r="ALE3" i="3"/>
  <c r="ALE5" i="3" s="1"/>
  <c r="ALD3" i="3"/>
  <c r="ALD5" i="3" s="1"/>
  <c r="ALC3" i="3"/>
  <c r="ALC5" i="3" s="1"/>
  <c r="ALB3" i="3"/>
  <c r="ALB5" i="3" s="1"/>
  <c r="ALA3" i="3"/>
  <c r="ALA5" i="3" s="1"/>
  <c r="AKZ3" i="3"/>
  <c r="AKZ5" i="3" s="1"/>
  <c r="AKY3" i="3"/>
  <c r="AKY5" i="3" s="1"/>
  <c r="AKX3" i="3"/>
  <c r="AKX5" i="3" s="1"/>
  <c r="AKW3" i="3"/>
  <c r="AKW5" i="3" s="1"/>
  <c r="AKV3" i="3"/>
  <c r="AKV5" i="3" s="1"/>
  <c r="AKU3" i="3"/>
  <c r="AKU5" i="3" s="1"/>
  <c r="AKT3" i="3"/>
  <c r="AKT5" i="3" s="1"/>
  <c r="AKS3" i="3"/>
  <c r="AKS5" i="3" s="1"/>
  <c r="AKR5" i="3" s="1"/>
  <c r="AKP3" i="3"/>
  <c r="AKP5" i="3" s="1"/>
  <c r="AKO3" i="3"/>
  <c r="AKO5" i="3" s="1"/>
  <c r="AKN3" i="3"/>
  <c r="AKN5" i="3" s="1"/>
  <c r="AKM3" i="3"/>
  <c r="AKM5" i="3" s="1"/>
  <c r="AKL3" i="3"/>
  <c r="AKL5" i="3" s="1"/>
  <c r="AKK3" i="3"/>
  <c r="AKK5" i="3" s="1"/>
  <c r="AKJ3" i="3"/>
  <c r="AKJ5" i="3" s="1"/>
  <c r="AKI3" i="3"/>
  <c r="AKI5" i="3" s="1"/>
  <c r="AKH3" i="3"/>
  <c r="AKH5" i="3" s="1"/>
  <c r="AKG3" i="3"/>
  <c r="AKG5" i="3" s="1"/>
  <c r="AKF3" i="3"/>
  <c r="AKF5" i="3" s="1"/>
  <c r="AKE3" i="3"/>
  <c r="AKE5" i="3" s="1"/>
  <c r="AKD3" i="3"/>
  <c r="AKD5" i="3" s="1"/>
  <c r="AKC3" i="3"/>
  <c r="AKC5" i="3" s="1"/>
  <c r="AKB3" i="3"/>
  <c r="AKB5" i="3" s="1"/>
  <c r="AKA3" i="3"/>
  <c r="AKA5" i="3" s="1"/>
  <c r="AJZ3" i="3"/>
  <c r="AJZ5" i="3" s="1"/>
  <c r="AJY3" i="3"/>
  <c r="AJY5" i="3" s="1"/>
  <c r="AJX3" i="3"/>
  <c r="AJX5" i="3" s="1"/>
  <c r="AJW3" i="3"/>
  <c r="AJW5" i="3" s="1"/>
  <c r="AJV3" i="3"/>
  <c r="AJV5" i="3" s="1"/>
  <c r="AJU3" i="3"/>
  <c r="AJU5" i="3" s="1"/>
  <c r="AJT3" i="3"/>
  <c r="AJT5" i="3" s="1"/>
  <c r="AJS3" i="3"/>
  <c r="AJS5" i="3" s="1"/>
  <c r="AJR3" i="3"/>
  <c r="AJR5" i="3" s="1"/>
  <c r="AJQ3" i="3"/>
  <c r="AJQ5" i="3" s="1"/>
  <c r="AJP3" i="3"/>
  <c r="AJP5" i="3" s="1"/>
  <c r="AJO5" i="3" s="1"/>
  <c r="AJM3" i="3"/>
  <c r="AJM5" i="3" s="1"/>
  <c r="AJL3" i="3"/>
  <c r="AJL5" i="3" s="1"/>
  <c r="AJK3" i="3"/>
  <c r="AJK5" i="3" s="1"/>
  <c r="AJJ3" i="3"/>
  <c r="AJJ5" i="3" s="1"/>
  <c r="AJI3" i="3"/>
  <c r="AJI5" i="3" s="1"/>
  <c r="AJH3" i="3"/>
  <c r="AJH5" i="3" s="1"/>
  <c r="AJG3" i="3"/>
  <c r="AJG5" i="3" s="1"/>
  <c r="AJF3" i="3"/>
  <c r="AJF5" i="3" s="1"/>
  <c r="AJE3" i="3"/>
  <c r="AJE5" i="3" s="1"/>
  <c r="AJD3" i="3"/>
  <c r="AJD5" i="3" s="1"/>
  <c r="AJC3" i="3"/>
  <c r="AJC5" i="3" s="1"/>
  <c r="AJB3" i="3"/>
  <c r="AJB5" i="3" s="1"/>
  <c r="AJA3" i="3"/>
  <c r="AJA5" i="3" s="1"/>
  <c r="AIZ3" i="3"/>
  <c r="AIZ5" i="3" s="1"/>
  <c r="AIY3" i="3"/>
  <c r="AIY5" i="3" s="1"/>
  <c r="AIX3" i="3"/>
  <c r="AIX5" i="3" s="1"/>
  <c r="AIW3" i="3"/>
  <c r="AIW5" i="3" s="1"/>
  <c r="AIV3" i="3"/>
  <c r="AIV5" i="3" s="1"/>
  <c r="AIU3" i="3"/>
  <c r="AIU5" i="3" s="1"/>
  <c r="AIT3" i="3"/>
  <c r="AIT5" i="3" s="1"/>
  <c r="AIS3" i="3"/>
  <c r="AIS5" i="3" s="1"/>
  <c r="AIR3" i="3"/>
  <c r="AIR5" i="3" s="1"/>
  <c r="AIQ3" i="3"/>
  <c r="AIQ5" i="3" s="1"/>
  <c r="AIP3" i="3"/>
  <c r="AIP5" i="3" s="1"/>
  <c r="AIO3" i="3"/>
  <c r="AIO5" i="3" s="1"/>
  <c r="AIN3" i="3"/>
  <c r="AIN5" i="3" s="1"/>
  <c r="AIM3" i="3"/>
  <c r="AIM5" i="3" s="1"/>
  <c r="AIL5" i="3" s="1"/>
  <c r="AIJ3" i="3"/>
  <c r="AIJ4" i="3" s="1"/>
  <c r="AII3" i="3"/>
  <c r="AII4" i="3" s="1"/>
  <c r="AIH3" i="3"/>
  <c r="AIH4" i="3" s="1"/>
  <c r="AIG3" i="3"/>
  <c r="AIG4" i="3" s="1"/>
  <c r="AIF3" i="3"/>
  <c r="AIF4" i="3" s="1"/>
  <c r="AIE3" i="3"/>
  <c r="AIE4" i="3" s="1"/>
  <c r="AID3" i="3"/>
  <c r="AID4" i="3" s="1"/>
  <c r="AIC3" i="3"/>
  <c r="AIC4" i="3" s="1"/>
  <c r="AIB3" i="3"/>
  <c r="AIB4" i="3" s="1"/>
  <c r="AIA3" i="3"/>
  <c r="AIA4" i="3" s="1"/>
  <c r="AHZ3" i="3"/>
  <c r="AHZ4" i="3" s="1"/>
  <c r="AHY3" i="3"/>
  <c r="AHY4" i="3" s="1"/>
  <c r="AHX3" i="3"/>
  <c r="AHX4" i="3" s="1"/>
  <c r="AHW3" i="3"/>
  <c r="AHW4" i="3" s="1"/>
  <c r="AHV3" i="3"/>
  <c r="AHV4" i="3" s="1"/>
  <c r="AHU3" i="3"/>
  <c r="AHU4" i="3" s="1"/>
  <c r="AHT3" i="3"/>
  <c r="AHT4" i="3" s="1"/>
  <c r="AHS3" i="3"/>
  <c r="AHS4" i="3" s="1"/>
  <c r="AHR3" i="3"/>
  <c r="AHR4" i="3" s="1"/>
  <c r="AHQ3" i="3"/>
  <c r="AHQ4" i="3" s="1"/>
  <c r="AHP3" i="3"/>
  <c r="AHP4" i="3" s="1"/>
  <c r="AHO3" i="3"/>
  <c r="AHO4" i="3" s="1"/>
  <c r="AHN3" i="3"/>
  <c r="AHN4" i="3" s="1"/>
  <c r="AHM3" i="3"/>
  <c r="AHM4" i="3" s="1"/>
  <c r="AHL3" i="3"/>
  <c r="AHL4" i="3" s="1"/>
  <c r="AHK3" i="3"/>
  <c r="AHK4" i="3" s="1"/>
  <c r="AHJ3" i="3"/>
  <c r="AHJ4" i="3" s="1"/>
  <c r="AHI4" i="3" s="1"/>
  <c r="AGA3" i="3"/>
  <c r="AFZ3" i="3"/>
  <c r="AFY3" i="3"/>
  <c r="AFX3" i="3"/>
  <c r="AFW3" i="3"/>
  <c r="AFV3" i="3"/>
  <c r="AFU3" i="3"/>
  <c r="AFT3" i="3"/>
  <c r="AFS3" i="3"/>
  <c r="AFR3" i="3"/>
  <c r="AFQ3" i="3"/>
  <c r="AFP3" i="3"/>
  <c r="AFO3" i="3"/>
  <c r="AFN3" i="3"/>
  <c r="AFM3" i="3"/>
  <c r="AFL3" i="3"/>
  <c r="AFK3" i="3"/>
  <c r="AFJ3" i="3"/>
  <c r="AFI3" i="3"/>
  <c r="AFH3" i="3"/>
  <c r="AFG3" i="3"/>
  <c r="AFF3" i="3"/>
  <c r="AFE3" i="3"/>
  <c r="AFD3" i="3"/>
  <c r="AFC3" i="3"/>
  <c r="AFB3" i="3"/>
  <c r="AFA3" i="3"/>
  <c r="ADT3" i="3"/>
  <c r="ADS3" i="3"/>
  <c r="ADR3" i="3"/>
  <c r="ADQ3" i="3"/>
  <c r="ADP3" i="3"/>
  <c r="ADO3" i="3"/>
  <c r="ADN3" i="3"/>
  <c r="ADM3" i="3"/>
  <c r="ADL3" i="3"/>
  <c r="ADK3" i="3"/>
  <c r="ADJ3" i="3"/>
  <c r="ADI3" i="3"/>
  <c r="ADH3" i="3"/>
  <c r="ADG3" i="3"/>
  <c r="ADF3" i="3"/>
  <c r="ADE3" i="3"/>
  <c r="ADD3" i="3"/>
  <c r="ADC3" i="3"/>
  <c r="ADB3" i="3"/>
  <c r="ADA3" i="3"/>
  <c r="ACZ3" i="3"/>
  <c r="ACY3" i="3"/>
  <c r="ACX3" i="3"/>
  <c r="ACW3" i="3"/>
  <c r="ACV3" i="3"/>
  <c r="ACU3" i="3"/>
  <c r="ACT3" i="3"/>
  <c r="EB3" i="3"/>
  <c r="CJ3" i="3"/>
  <c r="CI3" i="3"/>
  <c r="BC3" i="3"/>
  <c r="AY3" i="3"/>
  <c r="AW3" i="3"/>
  <c r="CCY6" i="3" l="1"/>
  <c r="CCY5" i="3"/>
  <c r="CCY3" i="3"/>
  <c r="CCY4" i="3"/>
  <c r="CCU6" i="3"/>
  <c r="CCU4" i="3"/>
  <c r="CCU3" i="3"/>
  <c r="CCU5" i="3"/>
  <c r="CCQ4" i="3"/>
  <c r="CCQ6" i="3"/>
  <c r="CCQ3" i="3"/>
  <c r="CCQ5" i="3"/>
  <c r="CCM5" i="3"/>
  <c r="CCM4" i="3"/>
  <c r="CCM3" i="3"/>
  <c r="CCM6" i="3"/>
  <c r="CCI5" i="3"/>
  <c r="CCI6" i="3"/>
  <c r="CCI3" i="3"/>
  <c r="CCI4" i="3"/>
  <c r="CCE6" i="3"/>
  <c r="CCE5" i="3"/>
  <c r="CCE3" i="3"/>
  <c r="CCE4" i="3"/>
  <c r="BOR5" i="3"/>
  <c r="BOR4" i="3"/>
  <c r="BOR3" i="3"/>
  <c r="BOR6" i="3"/>
  <c r="BON5" i="3"/>
  <c r="BON4" i="3"/>
  <c r="BON3" i="3"/>
  <c r="BON6" i="3"/>
  <c r="BOJ4" i="3"/>
  <c r="BOJ6" i="3"/>
  <c r="BOJ3" i="3"/>
  <c r="BOJ5" i="3"/>
  <c r="BOF5" i="3"/>
  <c r="BOF4" i="3"/>
  <c r="BOF3" i="3"/>
  <c r="BOF6" i="3"/>
  <c r="BOB5" i="3"/>
  <c r="BOB4" i="3"/>
  <c r="BOB3" i="3"/>
  <c r="BOB6" i="3"/>
  <c r="BNX4" i="3"/>
  <c r="BNX6" i="3"/>
  <c r="BNX3" i="3"/>
  <c r="BNX5" i="3"/>
  <c r="BNT6" i="3"/>
  <c r="BNT5" i="3"/>
  <c r="BNT3" i="3"/>
  <c r="BNT4" i="3"/>
  <c r="BNO6" i="3"/>
  <c r="BNO5" i="3"/>
  <c r="BNO3" i="3"/>
  <c r="BNO4" i="3"/>
  <c r="BNK6" i="3"/>
  <c r="BNK4" i="3"/>
  <c r="BNK3" i="3"/>
  <c r="BNK5" i="3"/>
  <c r="BNG6" i="3"/>
  <c r="BNG4" i="3"/>
  <c r="BNG3" i="3"/>
  <c r="BNG5" i="3"/>
  <c r="BNC6" i="3"/>
  <c r="BNC5" i="3"/>
  <c r="BNC3" i="3"/>
  <c r="BNC4" i="3"/>
  <c r="BMY5" i="3"/>
  <c r="BMY6" i="3"/>
  <c r="BMY3" i="3"/>
  <c r="BMY4" i="3"/>
  <c r="BMU6" i="3"/>
  <c r="BMU4" i="3"/>
  <c r="BMU3" i="3"/>
  <c r="BMU5" i="3"/>
  <c r="BMQ5" i="3"/>
  <c r="BMQ6" i="3"/>
  <c r="BMQ3" i="3"/>
  <c r="BMQ4" i="3"/>
  <c r="BML5" i="3"/>
  <c r="BML4" i="3"/>
  <c r="BML3" i="3"/>
  <c r="BML6" i="3"/>
  <c r="BMH6" i="3"/>
  <c r="BMH4" i="3"/>
  <c r="BMH3" i="3"/>
  <c r="BMH5" i="3"/>
  <c r="BMD4" i="3"/>
  <c r="BMD5" i="3"/>
  <c r="BMD3" i="3"/>
  <c r="BMD6" i="3"/>
  <c r="BLZ6" i="3"/>
  <c r="BLZ5" i="3"/>
  <c r="BLZ3" i="3"/>
  <c r="BLZ4" i="3"/>
  <c r="BLV5" i="3"/>
  <c r="BLV4" i="3"/>
  <c r="BLV3" i="3"/>
  <c r="BLV6" i="3"/>
  <c r="BLR6" i="3"/>
  <c r="BLR4" i="3"/>
  <c r="BLR3" i="3"/>
  <c r="BLR5" i="3"/>
  <c r="BLN5" i="3"/>
  <c r="BLN4" i="3"/>
  <c r="BLN3" i="3"/>
  <c r="BLN6" i="3"/>
  <c r="BLI4" i="3"/>
  <c r="BLI5" i="3"/>
  <c r="BLI3" i="3"/>
  <c r="BLI6" i="3"/>
  <c r="BLE4" i="3"/>
  <c r="BLE5" i="3"/>
  <c r="BLE3" i="3"/>
  <c r="BLE6" i="3"/>
  <c r="BLA4" i="3"/>
  <c r="BLA5" i="3"/>
  <c r="BLA3" i="3"/>
  <c r="BLA6" i="3"/>
  <c r="BKW5" i="3"/>
  <c r="BKW4" i="3"/>
  <c r="BKW3" i="3"/>
  <c r="BKW6" i="3"/>
  <c r="BKS5" i="3"/>
  <c r="BKS4" i="3"/>
  <c r="BKS3" i="3"/>
  <c r="BKS6" i="3"/>
  <c r="BKO6" i="3"/>
  <c r="BKO5" i="3"/>
  <c r="BKO3" i="3"/>
  <c r="BKO4" i="3"/>
  <c r="BKK4" i="3"/>
  <c r="BKK5" i="3"/>
  <c r="BKK3" i="3"/>
  <c r="BKK6" i="3"/>
  <c r="BKF4" i="3"/>
  <c r="BKF5" i="3"/>
  <c r="BKF3" i="3"/>
  <c r="BKF6" i="3"/>
  <c r="BKB6" i="3"/>
  <c r="BKB4" i="3"/>
  <c r="BKB3" i="3"/>
  <c r="BKB5" i="3"/>
  <c r="BJX6" i="3"/>
  <c r="BJX5" i="3"/>
  <c r="BJX3" i="3"/>
  <c r="BJX4" i="3"/>
  <c r="BJT4" i="3"/>
  <c r="BJT6" i="3"/>
  <c r="BJT3" i="3"/>
  <c r="BJT5" i="3"/>
  <c r="BJP5" i="3"/>
  <c r="BJP4" i="3"/>
  <c r="BJP3" i="3"/>
  <c r="BJP6" i="3"/>
  <c r="BJL6" i="3"/>
  <c r="BJL5" i="3"/>
  <c r="BJL3" i="3"/>
  <c r="BJL4" i="3"/>
  <c r="BJH5" i="3"/>
  <c r="BJH6" i="3"/>
  <c r="BJH3" i="3"/>
  <c r="BJH4" i="3"/>
  <c r="BQ5" i="3"/>
  <c r="BQ4" i="3"/>
  <c r="BQ3" i="3"/>
  <c r="BQ6" i="3"/>
  <c r="CDB6" i="3"/>
  <c r="CDB4" i="3"/>
  <c r="CDB3" i="3"/>
  <c r="CDB5" i="3"/>
  <c r="CCX6" i="3"/>
  <c r="CCX5" i="3"/>
  <c r="CCX3" i="3"/>
  <c r="CCX4" i="3"/>
  <c r="CCT6" i="3"/>
  <c r="CCT5" i="3"/>
  <c r="CCT3" i="3"/>
  <c r="CCT4" i="3"/>
  <c r="CCP5" i="3"/>
  <c r="CCP4" i="3"/>
  <c r="CCP3" i="3"/>
  <c r="CCP6" i="3"/>
  <c r="CCL6" i="3"/>
  <c r="CCL5" i="3"/>
  <c r="CCL3" i="3"/>
  <c r="CCL4" i="3"/>
  <c r="CCH5" i="3"/>
  <c r="CCH6" i="3"/>
  <c r="CCH3" i="3"/>
  <c r="CCH4" i="3"/>
  <c r="CCD6" i="3"/>
  <c r="CCD5" i="3"/>
  <c r="CCD3" i="3"/>
  <c r="CCD4" i="3"/>
  <c r="BOQ4" i="3"/>
  <c r="BOQ5" i="3"/>
  <c r="BOQ3" i="3"/>
  <c r="BOQ6" i="3"/>
  <c r="BOM6" i="3"/>
  <c r="BOM5" i="3"/>
  <c r="BOM3" i="3"/>
  <c r="BOM4" i="3"/>
  <c r="BOI5" i="3"/>
  <c r="BOI6" i="3"/>
  <c r="BOI3" i="3"/>
  <c r="BOI4" i="3"/>
  <c r="BOE4" i="3"/>
  <c r="BOE5" i="3"/>
  <c r="BOE3" i="3"/>
  <c r="BOE6" i="3"/>
  <c r="BOA4" i="3"/>
  <c r="BOA6" i="3"/>
  <c r="BOA3" i="3"/>
  <c r="BOA5" i="3"/>
  <c r="BNW6" i="3"/>
  <c r="BNW4" i="3"/>
  <c r="BNW3" i="3"/>
  <c r="BNW5" i="3"/>
  <c r="BNN4" i="3"/>
  <c r="BNN5" i="3"/>
  <c r="BNN3" i="3"/>
  <c r="BNN6" i="3"/>
  <c r="BNJ6" i="3"/>
  <c r="BNJ5" i="3"/>
  <c r="BNJ3" i="3"/>
  <c r="BNJ4" i="3"/>
  <c r="BNF5" i="3"/>
  <c r="BNF4" i="3"/>
  <c r="BNF3" i="3"/>
  <c r="BNF6" i="3"/>
  <c r="BNB5" i="3"/>
  <c r="BNB6" i="3"/>
  <c r="BNB3" i="3"/>
  <c r="BNB4" i="3"/>
  <c r="BMX5" i="3"/>
  <c r="BMX6" i="3"/>
  <c r="BMX3" i="3"/>
  <c r="BMX4" i="3"/>
  <c r="BMT6" i="3"/>
  <c r="BMT4" i="3"/>
  <c r="BMT3" i="3"/>
  <c r="BMT5" i="3"/>
  <c r="BMK4" i="3"/>
  <c r="BMK5" i="3"/>
  <c r="BMK3" i="3"/>
  <c r="BMK6" i="3"/>
  <c r="BMG5" i="3"/>
  <c r="BMG4" i="3"/>
  <c r="BMG3" i="3"/>
  <c r="BMG6" i="3"/>
  <c r="BMC5" i="3"/>
  <c r="BMC4" i="3"/>
  <c r="BMC3" i="3"/>
  <c r="BMC6" i="3"/>
  <c r="BLY6" i="3"/>
  <c r="BLY4" i="3"/>
  <c r="BLY3" i="3"/>
  <c r="BLY5" i="3"/>
  <c r="BLU6" i="3"/>
  <c r="BLU5" i="3"/>
  <c r="BLU3" i="3"/>
  <c r="BLU4" i="3"/>
  <c r="BLQ4" i="3"/>
  <c r="BLQ5" i="3"/>
  <c r="BLQ3" i="3"/>
  <c r="BLQ6" i="3"/>
  <c r="BLH6" i="3"/>
  <c r="BLH4" i="3"/>
  <c r="BLH3" i="3"/>
  <c r="BLH5" i="3"/>
  <c r="BLD6" i="3"/>
  <c r="BLD5" i="3"/>
  <c r="BLD3" i="3"/>
  <c r="BLD4" i="3"/>
  <c r="BKZ5" i="3"/>
  <c r="BKZ6" i="3"/>
  <c r="BKZ3" i="3"/>
  <c r="BKZ4" i="3"/>
  <c r="BKV5" i="3"/>
  <c r="BKV6" i="3"/>
  <c r="BKV3" i="3"/>
  <c r="BKV4" i="3"/>
  <c r="BKR6" i="3"/>
  <c r="BKR5" i="3"/>
  <c r="BKR3" i="3"/>
  <c r="BKR4" i="3"/>
  <c r="BKN6" i="3"/>
  <c r="BKN5" i="3"/>
  <c r="BKN3" i="3"/>
  <c r="BKN4" i="3"/>
  <c r="BKE6" i="3"/>
  <c r="BKE4" i="3"/>
  <c r="BKE3" i="3"/>
  <c r="BKE5" i="3"/>
  <c r="BKA4" i="3"/>
  <c r="BKA6" i="3"/>
  <c r="BKA3" i="3"/>
  <c r="BKA5" i="3"/>
  <c r="BJW5" i="3"/>
  <c r="BJW6" i="3"/>
  <c r="BJW3" i="3"/>
  <c r="BJW4" i="3"/>
  <c r="BJS5" i="3"/>
  <c r="BJS4" i="3"/>
  <c r="BJS3" i="3"/>
  <c r="BJS6" i="3"/>
  <c r="BJO6" i="3"/>
  <c r="BJO5" i="3"/>
  <c r="BJO3" i="3"/>
  <c r="BJO4" i="3"/>
  <c r="BJK6" i="3"/>
  <c r="BJK5" i="3"/>
  <c r="BJK3" i="3"/>
  <c r="BJK4" i="3"/>
  <c r="BM6" i="3"/>
  <c r="BM4" i="3"/>
  <c r="BM3" i="3"/>
  <c r="BM5" i="3"/>
  <c r="BY5" i="3"/>
  <c r="BY6" i="3"/>
  <c r="BY3" i="3"/>
  <c r="BY4" i="3"/>
  <c r="BI6" i="3"/>
  <c r="BI5" i="3"/>
  <c r="BI3" i="3"/>
  <c r="BI4" i="3"/>
  <c r="BU5" i="3"/>
  <c r="BU4" i="3"/>
  <c r="BU3" i="3"/>
  <c r="BU6" i="3"/>
  <c r="CDA6" i="3"/>
  <c r="CDA5" i="3"/>
  <c r="CDA3" i="3"/>
  <c r="CDA4" i="3"/>
  <c r="CCW6" i="3"/>
  <c r="CCW4" i="3"/>
  <c r="CCW3" i="3"/>
  <c r="CCW5" i="3"/>
  <c r="CCS5" i="3"/>
  <c r="CCS4" i="3"/>
  <c r="CCS3" i="3"/>
  <c r="CCS6" i="3"/>
  <c r="CCO4" i="3"/>
  <c r="CCO5" i="3"/>
  <c r="CCO3" i="3"/>
  <c r="CCO6" i="3"/>
  <c r="CCK4" i="3"/>
  <c r="CCK6" i="3"/>
  <c r="CCK3" i="3"/>
  <c r="CCK5" i="3"/>
  <c r="CCG5" i="3"/>
  <c r="CCG4" i="3"/>
  <c r="CCG3" i="3"/>
  <c r="CCG6" i="3"/>
  <c r="CCC6" i="3"/>
  <c r="CCC5" i="3"/>
  <c r="CCC3" i="3"/>
  <c r="CCC4" i="3"/>
  <c r="BOP5" i="3"/>
  <c r="BOP6" i="3"/>
  <c r="BOP3" i="3"/>
  <c r="BOP4" i="3"/>
  <c r="BOL4" i="3"/>
  <c r="BOL6" i="3"/>
  <c r="BOL3" i="3"/>
  <c r="BOL5" i="3"/>
  <c r="BOH5" i="3"/>
  <c r="BOH6" i="3"/>
  <c r="BOH3" i="3"/>
  <c r="BOH4" i="3"/>
  <c r="BOD6" i="3"/>
  <c r="BOD5" i="3"/>
  <c r="BOD3" i="3"/>
  <c r="BOD4" i="3"/>
  <c r="BNZ4" i="3"/>
  <c r="BNZ5" i="3"/>
  <c r="BNZ3" i="3"/>
  <c r="BNZ6" i="3"/>
  <c r="BNV4" i="3"/>
  <c r="BNV6" i="3"/>
  <c r="BNV3" i="3"/>
  <c r="BNV5" i="3"/>
  <c r="BNM4" i="3"/>
  <c r="BNM5" i="3"/>
  <c r="BNM3" i="3"/>
  <c r="BNM6" i="3"/>
  <c r="BNI5" i="3"/>
  <c r="BNI4" i="3"/>
  <c r="BNI3" i="3"/>
  <c r="BNI6" i="3"/>
  <c r="BNE4" i="3"/>
  <c r="BNE5" i="3"/>
  <c r="BNE3" i="3"/>
  <c r="BNE6" i="3"/>
  <c r="BNA6" i="3"/>
  <c r="BNA5" i="3"/>
  <c r="BNA3" i="3"/>
  <c r="BNA4" i="3"/>
  <c r="BMW4" i="3"/>
  <c r="BMW5" i="3"/>
  <c r="BMW3" i="3"/>
  <c r="BMW6" i="3"/>
  <c r="BMS4" i="3"/>
  <c r="BMS6" i="3"/>
  <c r="BMS3" i="3"/>
  <c r="BMS5" i="3"/>
  <c r="BMJ4" i="3"/>
  <c r="BMJ5" i="3"/>
  <c r="BMJ3" i="3"/>
  <c r="BMJ6" i="3"/>
  <c r="BMF5" i="3"/>
  <c r="BMF6" i="3"/>
  <c r="BMF3" i="3"/>
  <c r="BMF4" i="3"/>
  <c r="BMB6" i="3"/>
  <c r="BMB5" i="3"/>
  <c r="BMB3" i="3"/>
  <c r="BMB4" i="3"/>
  <c r="BLX4" i="3"/>
  <c r="BLX6" i="3"/>
  <c r="BLX3" i="3"/>
  <c r="BLX5" i="3"/>
  <c r="BLT4" i="3"/>
  <c r="BLT5" i="3"/>
  <c r="BLT3" i="3"/>
  <c r="BLT6" i="3"/>
  <c r="BLP4" i="3"/>
  <c r="BLP5" i="3"/>
  <c r="BLP3" i="3"/>
  <c r="BLP6" i="3"/>
  <c r="BLG6" i="3"/>
  <c r="BLG5" i="3"/>
  <c r="BLG3" i="3"/>
  <c r="BLG4" i="3"/>
  <c r="BLC6" i="3"/>
  <c r="BLC5" i="3"/>
  <c r="BLC3" i="3"/>
  <c r="BLC4" i="3"/>
  <c r="BKY4" i="3"/>
  <c r="BKY6" i="3"/>
  <c r="BKY3" i="3"/>
  <c r="BKY5" i="3"/>
  <c r="BKU4" i="3"/>
  <c r="BKU5" i="3"/>
  <c r="BKU3" i="3"/>
  <c r="BKU6" i="3"/>
  <c r="BKQ4" i="3"/>
  <c r="BKQ6" i="3"/>
  <c r="BKQ3" i="3"/>
  <c r="BKQ5" i="3"/>
  <c r="BKM4" i="3"/>
  <c r="BKM6" i="3"/>
  <c r="BKM3" i="3"/>
  <c r="BKM5" i="3"/>
  <c r="BKD5" i="3"/>
  <c r="BKD6" i="3"/>
  <c r="BKD3" i="3"/>
  <c r="BKD4" i="3"/>
  <c r="BJV4" i="3"/>
  <c r="BJV5" i="3"/>
  <c r="BJV3" i="3"/>
  <c r="BJV6" i="3"/>
  <c r="BJR6" i="3"/>
  <c r="BJR5" i="3"/>
  <c r="BJR3" i="3"/>
  <c r="BJR4" i="3"/>
  <c r="BJN5" i="3"/>
  <c r="BJN4" i="3"/>
  <c r="BJN3" i="3"/>
  <c r="BJN6" i="3"/>
  <c r="CCZ4" i="3"/>
  <c r="CCZ5" i="3"/>
  <c r="CCZ3" i="3"/>
  <c r="CCZ6" i="3"/>
  <c r="CCV5" i="3"/>
  <c r="CCV4" i="3"/>
  <c r="CCV3" i="3"/>
  <c r="CCV6" i="3"/>
  <c r="CCR4" i="3"/>
  <c r="CCR5" i="3"/>
  <c r="CCR3" i="3"/>
  <c r="CCR6" i="3"/>
  <c r="CCN4" i="3"/>
  <c r="CCN5" i="3"/>
  <c r="CCN3" i="3"/>
  <c r="CCN6" i="3"/>
  <c r="CCJ4" i="3"/>
  <c r="CCJ5" i="3"/>
  <c r="CCJ3" i="3"/>
  <c r="CCJ6" i="3"/>
  <c r="CCF6" i="3"/>
  <c r="CCF4" i="3"/>
  <c r="CCF3" i="3"/>
  <c r="CCF5" i="3"/>
  <c r="BNY6" i="3"/>
  <c r="BNY5" i="3"/>
  <c r="BNY3" i="3"/>
  <c r="BNY4" i="3"/>
  <c r="BJJ6" i="3"/>
  <c r="BJJ4" i="3"/>
  <c r="BJJ3" i="3"/>
  <c r="BJJ5" i="3"/>
  <c r="BJM4" i="3"/>
  <c r="BJM5" i="3"/>
  <c r="BJM3" i="3"/>
  <c r="BJM6" i="3"/>
  <c r="BL5" i="3"/>
  <c r="BL4" i="3"/>
  <c r="BL3" i="3"/>
  <c r="BL6" i="3"/>
  <c r="BLO4" i="3"/>
  <c r="BLO6" i="3"/>
  <c r="BLO3" i="3"/>
  <c r="BLO5" i="3"/>
  <c r="BME5" i="3"/>
  <c r="BME6" i="3"/>
  <c r="BME3" i="3"/>
  <c r="BME4" i="3"/>
  <c r="BJQ6" i="3"/>
  <c r="BJQ4" i="3"/>
  <c r="BJQ3" i="3"/>
  <c r="BJQ5" i="3"/>
  <c r="BV6" i="3"/>
  <c r="BV4" i="3"/>
  <c r="BV3" i="3"/>
  <c r="BV5" i="3"/>
  <c r="BNH6" i="3"/>
  <c r="BNH4" i="3"/>
  <c r="BNH3" i="3"/>
  <c r="BNH5" i="3"/>
  <c r="BOC6" i="3"/>
  <c r="BOC5" i="3"/>
  <c r="BOC4" i="3"/>
  <c r="BOC3" i="3"/>
  <c r="CF6" i="3"/>
  <c r="CF5" i="3"/>
  <c r="CF3" i="3"/>
  <c r="CF4" i="3"/>
  <c r="BLF5" i="3"/>
  <c r="BLF6" i="3"/>
  <c r="BLF4" i="3"/>
  <c r="BLF3" i="3"/>
  <c r="BOS5" i="3"/>
  <c r="BOS4" i="3"/>
  <c r="BOS3" i="3"/>
  <c r="BOS6" i="3"/>
  <c r="BOG6" i="3"/>
  <c r="BOG5" i="3"/>
  <c r="BOG3" i="3"/>
  <c r="BOG4" i="3"/>
  <c r="BMI6" i="3"/>
  <c r="BMI5" i="3"/>
  <c r="BMI3" i="3"/>
  <c r="BMI4" i="3"/>
  <c r="BJ5" i="3"/>
  <c r="BJ4" i="3"/>
  <c r="BJ6" i="3"/>
  <c r="BJ3" i="3"/>
  <c r="CT5" i="3"/>
  <c r="CT6" i="3"/>
  <c r="CT4" i="3"/>
  <c r="CT3" i="3"/>
  <c r="BNU5" i="3"/>
  <c r="BNU6" i="3"/>
  <c r="BNU4" i="3"/>
  <c r="BNU3" i="3"/>
  <c r="BNL5" i="3"/>
  <c r="BNL6" i="3"/>
  <c r="BNL3" i="3"/>
  <c r="BNL4" i="3"/>
  <c r="BX4" i="3"/>
  <c r="BX6" i="3"/>
  <c r="BX3" i="3"/>
  <c r="BX5" i="3"/>
  <c r="BMM6" i="3"/>
  <c r="BMM5" i="3"/>
  <c r="BMM4" i="3"/>
  <c r="BMM3" i="3"/>
  <c r="BLJ5" i="3"/>
  <c r="BLJ6" i="3"/>
  <c r="BLJ3" i="3"/>
  <c r="BLJ4" i="3"/>
  <c r="CV4" i="3"/>
  <c r="CV5" i="3"/>
  <c r="CV6" i="3"/>
  <c r="CV3" i="3"/>
  <c r="CU5" i="3"/>
  <c r="CU6" i="3"/>
  <c r="CU4" i="3"/>
  <c r="CU3" i="3"/>
  <c r="BP6" i="3"/>
  <c r="BP5" i="3"/>
  <c r="BP4" i="3"/>
  <c r="BP3" i="3"/>
  <c r="CZ4" i="3"/>
  <c r="CZ5" i="3"/>
  <c r="CZ6" i="3"/>
  <c r="CZ3" i="3"/>
  <c r="BG4" i="3"/>
  <c r="BG5" i="3"/>
  <c r="BG6" i="3"/>
  <c r="BG3" i="3"/>
  <c r="BMR6" i="3"/>
  <c r="BMR4" i="3"/>
  <c r="BMR5" i="3"/>
  <c r="BMR3" i="3"/>
  <c r="BKG6" i="3"/>
  <c r="BKG4" i="3"/>
  <c r="BKG5" i="3"/>
  <c r="BKG3" i="3"/>
  <c r="BND5" i="3"/>
  <c r="BND4" i="3"/>
  <c r="BND6" i="3"/>
  <c r="BND3" i="3"/>
  <c r="BJZ5" i="3"/>
  <c r="BJZ6" i="3"/>
  <c r="BJZ4" i="3"/>
  <c r="BJZ3" i="3"/>
  <c r="CR4" i="3"/>
  <c r="CR5" i="3"/>
  <c r="CR6" i="3"/>
  <c r="CR3" i="3"/>
  <c r="BKP5" i="3"/>
  <c r="BKP6" i="3"/>
  <c r="BKP4" i="3"/>
  <c r="BKP3" i="3"/>
  <c r="BOO5" i="3"/>
  <c r="BOO6" i="3"/>
  <c r="BOO4" i="3"/>
  <c r="BOO3" i="3"/>
  <c r="BLB4" i="3"/>
  <c r="BLB6" i="3"/>
  <c r="BLB5" i="3"/>
  <c r="BLB3" i="3"/>
  <c r="BZ5" i="3"/>
  <c r="BZ6" i="3"/>
  <c r="BZ4" i="3"/>
  <c r="BZ3" i="3"/>
  <c r="BMA6" i="3"/>
  <c r="BMA4" i="3"/>
  <c r="BMA5" i="3"/>
  <c r="BMA3" i="3"/>
  <c r="BLS5" i="3"/>
  <c r="BLS4" i="3"/>
  <c r="BLS6" i="3"/>
  <c r="BLS3" i="3"/>
  <c r="BJI5" i="3"/>
  <c r="BJI4" i="3"/>
  <c r="BJI6" i="3"/>
  <c r="BJI3" i="3"/>
  <c r="BH4" i="3"/>
  <c r="BH6" i="3"/>
  <c r="BH5" i="3"/>
  <c r="BH3" i="3"/>
  <c r="BJY4" i="3"/>
  <c r="BJY5" i="3"/>
  <c r="BJY6" i="3"/>
  <c r="BJY3" i="3"/>
  <c r="BR6" i="3"/>
  <c r="BR5" i="3"/>
  <c r="BR4" i="3"/>
  <c r="BR3" i="3"/>
  <c r="CB5" i="3"/>
  <c r="CB4" i="3"/>
  <c r="CB6" i="3"/>
  <c r="CB3" i="3"/>
  <c r="BKX5" i="3"/>
  <c r="BKX4" i="3"/>
  <c r="BKX6" i="3"/>
  <c r="BKX3" i="3"/>
  <c r="BMZ6" i="3"/>
  <c r="BMZ4" i="3"/>
  <c r="BMZ5" i="3"/>
  <c r="BMZ3" i="3"/>
  <c r="CM4" i="3"/>
  <c r="CM6" i="3"/>
  <c r="CM5" i="3"/>
  <c r="CM3" i="3"/>
  <c r="BS5" i="3"/>
  <c r="BS6" i="3"/>
  <c r="BS4" i="3"/>
  <c r="BS3" i="3"/>
  <c r="CC5" i="3"/>
  <c r="CC4" i="3"/>
  <c r="CC6" i="3"/>
  <c r="CC3" i="3"/>
  <c r="BJU6" i="3"/>
  <c r="BJU5" i="3"/>
  <c r="BJU4" i="3"/>
  <c r="BJU3" i="3"/>
  <c r="BT6" i="3"/>
  <c r="BT4" i="3"/>
  <c r="BT5" i="3"/>
  <c r="BT3" i="3"/>
  <c r="BKC6" i="3"/>
  <c r="BKC5" i="3"/>
  <c r="BKC4" i="3"/>
  <c r="BKC3" i="3"/>
  <c r="CA5" i="3"/>
  <c r="CA4" i="3"/>
  <c r="CA6" i="3"/>
  <c r="CA3" i="3"/>
  <c r="BW5" i="3"/>
  <c r="BW6" i="3"/>
  <c r="BW4" i="3"/>
  <c r="BW3" i="3"/>
  <c r="DA6" i="3"/>
  <c r="DA4" i="3"/>
  <c r="DA5" i="3"/>
  <c r="DA3" i="3"/>
  <c r="CY4" i="3"/>
  <c r="CY5" i="3"/>
  <c r="CY6" i="3"/>
  <c r="CY3" i="3"/>
  <c r="BKT5" i="3"/>
  <c r="BKT4" i="3"/>
  <c r="BKT6" i="3"/>
  <c r="BKT3" i="3"/>
  <c r="BN5" i="3"/>
  <c r="BN4" i="3"/>
  <c r="BN6" i="3"/>
  <c r="BN3" i="3"/>
  <c r="BO5" i="3"/>
  <c r="BO6" i="3"/>
  <c r="BO4" i="3"/>
  <c r="BO3" i="3"/>
  <c r="CE4" i="3"/>
  <c r="CE5" i="3"/>
  <c r="CE6" i="3"/>
  <c r="CE3" i="3"/>
  <c r="DK6" i="3"/>
  <c r="DK4" i="3"/>
  <c r="DK5" i="3"/>
  <c r="DK3" i="3"/>
  <c r="BK5" i="3"/>
  <c r="BK4" i="3"/>
  <c r="BK6" i="3"/>
  <c r="BK3" i="3"/>
  <c r="CX4" i="3"/>
  <c r="CX5" i="3"/>
  <c r="CX6" i="3"/>
  <c r="CX3" i="3"/>
  <c r="BOK6" i="3"/>
  <c r="BOK4" i="3"/>
  <c r="BOK5" i="3"/>
  <c r="BOK3" i="3"/>
  <c r="BNP5" i="3"/>
  <c r="BNP6" i="3"/>
  <c r="BNP4" i="3"/>
  <c r="BNP3" i="3"/>
  <c r="BMV5" i="3"/>
  <c r="BMV6" i="3"/>
  <c r="BMV4" i="3"/>
  <c r="BMV3" i="3"/>
  <c r="BLW4" i="3"/>
  <c r="BLW6" i="3"/>
  <c r="BLW5" i="3"/>
  <c r="BLW3" i="3"/>
  <c r="BKL6" i="3"/>
  <c r="BKL5" i="3"/>
  <c r="BKL4" i="3"/>
  <c r="BKL3" i="3"/>
  <c r="DL6" i="3"/>
  <c r="DL4" i="3"/>
  <c r="DL5" i="3"/>
  <c r="DL3" i="3"/>
  <c r="CD5" i="3"/>
  <c r="CD6" i="3"/>
  <c r="CD4" i="3"/>
  <c r="CD3" i="3"/>
  <c r="DG6" i="3"/>
  <c r="DG4" i="3"/>
  <c r="DG5" i="3"/>
  <c r="DG3" i="3"/>
  <c r="DH4" i="3"/>
  <c r="DH5" i="3"/>
  <c r="DH6" i="3"/>
  <c r="DH3" i="3"/>
  <c r="DC5" i="3"/>
  <c r="DC6" i="3"/>
  <c r="DC4" i="3"/>
  <c r="DC3" i="3"/>
  <c r="DB6" i="3"/>
  <c r="DB4" i="3"/>
  <c r="DB5" i="3"/>
  <c r="DB3" i="3"/>
  <c r="DE4" i="3"/>
  <c r="DE6" i="3"/>
  <c r="DE5" i="3"/>
  <c r="DE3" i="3"/>
  <c r="CO4" i="3"/>
  <c r="CO6" i="3"/>
  <c r="CO5" i="3"/>
  <c r="CO3" i="3"/>
  <c r="DI4" i="3"/>
  <c r="DI5" i="3"/>
  <c r="DI6" i="3"/>
  <c r="DI3" i="3"/>
  <c r="CN6" i="3"/>
  <c r="CN5" i="3"/>
  <c r="CN4" i="3"/>
  <c r="CN3" i="3"/>
  <c r="DD6" i="3"/>
  <c r="DD5" i="3"/>
  <c r="DD4" i="3"/>
  <c r="DD3" i="3"/>
  <c r="CP6" i="3"/>
  <c r="CP4" i="3"/>
  <c r="CP5" i="3"/>
  <c r="CP3" i="3"/>
  <c r="DJ4" i="3"/>
  <c r="DJ6" i="3"/>
  <c r="DJ5" i="3"/>
  <c r="DJ3" i="3"/>
  <c r="CW4" i="3"/>
  <c r="CW5" i="3"/>
  <c r="CW3" i="3"/>
  <c r="CW6" i="3"/>
  <c r="DF5" i="3"/>
  <c r="DF4" i="3"/>
  <c r="DF3" i="3"/>
  <c r="DF6" i="3"/>
  <c r="CS6" i="3"/>
  <c r="CS4" i="3"/>
  <c r="CS5" i="3"/>
  <c r="CS3" i="3"/>
  <c r="CQ6" i="3"/>
  <c r="CQ5" i="3"/>
  <c r="CQ3" i="3"/>
  <c r="CQ4" i="3"/>
  <c r="AHF3" i="3"/>
  <c r="AHF6" i="3"/>
  <c r="AGZ6" i="3"/>
  <c r="AGZ3" i="3"/>
  <c r="BMO3" i="3"/>
  <c r="BNR3" i="3"/>
  <c r="AGF3" i="3"/>
  <c r="AGT3" i="3"/>
  <c r="AGT6" i="3"/>
  <c r="AHE6" i="3"/>
  <c r="AHE3" i="3"/>
  <c r="AHB3" i="3"/>
  <c r="AHB6" i="3"/>
  <c r="AGK6" i="3"/>
  <c r="AGK3" i="3"/>
  <c r="AGV6" i="3"/>
  <c r="AGV3" i="3"/>
  <c r="CK6" i="3"/>
  <c r="AGP6" i="3"/>
  <c r="AGP3" i="3"/>
  <c r="CDC3" i="3"/>
  <c r="AGO6" i="3"/>
  <c r="AGO3" i="3"/>
  <c r="BE4" i="3"/>
  <c r="CK4" i="3"/>
  <c r="BNS5" i="3"/>
  <c r="BNR5" i="3"/>
  <c r="AGM6" i="3"/>
  <c r="AGM3" i="3"/>
  <c r="AGI3" i="3"/>
  <c r="AGI6" i="3"/>
  <c r="BJF3" i="3"/>
  <c r="BLL3" i="3"/>
  <c r="AGL3" i="3"/>
  <c r="AGL6" i="3"/>
  <c r="AHA3" i="3"/>
  <c r="AHA6" i="3"/>
  <c r="AGR3" i="3"/>
  <c r="AGR6" i="3"/>
  <c r="AGU3" i="3"/>
  <c r="AGU6" i="3"/>
  <c r="AGY3" i="3"/>
  <c r="AGY6" i="3"/>
  <c r="AGW6" i="3"/>
  <c r="AGW3" i="3"/>
  <c r="BLM4" i="3"/>
  <c r="BLL4" i="3"/>
  <c r="AGX3" i="3"/>
  <c r="AGX6" i="3"/>
  <c r="AGQ3" i="3"/>
  <c r="AGQ6" i="3"/>
  <c r="AGN3" i="3"/>
  <c r="AGN6" i="3"/>
  <c r="BLM5" i="3"/>
  <c r="BLL5" i="3"/>
  <c r="AHD3" i="3"/>
  <c r="AHD6" i="3"/>
  <c r="CL6" i="3"/>
  <c r="CK3" i="3"/>
  <c r="CL4" i="3"/>
  <c r="BF4" i="3"/>
  <c r="BE3" i="3"/>
  <c r="AGS3" i="3"/>
  <c r="AGS6" i="3"/>
  <c r="AGH6" i="3"/>
  <c r="AGH3" i="3"/>
  <c r="BKI6" i="3"/>
  <c r="AGJ6" i="3"/>
  <c r="AGJ3" i="3"/>
  <c r="BMP4" i="3"/>
  <c r="BMO4" i="3"/>
  <c r="BMP6" i="3"/>
  <c r="BMO6" i="3"/>
  <c r="BF6" i="3"/>
  <c r="BE6" i="3"/>
  <c r="CCB6" i="3"/>
  <c r="CDC6" i="3"/>
  <c r="AHG3" i="3"/>
  <c r="AHG6" i="3"/>
  <c r="CCB5" i="3"/>
  <c r="CDC5" i="3"/>
  <c r="BNS6" i="3"/>
  <c r="BNR6" i="3"/>
  <c r="BF3" i="3"/>
  <c r="BF5" i="3"/>
  <c r="BE5" i="3"/>
  <c r="BJG5" i="3"/>
  <c r="BJF5" i="3"/>
  <c r="AGG3" i="3"/>
  <c r="AGG6" i="3"/>
  <c r="AGF6" i="3"/>
  <c r="AHC3" i="3"/>
  <c r="AHC6" i="3"/>
  <c r="BKI3" i="3"/>
  <c r="BKJ6" i="3"/>
  <c r="BNS3" i="3"/>
  <c r="BNS4" i="3"/>
  <c r="BNR4" i="3"/>
  <c r="BMP3" i="3"/>
  <c r="BMP5" i="3"/>
  <c r="BMO5" i="3"/>
  <c r="CL3" i="3"/>
  <c r="CL5" i="3"/>
  <c r="CK5" i="3"/>
  <c r="BJG4" i="3"/>
  <c r="BJF4" i="3"/>
  <c r="BLM3" i="3"/>
  <c r="BLM6" i="3"/>
  <c r="BLL6" i="3"/>
  <c r="BKJ4" i="3"/>
  <c r="BKI4" i="3"/>
  <c r="BJG3" i="3"/>
  <c r="BJG6" i="3"/>
  <c r="BJF6" i="3"/>
  <c r="BKJ3" i="3"/>
  <c r="BKJ5" i="3"/>
  <c r="BKI5" i="3"/>
  <c r="CCB3" i="3"/>
  <c r="CCB4" i="3"/>
  <c r="CDC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000-000001000000}">
      <text/>
    </comment>
    <comment ref="C4" authorId="1" shapeId="0" xr:uid="{00000000-0006-0000-0000-000002000000}">
      <text/>
    </comment>
    <comment ref="D4" authorId="1" shapeId="0" xr:uid="{00000000-0006-0000-0000-000003000000}">
      <text/>
    </comment>
    <comment ref="E4" authorId="1" shapeId="0" xr:uid="{00000000-0006-0000-0000-000004000000}">
      <text/>
    </comment>
    <comment ref="F4" authorId="1" shapeId="0" xr:uid="{00000000-0006-0000-0000-000005000000}">
      <text/>
    </comment>
    <comment ref="G4" authorId="1" shapeId="0" xr:uid="{00000000-0006-0000-0000-000006000000}">
      <text/>
    </comment>
    <comment ref="H4" authorId="1" shapeId="0" xr:uid="{00000000-0006-0000-0000-000007000000}">
      <text/>
    </comment>
    <comment ref="I4" authorId="1" shapeId="0" xr:uid="{00000000-0006-0000-0000-000008000000}">
      <text/>
    </comment>
    <comment ref="J4" authorId="1" shapeId="0" xr:uid="{00000000-0006-0000-0000-000009000000}">
      <text/>
    </comment>
    <comment ref="K4" authorId="1" shapeId="0" xr:uid="{00000000-0006-0000-0000-00000A000000}">
      <text/>
    </comment>
    <comment ref="L4" authorId="1" shapeId="0" xr:uid="{00000000-0006-0000-0000-00000B000000}">
      <text/>
    </comment>
    <comment ref="M4" authorId="1" shapeId="0" xr:uid="{00000000-0006-0000-0000-00000C000000}">
      <text/>
    </comment>
    <comment ref="N4" authorId="1" shapeId="0" xr:uid="{00000000-0006-0000-0000-00000D000000}">
      <text/>
    </comment>
    <comment ref="O4" authorId="1" shapeId="0" xr:uid="{00000000-0006-0000-0000-00000E000000}">
      <text/>
    </comment>
    <comment ref="Q4" authorId="1" shapeId="0" xr:uid="{00000000-0006-0000-0000-00000F000000}">
      <text/>
    </comment>
    <comment ref="R4" authorId="1" shapeId="0" xr:uid="{00000000-0006-0000-0000-000010000000}">
      <text/>
    </comment>
    <comment ref="S4" authorId="1" shapeId="0" xr:uid="{00000000-0006-0000-0000-000011000000}">
      <text/>
    </comment>
    <comment ref="T4" authorId="1" shapeId="0" xr:uid="{00000000-0006-0000-0000-000012000000}">
      <text/>
    </comment>
    <comment ref="U4" authorId="1" shapeId="0" xr:uid="{00000000-0006-0000-0000-000013000000}">
      <text/>
    </comment>
    <comment ref="V4" authorId="1" shapeId="0" xr:uid="{00000000-0006-0000-0000-000014000000}">
      <text/>
    </comment>
    <comment ref="W4" authorId="1" shapeId="0" xr:uid="{00000000-0006-0000-0000-000015000000}">
      <text/>
    </comment>
    <comment ref="X4" authorId="1" shapeId="0" xr:uid="{00000000-0006-0000-0000-000016000000}">
      <text/>
    </comment>
    <comment ref="Y4" authorId="1" shapeId="0" xr:uid="{00000000-0006-0000-0000-000017000000}">
      <text/>
    </comment>
    <comment ref="Z4" authorId="1" shapeId="0" xr:uid="{00000000-0006-0000-0000-000018000000}">
      <text/>
    </comment>
    <comment ref="AA4" authorId="1" shapeId="0" xr:uid="{00000000-0006-0000-0000-000019000000}">
      <text/>
    </comment>
    <comment ref="AB4" authorId="1" shapeId="0" xr:uid="{00000000-0006-0000-0000-00001A000000}">
      <text/>
    </comment>
    <comment ref="AC4" authorId="1" shapeId="0" xr:uid="{00000000-0006-0000-0000-00001B000000}">
      <text/>
    </comment>
    <comment ref="AD4" authorId="1" shapeId="0" xr:uid="{00000000-0006-0000-0000-00001C000000}">
      <text/>
    </comment>
    <comment ref="AE4" authorId="1" shapeId="0" xr:uid="{00000000-0006-0000-0000-00001D000000}">
      <text/>
    </comment>
    <comment ref="AF4" authorId="1" shapeId="0" xr:uid="{00000000-0006-0000-0000-00001E000000}">
      <text/>
    </comment>
    <comment ref="AG4" authorId="1" shapeId="0" xr:uid="{00000000-0006-0000-0000-00001F000000}">
      <text/>
    </comment>
    <comment ref="AH4" authorId="1" shapeId="0" xr:uid="{00000000-0006-0000-0000-000020000000}">
      <text/>
    </comment>
    <comment ref="AI4" authorId="1" shapeId="0" xr:uid="{00000000-0006-0000-0000-000021000000}">
      <text/>
    </comment>
    <comment ref="AJ4" authorId="1" shapeId="0" xr:uid="{00000000-0006-0000-0000-000022000000}">
      <text/>
    </comment>
    <comment ref="AK4" authorId="1" shapeId="0" xr:uid="{00000000-0006-0000-0000-000023000000}">
      <text/>
    </comment>
    <comment ref="AL4" authorId="1" shapeId="0" xr:uid="{00000000-0006-0000-0000-000024000000}">
      <text/>
    </comment>
    <comment ref="AM4" authorId="1" shapeId="0" xr:uid="{00000000-0006-0000-0000-000025000000}">
      <text/>
    </comment>
    <comment ref="AN4" authorId="1" shapeId="0" xr:uid="{00000000-0006-0000-0000-000026000000}">
      <text/>
    </comment>
    <comment ref="AO4" authorId="1" shapeId="0" xr:uid="{00000000-0006-0000-0000-000027000000}">
      <text/>
    </comment>
    <comment ref="AP4" authorId="1" shapeId="0" xr:uid="{00000000-0006-0000-0000-000028000000}">
      <text/>
    </comment>
    <comment ref="AQ4" authorId="1" shapeId="0" xr:uid="{00000000-0006-0000-0000-000029000000}">
      <text/>
    </comment>
    <comment ref="AR4" authorId="1" shapeId="0" xr:uid="{00000000-0006-0000-0000-00002A00000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  <author>Author</author>
  </authors>
  <commentList>
    <comment ref="B4" authorId="0" shapeId="0" xr:uid="{00000000-0006-0000-0100-000001000000}">
      <text/>
    </comment>
    <comment ref="C4" authorId="1" shapeId="0" xr:uid="{00000000-0006-0000-0100-000002000000}">
      <text/>
    </comment>
    <comment ref="D4" authorId="1" shapeId="0" xr:uid="{00000000-0006-0000-0100-000003000000}">
      <text/>
    </comment>
    <comment ref="E4" authorId="1" shapeId="0" xr:uid="{00000000-0006-0000-0100-000004000000}">
      <text/>
    </comment>
    <comment ref="F4" authorId="1" shapeId="0" xr:uid="{00000000-0006-0000-0100-000005000000}">
      <text/>
    </comment>
    <comment ref="G4" authorId="1" shapeId="0" xr:uid="{00000000-0006-0000-0100-000006000000}">
      <text/>
    </comment>
    <comment ref="H4" authorId="1" shapeId="0" xr:uid="{00000000-0006-0000-0100-000007000000}">
      <text/>
    </comment>
    <comment ref="I4" authorId="1" shapeId="0" xr:uid="{00000000-0006-0000-0100-000008000000}">
      <text/>
    </comment>
    <comment ref="J4" authorId="1" shapeId="0" xr:uid="{00000000-0006-0000-0100-000009000000}">
      <text/>
    </comment>
    <comment ref="K4" authorId="1" shapeId="0" xr:uid="{00000000-0006-0000-0100-00000A000000}">
      <text/>
    </comment>
    <comment ref="L4" authorId="1" shapeId="0" xr:uid="{00000000-0006-0000-0100-00000B000000}">
      <text/>
    </comment>
    <comment ref="M4" authorId="1" shapeId="0" xr:uid="{00000000-0006-0000-0100-00000C000000}">
      <text/>
    </comment>
    <comment ref="N4" authorId="1" shapeId="0" xr:uid="{00000000-0006-0000-0100-00000D000000}">
      <text/>
    </comment>
    <comment ref="O4" authorId="1" shapeId="0" xr:uid="{00000000-0006-0000-0100-00000E000000}">
      <text/>
    </comment>
    <comment ref="Q4" authorId="1" shapeId="0" xr:uid="{00000000-0006-0000-0100-00000F000000}">
      <text/>
    </comment>
    <comment ref="R4" authorId="1" shapeId="0" xr:uid="{00000000-0006-0000-0100-000010000000}">
      <text/>
    </comment>
    <comment ref="S4" authorId="1" shapeId="0" xr:uid="{00000000-0006-0000-0100-000011000000}">
      <text/>
    </comment>
    <comment ref="T4" authorId="1" shapeId="0" xr:uid="{00000000-0006-0000-0100-000012000000}">
      <text/>
    </comment>
    <comment ref="U4" authorId="1" shapeId="0" xr:uid="{00000000-0006-0000-0100-000013000000}">
      <text/>
    </comment>
    <comment ref="V4" authorId="1" shapeId="0" xr:uid="{00000000-0006-0000-0100-000014000000}">
      <text/>
    </comment>
    <comment ref="W4" authorId="1" shapeId="0" xr:uid="{00000000-0006-0000-0100-000015000000}">
      <text/>
    </comment>
    <comment ref="X4" authorId="1" shapeId="0" xr:uid="{00000000-0006-0000-0100-000016000000}">
      <text/>
    </comment>
    <comment ref="Y4" authorId="1" shapeId="0" xr:uid="{00000000-0006-0000-0100-000017000000}">
      <text/>
    </comment>
    <comment ref="Z4" authorId="1" shapeId="0" xr:uid="{00000000-0006-0000-0100-000018000000}">
      <text/>
    </comment>
    <comment ref="AA4" authorId="1" shapeId="0" xr:uid="{00000000-0006-0000-0100-000019000000}">
      <text/>
    </comment>
    <comment ref="AB4" authorId="1" shapeId="0" xr:uid="{00000000-0006-0000-0100-00001A000000}">
      <text/>
    </comment>
    <comment ref="AC4" authorId="1" shapeId="0" xr:uid="{00000000-0006-0000-0100-00001B000000}">
      <text/>
    </comment>
    <comment ref="AD4" authorId="1" shapeId="0" xr:uid="{00000000-0006-0000-0100-00001C000000}">
      <text/>
    </comment>
    <comment ref="AE4" authorId="1" shapeId="0" xr:uid="{00000000-0006-0000-0100-00001D000000}">
      <text/>
    </comment>
    <comment ref="AF4" authorId="1" shapeId="0" xr:uid="{00000000-0006-0000-0100-00001E000000}">
      <text/>
    </comment>
    <comment ref="AG4" authorId="1" shapeId="0" xr:uid="{00000000-0006-0000-0100-00001F000000}">
      <text/>
    </comment>
    <comment ref="AH4" authorId="1" shapeId="0" xr:uid="{00000000-0006-0000-0100-000020000000}">
      <text/>
    </comment>
    <comment ref="AI4" authorId="1" shapeId="0" xr:uid="{00000000-0006-0000-0100-000021000000}">
      <text/>
    </comment>
    <comment ref="AJ4" authorId="1" shapeId="0" xr:uid="{00000000-0006-0000-0100-000022000000}">
      <text/>
    </comment>
    <comment ref="AK4" authorId="1" shapeId="0" xr:uid="{00000000-0006-0000-0100-000023000000}">
      <text/>
    </comment>
    <comment ref="AL4" authorId="1" shapeId="0" xr:uid="{00000000-0006-0000-0100-000024000000}">
      <text/>
    </comment>
    <comment ref="AM4" authorId="1" shapeId="0" xr:uid="{00000000-0006-0000-0100-000025000000}">
      <text/>
    </comment>
    <comment ref="AN4" authorId="1" shapeId="0" xr:uid="{00000000-0006-0000-0100-000026000000}">
      <text/>
    </comment>
    <comment ref="AO4" authorId="1" shapeId="0" xr:uid="{00000000-0006-0000-0100-000027000000}">
      <text/>
    </comment>
    <comment ref="AP4" authorId="1" shapeId="0" xr:uid="{00000000-0006-0000-0100-000028000000}">
      <text/>
    </comment>
    <comment ref="AQ4" authorId="1" shapeId="0" xr:uid="{00000000-0006-0000-0100-000029000000}">
      <text/>
    </comment>
    <comment ref="AR4" authorId="1" shapeId="0" xr:uid="{00000000-0006-0000-0100-00002A000000}">
      <text/>
    </comment>
    <comment ref="AS4" authorId="2" shapeId="0" xr:uid="{00000000-0006-0000-0100-00002B000000}">
      <text/>
    </comment>
    <comment ref="AT4" authorId="2" shapeId="0" xr:uid="{00000000-0006-0000-0100-00002C000000}">
      <text/>
    </comment>
    <comment ref="AU4" authorId="2" shapeId="0" xr:uid="{00000000-0006-0000-0100-00002D000000}">
      <text/>
    </comment>
    <comment ref="AV4" authorId="2" shapeId="0" xr:uid="{00000000-0006-0000-0100-00002E000000}">
      <text/>
    </comment>
  </commentList>
</comments>
</file>

<file path=xl/sharedStrings.xml><?xml version="1.0" encoding="utf-8"?>
<sst xmlns="http://schemas.openxmlformats.org/spreadsheetml/2006/main" count="1072" uniqueCount="377">
  <si>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</si>
  <si>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</si>
  <si>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</si>
  <si>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</si>
  <si>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</si>
  <si>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</si>
  <si>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</si>
  <si>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</si>
  <si>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</si>
  <si>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</si>
  <si>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</si>
  <si>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</si>
  <si>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</si>
  <si>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</si>
  <si>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</si>
  <si>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</si>
  <si>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</si>
  <si>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</si>
  <si>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</si>
  <si>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</si>
  <si>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</si>
  <si>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</si>
  <si>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</si>
  <si>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</si>
  <si>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</si>
  <si>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</si>
  <si>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</si>
  <si>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</si>
  <si>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</si>
  <si>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</si>
  <si>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</si>
  <si>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</si>
  <si>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</si>
  <si>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</si>
  <si>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</si>
  <si>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</si>
  <si>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</si>
  <si>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</si>
  <si>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</si>
  <si>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</si>
  <si>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</si>
  <si>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</si>
  <si>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</si>
  <si>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</si>
  <si>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</si>
  <si>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</si>
  <si>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</si>
  <si>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</si>
  <si>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</si>
  <si>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</si>
  <si>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</si>
  <si>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</si>
  <si>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</si>
  <si>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</si>
  <si>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</si>
  <si>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</si>
  <si>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</si>
  <si>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</si>
  <si>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</si>
  <si>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</si>
  <si>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</si>
  <si>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</si>
  <si>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</si>
  <si>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</si>
  <si>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</si>
  <si>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</si>
  <si>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</si>
  <si>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</si>
  <si>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PreSelecao_ConteudoOnline</t>
  </si>
  <si>
    <t>CodigoPlanoConteudoOnline</t>
  </si>
  <si>
    <t>PlanoBundleOferta</t>
  </si>
  <si>
    <t>OpcaoSVA</t>
  </si>
  <si>
    <t>OpcaoSD</t>
  </si>
  <si>
    <t>OfertacomDVR</t>
  </si>
  <si>
    <t>FranquiaVozMovel</t>
  </si>
  <si>
    <t>NivelPrecoRet</t>
  </si>
  <si>
    <t>MesesFidel</t>
  </si>
  <si>
    <t>"Fixo Ilimitado"</t>
  </si>
  <si>
    <t>"RetencaoOT"</t>
  </si>
  <si>
    <t>"TV Start HD"</t>
  </si>
  <si>
    <t>False"TV Start HD""VC LD Ilimitado""Fixo Ilimitado""RetencaoOT"</t>
  </si>
  <si>
    <t>False"TV Start HD""VC Ilimitado""Fixo Ilimitado""RetencaoOT"</t>
  </si>
  <si>
    <t>"TV Mix HD"</t>
  </si>
  <si>
    <t>False"TV Mix HD""VC LD Ilimitado""Fixo Ilimitado""RetencaoOT"</t>
  </si>
  <si>
    <t>False"TV Mix HD""VC Ilimitado""Fixo Ilimitado""RetencaoOT"</t>
  </si>
  <si>
    <t>"TV Total HD"</t>
  </si>
  <si>
    <t>False"TV Total HD""VC LD Ilimitado""Fixo Ilimitado""RetencaoOT"</t>
  </si>
  <si>
    <t>False"TV Total HD""VC Ilimitado""Fixo Ilimitado""RetencaoOT"</t>
  </si>
  <si>
    <t>True"TV Total HD""VC LD Ilimitado""Fixo Ilimitado""RetencaoOT"</t>
  </si>
  <si>
    <t>True"TV Total HD""VC Ilimitado""Fixo Ilimitado""RetencaoOT"</t>
  </si>
  <si>
    <t>"TV Mix HBOMAX HD"</t>
  </si>
  <si>
    <t>False"TV Mix HBOMAX HD""VC LD Ilimitado""Fixo Ilimitado""RetencaoOT"</t>
  </si>
  <si>
    <t>False"TV Mix HBOMAX HD""VC Ilimitado""Fixo Ilimitado""RetencaoOT"</t>
  </si>
  <si>
    <t>"TV Mix Telecine HD"</t>
  </si>
  <si>
    <t>False"TV Mix Telecine HD""VC LD Ilimitado""Fixo Ilimitado""RetencaoOT"</t>
  </si>
  <si>
    <t>False"TV Mix Telecine HD""VC Ilimitado""Fixo Ilimitado""RetencaoOT"</t>
  </si>
  <si>
    <t>"TV Mix Cinema HD"</t>
  </si>
  <si>
    <t>False"TV Mix Cinema HD""VC LD Ilimitado""Fixo Ilimitado""RetencaoOT"</t>
  </si>
  <si>
    <t>False"TV Mix Cinema HD""VC Ilimitado""Fixo Ilimitado""RetencaoOT"</t>
  </si>
  <si>
    <t>"TV Total HBOMAX HD"</t>
  </si>
  <si>
    <t>False"TV Total HBOMAX HD""VC LD Ilimitado""Fixo Ilimitado""RetencaoOT"</t>
  </si>
  <si>
    <t>False"TV Total HBOMAX HD""VC Ilimitado""Fixo Ilimitado""RetencaoOT"</t>
  </si>
  <si>
    <t>"TV Total Telecine HD"</t>
  </si>
  <si>
    <t>False"TV Total Telecine HD""VC LD Ilimitado""Fixo Ilimitado""RetencaoOT"</t>
  </si>
  <si>
    <t>False"TV Total Telecine HD""VC Ilimitado""Fixo Ilimitado""RetencaoOT"</t>
  </si>
  <si>
    <t>"TV Total Cinema HD"</t>
  </si>
  <si>
    <t>False"TV Total Cinema HD""VC LD Ilimitado""Fixo Ilimitado""RetencaoOT"</t>
  </si>
  <si>
    <t>False"TV Total Cinema HD""VC Ilimitado""Fixo Ilimitado""RetencaoOT"</t>
  </si>
  <si>
    <t>True"TV Total HBOMAX HD""VC LD Ilimitado""Fixo Ilimitado""RetencaoOT"</t>
  </si>
  <si>
    <t>True"TV Total HBOMAX HD""VC Ilimitado""Fixo Ilimitado""RetencaoOT"</t>
  </si>
  <si>
    <t>True"TV Total Telecine HD""VC LD Ilimitado""Fixo Ilimitado""RetencaoOT"</t>
  </si>
  <si>
    <t>True"TV Total Telecine HD""VC Ilimitado""Fixo Ilimitado""RetencaoOT"</t>
  </si>
  <si>
    <t>True"TV Total Cinema HD""VC LD Ilimitado""Fixo Ilimitado""RetencaoOT"</t>
  </si>
  <si>
    <t>True"TV Total Cinema HD""VC Ilimitado""Fixo Ilimitado""RetencaoOT"</t>
  </si>
  <si>
    <t>True"TV Mix Futebol HD""VC LD Ilimitado""Fixo Ilimitado""RetencaoOT"</t>
  </si>
  <si>
    <t>True"TV Mix Futebol HD""VC Ilimitado""Fixo Ilimitado""RetencaoOT"</t>
  </si>
  <si>
    <t>True"TV Mix Cinema Futebol HD""VC LD Ilimitado""Fixo Ilimitado""RetencaoOT"</t>
  </si>
  <si>
    <t>True"TV Mix Cinema Futebol HD""VC Ilimitado""Fixo Ilimitado""RetencaoOT"</t>
  </si>
  <si>
    <t>True"TV Total Futebol HD""VC LD Ilimitado""Fixo Ilimitado""RetencaoOT"</t>
  </si>
  <si>
    <t>True"TV Total Futebol HD""VC Ilimitado""Fixo Ilimitado""RetencaoOT"</t>
  </si>
  <si>
    <t>True"TV Total Cinema Futebol HD""VC LD Ilimitado""Fixo Ilimitado""RetencaoOT"</t>
  </si>
  <si>
    <t>True"TV Total Cinema Futebol HD""VC Ilimitado""Fixo Ilimitado""RetencaoOT"</t>
  </si>
  <si>
    <t>TesteLab</t>
  </si>
  <si>
    <t>LinhaOferta</t>
  </si>
  <si>
    <t>CodigoCampanhaVoz</t>
  </si>
  <si>
    <t>CodigoOfertaVoz</t>
  </si>
  <si>
    <t>@if(TmpDadosCliente.GrupoTesteAnalytics == "MICRO_SEG_OT",@when(IsTop1Estrategia2),true)</t>
  </si>
  <si>
    <t>.LinhaOferta</t>
  </si>
  <si>
    <t>.CodigoCampanhaVoz</t>
  </si>
  <si>
    <t>.CodigoOfertaVoz</t>
  </si>
  <si>
    <t>Portfolio</t>
  </si>
  <si>
    <t>Classificação</t>
  </si>
  <si>
    <t>Estratégia</t>
  </si>
  <si>
    <t>Elegibilidade</t>
  </si>
  <si>
    <t>Oi Vende</t>
  </si>
  <si>
    <t>Canais de Venda - ADM de Vendas</t>
  </si>
  <si>
    <t>Demais 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</si>
  <si>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</si>
  <si>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</si>
  <si>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</si>
  <si>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</si>
  <si>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</si>
  <si>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</si>
  <si>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Preço Fixo</t>
  </si>
  <si>
    <t>Benefício de Minutos</t>
  </si>
  <si>
    <t>Voz Total (Oi Cartão Móvel opcional / Oi Cartão Móvel principal)</t>
  </si>
  <si>
    <t>Taxa de Habilitação
Banda Larga</t>
  </si>
  <si>
    <t>Produtos - Assinatura Velox 300KB (PCS-30874g)</t>
  </si>
  <si>
    <t>Produtos - Assinatura Velox 600KB (PCS-30577g)</t>
  </si>
  <si>
    <t>Produtos - Assinatura Velox 1MB (PCS-30604g)</t>
  </si>
  <si>
    <t>Produtos - Assinatura Velox 2MB (PCS-30631g)</t>
  </si>
  <si>
    <t>Produtos - Assinatura Velox 5MB (PCS-30658g)</t>
  </si>
  <si>
    <t>Produtos - Assinatura Velox 10MB (PCS-30685g)</t>
  </si>
  <si>
    <t>Produtos - Assinatura Velox 15MB (PCS-30712g)</t>
  </si>
  <si>
    <t>Produtos - Assinatura Velox 20MB (PCS-30739g)</t>
  </si>
  <si>
    <t>Produtos - Assinatura Velox 25MB (PCS-30766g)</t>
  </si>
  <si>
    <t>Produtos - Assinatura Velox 30MB (PCS-30793g)</t>
  </si>
  <si>
    <t>Produtos - Assinatura Velox 35MB (PCS-30820g)</t>
  </si>
  <si>
    <t>Produtos - Assinatura Velox 50Mb (PCS-30901g)</t>
  </si>
  <si>
    <t>Produtos - Assinatura Velox 100Mb (PCS-31036g)</t>
  </si>
  <si>
    <t>Produtos - Assinatura Velox 200Mb (PCS-35550g)</t>
  </si>
  <si>
    <t>Oi Internet Móvel Substituta 10GB (PCS-21448p2)</t>
  </si>
  <si>
    <t>Benefício SVA Velox (Antivírus + Oi Cloud + Educa)</t>
  </si>
  <si>
    <t>Conteúdo Oi Play</t>
  </si>
  <si>
    <t>Produtos - Oi TV Start HD (PCS-OzTL40)</t>
  </si>
  <si>
    <t>Produtos - Oi TV Mix HD (PCS-OzTL41)</t>
  </si>
  <si>
    <t>Produtos - Oi TV Mix HBO Max HD (PCS-OzTL44)</t>
  </si>
  <si>
    <t>Produtos - Oi TV Mix Telecine HD (PCS-OzTL43)</t>
  </si>
  <si>
    <t>Produtos - Oi TV Mix Cinema HD (PCS-OzTL45)</t>
  </si>
  <si>
    <t>Produtos - Oi TV Mix Futebol HD (PCS-OzTL102)</t>
  </si>
  <si>
    <t>Produtos - Oi TV Mix Cinema Futebol HD (PCS-OzTL103)</t>
  </si>
  <si>
    <t>Produtos - Oi TV Mix HD DVR (PCS-OzTL741)</t>
  </si>
  <si>
    <t>Produtos - Oi TV Mix HBOMax HD DVR (PCS-OzTL744)</t>
  </si>
  <si>
    <t>Produtos - Oi TV Mix Telecine HD DVR (PCS-OzTL743)</t>
  </si>
  <si>
    <t>Produtos - Oi TV Mix Cinema HD DVR (PCS-OzTL745)</t>
  </si>
  <si>
    <t>Produtos - Oi TV Mix Futebol HD DVR (PCS-OzTL112)</t>
  </si>
  <si>
    <t>Produtos - Oi TV Mix Cinema Futebol HD DVR (PCS-OzTL111)</t>
  </si>
  <si>
    <t>Produtos - Oi TV Total HD (PCS-OzTL42)</t>
  </si>
  <si>
    <t>Produtos - Oi TV Total HBO Max HD (PCS-OzTL47)</t>
  </si>
  <si>
    <t>Produtos - Oi TV Total Telecine HD (PCS-OzTL46)</t>
  </si>
  <si>
    <t>Produtos - Oi TV Total Cinema HD (PCS-OzTL48)</t>
  </si>
  <si>
    <t>Produtos - Oi TV Total Futebol HD (PCS-OzTL104)</t>
  </si>
  <si>
    <t>Produtos - Oi TV Total Cinema Futebol HD (PCS-OzTL105)</t>
  </si>
  <si>
    <t>Produtos - Oi TV Total HD DVR (PCS-OzTL742)</t>
  </si>
  <si>
    <t>Produtos - Oi TV Total HBOMax HD DVR (PCS-OzTL747)</t>
  </si>
  <si>
    <t>Produtos - Oi TV Total Telecine HD DVR (PCS-OzTL746)</t>
  </si>
  <si>
    <t>Produtos - Oi TV Total Cinema HD DVR (PCS-OzTL748)</t>
  </si>
  <si>
    <t>Produtos - Oi TV Total Futebol HD DVR (PCS-OzTL114)</t>
  </si>
  <si>
    <t>Produtos - Oi TV Total Cinema Futebol HD DVR (PCS-OzTL113)</t>
  </si>
  <si>
    <t>Produtos -Oi TV Livre HD
(PCS-OzTL101)</t>
  </si>
  <si>
    <t>Produtos - A la carte Combate (PCS-OzTL34)</t>
  </si>
  <si>
    <t>Produtos - A la carte Sexy Hot (PCS-OzTL31)</t>
  </si>
  <si>
    <t>Produtos - A la carte Playboy (PCS-OzTL32)</t>
  </si>
  <si>
    <t>Produtos - A la carte Sexy Hot + Playboy (PCS-OzTL33)</t>
  </si>
  <si>
    <t>Produtos - A la carte SexPrivê (PCS-OzTL503)</t>
  </si>
  <si>
    <t>Produtos - A la carte Étnicos (PCS-OzTL60)</t>
  </si>
  <si>
    <t>Produtos - A la carte Coleção Oi (PCS-OzTL50)</t>
  </si>
  <si>
    <t>Produtos - A la carte Fox Premium (PCS-OzTL51)</t>
  </si>
  <si>
    <t>Produtos - A la carte PenVr (PCS-OzTL52)</t>
  </si>
  <si>
    <t>Produtos - A la carte PFC Completo (PCS-OzTL53)</t>
  </si>
  <si>
    <t>Produtos - A la carte PFC Básico (PCS-OzTL54)</t>
  </si>
  <si>
    <t>Produtos - A la carte HBO/Max (PCS-OzTL62)</t>
  </si>
  <si>
    <t>Produtos - A la carte Telecine (PCS-OzTL61)</t>
  </si>
  <si>
    <t>Produtos - A la carte Cinema (PCS-OzTL63)</t>
  </si>
  <si>
    <t>Produtos - Oi TV Ponto Adicional (PCS-OzTL99)</t>
  </si>
  <si>
    <t>Móvel Titular (Cingapura)</t>
  </si>
  <si>
    <t>Móvel Dependente (Cingapura)</t>
  </si>
  <si>
    <t>Multa do Dependente (Cingapura)</t>
  </si>
  <si>
    <t>Móvel Titular (Plano On-net e Urano)</t>
  </si>
  <si>
    <t>Multa do Combo</t>
  </si>
  <si>
    <t>Chip Alone
(PCS-SBL11111)</t>
  </si>
  <si>
    <r>
      <t xml:space="preserve">VALIDAÇÃO DE TOTAL
</t>
    </r>
    <r>
      <rPr>
        <sz val="9"/>
        <color theme="0"/>
        <rFont val="Calibri"/>
        <family val="2"/>
        <scheme val="minor"/>
      </rPr>
      <t>(Considera o valor do Fixo, Banda Larga, TV e Móvel sem adicionais)</t>
    </r>
  </si>
  <si>
    <t>NBA</t>
  </si>
  <si>
    <t>FIXO</t>
  </si>
  <si>
    <t>PCS-30874g</t>
  </si>
  <si>
    <t>PCS-30577g</t>
  </si>
  <si>
    <t>PCS-30604g</t>
  </si>
  <si>
    <t>PCS-30631g</t>
  </si>
  <si>
    <t>PCS-30658g</t>
  </si>
  <si>
    <t>PCS-30685g</t>
  </si>
  <si>
    <t>PCS-30712g</t>
  </si>
  <si>
    <t>PCS-30739g</t>
  </si>
  <si>
    <t>PCS-30766g</t>
  </si>
  <si>
    <t>PCS-30793g</t>
  </si>
  <si>
    <t>PCS-30820g</t>
  </si>
  <si>
    <t>PCS-30901g</t>
  </si>
  <si>
    <t>PCS-31036g</t>
  </si>
  <si>
    <t>PCS-35550g</t>
  </si>
  <si>
    <t>PCS-21448p2</t>
  </si>
  <si>
    <t>SVA BL</t>
  </si>
  <si>
    <t>PCS-OzTL40</t>
  </si>
  <si>
    <t>PCS-OzTL41</t>
  </si>
  <si>
    <t>PCS-OzTL44</t>
  </si>
  <si>
    <t>PCS-OzTL43</t>
  </si>
  <si>
    <t>PCS-OzTL45</t>
  </si>
  <si>
    <t>PCS-OzTL102</t>
  </si>
  <si>
    <t>PCS-OzTL103</t>
  </si>
  <si>
    <t>PCS-OzTL741</t>
  </si>
  <si>
    <t>PCS-OzTL744</t>
  </si>
  <si>
    <t>PCS-OzTL743</t>
  </si>
  <si>
    <t>PCS-OzTL745</t>
  </si>
  <si>
    <t>PCS-OzTL112</t>
  </si>
  <si>
    <t>PCS-OzTL111</t>
  </si>
  <si>
    <t>PCS-OzTL42</t>
  </si>
  <si>
    <t>PCS-OzTL47</t>
  </si>
  <si>
    <t>PCS-OzTL46</t>
  </si>
  <si>
    <t>PCS-OzTL48</t>
  </si>
  <si>
    <t>PCS-OzTL104</t>
  </si>
  <si>
    <t>PCS-OzTL105</t>
  </si>
  <si>
    <t>PCS-OzTL742</t>
  </si>
  <si>
    <t>PCS-OzTL747</t>
  </si>
  <si>
    <t>PCS-OzTL746</t>
  </si>
  <si>
    <t>PCS-OzTL748</t>
  </si>
  <si>
    <t>PCS-OzTL114</t>
  </si>
  <si>
    <t>PCS-OzTL113</t>
  </si>
  <si>
    <t>PCS-OzTL101</t>
  </si>
  <si>
    <t>PCS-OzTL34</t>
  </si>
  <si>
    <t>PCS-OzTL31</t>
  </si>
  <si>
    <t>PCS-OzTL32</t>
  </si>
  <si>
    <t>PCS-OzTL33</t>
  </si>
  <si>
    <t>PCS-OzTL503</t>
  </si>
  <si>
    <t>PCS-OzTL60</t>
  </si>
  <si>
    <t>PCS-OzTL50</t>
  </si>
  <si>
    <t>PCS-OzTL51</t>
  </si>
  <si>
    <t>PCS-OzTL52</t>
  </si>
  <si>
    <t>PCS-OzTL53</t>
  </si>
  <si>
    <t>PCS-OzTL54</t>
  </si>
  <si>
    <t>PCS-OzTL62</t>
  </si>
  <si>
    <t>PCS-OzTL61</t>
  </si>
  <si>
    <t>PCS-OzTL63</t>
  </si>
  <si>
    <t>PCS-OzTL99</t>
  </si>
  <si>
    <t>Regra da Oferta</t>
  </si>
  <si>
    <t>Opção de Dados Plano</t>
  </si>
  <si>
    <t>Opção de Dados Compartilhamento</t>
  </si>
  <si>
    <t>INTRAGRUPO</t>
  </si>
  <si>
    <t>SVAD</t>
  </si>
  <si>
    <t>ASS-DEP</t>
  </si>
  <si>
    <t>COMP. DADOS</t>
  </si>
  <si>
    <t>Linha</t>
  </si>
  <si>
    <t>Mensagem de Erro</t>
  </si>
  <si>
    <t>Oi Total</t>
  </si>
  <si>
    <t>Sim</t>
  </si>
  <si>
    <t>Retenção (Residencial)</t>
  </si>
  <si>
    <t>Clientes Novos / Atuais</t>
  </si>
  <si>
    <t>Não</t>
  </si>
  <si>
    <t>X</t>
  </si>
  <si>
    <t>OT_MIG_JUL18_FID_2PTV_TV1-ST_LOCAL_OF1</t>
  </si>
  <si>
    <t>Reter clientes Oi Total</t>
  </si>
  <si>
    <t>FX Local + TV 1 Start</t>
  </si>
  <si>
    <t>20. Oi Total</t>
  </si>
  <si>
    <t>Varejo</t>
  </si>
  <si>
    <t>Campanha Restrita</t>
  </si>
  <si>
    <t>Oi Total Fixo + TV 1</t>
  </si>
  <si>
    <t>Ilimitado</t>
  </si>
  <si>
    <t>0T0T_LIMPA_MINUTOS_1</t>
  </si>
  <si>
    <t>MKT-1-10468007219</t>
  </si>
  <si>
    <t>Oi-20122-32</t>
  </si>
  <si>
    <t>PCS-34704</t>
  </si>
  <si>
    <t>Benefício</t>
  </si>
  <si>
    <t>PCS-SBL11111</t>
  </si>
  <si>
    <t>1º</t>
  </si>
  <si>
    <t>Erro: Linha 4</t>
  </si>
  <si>
    <t>Combinação de Tipo de Benefício não prevista</t>
  </si>
  <si>
    <t>OT_MIG_JUL18_FID_2PTV_TV2_LOCAL_OF1</t>
  </si>
  <si>
    <t>FX Local + TV 2</t>
  </si>
  <si>
    <t>Oi Total Fixo + TV 2</t>
  </si>
  <si>
    <t>Erro: Linha 5</t>
  </si>
  <si>
    <t>OT_MIG_JUL18_FID_2PTV_TV3_LOCAL_OF1</t>
  </si>
  <si>
    <t>FX Local + TV 3</t>
  </si>
  <si>
    <t>Oi Total Fixo + TV 3</t>
  </si>
  <si>
    <t>Erro: Linha 6</t>
  </si>
  <si>
    <t>OT_MIG_JUL18_FID_2PTV_TV1-ST_LD_VC-ALL_OF1</t>
  </si>
  <si>
    <t>FX LD VCAll + TV 1 Start</t>
  </si>
  <si>
    <t>Ilimitado + LD + VC All-net</t>
  </si>
  <si>
    <t>0T0T_MAE18_MIN_ALLNET_500000</t>
  </si>
  <si>
    <t>MKT-1-10417203961</t>
  </si>
  <si>
    <t>Erro: Linha 7, Coluna: 865</t>
  </si>
  <si>
    <t>Pacote de TV não previsto</t>
  </si>
  <si>
    <t>"Oi Total Fixo + TV 1"</t>
  </si>
  <si>
    <t>"Migracao"</t>
  </si>
  <si>
    <t>"OT_MIG_JUL18_FID_2PTV_TV1-ST_LOCAL_OF1"</t>
  </si>
  <si>
    <t>"Oi Total Fixo + TV 2"</t>
  </si>
  <si>
    <t>"OT_MIG_JUL18_FID_2PTV_TV2_LOCAL_OF1"</t>
  </si>
  <si>
    <t>"Oi Total Fixo + TV 3"</t>
  </si>
  <si>
    <t>"OT_MIG_JUL18_FID_2PTV_TV3_LOCAL_OF1"</t>
  </si>
  <si>
    <t>"OT_MIG_JUL18_FID_2PTV_TV1-ST_LD_VC-ALL_OF1"</t>
  </si>
  <si>
    <t>"OT_MIG_JUL18_FID_2PTV_TV2_LD_VC-ALL_OF1"</t>
  </si>
  <si>
    <t>True"TV Total HD""LD VC On""Fixo Ilimitado""RetencaoOT"</t>
  </si>
  <si>
    <t>"OT_MIG_JUL18_FID_2PTV_TV3_LD_VC-ALL_OF1"</t>
  </si>
  <si>
    <t>True"TV Total Telecine HD""LD VC On""Fixo Ilimitado""RetencaoOT"</t>
  </si>
  <si>
    <t>OT_MIG_JUL18_FID_2PTV_TV2_LD_VC-ALL_OF1</t>
  </si>
  <si>
    <t>OT_MIG_JUL18_FID_2PTV_TV3_LD_VC-ALL_OF1</t>
  </si>
  <si>
    <t>"LD VC ALL"</t>
  </si>
  <si>
    <t>False"TV Start HD""LD VC ALL""Fixo Ilimitado""RetencaoOT"</t>
  </si>
  <si>
    <t>False"TV Mix HD""LD VC ALL""Fixo Ilimitado""RetencaoOT"</t>
  </si>
  <si>
    <t>False"TV Total HD""LD VC ALL""Fixo Ilimitado""RetencaoOT"</t>
  </si>
  <si>
    <t>True"TV Total HD""LD VC ALL""Fixo Ilimitado""RetencaoOT"</t>
  </si>
  <si>
    <t>False"TV Mix HBOMAX HD""LD VC ALL""Fixo Ilimitado""RetencaoOT"</t>
  </si>
  <si>
    <t>False"TV Mix Telecine HD""LD VC ALL""Fixo Ilimitado""RetencaoOT"</t>
  </si>
  <si>
    <t>False"TV Mix Cinema HD""LD VC ALL""Fixo Ilimitado""RetencaoOT"</t>
  </si>
  <si>
    <t>False"TV Total HBOMAX HD""LD VC ALL""Fixo Ilimitado""RetencaoOT"</t>
  </si>
  <si>
    <t>False"TV Total Telecine HD""LD VC ALL""Fixo Ilimitado""RetencaoOT"</t>
  </si>
  <si>
    <t>False"TV Total Cinema HD""LD VC ALL""Fixo Ilimitado""RetencaoOT"</t>
  </si>
  <si>
    <t>True"TV Total HBOMAX HD""LD VC ALL""Fixo Ilimitado""RetencaoOT"</t>
  </si>
  <si>
    <t>True"TV Total Telecine HD""LD VC ALL""Fixo Ilimitado""RetencaoOT"</t>
  </si>
  <si>
    <t>True"TV Total Cinema HD""LD VC ALL""Fixo Ilimitado""RetencaoOT"</t>
  </si>
  <si>
    <t>"LD VC On"</t>
  </si>
  <si>
    <t>"OT_MIG_JUL18_FID_2PTV_TV1-ST_LD_VC-ON_OF1"</t>
  </si>
  <si>
    <t>False"TV Start HD""LD VC On""Fixo Ilimitado""RetencaoOT"</t>
  </si>
  <si>
    <t>"OT_MIG_JUL18_FID_2PTV_TV2_LD_VC-ON_OF1"</t>
  </si>
  <si>
    <t>False"TV Mix HD""LD VC On""Fixo Ilimitado""RetencaoOT"</t>
  </si>
  <si>
    <t>False"TV Total HD""LD VC On""Fixo Ilimitado""RetencaoOT"</t>
  </si>
  <si>
    <t>"OT_MIG_JUL18_FID_2PTV_TV3_LD_VC-ON_OF1"</t>
  </si>
  <si>
    <t>False"TV Mix HBOMAX HD""LD VC On""Fixo Ilimitado""RetencaoOT"</t>
  </si>
  <si>
    <t>False"TV Mix Telecine HD""LD VC On""Fixo Ilimitado""RetencaoOT"</t>
  </si>
  <si>
    <t>False"TV Mix Cinema HD""LD VC On""Fixo Ilimitado""RetencaoOT"</t>
  </si>
  <si>
    <t>False"TV Total HBOMAX HD""LD VC On""Fixo Ilimitado""RetencaoOT"</t>
  </si>
  <si>
    <t>False"TV Total Telecine HD""LD VC On""Fixo Ilimitado""RetencaoOT"</t>
  </si>
  <si>
    <t>False"TV Total Cinema HD""LD VC On""Fixo Ilimitado""RetencaoOT"</t>
  </si>
  <si>
    <t>True"TV Total HBOMAX HD""LD VC On""Fixo Ilimitado""RetencaoOT"</t>
  </si>
  <si>
    <t>True"TV Total Cinema HD""LD VC On""Fixo Ilimitado""RetencaoOT"</t>
  </si>
  <si>
    <t>"OT_MIG_JUL18_FID_2PTV_TV1-LV_LD_VC-ON_OF1"</t>
  </si>
  <si>
    <t>"TV Livre HD"</t>
  </si>
  <si>
    <t>False"TV Livre HD""LD VC On""Fixo Ilimitado""RetencaoOT"</t>
  </si>
  <si>
    <t>"OT_MIG_JUL18_FID_2PTV_TV1-ST_LD_VC-ALL_OF2"</t>
  </si>
  <si>
    <t>"OT_MIG_JUL18_FID_2PTV_TV2_LD_VC-ALL_OF2"</t>
  </si>
  <si>
    <t>"OT_MIG_JUL18_FID_2PTV_TV3_LD_VC-ALL_OF2"</t>
  </si>
  <si>
    <t>"OT_MIG_JUL18_FID_2PTV_TV1-LV_LD_VC-ALL_OF3"</t>
  </si>
  <si>
    <t>False"TV Livre HD""LD VC ALL""Fixo Ilimitado""RetencaoOT"</t>
  </si>
  <si>
    <t>"OT_MIG_JUL18_FID_2PTV_TV1-ST_LD_VC-ALL_OF3"</t>
  </si>
  <si>
    <t>"OT_MIG_JUL18_FID_2PTV_TV2_LD_VC-ALL_OF3"</t>
  </si>
  <si>
    <t>"OT_MIG_JUL18_FID_2PTV_TV3_LD_VC-ALL_OF3"</t>
  </si>
  <si>
    <t>"OT_MIG_JUL18_FID_2PTV_TV1-LV_LD_VC-ALL_OF4"</t>
  </si>
  <si>
    <t>"OT_MIG_JUL18_FID_2PTV_TV3_LD_VC-ALL_OF4"</t>
  </si>
  <si>
    <t>"OT_MIG_JUL18_FID_2PTV_TV1-LV_LD_VC-ALL_OF5"</t>
  </si>
  <si>
    <t>"OT_MIG_JUL18_FID_2PTV_TV1-ST_LD_VC-ALL_OF4"</t>
  </si>
  <si>
    <t>"OT_MIG_JUL18_FID_2PTV_TV2_LD_VC-ALL_OF4"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</si>
</sst>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??_-;_-@_-"/>
    <numFmt numFmtId="165" formatCode="_-&quot;R$&quot;\ * #,##0.00_-;\-&quot;R$&quot;\ * #,##0.00_-;_-&quot;R$&quot;\ * &quot;-&quot;??_-;_-@_-"/>
    <numFmt numFmtId="166" formatCode="#,##0_ ;\-#,##0\ "/>
    <numFmt numFmtId="167" formatCode="0.0%"/>
    <numFmt numFmtId="168" formatCode="&quot;R$&quot;\ #,##0.00;[Red]\-&quot;R$&quot;\ #,##0.00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3" tint="-0.499984740745262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8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6" fillId="19" borderId="5" xfId="0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Fill="1" applyBorder="1" applyAlignment="1" applyProtection="1">
      <alignment horizontal="center" vertical="center" wrapText="1"/>
      <protection hidden="1"/>
    </xf>
    <xf numFmtId="0" fontId="6" fillId="21" borderId="5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5" fillId="9" borderId="5" xfId="0" applyFont="1" applyFill="1" applyBorder="1" applyAlignment="1" applyProtection="1">
      <alignment horizontal="center" vertical="center" wrapText="1"/>
      <protection hidden="1"/>
    </xf>
    <xf numFmtId="0" fontId="5" fillId="12" borderId="5" xfId="0" applyFont="1" applyFill="1" applyBorder="1" applyAlignment="1" applyProtection="1">
      <alignment horizontal="center" vertical="center" wrapText="1"/>
      <protection hidden="1"/>
    </xf>
    <xf numFmtId="0" fontId="6" fillId="15" borderId="10" xfId="0" applyFont="1" applyFill="1" applyBorder="1" applyAlignment="1" applyProtection="1">
      <alignment horizontal="center" vertical="center" wrapText="1"/>
      <protection hidden="1"/>
    </xf>
    <xf numFmtId="0" fontId="5" fillId="17" borderId="10" xfId="0" applyFont="1" applyFill="1" applyBorder="1" applyAlignment="1" applyProtection="1">
      <alignment vertical="center" wrapText="1"/>
      <protection hidden="1"/>
    </xf>
    <xf numFmtId="0" fontId="5" fillId="17" borderId="11" xfId="0" applyFont="1" applyFill="1" applyBorder="1" applyAlignment="1" applyProtection="1">
      <alignment vertical="center" wrapText="1"/>
      <protection hidden="1"/>
    </xf>
    <xf numFmtId="0" fontId="5" fillId="17" borderId="12" xfId="0" applyFont="1" applyFill="1" applyBorder="1" applyAlignment="1" applyProtection="1">
      <alignment vertical="center" wrapText="1"/>
      <protection hidden="1"/>
    </xf>
    <xf numFmtId="0" fontId="4" fillId="20" borderId="5" xfId="0" applyFont="1" applyFill="1" applyBorder="1" applyAlignment="1" applyProtection="1">
      <alignment horizontal="center" vertical="center"/>
      <protection locked="0"/>
    </xf>
    <xf numFmtId="0" fontId="4" fillId="21" borderId="5" xfId="0" applyFont="1" applyFill="1" applyBorder="1" applyAlignment="1" applyProtection="1">
      <alignment horizontal="center" vertical="center"/>
      <protection locked="0"/>
    </xf>
    <xf numFmtId="0" fontId="6" fillId="18" borderId="11" xfId="0" applyFont="1" applyFill="1" applyBorder="1" applyAlignment="1" applyProtection="1">
      <alignment horizontal="center" vertical="center" wrapText="1"/>
      <protection hidden="1"/>
    </xf>
    <xf numFmtId="0" fontId="5" fillId="18" borderId="5" xfId="0" applyFont="1" applyFill="1" applyBorder="1" applyAlignment="1" applyProtection="1">
      <alignment horizontal="center" vertical="center" wrapText="1"/>
      <protection hidden="1"/>
    </xf>
    <xf numFmtId="0" fontId="10" fillId="0" borderId="17" xfId="0" applyFont="1" applyFill="1" applyBorder="1" applyAlignment="1" applyProtection="1">
      <alignment horizontal="left" vertical="center"/>
      <protection locked="0"/>
    </xf>
    <xf numFmtId="0" fontId="0" fillId="0" borderId="17" xfId="0" applyFont="1" applyFill="1" applyBorder="1" applyAlignment="1" applyProtection="1">
      <alignment horizontal="left" vertical="center"/>
      <protection locked="0"/>
    </xf>
    <xf numFmtId="0" fontId="0" fillId="0" borderId="17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 vertical="center" wrapText="1"/>
      <protection locked="0"/>
    </xf>
    <xf numFmtId="0" fontId="10" fillId="0" borderId="17" xfId="0" applyFont="1" applyBorder="1" applyAlignment="1" applyProtection="1">
      <alignment horizontal="left" vertical="center"/>
      <protection locked="0"/>
    </xf>
    <xf numFmtId="0" fontId="10" fillId="0" borderId="18" xfId="0" applyFont="1" applyFill="1" applyBorder="1" applyAlignment="1" applyProtection="1">
      <alignment horizontal="left" vertical="center"/>
      <protection locked="0"/>
    </xf>
    <xf numFmtId="0" fontId="10" fillId="0" borderId="3" xfId="0" applyFont="1" applyFill="1" applyBorder="1" applyAlignment="1" applyProtection="1">
      <alignment horizontal="left" vertical="center"/>
      <protection locked="0"/>
    </xf>
    <xf numFmtId="14" fontId="11" fillId="0" borderId="17" xfId="0" applyNumberFormat="1" applyFont="1" applyFill="1" applyBorder="1" applyAlignment="1" applyProtection="1">
      <alignment horizontal="left" vertical="center"/>
      <protection locked="0"/>
    </xf>
    <xf numFmtId="14" fontId="10" fillId="0" borderId="17" xfId="0" applyNumberFormat="1" applyFont="1" applyFill="1" applyBorder="1" applyAlignment="1" applyProtection="1">
      <alignment horizontal="left" vertical="center"/>
      <protection locked="0"/>
    </xf>
    <xf numFmtId="0" fontId="10" fillId="0" borderId="17" xfId="0" applyFont="1" applyFill="1" applyBorder="1" applyAlignment="1" applyProtection="1">
      <alignment horizontal="center" vertical="center"/>
      <protection locked="0"/>
    </xf>
    <xf numFmtId="0" fontId="0" fillId="0" borderId="17" xfId="0" applyFont="1" applyFill="1" applyBorder="1" applyAlignment="1" applyProtection="1">
      <alignment horizontal="center" vertical="center"/>
      <protection locked="0"/>
    </xf>
    <xf numFmtId="0" fontId="10" fillId="0" borderId="17" xfId="0" applyFont="1" applyFill="1" applyBorder="1" applyAlignment="1" applyProtection="1">
      <alignment vertical="center"/>
      <protection locked="0"/>
    </xf>
    <xf numFmtId="0" fontId="0" fillId="22" borderId="17" xfId="0" applyFill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164" fontId="10" fillId="22" borderId="17" xfId="1" applyNumberFormat="1" applyFont="1" applyFill="1" applyBorder="1" applyAlignment="1" applyProtection="1">
      <alignment horizontal="center" vertical="center"/>
      <protection hidden="1"/>
    </xf>
    <xf numFmtId="44" fontId="10" fillId="22" borderId="17" xfId="2" applyFont="1" applyFill="1" applyBorder="1" applyAlignment="1" applyProtection="1">
      <alignment vertical="center"/>
      <protection hidden="1"/>
    </xf>
    <xf numFmtId="44" fontId="10" fillId="0" borderId="17" xfId="2" applyFont="1" applyFill="1" applyBorder="1" applyAlignment="1" applyProtection="1">
      <alignment horizontal="left" vertical="center"/>
      <protection locked="0"/>
    </xf>
    <xf numFmtId="44" fontId="10" fillId="22" borderId="17" xfId="2" applyFont="1" applyFill="1" applyBorder="1" applyAlignment="1" applyProtection="1">
      <alignment horizontal="left" vertical="center"/>
      <protection locked="0"/>
    </xf>
    <xf numFmtId="10" fontId="0" fillId="22" borderId="17" xfId="3" applyNumberFormat="1" applyFont="1" applyFill="1" applyBorder="1" applyProtection="1">
      <protection hidden="1"/>
    </xf>
    <xf numFmtId="10" fontId="0" fillId="22" borderId="17" xfId="3" applyNumberFormat="1" applyFont="1" applyFill="1" applyBorder="1" applyAlignment="1" applyProtection="1">
      <alignment horizontal="center"/>
      <protection hidden="1"/>
    </xf>
    <xf numFmtId="44" fontId="10" fillId="23" borderId="17" xfId="2" applyFont="1" applyFill="1" applyBorder="1" applyAlignment="1" applyProtection="1">
      <alignment horizontal="left" vertical="center"/>
      <protection locked="0"/>
    </xf>
    <xf numFmtId="0" fontId="0" fillId="0" borderId="17" xfId="0" applyBorder="1"/>
    <xf numFmtId="0" fontId="10" fillId="0" borderId="17" xfId="0" applyFont="1" applyFill="1" applyBorder="1" applyAlignment="1" applyProtection="1">
      <alignment horizontal="left"/>
      <protection locked="0"/>
    </xf>
    <xf numFmtId="0" fontId="10" fillId="22" borderId="17" xfId="0" applyFont="1" applyFill="1" applyBorder="1" applyAlignment="1" applyProtection="1">
      <alignment horizontal="left"/>
      <protection hidden="1"/>
    </xf>
    <xf numFmtId="164" fontId="0" fillId="0" borderId="17" xfId="1" applyNumberFormat="1" applyFont="1" applyFill="1" applyBorder="1" applyProtection="1">
      <protection hidden="1"/>
    </xf>
    <xf numFmtId="44" fontId="0" fillId="0" borderId="17" xfId="2" applyFont="1" applyFill="1" applyBorder="1" applyProtection="1">
      <protection hidden="1"/>
    </xf>
    <xf numFmtId="164" fontId="0" fillId="0" borderId="17" xfId="1" applyNumberFormat="1" applyFont="1" applyFill="1" applyBorder="1" applyAlignment="1" applyProtection="1">
      <alignment horizontal="center"/>
      <protection hidden="1"/>
    </xf>
    <xf numFmtId="164" fontId="0" fillId="22" borderId="17" xfId="1" applyNumberFormat="1" applyFont="1" applyFill="1" applyBorder="1" applyProtection="1">
      <protection hidden="1"/>
    </xf>
    <xf numFmtId="44" fontId="0" fillId="22" borderId="17" xfId="2" applyFont="1" applyFill="1" applyBorder="1" applyProtection="1">
      <protection hidden="1"/>
    </xf>
    <xf numFmtId="0" fontId="0" fillId="0" borderId="17" xfId="0" applyFill="1" applyBorder="1" applyAlignment="1" applyProtection="1">
      <alignment vertical="center"/>
      <protection locked="0"/>
    </xf>
    <xf numFmtId="10" fontId="0" fillId="22" borderId="17" xfId="3" applyNumberFormat="1" applyFont="1" applyFill="1" applyBorder="1" applyProtection="1">
      <protection locked="0"/>
    </xf>
    <xf numFmtId="44" fontId="0" fillId="0" borderId="17" xfId="2" applyFont="1" applyBorder="1" applyProtection="1">
      <protection locked="0"/>
    </xf>
    <xf numFmtId="44" fontId="10" fillId="24" borderId="17" xfId="2" applyFont="1" applyFill="1" applyBorder="1" applyProtection="1">
      <protection locked="0"/>
    </xf>
    <xf numFmtId="44" fontId="10" fillId="0" borderId="17" xfId="2" applyFont="1" applyFill="1" applyBorder="1" applyProtection="1">
      <protection locked="0"/>
    </xf>
    <xf numFmtId="165" fontId="0" fillId="22" borderId="17" xfId="3" applyNumberFormat="1" applyFont="1" applyFill="1" applyBorder="1" applyAlignment="1" applyProtection="1">
      <alignment horizontal="center"/>
      <protection hidden="1"/>
    </xf>
    <xf numFmtId="164" fontId="0" fillId="24" borderId="17" xfId="1" applyNumberFormat="1" applyFont="1" applyFill="1" applyBorder="1" applyAlignment="1" applyProtection="1">
      <alignment horizontal="center"/>
      <protection hidden="1"/>
    </xf>
    <xf numFmtId="164" fontId="0" fillId="24" borderId="17" xfId="3" applyNumberFormat="1" applyFont="1" applyFill="1" applyBorder="1" applyAlignment="1" applyProtection="1">
      <alignment horizontal="center"/>
      <protection hidden="1"/>
    </xf>
    <xf numFmtId="10" fontId="10" fillId="22" borderId="17" xfId="3" applyNumberFormat="1" applyFont="1" applyFill="1" applyBorder="1" applyProtection="1">
      <protection hidden="1"/>
    </xf>
    <xf numFmtId="166" fontId="10" fillId="24" borderId="17" xfId="2" applyNumberFormat="1" applyFont="1" applyFill="1" applyBorder="1" applyProtection="1">
      <protection locked="0"/>
    </xf>
    <xf numFmtId="0" fontId="0" fillId="22" borderId="17" xfId="0" applyFont="1" applyFill="1" applyBorder="1" applyProtection="1">
      <protection hidden="1"/>
    </xf>
    <xf numFmtId="44" fontId="0" fillId="0" borderId="17" xfId="2" applyFont="1" applyFill="1" applyBorder="1" applyProtection="1">
      <protection locked="0"/>
    </xf>
    <xf numFmtId="10" fontId="0" fillId="0" borderId="17" xfId="3" applyNumberFormat="1" applyFont="1" applyFill="1" applyBorder="1" applyAlignment="1" applyProtection="1">
      <alignment horizontal="center"/>
      <protection hidden="1"/>
    </xf>
    <xf numFmtId="44" fontId="0" fillId="22" borderId="17" xfId="2" applyFont="1" applyFill="1" applyBorder="1" applyProtection="1">
      <protection locked="0"/>
    </xf>
    <xf numFmtId="44" fontId="10" fillId="22" borderId="17" xfId="2" applyFont="1" applyFill="1" applyBorder="1" applyProtection="1">
      <protection locked="0"/>
    </xf>
    <xf numFmtId="44" fontId="0" fillId="0" borderId="17" xfId="2" applyFont="1" applyFill="1" applyBorder="1" applyAlignment="1" applyProtection="1">
      <alignment horizontal="left"/>
      <protection locked="0"/>
    </xf>
    <xf numFmtId="0" fontId="3" fillId="0" borderId="17" xfId="2" applyNumberFormat="1" applyFont="1" applyFill="1" applyBorder="1" applyAlignment="1" applyProtection="1">
      <alignment horizontal="left"/>
    </xf>
    <xf numFmtId="167" fontId="0" fillId="22" borderId="17" xfId="3" applyNumberFormat="1" applyFont="1" applyFill="1" applyBorder="1" applyAlignment="1" applyProtection="1">
      <alignment horizontal="center"/>
      <protection hidden="1"/>
    </xf>
    <xf numFmtId="167" fontId="0" fillId="22" borderId="17" xfId="3" applyNumberFormat="1" applyFont="1" applyFill="1" applyBorder="1" applyAlignment="1" applyProtection="1">
      <alignment horizontal="left"/>
      <protection hidden="1"/>
    </xf>
    <xf numFmtId="10" fontId="0" fillId="22" borderId="17" xfId="3" applyNumberFormat="1" applyFont="1" applyFill="1" applyBorder="1" applyAlignment="1" applyProtection="1">
      <alignment horizontal="left"/>
      <protection hidden="1"/>
    </xf>
    <xf numFmtId="44" fontId="10" fillId="0" borderId="17" xfId="2" applyFont="1" applyFill="1" applyBorder="1" applyAlignment="1" applyProtection="1">
      <alignment horizontal="center"/>
      <protection locked="0"/>
    </xf>
    <xf numFmtId="0" fontId="10" fillId="22" borderId="17" xfId="0" applyFont="1" applyFill="1" applyBorder="1" applyAlignment="1" applyProtection="1">
      <alignment horizontal="center"/>
      <protection locked="0"/>
    </xf>
    <xf numFmtId="0" fontId="11" fillId="22" borderId="17" xfId="0" applyFont="1" applyFill="1" applyBorder="1" applyProtection="1">
      <protection hidden="1"/>
    </xf>
    <xf numFmtId="44" fontId="0" fillId="24" borderId="17" xfId="2" applyFont="1" applyFill="1" applyBorder="1" applyProtection="1">
      <protection locked="0"/>
    </xf>
    <xf numFmtId="0" fontId="10" fillId="22" borderId="17" xfId="0" applyFont="1" applyFill="1" applyBorder="1" applyAlignment="1" applyProtection="1">
      <alignment horizontal="center"/>
      <protection hidden="1"/>
    </xf>
    <xf numFmtId="0" fontId="10" fillId="0" borderId="17" xfId="0" applyFont="1" applyFill="1" applyBorder="1" applyAlignment="1" applyProtection="1">
      <alignment horizontal="center"/>
      <protection locked="0"/>
    </xf>
    <xf numFmtId="0" fontId="0" fillId="22" borderId="17" xfId="2" applyNumberFormat="1" applyFont="1" applyFill="1" applyBorder="1" applyProtection="1">
      <protection locked="0"/>
    </xf>
    <xf numFmtId="165" fontId="0" fillId="22" borderId="17" xfId="2" applyNumberFormat="1" applyFont="1" applyFill="1" applyBorder="1" applyProtection="1">
      <protection locked="0"/>
    </xf>
    <xf numFmtId="168" fontId="0" fillId="22" borderId="2" xfId="2" applyNumberFormat="1" applyFont="1" applyFill="1" applyBorder="1" applyProtection="1">
      <protection locked="0"/>
    </xf>
    <xf numFmtId="0" fontId="12" fillId="0" borderId="17" xfId="0" applyFont="1" applyBorder="1" applyAlignment="1" applyProtection="1">
      <alignment horizontal="left" vertical="center"/>
      <protection locked="0"/>
    </xf>
    <xf numFmtId="49" fontId="0" fillId="0" borderId="0" xfId="0" applyNumberFormat="1" applyFill="1" applyProtection="1">
      <protection locked="0"/>
    </xf>
    <xf numFmtId="0" fontId="6" fillId="19" borderId="10" xfId="0" applyFont="1" applyFill="1" applyBorder="1" applyAlignment="1" applyProtection="1">
      <alignment horizontal="center" vertical="center"/>
      <protection hidden="1"/>
    </xf>
    <xf numFmtId="0" fontId="6" fillId="19" borderId="11" xfId="0" applyFont="1" applyFill="1" applyBorder="1" applyAlignment="1" applyProtection="1">
      <alignment horizontal="center" vertical="center"/>
      <protection hidden="1"/>
    </xf>
    <xf numFmtId="0" fontId="6" fillId="19" borderId="12" xfId="0" applyFont="1" applyFill="1" applyBorder="1" applyAlignment="1" applyProtection="1">
      <alignment horizontal="center" vertical="center"/>
      <protection hidden="1"/>
    </xf>
    <xf numFmtId="0" fontId="6" fillId="14" borderId="5" xfId="0" applyFont="1" applyFill="1" applyBorder="1" applyAlignment="1" applyProtection="1">
      <alignment horizontal="center" vertical="center" wrapText="1"/>
      <protection hidden="1"/>
    </xf>
    <xf numFmtId="0" fontId="6" fillId="16" borderId="5" xfId="0" applyFont="1" applyFill="1" applyBorder="1" applyAlignment="1" applyProtection="1">
      <alignment horizontal="center" vertical="center" wrapText="1"/>
      <protection hidden="1"/>
    </xf>
    <xf numFmtId="0" fontId="5" fillId="17" borderId="10" xfId="0" applyFont="1" applyFill="1" applyBorder="1" applyAlignment="1" applyProtection="1">
      <alignment horizontal="center" vertical="center" wrapText="1"/>
      <protection hidden="1"/>
    </xf>
    <xf numFmtId="0" fontId="5" fillId="17" borderId="11" xfId="0" applyFont="1" applyFill="1" applyBorder="1" applyAlignment="1" applyProtection="1">
      <alignment horizontal="center" vertical="center" wrapText="1"/>
      <protection hidden="1"/>
    </xf>
    <xf numFmtId="0" fontId="5" fillId="17" borderId="12" xfId="0" applyFont="1" applyFill="1" applyBorder="1" applyAlignment="1" applyProtection="1">
      <alignment horizontal="center" vertical="center" wrapText="1"/>
      <protection hidden="1"/>
    </xf>
    <xf numFmtId="0" fontId="6" fillId="15" borderId="5" xfId="0" applyFont="1" applyFill="1" applyBorder="1" applyAlignment="1" applyProtection="1">
      <alignment horizontal="center" vertical="center" wrapText="1"/>
      <protection hidden="1"/>
    </xf>
    <xf numFmtId="0" fontId="6" fillId="13" borderId="5" xfId="0" applyFont="1" applyFill="1" applyBorder="1" applyAlignment="1" applyProtection="1">
      <alignment horizontal="center" vertical="center" wrapText="1"/>
      <protection hidden="1"/>
    </xf>
    <xf numFmtId="0" fontId="6" fillId="10" borderId="10" xfId="0" applyFont="1" applyFill="1" applyBorder="1" applyAlignment="1" applyProtection="1">
      <alignment horizontal="center" vertical="center" wrapText="1"/>
      <protection hidden="1"/>
    </xf>
    <xf numFmtId="0" fontId="6" fillId="10" borderId="11" xfId="0" applyFont="1" applyFill="1" applyBorder="1" applyAlignment="1" applyProtection="1">
      <alignment horizontal="center" vertical="center" wrapText="1"/>
      <protection hidden="1"/>
    </xf>
    <xf numFmtId="0" fontId="6" fillId="10" borderId="12" xfId="0" applyFont="1" applyFill="1" applyBorder="1" applyAlignment="1" applyProtection="1">
      <alignment horizontal="center" vertical="center" wrapText="1"/>
      <protection hidden="1"/>
    </xf>
    <xf numFmtId="0" fontId="7" fillId="10" borderId="10" xfId="0" applyFont="1" applyFill="1" applyBorder="1" applyAlignment="1" applyProtection="1">
      <alignment horizontal="center" vertical="center" wrapText="1"/>
      <protection hidden="1"/>
    </xf>
    <xf numFmtId="0" fontId="7" fillId="10" borderId="11" xfId="0" applyFont="1" applyFill="1" applyBorder="1" applyAlignment="1" applyProtection="1">
      <alignment horizontal="center" vertical="center" wrapText="1"/>
      <protection hidden="1"/>
    </xf>
    <xf numFmtId="0" fontId="7" fillId="10" borderId="12" xfId="0" applyFont="1" applyFill="1" applyBorder="1" applyAlignment="1" applyProtection="1">
      <alignment horizontal="center" vertical="center" wrapText="1"/>
      <protection hidden="1"/>
    </xf>
    <xf numFmtId="0" fontId="8" fillId="11" borderId="10" xfId="0" applyFont="1" applyFill="1" applyBorder="1" applyAlignment="1" applyProtection="1">
      <alignment horizontal="center" vertical="center" wrapText="1"/>
      <protection hidden="1"/>
    </xf>
    <xf numFmtId="0" fontId="8" fillId="11" borderId="11" xfId="0" applyFont="1" applyFill="1" applyBorder="1" applyAlignment="1" applyProtection="1">
      <alignment horizontal="center" vertical="center" wrapText="1"/>
      <protection hidden="1"/>
    </xf>
    <xf numFmtId="0" fontId="8" fillId="11" borderId="12" xfId="0" applyFont="1" applyFill="1" applyBorder="1" applyAlignment="1" applyProtection="1">
      <alignment horizontal="center" vertical="center" wrapText="1"/>
      <protection hidden="1"/>
    </xf>
    <xf numFmtId="0" fontId="6" fillId="17" borderId="10" xfId="0" applyFont="1" applyFill="1" applyBorder="1" applyAlignment="1" applyProtection="1">
      <alignment horizontal="center" vertical="center" wrapText="1"/>
      <protection hidden="1"/>
    </xf>
    <xf numFmtId="0" fontId="6" fillId="17" borderId="11" xfId="0" applyFont="1" applyFill="1" applyBorder="1" applyAlignment="1" applyProtection="1">
      <alignment horizontal="center" vertical="center" wrapText="1"/>
      <protection hidden="1"/>
    </xf>
    <xf numFmtId="0" fontId="6" fillId="17" borderId="12" xfId="0" applyFont="1" applyFill="1" applyBorder="1" applyAlignment="1" applyProtection="1">
      <alignment horizontal="center" vertical="center" wrapText="1"/>
      <protection hidden="1"/>
    </xf>
    <xf numFmtId="0" fontId="6" fillId="19" borderId="5" xfId="0" applyFont="1" applyFill="1" applyBorder="1" applyAlignment="1" applyProtection="1">
      <alignment horizontal="center" vertical="center"/>
      <protection hidden="1"/>
    </xf>
    <xf numFmtId="0" fontId="4" fillId="20" borderId="5" xfId="0" applyFont="1" applyFill="1" applyBorder="1" applyAlignment="1" applyProtection="1">
      <alignment horizontal="center" vertical="center" wrapText="1"/>
      <protection locked="0"/>
    </xf>
    <xf numFmtId="0" fontId="4" fillId="20" borderId="5" xfId="0" applyFont="1" applyFill="1" applyBorder="1" applyAlignment="1" applyProtection="1">
      <alignment horizontal="center" vertical="center"/>
      <protection locked="0"/>
    </xf>
    <xf numFmtId="0" fontId="6" fillId="15" borderId="10" xfId="0" applyFont="1" applyFill="1" applyBorder="1" applyAlignment="1" applyProtection="1">
      <alignment horizontal="center" vertical="center" wrapText="1"/>
      <protection hidden="1"/>
    </xf>
    <xf numFmtId="0" fontId="6" fillId="15" borderId="11" xfId="0" applyFont="1" applyFill="1" applyBorder="1" applyAlignment="1" applyProtection="1">
      <alignment horizontal="center" vertical="center" wrapText="1"/>
      <protection hidden="1"/>
    </xf>
    <xf numFmtId="0" fontId="6" fillId="15" borderId="12" xfId="0" applyFont="1" applyFill="1" applyBorder="1" applyAlignment="1" applyProtection="1">
      <alignment horizontal="center" vertical="center" wrapText="1"/>
      <protection hidden="1"/>
    </xf>
    <xf numFmtId="0" fontId="6" fillId="13" borderId="10" xfId="0" applyFont="1" applyFill="1" applyBorder="1" applyAlignment="1" applyProtection="1">
      <alignment horizontal="center" vertical="center" wrapText="1"/>
      <protection hidden="1"/>
    </xf>
    <xf numFmtId="0" fontId="6" fillId="13" borderId="11" xfId="0" applyFont="1" applyFill="1" applyBorder="1" applyAlignment="1" applyProtection="1">
      <alignment horizontal="center" vertical="center" wrapText="1"/>
      <protection hidden="1"/>
    </xf>
    <xf numFmtId="0" fontId="6" fillId="13" borderId="12" xfId="0" applyFont="1" applyFill="1" applyBorder="1" applyAlignment="1" applyProtection="1">
      <alignment horizontal="center" vertical="center" wrapText="1"/>
      <protection hidden="1"/>
    </xf>
    <xf numFmtId="0" fontId="5" fillId="12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6" fillId="6" borderId="10" xfId="0" applyFont="1" applyFill="1" applyBorder="1" applyAlignment="1" applyProtection="1">
      <alignment horizontal="center" vertical="center" wrapText="1"/>
      <protection hidden="1"/>
    </xf>
    <xf numFmtId="0" fontId="6" fillId="6" borderId="11" xfId="0" applyFont="1" applyFill="1" applyBorder="1" applyAlignment="1" applyProtection="1">
      <alignment horizontal="center" vertical="center" wrapText="1"/>
      <protection hidden="1"/>
    </xf>
    <xf numFmtId="0" fontId="6" fillId="6" borderId="12" xfId="0" applyFont="1" applyFill="1" applyBorder="1" applyAlignment="1" applyProtection="1">
      <alignment horizontal="center" vertical="center" wrapText="1"/>
      <protection hidden="1"/>
    </xf>
    <xf numFmtId="0" fontId="6" fillId="7" borderId="5" xfId="0" applyFont="1" applyFill="1" applyBorder="1" applyAlignment="1" applyProtection="1">
      <alignment horizontal="center" vertical="center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6" fillId="8" borderId="12" xfId="0" applyFont="1" applyFill="1" applyBorder="1" applyAlignment="1" applyProtection="1">
      <alignment horizontal="center" vertical="center" wrapText="1"/>
      <protection hidden="1"/>
    </xf>
    <xf numFmtId="0" fontId="5" fillId="9" borderId="5" xfId="0" applyFont="1" applyFill="1" applyBorder="1" applyAlignment="1" applyProtection="1">
      <alignment horizontal="center" vertical="center" wrapText="1"/>
      <protection hidden="1"/>
    </xf>
    <xf numFmtId="0" fontId="6" fillId="7" borderId="10" xfId="0" applyFont="1" applyFill="1" applyBorder="1" applyAlignment="1" applyProtection="1">
      <alignment horizontal="center" vertical="center"/>
      <protection hidden="1"/>
    </xf>
    <xf numFmtId="0" fontId="6" fillId="7" borderId="11" xfId="0" applyFont="1" applyFill="1" applyBorder="1" applyAlignment="1" applyProtection="1">
      <alignment horizontal="center" vertical="center"/>
      <protection hidden="1"/>
    </xf>
    <xf numFmtId="0" fontId="6" fillId="7" borderId="12" xfId="0" applyFont="1" applyFill="1" applyBorder="1" applyAlignment="1" applyProtection="1">
      <alignment horizontal="center" vertical="center"/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4" borderId="7" xfId="0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center" vertical="center" wrapText="1"/>
      <protection hidden="1"/>
    </xf>
    <xf numFmtId="0" fontId="4" fillId="4" borderId="9" xfId="0" applyFont="1" applyFill="1" applyBorder="1" applyAlignment="1" applyProtection="1">
      <alignment horizontal="center" vertical="center" wrapText="1"/>
      <protection hidden="1"/>
    </xf>
    <xf numFmtId="0" fontId="4" fillId="4" borderId="14" xfId="0" applyFont="1" applyFill="1" applyBorder="1" applyAlignment="1" applyProtection="1">
      <alignment horizontal="center" vertical="center" wrapText="1"/>
      <protection hidden="1"/>
    </xf>
    <xf numFmtId="0" fontId="4" fillId="4" borderId="15" xfId="0" applyFont="1" applyFill="1" applyBorder="1" applyAlignment="1" applyProtection="1">
      <alignment horizontal="center" vertical="center" wrapText="1"/>
      <protection hidden="1"/>
    </xf>
    <xf numFmtId="0" fontId="4" fillId="4" borderId="16" xfId="0" applyFont="1" applyFill="1" applyBorder="1" applyAlignment="1" applyProtection="1">
      <alignment horizontal="center" vertical="center" wrapText="1"/>
      <protection hidden="1"/>
    </xf>
    <xf numFmtId="0" fontId="4" fillId="4" borderId="5" xfId="0" applyFont="1" applyFill="1" applyBorder="1" applyAlignment="1" applyProtection="1">
      <alignment horizontal="center" vertical="center"/>
      <protection hidden="1"/>
    </xf>
    <xf numFmtId="0" fontId="4" fillId="4" borderId="6" xfId="0" applyFont="1" applyFill="1" applyBorder="1" applyAlignment="1" applyProtection="1">
      <alignment horizontal="center" vertical="center"/>
      <protection hidden="1"/>
    </xf>
    <xf numFmtId="0" fontId="4" fillId="4" borderId="13" xfId="0" applyFont="1" applyFill="1" applyBorder="1" applyAlignment="1" applyProtection="1">
      <alignment horizontal="center" vertical="center"/>
      <protection hidden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719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ont>
        <color rgb="FFC0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18"/>
      <tableStyleElement type="headerRow" dxfId="7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1524000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2PTV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.motta.d.lucas/OneDrive%20-%20Accenture/NBA/Ofertas%20%20690%20-%20Reten&#231;&#227;o%20OiT%20Substitui&#231;&#227;o%20das%20ofertas%20OiT%20de%20todos%20os%20combos/Briefing/priorizadasOiTotal_mig_jul18_oit_2PTV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i183602/AppData/Local/Temp/Temp1_briefingMAE18_Aqu_3P_RES_+CL.zip/briefingMAE18_Aqu_3P_RES_FID_+CL_202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victor_motta_d_lucas_accenture_com/Documents/NBA/Ofertas%20%20690%20-%20Reten&#231;&#227;o%20OiT%20Substitui&#231;&#227;o%20das%20ofertas%20OiT%20de%20todos%20os%20combos/Briefing/briefingOfertasOiTotal_mig_oit_2PB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ing_FID"/>
      <sheetName val="ARBOR_REAJUSTE18"/>
      <sheetName val="h_racional"/>
      <sheetName val="h_nomes"/>
      <sheetName val="Valores Possíveis"/>
      <sheetName val="Legenda"/>
      <sheetName val="PickList"/>
      <sheetName val="BENEFICIOS"/>
      <sheetName val="PLANOS"/>
      <sheetName val="Plan1"/>
    </sheetNames>
    <sheetDataSet>
      <sheetData sheetId="0"/>
      <sheetData sheetId="1">
        <row r="1">
          <cell r="A1" t="str">
            <v>CODIGO SBL</v>
          </cell>
          <cell r="B1" t="str">
            <v>#</v>
          </cell>
          <cell r="C1" t="str">
            <v>PRODUTO</v>
          </cell>
          <cell r="D1" t="str">
            <v>Valor Mínimo</v>
          </cell>
          <cell r="E1" t="str">
            <v>AC</v>
          </cell>
          <cell r="F1" t="str">
            <v>AL</v>
          </cell>
          <cell r="G1" t="str">
            <v>AM</v>
          </cell>
          <cell r="H1" t="str">
            <v>AP</v>
          </cell>
          <cell r="I1" t="str">
            <v>BA</v>
          </cell>
          <cell r="J1" t="str">
            <v>CE</v>
          </cell>
          <cell r="K1" t="str">
            <v>DF</v>
          </cell>
          <cell r="L1" t="str">
            <v>ES</v>
          </cell>
          <cell r="M1" t="str">
            <v>GO</v>
          </cell>
          <cell r="N1" t="str">
            <v>MA</v>
          </cell>
          <cell r="O1" t="str">
            <v>MG</v>
          </cell>
          <cell r="P1" t="str">
            <v>MS</v>
          </cell>
          <cell r="Q1" t="str">
            <v>MT</v>
          </cell>
          <cell r="R1" t="str">
            <v>PA</v>
          </cell>
          <cell r="S1" t="str">
            <v>PB</v>
          </cell>
          <cell r="T1" t="str">
            <v>PE</v>
          </cell>
          <cell r="U1" t="str">
            <v>PI</v>
          </cell>
          <cell r="V1" t="str">
            <v>PR</v>
          </cell>
          <cell r="W1" t="str">
            <v>RJ</v>
          </cell>
          <cell r="X1" t="str">
            <v>RN</v>
          </cell>
          <cell r="Y1" t="str">
            <v>RO</v>
          </cell>
          <cell r="Z1" t="str">
            <v>RR</v>
          </cell>
          <cell r="AA1" t="str">
            <v>RS</v>
          </cell>
          <cell r="AB1" t="str">
            <v>SC</v>
          </cell>
          <cell r="AC1" t="str">
            <v>SE</v>
          </cell>
          <cell r="AD1" t="str">
            <v>SP</v>
          </cell>
          <cell r="AE1" t="str">
            <v>TO</v>
          </cell>
          <cell r="AJ1" t="b">
            <v>1</v>
          </cell>
          <cell r="AK1" t="b">
            <v>1</v>
          </cell>
          <cell r="AL1" t="b">
            <v>1</v>
          </cell>
          <cell r="AM1" t="b">
            <v>1</v>
          </cell>
          <cell r="AN1" t="b">
            <v>1</v>
          </cell>
          <cell r="AO1" t="b">
            <v>1</v>
          </cell>
          <cell r="AP1" t="b">
            <v>1</v>
          </cell>
          <cell r="AQ1" t="b">
            <v>1</v>
          </cell>
          <cell r="AR1" t="b">
            <v>1</v>
          </cell>
          <cell r="AS1" t="b">
            <v>1</v>
          </cell>
          <cell r="AT1" t="b">
            <v>1</v>
          </cell>
          <cell r="AU1" t="b">
            <v>1</v>
          </cell>
          <cell r="AV1" t="b">
            <v>1</v>
          </cell>
          <cell r="AW1" t="b">
            <v>1</v>
          </cell>
          <cell r="AX1" t="b">
            <v>1</v>
          </cell>
          <cell r="AY1" t="b">
            <v>1</v>
          </cell>
          <cell r="AZ1" t="b">
            <v>1</v>
          </cell>
          <cell r="BA1" t="b">
            <v>1</v>
          </cell>
          <cell r="BB1" t="b">
            <v>1</v>
          </cell>
          <cell r="BC1" t="b">
            <v>1</v>
          </cell>
          <cell r="BD1" t="b">
            <v>1</v>
          </cell>
          <cell r="BE1" t="b">
            <v>1</v>
          </cell>
          <cell r="BF1" t="b">
            <v>1</v>
          </cell>
          <cell r="BG1" t="b">
            <v>1</v>
          </cell>
          <cell r="BH1" t="b">
            <v>1</v>
          </cell>
          <cell r="BI1" t="b">
            <v>1</v>
          </cell>
          <cell r="BJ1" t="b">
            <v>1</v>
          </cell>
        </row>
        <row r="2">
          <cell r="A2" t="str">
            <v>FIXO</v>
          </cell>
          <cell r="B2">
            <v>2</v>
          </cell>
          <cell r="C2" t="str">
            <v>Oi Fixo (Assinatura + Franquia)</v>
          </cell>
          <cell r="D2">
            <v>0</v>
          </cell>
          <cell r="E2">
            <v>72.23</v>
          </cell>
          <cell r="F2">
            <v>73.19</v>
          </cell>
          <cell r="G2">
            <v>73.19</v>
          </cell>
          <cell r="H2">
            <v>72.680000000000007</v>
          </cell>
          <cell r="I2">
            <v>72.19</v>
          </cell>
          <cell r="J2">
            <v>62.6</v>
          </cell>
          <cell r="K2">
            <v>73.64</v>
          </cell>
          <cell r="L2">
            <v>70.8</v>
          </cell>
          <cell r="M2">
            <v>74.14</v>
          </cell>
          <cell r="N2">
            <v>64.92</v>
          </cell>
          <cell r="O2">
            <v>71.709999999999994</v>
          </cell>
          <cell r="P2">
            <v>74.14</v>
          </cell>
          <cell r="Q2">
            <v>73.150000000000006</v>
          </cell>
          <cell r="R2">
            <v>73.19</v>
          </cell>
          <cell r="S2">
            <v>62.6</v>
          </cell>
          <cell r="T2">
            <v>73.19</v>
          </cell>
          <cell r="U2">
            <v>67.47</v>
          </cell>
          <cell r="V2">
            <v>74.14</v>
          </cell>
          <cell r="W2">
            <v>75.56</v>
          </cell>
          <cell r="X2">
            <v>73.19</v>
          </cell>
          <cell r="Y2">
            <v>74.650000000000006</v>
          </cell>
          <cell r="Z2">
            <v>70.8</v>
          </cell>
          <cell r="AA2">
            <v>74.650000000000006</v>
          </cell>
          <cell r="AB2">
            <v>72.23</v>
          </cell>
          <cell r="AC2">
            <v>73.19</v>
          </cell>
          <cell r="AD2">
            <v>0</v>
          </cell>
          <cell r="AE2">
            <v>74.14</v>
          </cell>
          <cell r="AJ2" t="str">
            <v>AC</v>
          </cell>
          <cell r="AK2" t="str">
            <v>AL</v>
          </cell>
          <cell r="AL2" t="str">
            <v>AM</v>
          </cell>
          <cell r="AM2" t="str">
            <v>AP</v>
          </cell>
          <cell r="AN2" t="str">
            <v>BA</v>
          </cell>
          <cell r="AO2" t="str">
            <v>CE</v>
          </cell>
          <cell r="AP2" t="str">
            <v>DF</v>
          </cell>
          <cell r="AQ2" t="str">
            <v>ES</v>
          </cell>
          <cell r="AR2" t="str">
            <v>GO</v>
          </cell>
          <cell r="AS2" t="str">
            <v>MA</v>
          </cell>
          <cell r="AT2" t="str">
            <v>MG</v>
          </cell>
          <cell r="AU2" t="str">
            <v>MS</v>
          </cell>
          <cell r="AV2" t="str">
            <v>MT</v>
          </cell>
          <cell r="AW2" t="str">
            <v>PA</v>
          </cell>
          <cell r="AX2" t="str">
            <v>PB</v>
          </cell>
          <cell r="AY2" t="str">
            <v>PE</v>
          </cell>
          <cell r="AZ2" t="str">
            <v>PI</v>
          </cell>
          <cell r="BA2" t="str">
            <v>PR</v>
          </cell>
          <cell r="BB2" t="str">
            <v>RJ</v>
          </cell>
          <cell r="BC2" t="str">
            <v>RN</v>
          </cell>
          <cell r="BD2" t="str">
            <v>RO</v>
          </cell>
          <cell r="BE2" t="str">
            <v>RR</v>
          </cell>
          <cell r="BF2" t="str">
            <v>RS</v>
          </cell>
          <cell r="BG2" t="str">
            <v>SC</v>
          </cell>
          <cell r="BH2" t="str">
            <v>SE</v>
          </cell>
          <cell r="BI2" t="str">
            <v>SP</v>
          </cell>
          <cell r="BJ2" t="str">
            <v>TO</v>
          </cell>
        </row>
        <row r="3">
          <cell r="A3" t="str">
            <v>FIXO_S_SD</v>
          </cell>
          <cell r="B3">
            <v>3</v>
          </cell>
          <cell r="C3" t="str">
            <v>Oi Fixo (SD)</v>
          </cell>
          <cell r="D3">
            <v>0</v>
          </cell>
          <cell r="E3">
            <v>15.43</v>
          </cell>
          <cell r="F3">
            <v>15.43</v>
          </cell>
          <cell r="G3">
            <v>15.43</v>
          </cell>
          <cell r="H3">
            <v>15.43</v>
          </cell>
          <cell r="I3">
            <v>15.43</v>
          </cell>
          <cell r="J3">
            <v>15.43</v>
          </cell>
          <cell r="K3">
            <v>15.43</v>
          </cell>
          <cell r="L3">
            <v>15.43</v>
          </cell>
          <cell r="M3">
            <v>15.43</v>
          </cell>
          <cell r="N3">
            <v>15.43</v>
          </cell>
          <cell r="O3">
            <v>15.43</v>
          </cell>
          <cell r="P3">
            <v>15.43</v>
          </cell>
          <cell r="Q3">
            <v>15.43</v>
          </cell>
          <cell r="R3">
            <v>15.43</v>
          </cell>
          <cell r="S3">
            <v>15.43</v>
          </cell>
          <cell r="T3">
            <v>15.43</v>
          </cell>
          <cell r="U3">
            <v>15.43</v>
          </cell>
          <cell r="V3">
            <v>15.43</v>
          </cell>
          <cell r="W3">
            <v>15.43</v>
          </cell>
          <cell r="X3">
            <v>15.43</v>
          </cell>
          <cell r="Y3">
            <v>15.43</v>
          </cell>
          <cell r="Z3">
            <v>15.43</v>
          </cell>
          <cell r="AA3">
            <v>15.43</v>
          </cell>
          <cell r="AB3">
            <v>15.43</v>
          </cell>
          <cell r="AC3">
            <v>15.43</v>
          </cell>
          <cell r="AD3">
            <v>0</v>
          </cell>
          <cell r="AE3">
            <v>15.43</v>
          </cell>
        </row>
        <row r="4">
          <cell r="A4" t="str">
            <v>PCS-30874g</v>
          </cell>
          <cell r="B4">
            <v>4</v>
          </cell>
          <cell r="C4" t="str">
            <v>Bundle Oi Velox 300 Kb</v>
          </cell>
          <cell r="D4">
            <v>84.54</v>
          </cell>
          <cell r="E4">
            <v>97.29</v>
          </cell>
          <cell r="F4">
            <v>97.29</v>
          </cell>
          <cell r="G4">
            <v>84.54</v>
          </cell>
          <cell r="H4">
            <v>97.29</v>
          </cell>
          <cell r="I4">
            <v>97.29</v>
          </cell>
          <cell r="J4">
            <v>97.29</v>
          </cell>
          <cell r="K4">
            <v>97.29</v>
          </cell>
          <cell r="L4">
            <v>97.29</v>
          </cell>
          <cell r="M4">
            <v>97.29</v>
          </cell>
          <cell r="N4">
            <v>100.17</v>
          </cell>
          <cell r="O4">
            <v>97.29</v>
          </cell>
          <cell r="P4">
            <v>97.29</v>
          </cell>
          <cell r="Q4">
            <v>97.29</v>
          </cell>
          <cell r="R4">
            <v>97.29</v>
          </cell>
          <cell r="S4">
            <v>97.29</v>
          </cell>
          <cell r="T4">
            <v>97.29</v>
          </cell>
          <cell r="U4">
            <v>104.62</v>
          </cell>
          <cell r="V4">
            <v>97.29</v>
          </cell>
          <cell r="W4">
            <v>100.3</v>
          </cell>
          <cell r="X4">
            <v>97.29</v>
          </cell>
          <cell r="Y4">
            <v>97.29</v>
          </cell>
          <cell r="Z4">
            <v>97.29</v>
          </cell>
          <cell r="AA4">
            <v>97.29</v>
          </cell>
          <cell r="AB4">
            <v>97.29</v>
          </cell>
          <cell r="AC4">
            <v>97.29</v>
          </cell>
          <cell r="AD4">
            <v>97.29</v>
          </cell>
          <cell r="AE4">
            <v>97.29</v>
          </cell>
        </row>
        <row r="5">
          <cell r="A5" t="str">
            <v>PCS-30577g</v>
          </cell>
          <cell r="B5">
            <v>5</v>
          </cell>
          <cell r="C5" t="str">
            <v>Bundle Oi Velox 600 Kb</v>
          </cell>
          <cell r="D5">
            <v>84.54</v>
          </cell>
          <cell r="E5">
            <v>97.29</v>
          </cell>
          <cell r="F5">
            <v>97.29</v>
          </cell>
          <cell r="G5">
            <v>84.54</v>
          </cell>
          <cell r="H5">
            <v>97.29</v>
          </cell>
          <cell r="I5">
            <v>97.29</v>
          </cell>
          <cell r="J5">
            <v>97.29</v>
          </cell>
          <cell r="K5">
            <v>97.29</v>
          </cell>
          <cell r="L5">
            <v>97.29</v>
          </cell>
          <cell r="M5">
            <v>97.29</v>
          </cell>
          <cell r="N5">
            <v>100.17</v>
          </cell>
          <cell r="O5">
            <v>97.29</v>
          </cell>
          <cell r="P5">
            <v>97.29</v>
          </cell>
          <cell r="Q5">
            <v>97.29</v>
          </cell>
          <cell r="R5">
            <v>97.29</v>
          </cell>
          <cell r="S5">
            <v>97.29</v>
          </cell>
          <cell r="T5">
            <v>97.29</v>
          </cell>
          <cell r="U5">
            <v>104.62</v>
          </cell>
          <cell r="V5">
            <v>97.29</v>
          </cell>
          <cell r="W5">
            <v>100.3</v>
          </cell>
          <cell r="X5">
            <v>97.29</v>
          </cell>
          <cell r="Y5">
            <v>97.29</v>
          </cell>
          <cell r="Z5">
            <v>97.29</v>
          </cell>
          <cell r="AA5">
            <v>97.29</v>
          </cell>
          <cell r="AB5">
            <v>97.29</v>
          </cell>
          <cell r="AC5">
            <v>97.29</v>
          </cell>
          <cell r="AD5">
            <v>97.29</v>
          </cell>
          <cell r="AE5">
            <v>97.29</v>
          </cell>
        </row>
        <row r="6">
          <cell r="A6" t="str">
            <v>PCS-30604g</v>
          </cell>
          <cell r="B6">
            <v>6</v>
          </cell>
          <cell r="C6" t="str">
            <v>Bundle Oi Velox 1 Mb</v>
          </cell>
          <cell r="D6">
            <v>84.54</v>
          </cell>
          <cell r="E6">
            <v>97.29</v>
          </cell>
          <cell r="F6">
            <v>97.29</v>
          </cell>
          <cell r="G6">
            <v>84.54</v>
          </cell>
          <cell r="H6">
            <v>97.29</v>
          </cell>
          <cell r="I6">
            <v>97.29</v>
          </cell>
          <cell r="J6">
            <v>97.29</v>
          </cell>
          <cell r="K6">
            <v>97.29</v>
          </cell>
          <cell r="L6">
            <v>97.29</v>
          </cell>
          <cell r="M6">
            <v>97.29</v>
          </cell>
          <cell r="N6">
            <v>100.17</v>
          </cell>
          <cell r="O6">
            <v>97.29</v>
          </cell>
          <cell r="P6">
            <v>97.29</v>
          </cell>
          <cell r="Q6">
            <v>97.29</v>
          </cell>
          <cell r="R6">
            <v>97.29</v>
          </cell>
          <cell r="S6">
            <v>97.29</v>
          </cell>
          <cell r="T6">
            <v>97.29</v>
          </cell>
          <cell r="U6">
            <v>104.62</v>
          </cell>
          <cell r="V6">
            <v>97.29</v>
          </cell>
          <cell r="W6">
            <v>100.3</v>
          </cell>
          <cell r="X6">
            <v>97.29</v>
          </cell>
          <cell r="Y6">
            <v>97.29</v>
          </cell>
          <cell r="Z6">
            <v>97.29</v>
          </cell>
          <cell r="AA6">
            <v>97.29</v>
          </cell>
          <cell r="AB6">
            <v>97.29</v>
          </cell>
          <cell r="AC6">
            <v>97.29</v>
          </cell>
          <cell r="AD6">
            <v>97.29</v>
          </cell>
          <cell r="AE6">
            <v>97.29</v>
          </cell>
        </row>
        <row r="7">
          <cell r="A7" t="str">
            <v>PCS-30631g</v>
          </cell>
          <cell r="B7">
            <v>7</v>
          </cell>
          <cell r="C7" t="str">
            <v>Bundle Oi Velox 2 Mb</v>
          </cell>
          <cell r="D7">
            <v>98.62</v>
          </cell>
          <cell r="E7">
            <v>113.5</v>
          </cell>
          <cell r="F7">
            <v>113.5</v>
          </cell>
          <cell r="G7">
            <v>98.62</v>
          </cell>
          <cell r="H7">
            <v>113.5</v>
          </cell>
          <cell r="I7">
            <v>113.5</v>
          </cell>
          <cell r="J7">
            <v>113.5</v>
          </cell>
          <cell r="K7">
            <v>113.5</v>
          </cell>
          <cell r="L7">
            <v>113.5</v>
          </cell>
          <cell r="M7">
            <v>113.5</v>
          </cell>
          <cell r="N7">
            <v>116.86</v>
          </cell>
          <cell r="O7">
            <v>113.5</v>
          </cell>
          <cell r="P7">
            <v>113.5</v>
          </cell>
          <cell r="Q7">
            <v>113.5</v>
          </cell>
          <cell r="R7">
            <v>113.5</v>
          </cell>
          <cell r="S7">
            <v>113.5</v>
          </cell>
          <cell r="T7">
            <v>113.5</v>
          </cell>
          <cell r="U7">
            <v>122.05</v>
          </cell>
          <cell r="V7">
            <v>113.5</v>
          </cell>
          <cell r="W7">
            <v>117.02</v>
          </cell>
          <cell r="X7">
            <v>113.5</v>
          </cell>
          <cell r="Y7">
            <v>113.5</v>
          </cell>
          <cell r="Z7">
            <v>113.5</v>
          </cell>
          <cell r="AA7">
            <v>113.5</v>
          </cell>
          <cell r="AB7">
            <v>113.5</v>
          </cell>
          <cell r="AC7">
            <v>113.5</v>
          </cell>
          <cell r="AD7">
            <v>113.5</v>
          </cell>
          <cell r="AE7">
            <v>113.5</v>
          </cell>
        </row>
        <row r="8">
          <cell r="A8" t="str">
            <v>PCS-30658g</v>
          </cell>
          <cell r="B8">
            <v>8</v>
          </cell>
          <cell r="C8" t="str">
            <v>Bundle Oi Velox 5 Mb</v>
          </cell>
          <cell r="D8">
            <v>112.73</v>
          </cell>
          <cell r="E8">
            <v>129.72</v>
          </cell>
          <cell r="F8">
            <v>129.72</v>
          </cell>
          <cell r="G8">
            <v>112.73</v>
          </cell>
          <cell r="H8">
            <v>129.72</v>
          </cell>
          <cell r="I8">
            <v>129.72</v>
          </cell>
          <cell r="J8">
            <v>129.72</v>
          </cell>
          <cell r="K8">
            <v>129.72</v>
          </cell>
          <cell r="L8">
            <v>129.72</v>
          </cell>
          <cell r="M8">
            <v>129.72</v>
          </cell>
          <cell r="N8">
            <v>133.56</v>
          </cell>
          <cell r="O8">
            <v>129.72</v>
          </cell>
          <cell r="P8">
            <v>129.72</v>
          </cell>
          <cell r="Q8">
            <v>129.72</v>
          </cell>
          <cell r="R8">
            <v>129.72</v>
          </cell>
          <cell r="S8">
            <v>129.72</v>
          </cell>
          <cell r="T8">
            <v>129.72</v>
          </cell>
          <cell r="U8">
            <v>139.49</v>
          </cell>
          <cell r="V8">
            <v>129.72</v>
          </cell>
          <cell r="W8">
            <v>133.72999999999999</v>
          </cell>
          <cell r="X8">
            <v>129.72</v>
          </cell>
          <cell r="Y8">
            <v>129.72</v>
          </cell>
          <cell r="Z8">
            <v>129.72</v>
          </cell>
          <cell r="AA8">
            <v>129.72</v>
          </cell>
          <cell r="AB8">
            <v>129.72</v>
          </cell>
          <cell r="AC8">
            <v>129.72</v>
          </cell>
          <cell r="AD8">
            <v>129.72</v>
          </cell>
          <cell r="AE8">
            <v>129.72</v>
          </cell>
        </row>
        <row r="9">
          <cell r="A9" t="str">
            <v>PCS-30685g</v>
          </cell>
          <cell r="B9">
            <v>9</v>
          </cell>
          <cell r="C9" t="str">
            <v>Bundle Oi Velox 10 Mb</v>
          </cell>
          <cell r="D9">
            <v>126.81</v>
          </cell>
          <cell r="E9">
            <v>145.93</v>
          </cell>
          <cell r="F9">
            <v>145.93</v>
          </cell>
          <cell r="G9">
            <v>126.81</v>
          </cell>
          <cell r="H9">
            <v>145.93</v>
          </cell>
          <cell r="I9">
            <v>145.93</v>
          </cell>
          <cell r="J9">
            <v>145.93</v>
          </cell>
          <cell r="K9">
            <v>145.93</v>
          </cell>
          <cell r="L9">
            <v>145.93</v>
          </cell>
          <cell r="M9">
            <v>145.93</v>
          </cell>
          <cell r="N9">
            <v>150.26</v>
          </cell>
          <cell r="O9">
            <v>145.93</v>
          </cell>
          <cell r="P9">
            <v>145.93</v>
          </cell>
          <cell r="Q9">
            <v>145.93</v>
          </cell>
          <cell r="R9">
            <v>145.93</v>
          </cell>
          <cell r="S9">
            <v>145.93</v>
          </cell>
          <cell r="T9">
            <v>145.93</v>
          </cell>
          <cell r="U9">
            <v>156.91999999999999</v>
          </cell>
          <cell r="V9">
            <v>145.93</v>
          </cell>
          <cell r="W9">
            <v>150.46</v>
          </cell>
          <cell r="X9">
            <v>145.93</v>
          </cell>
          <cell r="Y9">
            <v>145.93</v>
          </cell>
          <cell r="Z9">
            <v>145.93</v>
          </cell>
          <cell r="AA9">
            <v>145.93</v>
          </cell>
          <cell r="AB9">
            <v>145.93</v>
          </cell>
          <cell r="AC9">
            <v>145.93</v>
          </cell>
          <cell r="AD9">
            <v>145.93</v>
          </cell>
          <cell r="AE9">
            <v>145.93</v>
          </cell>
        </row>
        <row r="10">
          <cell r="A10" t="str">
            <v>PCS-30712g</v>
          </cell>
          <cell r="B10">
            <v>10</v>
          </cell>
          <cell r="C10" t="str">
            <v>Bundle Oi Velox 15 Mb</v>
          </cell>
          <cell r="D10">
            <v>140.9</v>
          </cell>
          <cell r="E10">
            <v>162.15</v>
          </cell>
          <cell r="F10">
            <v>162.15</v>
          </cell>
          <cell r="G10">
            <v>140.9</v>
          </cell>
          <cell r="H10">
            <v>162.15</v>
          </cell>
          <cell r="I10">
            <v>162.15</v>
          </cell>
          <cell r="J10">
            <v>162.15</v>
          </cell>
          <cell r="K10">
            <v>162.15</v>
          </cell>
          <cell r="L10">
            <v>162.15</v>
          </cell>
          <cell r="M10">
            <v>162.15</v>
          </cell>
          <cell r="N10">
            <v>166.96</v>
          </cell>
          <cell r="O10">
            <v>162.15</v>
          </cell>
          <cell r="P10">
            <v>162.15</v>
          </cell>
          <cell r="Q10">
            <v>162.15</v>
          </cell>
          <cell r="R10">
            <v>162.15</v>
          </cell>
          <cell r="S10">
            <v>162.15</v>
          </cell>
          <cell r="T10">
            <v>162.15</v>
          </cell>
          <cell r="U10">
            <v>174.37</v>
          </cell>
          <cell r="V10">
            <v>162.15</v>
          </cell>
          <cell r="W10">
            <v>167.19</v>
          </cell>
          <cell r="X10">
            <v>162.15</v>
          </cell>
          <cell r="Y10">
            <v>162.15</v>
          </cell>
          <cell r="Z10">
            <v>162.15</v>
          </cell>
          <cell r="AA10">
            <v>162.15</v>
          </cell>
          <cell r="AB10">
            <v>162.15</v>
          </cell>
          <cell r="AC10">
            <v>162.15</v>
          </cell>
          <cell r="AD10">
            <v>162.15</v>
          </cell>
          <cell r="AE10">
            <v>162.15</v>
          </cell>
        </row>
        <row r="11">
          <cell r="A11" t="str">
            <v>PCS-30739g</v>
          </cell>
          <cell r="B11">
            <v>11</v>
          </cell>
          <cell r="C11" t="str">
            <v>Bundle Oi Velox 20 Mb</v>
          </cell>
          <cell r="D11">
            <v>211.36</v>
          </cell>
          <cell r="E11">
            <v>243.22</v>
          </cell>
          <cell r="F11">
            <v>243.22</v>
          </cell>
          <cell r="G11">
            <v>211.36</v>
          </cell>
          <cell r="H11">
            <v>243.22</v>
          </cell>
          <cell r="I11">
            <v>243.22</v>
          </cell>
          <cell r="J11">
            <v>243.22</v>
          </cell>
          <cell r="K11">
            <v>243.22</v>
          </cell>
          <cell r="L11">
            <v>243.22</v>
          </cell>
          <cell r="M11">
            <v>243.22</v>
          </cell>
          <cell r="N11">
            <v>250.45</v>
          </cell>
          <cell r="O11">
            <v>243.22</v>
          </cell>
          <cell r="P11">
            <v>243.22</v>
          </cell>
          <cell r="Q11">
            <v>243.22</v>
          </cell>
          <cell r="R11">
            <v>243.22</v>
          </cell>
          <cell r="S11">
            <v>243.22</v>
          </cell>
          <cell r="T11">
            <v>243.22</v>
          </cell>
          <cell r="U11">
            <v>261.55</v>
          </cell>
          <cell r="V11">
            <v>243.22</v>
          </cell>
          <cell r="W11">
            <v>250.78</v>
          </cell>
          <cell r="X11">
            <v>243.22</v>
          </cell>
          <cell r="Y11">
            <v>243.22</v>
          </cell>
          <cell r="Z11">
            <v>243.22</v>
          </cell>
          <cell r="AA11">
            <v>243.22</v>
          </cell>
          <cell r="AB11">
            <v>243.22</v>
          </cell>
          <cell r="AC11">
            <v>243.22</v>
          </cell>
          <cell r="AD11">
            <v>243.22</v>
          </cell>
          <cell r="AE11">
            <v>243.22</v>
          </cell>
        </row>
        <row r="12">
          <cell r="A12" t="str">
            <v>PCS-30766g</v>
          </cell>
          <cell r="B12">
            <v>12</v>
          </cell>
          <cell r="C12" t="str">
            <v>Bundle Oi Velox 25 Mb</v>
          </cell>
          <cell r="D12">
            <v>281.82</v>
          </cell>
          <cell r="E12">
            <v>324.3</v>
          </cell>
          <cell r="F12">
            <v>324.3</v>
          </cell>
          <cell r="G12">
            <v>281.82</v>
          </cell>
          <cell r="H12">
            <v>324.3</v>
          </cell>
          <cell r="I12">
            <v>324.3</v>
          </cell>
          <cell r="J12">
            <v>324.3</v>
          </cell>
          <cell r="K12">
            <v>324.3</v>
          </cell>
          <cell r="L12">
            <v>324.3</v>
          </cell>
          <cell r="M12">
            <v>324.3</v>
          </cell>
          <cell r="N12">
            <v>333.93</v>
          </cell>
          <cell r="O12">
            <v>324.3</v>
          </cell>
          <cell r="P12">
            <v>324.3</v>
          </cell>
          <cell r="Q12">
            <v>324.3</v>
          </cell>
          <cell r="R12">
            <v>324.3</v>
          </cell>
          <cell r="S12">
            <v>324.3</v>
          </cell>
          <cell r="T12">
            <v>324.3</v>
          </cell>
          <cell r="U12">
            <v>348.74</v>
          </cell>
          <cell r="V12">
            <v>324.3</v>
          </cell>
          <cell r="W12">
            <v>334.38</v>
          </cell>
          <cell r="X12">
            <v>324.3</v>
          </cell>
          <cell r="Y12">
            <v>324.3</v>
          </cell>
          <cell r="Z12">
            <v>324.3</v>
          </cell>
          <cell r="AA12">
            <v>324.3</v>
          </cell>
          <cell r="AB12">
            <v>324.3</v>
          </cell>
          <cell r="AC12">
            <v>324.3</v>
          </cell>
          <cell r="AD12">
            <v>324.3</v>
          </cell>
          <cell r="AE12">
            <v>324.3</v>
          </cell>
        </row>
        <row r="13">
          <cell r="A13" t="str">
            <v>PCS-30793g</v>
          </cell>
          <cell r="B13">
            <v>13</v>
          </cell>
          <cell r="C13" t="str">
            <v>Bundle Oi Velox 30 Mb</v>
          </cell>
          <cell r="D13">
            <v>281.82</v>
          </cell>
          <cell r="E13">
            <v>324.3</v>
          </cell>
          <cell r="F13">
            <v>324.3</v>
          </cell>
          <cell r="G13">
            <v>281.82</v>
          </cell>
          <cell r="H13">
            <v>324.3</v>
          </cell>
          <cell r="I13">
            <v>324.3</v>
          </cell>
          <cell r="J13">
            <v>324.3</v>
          </cell>
          <cell r="K13">
            <v>324.3</v>
          </cell>
          <cell r="L13">
            <v>324.3</v>
          </cell>
          <cell r="M13">
            <v>324.3</v>
          </cell>
          <cell r="N13">
            <v>333.93</v>
          </cell>
          <cell r="O13">
            <v>324.3</v>
          </cell>
          <cell r="P13">
            <v>324.3</v>
          </cell>
          <cell r="Q13">
            <v>324.3</v>
          </cell>
          <cell r="R13">
            <v>324.3</v>
          </cell>
          <cell r="S13">
            <v>324.3</v>
          </cell>
          <cell r="T13">
            <v>324.3</v>
          </cell>
          <cell r="U13">
            <v>348.74</v>
          </cell>
          <cell r="V13">
            <v>324.3</v>
          </cell>
          <cell r="W13">
            <v>334.38</v>
          </cell>
          <cell r="X13">
            <v>324.3</v>
          </cell>
          <cell r="Y13">
            <v>324.3</v>
          </cell>
          <cell r="Z13">
            <v>324.3</v>
          </cell>
          <cell r="AA13">
            <v>324.3</v>
          </cell>
          <cell r="AB13">
            <v>324.3</v>
          </cell>
          <cell r="AC13">
            <v>324.3</v>
          </cell>
          <cell r="AD13">
            <v>324.3</v>
          </cell>
          <cell r="AE13">
            <v>324.3</v>
          </cell>
        </row>
        <row r="14">
          <cell r="A14" t="str">
            <v>PCS-30820g</v>
          </cell>
          <cell r="B14">
            <v>14</v>
          </cell>
          <cell r="C14" t="str">
            <v>Bundle Oi Velox 35 Mb</v>
          </cell>
          <cell r="D14">
            <v>281.82</v>
          </cell>
          <cell r="E14">
            <v>324.3</v>
          </cell>
          <cell r="F14">
            <v>324.3</v>
          </cell>
          <cell r="G14">
            <v>281.82</v>
          </cell>
          <cell r="H14">
            <v>324.3</v>
          </cell>
          <cell r="I14">
            <v>324.3</v>
          </cell>
          <cell r="J14">
            <v>324.3</v>
          </cell>
          <cell r="K14">
            <v>324.3</v>
          </cell>
          <cell r="L14">
            <v>324.3</v>
          </cell>
          <cell r="M14">
            <v>324.3</v>
          </cell>
          <cell r="N14">
            <v>333.93</v>
          </cell>
          <cell r="O14">
            <v>324.3</v>
          </cell>
          <cell r="P14">
            <v>324.3</v>
          </cell>
          <cell r="Q14">
            <v>324.3</v>
          </cell>
          <cell r="R14">
            <v>324.3</v>
          </cell>
          <cell r="S14">
            <v>324.3</v>
          </cell>
          <cell r="T14">
            <v>324.3</v>
          </cell>
          <cell r="U14">
            <v>348.74</v>
          </cell>
          <cell r="V14">
            <v>324.3</v>
          </cell>
          <cell r="W14">
            <v>334.38</v>
          </cell>
          <cell r="X14">
            <v>324.3</v>
          </cell>
          <cell r="Y14">
            <v>324.3</v>
          </cell>
          <cell r="Z14">
            <v>324.3</v>
          </cell>
          <cell r="AA14">
            <v>324.3</v>
          </cell>
          <cell r="AB14">
            <v>324.3</v>
          </cell>
          <cell r="AC14">
            <v>324.3</v>
          </cell>
          <cell r="AD14">
            <v>324.3</v>
          </cell>
          <cell r="AE14">
            <v>324.3</v>
          </cell>
        </row>
        <row r="15">
          <cell r="A15" t="str">
            <v>PCS-30901g</v>
          </cell>
          <cell r="B15">
            <v>15</v>
          </cell>
          <cell r="C15" t="str">
            <v>Assinatura Velox 50Mb</v>
          </cell>
          <cell r="D15">
            <v>400</v>
          </cell>
          <cell r="E15">
            <v>400</v>
          </cell>
          <cell r="F15">
            <v>400</v>
          </cell>
          <cell r="G15">
            <v>400</v>
          </cell>
          <cell r="H15">
            <v>400</v>
          </cell>
          <cell r="I15">
            <v>400</v>
          </cell>
          <cell r="J15">
            <v>400</v>
          </cell>
          <cell r="K15">
            <v>400</v>
          </cell>
          <cell r="L15">
            <v>400</v>
          </cell>
          <cell r="M15">
            <v>400</v>
          </cell>
          <cell r="N15">
            <v>400</v>
          </cell>
          <cell r="O15">
            <v>400</v>
          </cell>
          <cell r="P15">
            <v>400</v>
          </cell>
          <cell r="Q15">
            <v>400</v>
          </cell>
          <cell r="R15">
            <v>400</v>
          </cell>
          <cell r="S15">
            <v>400</v>
          </cell>
          <cell r="T15">
            <v>400</v>
          </cell>
          <cell r="U15">
            <v>400</v>
          </cell>
          <cell r="V15">
            <v>400</v>
          </cell>
          <cell r="W15">
            <v>400</v>
          </cell>
          <cell r="X15">
            <v>400</v>
          </cell>
          <cell r="Y15">
            <v>400</v>
          </cell>
          <cell r="Z15">
            <v>400</v>
          </cell>
          <cell r="AA15">
            <v>400</v>
          </cell>
          <cell r="AB15">
            <v>400</v>
          </cell>
          <cell r="AC15">
            <v>400</v>
          </cell>
          <cell r="AD15">
            <v>400</v>
          </cell>
          <cell r="AE15">
            <v>400</v>
          </cell>
        </row>
        <row r="16">
          <cell r="A16" t="str">
            <v>PCS-31036g</v>
          </cell>
          <cell r="B16">
            <v>16</v>
          </cell>
          <cell r="C16" t="str">
            <v>Assinatura Velox 100Mb</v>
          </cell>
          <cell r="D16">
            <v>500</v>
          </cell>
          <cell r="E16">
            <v>500</v>
          </cell>
          <cell r="F16">
            <v>500</v>
          </cell>
          <cell r="G16">
            <v>500</v>
          </cell>
          <cell r="H16">
            <v>500</v>
          </cell>
          <cell r="I16">
            <v>500</v>
          </cell>
          <cell r="J16">
            <v>500</v>
          </cell>
          <cell r="K16">
            <v>500</v>
          </cell>
          <cell r="L16">
            <v>500</v>
          </cell>
          <cell r="M16">
            <v>500</v>
          </cell>
          <cell r="N16">
            <v>500</v>
          </cell>
          <cell r="O16">
            <v>500</v>
          </cell>
          <cell r="P16">
            <v>500</v>
          </cell>
          <cell r="Q16">
            <v>500</v>
          </cell>
          <cell r="R16">
            <v>500</v>
          </cell>
          <cell r="S16">
            <v>500</v>
          </cell>
          <cell r="T16">
            <v>500</v>
          </cell>
          <cell r="U16">
            <v>500</v>
          </cell>
          <cell r="V16">
            <v>500</v>
          </cell>
          <cell r="W16">
            <v>500</v>
          </cell>
          <cell r="X16">
            <v>500</v>
          </cell>
          <cell r="Y16">
            <v>500</v>
          </cell>
          <cell r="Z16">
            <v>500</v>
          </cell>
          <cell r="AA16">
            <v>500</v>
          </cell>
          <cell r="AB16">
            <v>500</v>
          </cell>
          <cell r="AC16">
            <v>500</v>
          </cell>
          <cell r="AD16">
            <v>500</v>
          </cell>
          <cell r="AE16">
            <v>500</v>
          </cell>
        </row>
        <row r="17">
          <cell r="A17" t="str">
            <v>PCS-35550g</v>
          </cell>
          <cell r="B17">
            <v>17</v>
          </cell>
          <cell r="C17" t="str">
            <v>Assinatura Velox 200Mb</v>
          </cell>
          <cell r="D17">
            <v>700</v>
          </cell>
          <cell r="E17">
            <v>700</v>
          </cell>
          <cell r="F17">
            <v>700</v>
          </cell>
          <cell r="G17">
            <v>700</v>
          </cell>
          <cell r="H17">
            <v>700</v>
          </cell>
          <cell r="I17">
            <v>700</v>
          </cell>
          <cell r="J17">
            <v>700</v>
          </cell>
          <cell r="K17">
            <v>700</v>
          </cell>
          <cell r="L17">
            <v>700</v>
          </cell>
          <cell r="M17">
            <v>700</v>
          </cell>
          <cell r="N17">
            <v>700</v>
          </cell>
          <cell r="O17">
            <v>700</v>
          </cell>
          <cell r="P17">
            <v>700</v>
          </cell>
          <cell r="Q17">
            <v>700</v>
          </cell>
          <cell r="R17">
            <v>700</v>
          </cell>
          <cell r="S17">
            <v>700</v>
          </cell>
          <cell r="T17">
            <v>700</v>
          </cell>
          <cell r="U17">
            <v>700</v>
          </cell>
          <cell r="V17">
            <v>700</v>
          </cell>
          <cell r="W17">
            <v>700</v>
          </cell>
          <cell r="X17">
            <v>700</v>
          </cell>
          <cell r="Y17">
            <v>700</v>
          </cell>
          <cell r="Z17">
            <v>700</v>
          </cell>
          <cell r="AA17">
            <v>700</v>
          </cell>
          <cell r="AB17">
            <v>700</v>
          </cell>
          <cell r="AC17">
            <v>700</v>
          </cell>
          <cell r="AD17">
            <v>700</v>
          </cell>
          <cell r="AE17">
            <v>700</v>
          </cell>
        </row>
        <row r="18">
          <cell r="A18" t="str">
            <v>PCS-21448p2</v>
          </cell>
          <cell r="B18">
            <v>18</v>
          </cell>
          <cell r="C18" t="str">
            <v>Oi Internet Móvel Substituta 10GB Redução de Velocidade</v>
          </cell>
          <cell r="D18">
            <v>127.9</v>
          </cell>
          <cell r="E18">
            <v>147.18</v>
          </cell>
          <cell r="F18">
            <v>147.18</v>
          </cell>
          <cell r="G18">
            <v>127.9</v>
          </cell>
          <cell r="H18">
            <v>147.18</v>
          </cell>
          <cell r="I18">
            <v>147.18</v>
          </cell>
          <cell r="J18">
            <v>147.18</v>
          </cell>
          <cell r="K18">
            <v>147.18</v>
          </cell>
          <cell r="L18">
            <v>147.18</v>
          </cell>
          <cell r="M18">
            <v>147.18</v>
          </cell>
          <cell r="N18">
            <v>151.55000000000001</v>
          </cell>
          <cell r="O18">
            <v>147.18</v>
          </cell>
          <cell r="P18">
            <v>147.18</v>
          </cell>
          <cell r="Q18">
            <v>147.18</v>
          </cell>
          <cell r="R18">
            <v>147.18</v>
          </cell>
          <cell r="S18">
            <v>147.18</v>
          </cell>
          <cell r="T18">
            <v>147.18</v>
          </cell>
          <cell r="U18">
            <v>153.63</v>
          </cell>
          <cell r="V18">
            <v>147.18</v>
          </cell>
          <cell r="W18">
            <v>151.74</v>
          </cell>
          <cell r="X18">
            <v>147.18</v>
          </cell>
          <cell r="Y18">
            <v>147.18</v>
          </cell>
          <cell r="Z18">
            <v>147.18</v>
          </cell>
          <cell r="AA18">
            <v>147.18</v>
          </cell>
          <cell r="AB18">
            <v>147.18</v>
          </cell>
          <cell r="AC18">
            <v>147.18</v>
          </cell>
          <cell r="AD18">
            <v>147.18</v>
          </cell>
          <cell r="AE18">
            <v>147.18</v>
          </cell>
        </row>
        <row r="19">
          <cell r="A19" t="str">
            <v>SVA BL</v>
          </cell>
          <cell r="B19">
            <v>19</v>
          </cell>
          <cell r="C19" t="str">
            <v>SVA Banda Larga (Oi Cloud + Oi Educa + Antivirus)</v>
          </cell>
          <cell r="D19">
            <v>22.21</v>
          </cell>
          <cell r="E19">
            <v>22.21</v>
          </cell>
          <cell r="F19">
            <v>22.21</v>
          </cell>
          <cell r="G19">
            <v>22.21</v>
          </cell>
          <cell r="H19">
            <v>22.21</v>
          </cell>
          <cell r="I19">
            <v>22.21</v>
          </cell>
          <cell r="J19">
            <v>22.21</v>
          </cell>
          <cell r="K19">
            <v>22.21</v>
          </cell>
          <cell r="L19">
            <v>22.21</v>
          </cell>
          <cell r="M19">
            <v>22.21</v>
          </cell>
          <cell r="N19">
            <v>22.21</v>
          </cell>
          <cell r="O19">
            <v>22.21</v>
          </cell>
          <cell r="P19">
            <v>22.21</v>
          </cell>
          <cell r="Q19">
            <v>22.21</v>
          </cell>
          <cell r="R19">
            <v>22.21</v>
          </cell>
          <cell r="S19">
            <v>22.21</v>
          </cell>
          <cell r="T19">
            <v>22.21</v>
          </cell>
          <cell r="U19">
            <v>22.21</v>
          </cell>
          <cell r="V19">
            <v>22.21</v>
          </cell>
          <cell r="W19">
            <v>22.21</v>
          </cell>
          <cell r="X19">
            <v>22.21</v>
          </cell>
          <cell r="Y19">
            <v>22.21</v>
          </cell>
          <cell r="Z19">
            <v>22.21</v>
          </cell>
          <cell r="AA19">
            <v>22.21</v>
          </cell>
          <cell r="AB19">
            <v>22.21</v>
          </cell>
          <cell r="AC19">
            <v>22.21</v>
          </cell>
          <cell r="AD19">
            <v>22.21</v>
          </cell>
          <cell r="AE19">
            <v>22.21</v>
          </cell>
        </row>
        <row r="20">
          <cell r="A20" t="str">
            <v>PCS-OzTL40</v>
          </cell>
          <cell r="B20">
            <v>20</v>
          </cell>
          <cell r="C20" t="str">
            <v>Oi TV Start HD</v>
          </cell>
          <cell r="D20">
            <v>99.18</v>
          </cell>
          <cell r="E20">
            <v>99.19</v>
          </cell>
          <cell r="F20">
            <v>99.19</v>
          </cell>
          <cell r="G20">
            <v>99.19</v>
          </cell>
          <cell r="H20">
            <v>99.19</v>
          </cell>
          <cell r="I20">
            <v>99.19</v>
          </cell>
          <cell r="J20">
            <v>99.19</v>
          </cell>
          <cell r="K20">
            <v>99.18</v>
          </cell>
          <cell r="L20">
            <v>99.19</v>
          </cell>
          <cell r="M20">
            <v>99.19</v>
          </cell>
          <cell r="N20">
            <v>99.19</v>
          </cell>
          <cell r="O20">
            <v>102.85</v>
          </cell>
          <cell r="P20">
            <v>99.19</v>
          </cell>
          <cell r="Q20">
            <v>99.19</v>
          </cell>
          <cell r="R20">
            <v>99.19</v>
          </cell>
          <cell r="S20">
            <v>99.19</v>
          </cell>
          <cell r="T20">
            <v>100.5</v>
          </cell>
          <cell r="U20">
            <v>99.19</v>
          </cell>
          <cell r="V20">
            <v>99.19</v>
          </cell>
          <cell r="W20">
            <v>99.19</v>
          </cell>
          <cell r="X20">
            <v>102.85</v>
          </cell>
          <cell r="Y20">
            <v>99.19</v>
          </cell>
          <cell r="Z20">
            <v>99.19</v>
          </cell>
          <cell r="AA20">
            <v>99.19</v>
          </cell>
          <cell r="AB20">
            <v>99.19</v>
          </cell>
          <cell r="AC20">
            <v>99.19</v>
          </cell>
          <cell r="AD20">
            <v>101.55</v>
          </cell>
          <cell r="AE20">
            <v>99.19</v>
          </cell>
        </row>
        <row r="21">
          <cell r="A21" t="str">
            <v>PCS-OzTL41</v>
          </cell>
          <cell r="B21">
            <v>21</v>
          </cell>
          <cell r="C21" t="str">
            <v>Oi TV Mix HD</v>
          </cell>
          <cell r="D21">
            <v>121.26</v>
          </cell>
          <cell r="E21">
            <v>121.27</v>
          </cell>
          <cell r="F21">
            <v>121.27</v>
          </cell>
          <cell r="G21">
            <v>121.27</v>
          </cell>
          <cell r="H21">
            <v>121.27</v>
          </cell>
          <cell r="I21">
            <v>121.27</v>
          </cell>
          <cell r="J21">
            <v>121.27</v>
          </cell>
          <cell r="K21">
            <v>121.26</v>
          </cell>
          <cell r="L21">
            <v>121.27</v>
          </cell>
          <cell r="M21">
            <v>121.27</v>
          </cell>
          <cell r="N21">
            <v>121.27</v>
          </cell>
          <cell r="O21">
            <v>125.73</v>
          </cell>
          <cell r="P21">
            <v>121.27</v>
          </cell>
          <cell r="Q21">
            <v>121.27</v>
          </cell>
          <cell r="R21">
            <v>121.27</v>
          </cell>
          <cell r="S21">
            <v>121.27</v>
          </cell>
          <cell r="T21">
            <v>122.88</v>
          </cell>
          <cell r="U21">
            <v>121.27</v>
          </cell>
          <cell r="V21">
            <v>121.27</v>
          </cell>
          <cell r="W21">
            <v>121.27</v>
          </cell>
          <cell r="X21">
            <v>125.73</v>
          </cell>
          <cell r="Y21">
            <v>121.27</v>
          </cell>
          <cell r="Z21">
            <v>121.27</v>
          </cell>
          <cell r="AA21">
            <v>121.27</v>
          </cell>
          <cell r="AB21">
            <v>121.27</v>
          </cell>
          <cell r="AC21">
            <v>121.27</v>
          </cell>
          <cell r="AD21">
            <v>124.13</v>
          </cell>
          <cell r="AE21">
            <v>121.27</v>
          </cell>
        </row>
        <row r="22">
          <cell r="A22" t="str">
            <v>PCS-OzTL44</v>
          </cell>
          <cell r="B22">
            <v>22</v>
          </cell>
          <cell r="C22" t="str">
            <v>Oi TV Mix HBOMax HD</v>
          </cell>
          <cell r="D22">
            <v>192.98</v>
          </cell>
          <cell r="E22">
            <v>192.99</v>
          </cell>
          <cell r="F22">
            <v>192.99</v>
          </cell>
          <cell r="G22">
            <v>192.99</v>
          </cell>
          <cell r="H22">
            <v>192.99</v>
          </cell>
          <cell r="I22">
            <v>192.99</v>
          </cell>
          <cell r="J22">
            <v>192.99</v>
          </cell>
          <cell r="K22">
            <v>192.98</v>
          </cell>
          <cell r="L22">
            <v>192.99</v>
          </cell>
          <cell r="M22">
            <v>192.99</v>
          </cell>
          <cell r="N22">
            <v>192.99</v>
          </cell>
          <cell r="O22">
            <v>200.11</v>
          </cell>
          <cell r="P22">
            <v>192.99</v>
          </cell>
          <cell r="Q22">
            <v>192.99</v>
          </cell>
          <cell r="R22">
            <v>192.99</v>
          </cell>
          <cell r="S22">
            <v>192.99</v>
          </cell>
          <cell r="T22">
            <v>195.56</v>
          </cell>
          <cell r="U22">
            <v>192.99</v>
          </cell>
          <cell r="V22">
            <v>192.99</v>
          </cell>
          <cell r="W22">
            <v>192.99</v>
          </cell>
          <cell r="X22">
            <v>200.1</v>
          </cell>
          <cell r="Y22">
            <v>192.99</v>
          </cell>
          <cell r="Z22">
            <v>192.99</v>
          </cell>
          <cell r="AA22">
            <v>192.99</v>
          </cell>
          <cell r="AB22">
            <v>192.99</v>
          </cell>
          <cell r="AC22">
            <v>192.99</v>
          </cell>
          <cell r="AD22">
            <v>197.56</v>
          </cell>
          <cell r="AE22">
            <v>192.99</v>
          </cell>
        </row>
        <row r="23">
          <cell r="A23" t="str">
            <v>PCS-OzTL43</v>
          </cell>
          <cell r="B23">
            <v>23</v>
          </cell>
          <cell r="C23" t="str">
            <v>Oi TV Mix Telecine HD</v>
          </cell>
          <cell r="D23">
            <v>204.02</v>
          </cell>
          <cell r="E23">
            <v>204.03</v>
          </cell>
          <cell r="F23">
            <v>204.03</v>
          </cell>
          <cell r="G23">
            <v>204.03</v>
          </cell>
          <cell r="H23">
            <v>204.03</v>
          </cell>
          <cell r="I23">
            <v>204.03</v>
          </cell>
          <cell r="J23">
            <v>204.03</v>
          </cell>
          <cell r="K23">
            <v>204.02</v>
          </cell>
          <cell r="L23">
            <v>204.03</v>
          </cell>
          <cell r="M23">
            <v>204.03</v>
          </cell>
          <cell r="N23">
            <v>204.03</v>
          </cell>
          <cell r="O23">
            <v>211.54</v>
          </cell>
          <cell r="P23">
            <v>204.03</v>
          </cell>
          <cell r="Q23">
            <v>204.03</v>
          </cell>
          <cell r="R23">
            <v>204.03</v>
          </cell>
          <cell r="S23">
            <v>204.03</v>
          </cell>
          <cell r="T23">
            <v>206.73</v>
          </cell>
          <cell r="U23">
            <v>204.03</v>
          </cell>
          <cell r="V23">
            <v>204.03</v>
          </cell>
          <cell r="W23">
            <v>204.03</v>
          </cell>
          <cell r="X23">
            <v>211.55</v>
          </cell>
          <cell r="Y23">
            <v>204.03</v>
          </cell>
          <cell r="Z23">
            <v>204.03</v>
          </cell>
          <cell r="AA23">
            <v>204.03</v>
          </cell>
          <cell r="AB23">
            <v>204.03</v>
          </cell>
          <cell r="AC23">
            <v>204.03</v>
          </cell>
          <cell r="AD23">
            <v>208.86</v>
          </cell>
          <cell r="AE23">
            <v>204.03</v>
          </cell>
        </row>
        <row r="24">
          <cell r="A24" t="str">
            <v>PCS-OzTL45</v>
          </cell>
          <cell r="B24">
            <v>24</v>
          </cell>
          <cell r="C24" t="str">
            <v>Oi TV Mix Cinema HD</v>
          </cell>
          <cell r="D24">
            <v>209.53</v>
          </cell>
          <cell r="E24">
            <v>209.54</v>
          </cell>
          <cell r="F24">
            <v>209.54</v>
          </cell>
          <cell r="G24">
            <v>209.54</v>
          </cell>
          <cell r="H24">
            <v>209.54</v>
          </cell>
          <cell r="I24">
            <v>209.54</v>
          </cell>
          <cell r="J24">
            <v>209.54</v>
          </cell>
          <cell r="K24">
            <v>209.53</v>
          </cell>
          <cell r="L24">
            <v>209.54</v>
          </cell>
          <cell r="M24">
            <v>209.54</v>
          </cell>
          <cell r="N24">
            <v>209.54</v>
          </cell>
          <cell r="O24">
            <v>217.27</v>
          </cell>
          <cell r="P24">
            <v>209.54</v>
          </cell>
          <cell r="Q24">
            <v>209.54</v>
          </cell>
          <cell r="R24">
            <v>209.54</v>
          </cell>
          <cell r="S24">
            <v>209.54</v>
          </cell>
          <cell r="T24">
            <v>212.34</v>
          </cell>
          <cell r="U24">
            <v>209.54</v>
          </cell>
          <cell r="V24">
            <v>209.54</v>
          </cell>
          <cell r="W24">
            <v>209.54</v>
          </cell>
          <cell r="X24">
            <v>217.27</v>
          </cell>
          <cell r="Y24">
            <v>209.54</v>
          </cell>
          <cell r="Z24">
            <v>209.54</v>
          </cell>
          <cell r="AA24">
            <v>209.54</v>
          </cell>
          <cell r="AB24">
            <v>209.54</v>
          </cell>
          <cell r="AC24">
            <v>209.54</v>
          </cell>
          <cell r="AD24">
            <v>214.51</v>
          </cell>
          <cell r="AE24">
            <v>209.54</v>
          </cell>
        </row>
        <row r="25">
          <cell r="A25" t="str">
            <v>PCS-OzTL102</v>
          </cell>
          <cell r="B25">
            <v>25</v>
          </cell>
          <cell r="C25" t="str">
            <v>Oi TV Mix Futebol HD</v>
          </cell>
          <cell r="D25">
            <v>240.36</v>
          </cell>
          <cell r="E25">
            <v>240.37</v>
          </cell>
          <cell r="F25">
            <v>240.37</v>
          </cell>
          <cell r="G25">
            <v>240.37</v>
          </cell>
          <cell r="H25">
            <v>240.37</v>
          </cell>
          <cell r="I25">
            <v>240.37</v>
          </cell>
          <cell r="J25">
            <v>240.37</v>
          </cell>
          <cell r="K25">
            <v>240.36</v>
          </cell>
          <cell r="L25">
            <v>240.37</v>
          </cell>
          <cell r="M25">
            <v>240.37</v>
          </cell>
          <cell r="N25">
            <v>240.37</v>
          </cell>
          <cell r="O25">
            <v>240.37</v>
          </cell>
          <cell r="P25">
            <v>240.37</v>
          </cell>
          <cell r="Q25">
            <v>240.37</v>
          </cell>
          <cell r="R25">
            <v>240.37</v>
          </cell>
          <cell r="S25">
            <v>240.37</v>
          </cell>
          <cell r="T25">
            <v>240.37</v>
          </cell>
          <cell r="U25">
            <v>240.37</v>
          </cell>
          <cell r="V25">
            <v>240.37</v>
          </cell>
          <cell r="W25">
            <v>240.37</v>
          </cell>
          <cell r="X25">
            <v>249.24</v>
          </cell>
          <cell r="Y25">
            <v>240.37</v>
          </cell>
          <cell r="Z25">
            <v>240.37</v>
          </cell>
          <cell r="AA25">
            <v>240.37</v>
          </cell>
          <cell r="AB25">
            <v>240.37</v>
          </cell>
          <cell r="AC25">
            <v>240.37</v>
          </cell>
          <cell r="AD25">
            <v>240.37</v>
          </cell>
          <cell r="AE25">
            <v>240.37</v>
          </cell>
        </row>
        <row r="26">
          <cell r="A26" t="str">
            <v>PCS-OzTL103</v>
          </cell>
          <cell r="B26">
            <v>26</v>
          </cell>
          <cell r="C26" t="str">
            <v>Oi TV Mix Cinema Futebol HD</v>
          </cell>
          <cell r="D26">
            <v>320.52</v>
          </cell>
          <cell r="E26">
            <v>320.52999999999997</v>
          </cell>
          <cell r="F26">
            <v>320.52999999999997</v>
          </cell>
          <cell r="G26">
            <v>320.52999999999997</v>
          </cell>
          <cell r="H26">
            <v>320.52999999999997</v>
          </cell>
          <cell r="I26">
            <v>320.52999999999997</v>
          </cell>
          <cell r="J26">
            <v>320.52999999999997</v>
          </cell>
          <cell r="K26">
            <v>320.52</v>
          </cell>
          <cell r="L26">
            <v>320.52999999999997</v>
          </cell>
          <cell r="M26">
            <v>320.52999999999997</v>
          </cell>
          <cell r="N26">
            <v>320.52999999999997</v>
          </cell>
          <cell r="O26">
            <v>320.52999999999997</v>
          </cell>
          <cell r="P26">
            <v>320.52999999999997</v>
          </cell>
          <cell r="Q26">
            <v>320.52999999999997</v>
          </cell>
          <cell r="R26">
            <v>320.52999999999997</v>
          </cell>
          <cell r="S26">
            <v>320.52999999999997</v>
          </cell>
          <cell r="T26">
            <v>320.52999999999997</v>
          </cell>
          <cell r="U26">
            <v>320.52999999999997</v>
          </cell>
          <cell r="V26">
            <v>320.52999999999997</v>
          </cell>
          <cell r="W26">
            <v>320.52999999999997</v>
          </cell>
          <cell r="X26">
            <v>332.35</v>
          </cell>
          <cell r="Y26">
            <v>320.52999999999997</v>
          </cell>
          <cell r="Z26">
            <v>320.52999999999997</v>
          </cell>
          <cell r="AA26">
            <v>320.52999999999997</v>
          </cell>
          <cell r="AB26">
            <v>320.52999999999997</v>
          </cell>
          <cell r="AC26">
            <v>320.52999999999997</v>
          </cell>
          <cell r="AD26">
            <v>320.52999999999997</v>
          </cell>
          <cell r="AE26">
            <v>320.52999999999997</v>
          </cell>
        </row>
        <row r="27">
          <cell r="A27" t="str">
            <v>PCS-OzTL741</v>
          </cell>
          <cell r="B27">
            <v>27</v>
          </cell>
          <cell r="C27" t="str">
            <v>Oi TV Mix HD DVR</v>
          </cell>
          <cell r="D27">
            <v>176.42</v>
          </cell>
          <cell r="E27">
            <v>176.43</v>
          </cell>
          <cell r="F27">
            <v>176.43</v>
          </cell>
          <cell r="G27">
            <v>176.43</v>
          </cell>
          <cell r="H27">
            <v>176.43</v>
          </cell>
          <cell r="I27">
            <v>176.43</v>
          </cell>
          <cell r="J27">
            <v>176.43</v>
          </cell>
          <cell r="K27">
            <v>176.42</v>
          </cell>
          <cell r="L27">
            <v>176.43</v>
          </cell>
          <cell r="M27">
            <v>176.43</v>
          </cell>
          <cell r="N27">
            <v>176.43</v>
          </cell>
          <cell r="O27">
            <v>182.94</v>
          </cell>
          <cell r="P27">
            <v>176.43</v>
          </cell>
          <cell r="Q27">
            <v>176.43</v>
          </cell>
          <cell r="R27">
            <v>176.43</v>
          </cell>
          <cell r="S27">
            <v>176.43</v>
          </cell>
          <cell r="T27">
            <v>178.79</v>
          </cell>
          <cell r="U27">
            <v>176.43</v>
          </cell>
          <cell r="V27">
            <v>176.43</v>
          </cell>
          <cell r="W27">
            <v>176.43</v>
          </cell>
          <cell r="X27">
            <v>182.94</v>
          </cell>
          <cell r="Y27">
            <v>176.43</v>
          </cell>
          <cell r="Z27">
            <v>176.43</v>
          </cell>
          <cell r="AA27">
            <v>176.43</v>
          </cell>
          <cell r="AB27">
            <v>176.43</v>
          </cell>
          <cell r="AC27">
            <v>176.43</v>
          </cell>
          <cell r="AD27">
            <v>180.62</v>
          </cell>
          <cell r="AE27">
            <v>176.43</v>
          </cell>
        </row>
        <row r="28">
          <cell r="A28" t="str">
            <v>PCS-OzTL744</v>
          </cell>
          <cell r="B28">
            <v>28</v>
          </cell>
          <cell r="C28" t="str">
            <v>Oi TV Mix HBOMax HD DVR</v>
          </cell>
          <cell r="D28">
            <v>209.53</v>
          </cell>
          <cell r="E28">
            <v>209.54</v>
          </cell>
          <cell r="F28">
            <v>209.54</v>
          </cell>
          <cell r="G28">
            <v>209.54</v>
          </cell>
          <cell r="H28">
            <v>209.54</v>
          </cell>
          <cell r="I28">
            <v>209.54</v>
          </cell>
          <cell r="J28">
            <v>209.54</v>
          </cell>
          <cell r="K28">
            <v>209.53</v>
          </cell>
          <cell r="L28">
            <v>209.54</v>
          </cell>
          <cell r="M28">
            <v>209.54</v>
          </cell>
          <cell r="N28">
            <v>209.54</v>
          </cell>
          <cell r="O28">
            <v>217.27</v>
          </cell>
          <cell r="P28">
            <v>209.54</v>
          </cell>
          <cell r="Q28">
            <v>209.54</v>
          </cell>
          <cell r="R28">
            <v>209.54</v>
          </cell>
          <cell r="S28">
            <v>209.54</v>
          </cell>
          <cell r="T28">
            <v>212.34</v>
          </cell>
          <cell r="U28">
            <v>209.54</v>
          </cell>
          <cell r="V28">
            <v>209.54</v>
          </cell>
          <cell r="W28">
            <v>209.54</v>
          </cell>
          <cell r="X28">
            <v>217.27</v>
          </cell>
          <cell r="Y28">
            <v>209.54</v>
          </cell>
          <cell r="Z28">
            <v>209.54</v>
          </cell>
          <cell r="AA28">
            <v>209.54</v>
          </cell>
          <cell r="AB28">
            <v>209.54</v>
          </cell>
          <cell r="AC28">
            <v>209.54</v>
          </cell>
          <cell r="AD28">
            <v>214.51</v>
          </cell>
          <cell r="AE28">
            <v>209.54</v>
          </cell>
        </row>
        <row r="29">
          <cell r="A29" t="str">
            <v>PCS-OzTL743</v>
          </cell>
          <cell r="B29">
            <v>29</v>
          </cell>
          <cell r="C29" t="str">
            <v>Oi TV Mix Telecine HD DVR</v>
          </cell>
          <cell r="D29">
            <v>220.56</v>
          </cell>
          <cell r="E29">
            <v>220.57</v>
          </cell>
          <cell r="F29">
            <v>220.57</v>
          </cell>
          <cell r="G29">
            <v>220.57</v>
          </cell>
          <cell r="H29">
            <v>220.57</v>
          </cell>
          <cell r="I29">
            <v>220.57</v>
          </cell>
          <cell r="J29">
            <v>220.57</v>
          </cell>
          <cell r="K29">
            <v>220.56</v>
          </cell>
          <cell r="L29">
            <v>220.57</v>
          </cell>
          <cell r="M29">
            <v>220.57</v>
          </cell>
          <cell r="N29">
            <v>220.57</v>
          </cell>
          <cell r="O29">
            <v>228.71</v>
          </cell>
          <cell r="P29">
            <v>220.57</v>
          </cell>
          <cell r="Q29">
            <v>220.57</v>
          </cell>
          <cell r="R29">
            <v>220.57</v>
          </cell>
          <cell r="S29">
            <v>220.57</v>
          </cell>
          <cell r="T29">
            <v>223.51</v>
          </cell>
          <cell r="U29">
            <v>220.57</v>
          </cell>
          <cell r="V29">
            <v>220.57</v>
          </cell>
          <cell r="W29">
            <v>220.57</v>
          </cell>
          <cell r="X29">
            <v>228.71</v>
          </cell>
          <cell r="Y29">
            <v>220.57</v>
          </cell>
          <cell r="Z29">
            <v>220.57</v>
          </cell>
          <cell r="AA29">
            <v>220.57</v>
          </cell>
          <cell r="AB29">
            <v>220.57</v>
          </cell>
          <cell r="AC29">
            <v>220.57</v>
          </cell>
          <cell r="AD29">
            <v>225.79</v>
          </cell>
          <cell r="AE29">
            <v>220.57</v>
          </cell>
        </row>
        <row r="30">
          <cell r="A30" t="str">
            <v>PCS-OzTL745</v>
          </cell>
          <cell r="B30">
            <v>30</v>
          </cell>
          <cell r="C30" t="str">
            <v>Oi TV Mix Cinema HD DVR</v>
          </cell>
          <cell r="D30">
            <v>253.67</v>
          </cell>
          <cell r="E30">
            <v>253.68</v>
          </cell>
          <cell r="F30">
            <v>253.68</v>
          </cell>
          <cell r="G30">
            <v>253.68</v>
          </cell>
          <cell r="H30">
            <v>253.68</v>
          </cell>
          <cell r="I30">
            <v>253.68</v>
          </cell>
          <cell r="J30">
            <v>253.68</v>
          </cell>
          <cell r="K30">
            <v>253.67</v>
          </cell>
          <cell r="L30">
            <v>253.68</v>
          </cell>
          <cell r="M30">
            <v>253.68</v>
          </cell>
          <cell r="N30">
            <v>253.68</v>
          </cell>
          <cell r="O30">
            <v>263.02999999999997</v>
          </cell>
          <cell r="P30">
            <v>253.68</v>
          </cell>
          <cell r="Q30">
            <v>253.68</v>
          </cell>
          <cell r="R30">
            <v>253.68</v>
          </cell>
          <cell r="S30">
            <v>253.68</v>
          </cell>
          <cell r="T30">
            <v>257.05</v>
          </cell>
          <cell r="U30">
            <v>253.68</v>
          </cell>
          <cell r="V30">
            <v>253.68</v>
          </cell>
          <cell r="W30">
            <v>253.68</v>
          </cell>
          <cell r="X30">
            <v>263.04000000000002</v>
          </cell>
          <cell r="Y30">
            <v>253.68</v>
          </cell>
          <cell r="Z30">
            <v>253.68</v>
          </cell>
          <cell r="AA30">
            <v>253.68</v>
          </cell>
          <cell r="AB30">
            <v>253.68</v>
          </cell>
          <cell r="AC30">
            <v>253.68</v>
          </cell>
          <cell r="AD30">
            <v>259.7</v>
          </cell>
          <cell r="AE30">
            <v>253.68</v>
          </cell>
        </row>
        <row r="31">
          <cell r="A31" t="str">
            <v>PCS-OzTL112</v>
          </cell>
          <cell r="B31">
            <v>31</v>
          </cell>
          <cell r="C31" t="str">
            <v>Oi TV Mix Futebol HD DVR</v>
          </cell>
          <cell r="D31">
            <v>260.39999999999998</v>
          </cell>
          <cell r="E31">
            <v>260.41000000000003</v>
          </cell>
          <cell r="F31">
            <v>260.41000000000003</v>
          </cell>
          <cell r="G31">
            <v>260.41000000000003</v>
          </cell>
          <cell r="H31">
            <v>260.41000000000003</v>
          </cell>
          <cell r="I31">
            <v>260.41000000000003</v>
          </cell>
          <cell r="J31">
            <v>260.41000000000003</v>
          </cell>
          <cell r="K31">
            <v>260.39999999999998</v>
          </cell>
          <cell r="L31">
            <v>260.41000000000003</v>
          </cell>
          <cell r="M31">
            <v>260.41000000000003</v>
          </cell>
          <cell r="N31">
            <v>260.41000000000003</v>
          </cell>
          <cell r="O31">
            <v>260.41000000000003</v>
          </cell>
          <cell r="P31">
            <v>260.41000000000003</v>
          </cell>
          <cell r="Q31">
            <v>260.41000000000003</v>
          </cell>
          <cell r="R31">
            <v>260.41000000000003</v>
          </cell>
          <cell r="S31">
            <v>260.41000000000003</v>
          </cell>
          <cell r="T31">
            <v>260.41000000000003</v>
          </cell>
          <cell r="U31">
            <v>260.41000000000003</v>
          </cell>
          <cell r="V31">
            <v>260.41000000000003</v>
          </cell>
          <cell r="W31">
            <v>260.41000000000003</v>
          </cell>
          <cell r="X31">
            <v>270.02</v>
          </cell>
          <cell r="Y31">
            <v>260.41000000000003</v>
          </cell>
          <cell r="Z31">
            <v>260.41000000000003</v>
          </cell>
          <cell r="AA31">
            <v>260.41000000000003</v>
          </cell>
          <cell r="AB31">
            <v>260.41000000000003</v>
          </cell>
          <cell r="AC31">
            <v>260.41000000000003</v>
          </cell>
          <cell r="AD31">
            <v>260.41000000000003</v>
          </cell>
          <cell r="AE31">
            <v>260.41000000000003</v>
          </cell>
        </row>
        <row r="32">
          <cell r="A32" t="str">
            <v>PCS-OzTL111</v>
          </cell>
          <cell r="B32">
            <v>32</v>
          </cell>
          <cell r="C32" t="str">
            <v>Oi TV Mix Cinema Futebol HD DVR</v>
          </cell>
          <cell r="D32">
            <v>340.56</v>
          </cell>
          <cell r="E32">
            <v>340.57</v>
          </cell>
          <cell r="F32">
            <v>340.57</v>
          </cell>
          <cell r="G32">
            <v>340.57</v>
          </cell>
          <cell r="H32">
            <v>340.57</v>
          </cell>
          <cell r="I32">
            <v>340.57</v>
          </cell>
          <cell r="J32">
            <v>340.57</v>
          </cell>
          <cell r="K32">
            <v>340.56</v>
          </cell>
          <cell r="L32">
            <v>340.57</v>
          </cell>
          <cell r="M32">
            <v>340.57</v>
          </cell>
          <cell r="N32">
            <v>340.57</v>
          </cell>
          <cell r="O32">
            <v>340.57</v>
          </cell>
          <cell r="P32">
            <v>340.57</v>
          </cell>
          <cell r="Q32">
            <v>340.57</v>
          </cell>
          <cell r="R32">
            <v>340.57</v>
          </cell>
          <cell r="S32">
            <v>340.57</v>
          </cell>
          <cell r="T32">
            <v>340.57</v>
          </cell>
          <cell r="U32">
            <v>340.57</v>
          </cell>
          <cell r="V32">
            <v>340.57</v>
          </cell>
          <cell r="W32">
            <v>340.57</v>
          </cell>
          <cell r="X32">
            <v>353.13</v>
          </cell>
          <cell r="Y32">
            <v>340.57</v>
          </cell>
          <cell r="Z32">
            <v>340.57</v>
          </cell>
          <cell r="AA32">
            <v>340.57</v>
          </cell>
          <cell r="AB32">
            <v>340.57</v>
          </cell>
          <cell r="AC32">
            <v>340.57</v>
          </cell>
          <cell r="AD32">
            <v>340.57</v>
          </cell>
          <cell r="AE32">
            <v>340.57</v>
          </cell>
        </row>
        <row r="33">
          <cell r="A33" t="str">
            <v>PCS-OzTL42</v>
          </cell>
          <cell r="B33">
            <v>33</v>
          </cell>
          <cell r="C33" t="str">
            <v>Oi TV Total HD</v>
          </cell>
          <cell r="D33">
            <v>165.39</v>
          </cell>
          <cell r="E33">
            <v>165.4</v>
          </cell>
          <cell r="F33">
            <v>165.4</v>
          </cell>
          <cell r="G33">
            <v>165.4</v>
          </cell>
          <cell r="H33">
            <v>165.4</v>
          </cell>
          <cell r="I33">
            <v>165.4</v>
          </cell>
          <cell r="J33">
            <v>165.4</v>
          </cell>
          <cell r="K33">
            <v>165.39</v>
          </cell>
          <cell r="L33">
            <v>165.4</v>
          </cell>
          <cell r="M33">
            <v>165.4</v>
          </cell>
          <cell r="N33">
            <v>165.4</v>
          </cell>
          <cell r="O33">
            <v>171.49</v>
          </cell>
          <cell r="P33">
            <v>165.4</v>
          </cell>
          <cell r="Q33">
            <v>165.4</v>
          </cell>
          <cell r="R33">
            <v>165.4</v>
          </cell>
          <cell r="S33">
            <v>165.4</v>
          </cell>
          <cell r="T33">
            <v>167.6</v>
          </cell>
          <cell r="U33">
            <v>165.4</v>
          </cell>
          <cell r="V33">
            <v>165.4</v>
          </cell>
          <cell r="W33">
            <v>165.4</v>
          </cell>
          <cell r="X33">
            <v>171.5</v>
          </cell>
          <cell r="Y33">
            <v>165.4</v>
          </cell>
          <cell r="Z33">
            <v>165.4</v>
          </cell>
          <cell r="AA33">
            <v>165.4</v>
          </cell>
          <cell r="AB33">
            <v>165.4</v>
          </cell>
          <cell r="AC33">
            <v>165.4</v>
          </cell>
          <cell r="AD33">
            <v>169.32</v>
          </cell>
          <cell r="AE33">
            <v>165.4</v>
          </cell>
        </row>
        <row r="34">
          <cell r="A34" t="str">
            <v>PCS-OzTL47</v>
          </cell>
          <cell r="B34">
            <v>34</v>
          </cell>
          <cell r="C34" t="str">
            <v>Oi TV Total HBOMax HD</v>
          </cell>
          <cell r="D34">
            <v>204.02</v>
          </cell>
          <cell r="E34">
            <v>204.03</v>
          </cell>
          <cell r="F34">
            <v>204.03</v>
          </cell>
          <cell r="G34">
            <v>204.03</v>
          </cell>
          <cell r="H34">
            <v>204.03</v>
          </cell>
          <cell r="I34">
            <v>204.03</v>
          </cell>
          <cell r="J34">
            <v>204.03</v>
          </cell>
          <cell r="K34">
            <v>204.02</v>
          </cell>
          <cell r="L34">
            <v>204.03</v>
          </cell>
          <cell r="M34">
            <v>204.03</v>
          </cell>
          <cell r="N34">
            <v>204.03</v>
          </cell>
          <cell r="O34">
            <v>211.54</v>
          </cell>
          <cell r="P34">
            <v>204.03</v>
          </cell>
          <cell r="Q34">
            <v>204.03</v>
          </cell>
          <cell r="R34">
            <v>204.03</v>
          </cell>
          <cell r="S34">
            <v>204.03</v>
          </cell>
          <cell r="T34">
            <v>206.73</v>
          </cell>
          <cell r="U34">
            <v>204.03</v>
          </cell>
          <cell r="V34">
            <v>204.03</v>
          </cell>
          <cell r="W34">
            <v>204.03</v>
          </cell>
          <cell r="X34">
            <v>211.55</v>
          </cell>
          <cell r="Y34">
            <v>204.03</v>
          </cell>
          <cell r="Z34">
            <v>204.03</v>
          </cell>
          <cell r="AA34">
            <v>204.03</v>
          </cell>
          <cell r="AB34">
            <v>204.03</v>
          </cell>
          <cell r="AC34">
            <v>204.03</v>
          </cell>
          <cell r="AD34">
            <v>208.86</v>
          </cell>
          <cell r="AE34">
            <v>204.03</v>
          </cell>
        </row>
        <row r="35">
          <cell r="A35" t="str">
            <v>PCS-OzTL46</v>
          </cell>
          <cell r="B35">
            <v>35</v>
          </cell>
          <cell r="C35" t="str">
            <v>Oi TV Total Telecine HD</v>
          </cell>
          <cell r="D35">
            <v>215.05</v>
          </cell>
          <cell r="E35">
            <v>215.06</v>
          </cell>
          <cell r="F35">
            <v>215.06</v>
          </cell>
          <cell r="G35">
            <v>215.06</v>
          </cell>
          <cell r="H35">
            <v>215.06</v>
          </cell>
          <cell r="I35">
            <v>215.06</v>
          </cell>
          <cell r="J35">
            <v>215.06</v>
          </cell>
          <cell r="K35">
            <v>215.05</v>
          </cell>
          <cell r="L35">
            <v>215.06</v>
          </cell>
          <cell r="M35">
            <v>215.06</v>
          </cell>
          <cell r="N35">
            <v>215.06</v>
          </cell>
          <cell r="O35">
            <v>222.99</v>
          </cell>
          <cell r="P35">
            <v>215.06</v>
          </cell>
          <cell r="Q35">
            <v>215.06</v>
          </cell>
          <cell r="R35">
            <v>215.06</v>
          </cell>
          <cell r="S35">
            <v>215.06</v>
          </cell>
          <cell r="T35">
            <v>217.92</v>
          </cell>
          <cell r="U35">
            <v>215.06</v>
          </cell>
          <cell r="V35">
            <v>215.06</v>
          </cell>
          <cell r="W35">
            <v>215.06</v>
          </cell>
          <cell r="X35">
            <v>223</v>
          </cell>
          <cell r="Y35">
            <v>215.06</v>
          </cell>
          <cell r="Z35">
            <v>215.06</v>
          </cell>
          <cell r="AA35">
            <v>215.06</v>
          </cell>
          <cell r="AB35">
            <v>215.06</v>
          </cell>
          <cell r="AC35">
            <v>215.06</v>
          </cell>
          <cell r="AD35">
            <v>220.16</v>
          </cell>
          <cell r="AE35">
            <v>215.06</v>
          </cell>
        </row>
        <row r="36">
          <cell r="A36" t="str">
            <v>PCS-OzTL48</v>
          </cell>
          <cell r="B36">
            <v>36</v>
          </cell>
          <cell r="C36" t="str">
            <v>Oi TV Total Cinema HD</v>
          </cell>
          <cell r="D36">
            <v>253.67</v>
          </cell>
          <cell r="E36">
            <v>253.68</v>
          </cell>
          <cell r="F36">
            <v>253.68</v>
          </cell>
          <cell r="G36">
            <v>253.68</v>
          </cell>
          <cell r="H36">
            <v>253.68</v>
          </cell>
          <cell r="I36">
            <v>253.68</v>
          </cell>
          <cell r="J36">
            <v>253.68</v>
          </cell>
          <cell r="K36">
            <v>253.67</v>
          </cell>
          <cell r="L36">
            <v>253.68</v>
          </cell>
          <cell r="M36">
            <v>253.68</v>
          </cell>
          <cell r="N36">
            <v>253.68</v>
          </cell>
          <cell r="O36">
            <v>263.02999999999997</v>
          </cell>
          <cell r="P36">
            <v>253.68</v>
          </cell>
          <cell r="Q36">
            <v>253.68</v>
          </cell>
          <cell r="R36">
            <v>253.68</v>
          </cell>
          <cell r="S36">
            <v>253.68</v>
          </cell>
          <cell r="T36">
            <v>257.05</v>
          </cell>
          <cell r="U36">
            <v>253.68</v>
          </cell>
          <cell r="V36">
            <v>253.68</v>
          </cell>
          <cell r="W36">
            <v>253.68</v>
          </cell>
          <cell r="X36">
            <v>263.04000000000002</v>
          </cell>
          <cell r="Y36">
            <v>253.68</v>
          </cell>
          <cell r="Z36">
            <v>253.68</v>
          </cell>
          <cell r="AA36">
            <v>253.68</v>
          </cell>
          <cell r="AB36">
            <v>253.68</v>
          </cell>
          <cell r="AC36">
            <v>253.68</v>
          </cell>
          <cell r="AD36">
            <v>259.7</v>
          </cell>
          <cell r="AE36">
            <v>253.68</v>
          </cell>
        </row>
        <row r="37">
          <cell r="A37" t="str">
            <v>PCS-OzTL104</v>
          </cell>
          <cell r="B37">
            <v>37</v>
          </cell>
          <cell r="C37" t="str">
            <v>Oi TV Total Futebol HD</v>
          </cell>
          <cell r="D37">
            <v>280.44</v>
          </cell>
          <cell r="E37">
            <v>280.45</v>
          </cell>
          <cell r="F37">
            <v>280.45</v>
          </cell>
          <cell r="G37">
            <v>280.45</v>
          </cell>
          <cell r="H37">
            <v>280.45</v>
          </cell>
          <cell r="I37">
            <v>280.45</v>
          </cell>
          <cell r="J37">
            <v>280.45</v>
          </cell>
          <cell r="K37">
            <v>280.44</v>
          </cell>
          <cell r="L37">
            <v>280.45</v>
          </cell>
          <cell r="M37">
            <v>280.45</v>
          </cell>
          <cell r="N37">
            <v>280.45</v>
          </cell>
          <cell r="O37">
            <v>280.45</v>
          </cell>
          <cell r="P37">
            <v>280.45</v>
          </cell>
          <cell r="Q37">
            <v>280.45</v>
          </cell>
          <cell r="R37">
            <v>280.45</v>
          </cell>
          <cell r="S37">
            <v>280.45</v>
          </cell>
          <cell r="T37">
            <v>280.45</v>
          </cell>
          <cell r="U37">
            <v>280.45</v>
          </cell>
          <cell r="V37">
            <v>280.45</v>
          </cell>
          <cell r="W37">
            <v>280.45</v>
          </cell>
          <cell r="X37">
            <v>290.8</v>
          </cell>
          <cell r="Y37">
            <v>280.45</v>
          </cell>
          <cell r="Z37">
            <v>280.45</v>
          </cell>
          <cell r="AA37">
            <v>280.45</v>
          </cell>
          <cell r="AB37">
            <v>280.45</v>
          </cell>
          <cell r="AC37">
            <v>280.45</v>
          </cell>
          <cell r="AD37">
            <v>280.45</v>
          </cell>
          <cell r="AE37">
            <v>280.45</v>
          </cell>
        </row>
        <row r="38">
          <cell r="A38" t="str">
            <v>PCS-OzTL105</v>
          </cell>
          <cell r="B38">
            <v>38</v>
          </cell>
          <cell r="C38" t="str">
            <v>Oi TV Total Cinema Futebol HD</v>
          </cell>
          <cell r="D38">
            <v>360.6</v>
          </cell>
          <cell r="E38">
            <v>360.61</v>
          </cell>
          <cell r="F38">
            <v>360.61</v>
          </cell>
          <cell r="G38">
            <v>360.61</v>
          </cell>
          <cell r="H38">
            <v>360.61</v>
          </cell>
          <cell r="I38">
            <v>360.61</v>
          </cell>
          <cell r="J38">
            <v>360.61</v>
          </cell>
          <cell r="K38">
            <v>360.6</v>
          </cell>
          <cell r="L38">
            <v>360.61</v>
          </cell>
          <cell r="M38">
            <v>360.61</v>
          </cell>
          <cell r="N38">
            <v>360.61</v>
          </cell>
          <cell r="O38">
            <v>360.61</v>
          </cell>
          <cell r="P38">
            <v>360.61</v>
          </cell>
          <cell r="Q38">
            <v>360.61</v>
          </cell>
          <cell r="R38">
            <v>360.61</v>
          </cell>
          <cell r="S38">
            <v>360.61</v>
          </cell>
          <cell r="T38">
            <v>360.61</v>
          </cell>
          <cell r="U38">
            <v>360.61</v>
          </cell>
          <cell r="V38">
            <v>360.61</v>
          </cell>
          <cell r="W38">
            <v>360.61</v>
          </cell>
          <cell r="X38">
            <v>373.92</v>
          </cell>
          <cell r="Y38">
            <v>360.61</v>
          </cell>
          <cell r="Z38">
            <v>360.61</v>
          </cell>
          <cell r="AA38">
            <v>360.61</v>
          </cell>
          <cell r="AB38">
            <v>360.61</v>
          </cell>
          <cell r="AC38">
            <v>360.61</v>
          </cell>
          <cell r="AD38">
            <v>360.61</v>
          </cell>
          <cell r="AE38">
            <v>360.61</v>
          </cell>
        </row>
        <row r="39">
          <cell r="A39" t="str">
            <v>PCS-OzTL742</v>
          </cell>
          <cell r="B39">
            <v>39</v>
          </cell>
          <cell r="C39" t="str">
            <v>Oi TV Total HD DVR</v>
          </cell>
          <cell r="D39">
            <v>220.56</v>
          </cell>
          <cell r="E39">
            <v>220.57</v>
          </cell>
          <cell r="F39">
            <v>220.57</v>
          </cell>
          <cell r="G39">
            <v>220.57</v>
          </cell>
          <cell r="H39">
            <v>220.57</v>
          </cell>
          <cell r="I39">
            <v>220.57</v>
          </cell>
          <cell r="J39">
            <v>220.57</v>
          </cell>
          <cell r="K39">
            <v>220.56</v>
          </cell>
          <cell r="L39">
            <v>220.57</v>
          </cell>
          <cell r="M39">
            <v>220.57</v>
          </cell>
          <cell r="N39">
            <v>220.57</v>
          </cell>
          <cell r="O39">
            <v>228.71</v>
          </cell>
          <cell r="P39">
            <v>220.57</v>
          </cell>
          <cell r="Q39">
            <v>220.57</v>
          </cell>
          <cell r="R39">
            <v>220.57</v>
          </cell>
          <cell r="S39">
            <v>220.57</v>
          </cell>
          <cell r="T39">
            <v>223.51</v>
          </cell>
          <cell r="U39">
            <v>220.57</v>
          </cell>
          <cell r="V39">
            <v>220.57</v>
          </cell>
          <cell r="W39">
            <v>220.57</v>
          </cell>
          <cell r="X39">
            <v>228.71</v>
          </cell>
          <cell r="Y39">
            <v>220.57</v>
          </cell>
          <cell r="Z39">
            <v>220.57</v>
          </cell>
          <cell r="AA39">
            <v>220.57</v>
          </cell>
          <cell r="AB39">
            <v>220.57</v>
          </cell>
          <cell r="AC39">
            <v>220.57</v>
          </cell>
          <cell r="AD39">
            <v>225.79</v>
          </cell>
          <cell r="AE39">
            <v>220.57</v>
          </cell>
        </row>
        <row r="40">
          <cell r="A40" t="str">
            <v>PCS-OzTL747</v>
          </cell>
          <cell r="B40">
            <v>40</v>
          </cell>
          <cell r="C40" t="str">
            <v>Oi TV Total HBOMax HD DVR</v>
          </cell>
          <cell r="D40">
            <v>259.19</v>
          </cell>
          <cell r="E40">
            <v>259.2</v>
          </cell>
          <cell r="F40">
            <v>259.2</v>
          </cell>
          <cell r="G40">
            <v>259.2</v>
          </cell>
          <cell r="H40">
            <v>259.2</v>
          </cell>
          <cell r="I40">
            <v>259.2</v>
          </cell>
          <cell r="J40">
            <v>259.2</v>
          </cell>
          <cell r="K40">
            <v>259.19</v>
          </cell>
          <cell r="L40">
            <v>259.2</v>
          </cell>
          <cell r="M40">
            <v>259.2</v>
          </cell>
          <cell r="N40">
            <v>259.2</v>
          </cell>
          <cell r="O40">
            <v>268.76</v>
          </cell>
          <cell r="P40">
            <v>259.2</v>
          </cell>
          <cell r="Q40">
            <v>259.2</v>
          </cell>
          <cell r="R40">
            <v>259.2</v>
          </cell>
          <cell r="S40">
            <v>259.2</v>
          </cell>
          <cell r="T40">
            <v>262.66000000000003</v>
          </cell>
          <cell r="U40">
            <v>259.2</v>
          </cell>
          <cell r="V40">
            <v>259.2</v>
          </cell>
          <cell r="W40">
            <v>259.2</v>
          </cell>
          <cell r="X40">
            <v>268.76</v>
          </cell>
          <cell r="Y40">
            <v>259.2</v>
          </cell>
          <cell r="Z40">
            <v>259.2</v>
          </cell>
          <cell r="AA40">
            <v>259.2</v>
          </cell>
          <cell r="AB40">
            <v>259.2</v>
          </cell>
          <cell r="AC40">
            <v>259.2</v>
          </cell>
          <cell r="AD40">
            <v>265.33</v>
          </cell>
          <cell r="AE40">
            <v>259.2</v>
          </cell>
        </row>
        <row r="41">
          <cell r="A41" t="str">
            <v>PCS-OzTL746</v>
          </cell>
          <cell r="B41">
            <v>41</v>
          </cell>
          <cell r="C41" t="str">
            <v>Oi TV Total Telecine HD DVR</v>
          </cell>
          <cell r="D41">
            <v>270.22000000000003</v>
          </cell>
          <cell r="E41">
            <v>270.23</v>
          </cell>
          <cell r="F41">
            <v>270.23</v>
          </cell>
          <cell r="G41">
            <v>270.23</v>
          </cell>
          <cell r="H41">
            <v>270.23</v>
          </cell>
          <cell r="I41">
            <v>270.23</v>
          </cell>
          <cell r="J41">
            <v>270.23</v>
          </cell>
          <cell r="K41">
            <v>270.22000000000003</v>
          </cell>
          <cell r="L41">
            <v>270.23</v>
          </cell>
          <cell r="M41">
            <v>270.23</v>
          </cell>
          <cell r="N41">
            <v>270.23</v>
          </cell>
          <cell r="O41">
            <v>280.2</v>
          </cell>
          <cell r="P41">
            <v>270.23</v>
          </cell>
          <cell r="Q41">
            <v>270.23</v>
          </cell>
          <cell r="R41">
            <v>270.23</v>
          </cell>
          <cell r="S41">
            <v>270.23</v>
          </cell>
          <cell r="T41">
            <v>273.83</v>
          </cell>
          <cell r="U41">
            <v>270.23</v>
          </cell>
          <cell r="V41">
            <v>270.23</v>
          </cell>
          <cell r="W41">
            <v>270.23</v>
          </cell>
          <cell r="X41">
            <v>280.2</v>
          </cell>
          <cell r="Y41">
            <v>270.23</v>
          </cell>
          <cell r="Z41">
            <v>270.23</v>
          </cell>
          <cell r="AA41">
            <v>270.23</v>
          </cell>
          <cell r="AB41">
            <v>270.23</v>
          </cell>
          <cell r="AC41">
            <v>270.23</v>
          </cell>
          <cell r="AD41">
            <v>276.63</v>
          </cell>
          <cell r="AE41">
            <v>270.23</v>
          </cell>
        </row>
        <row r="42">
          <cell r="A42" t="str">
            <v>PCS-OzTL748</v>
          </cell>
          <cell r="B42">
            <v>42</v>
          </cell>
          <cell r="C42" t="str">
            <v>Oi TV Total Cinema HD DVR</v>
          </cell>
          <cell r="D42">
            <v>308.85000000000002</v>
          </cell>
          <cell r="E42">
            <v>308.86</v>
          </cell>
          <cell r="F42">
            <v>308.86</v>
          </cell>
          <cell r="G42">
            <v>308.86</v>
          </cell>
          <cell r="H42">
            <v>308.86</v>
          </cell>
          <cell r="I42">
            <v>308.86</v>
          </cell>
          <cell r="J42">
            <v>308.86</v>
          </cell>
          <cell r="K42">
            <v>308.85000000000002</v>
          </cell>
          <cell r="L42">
            <v>308.86</v>
          </cell>
          <cell r="M42">
            <v>308.86</v>
          </cell>
          <cell r="N42">
            <v>308.86</v>
          </cell>
          <cell r="O42">
            <v>320.24</v>
          </cell>
          <cell r="P42">
            <v>308.86</v>
          </cell>
          <cell r="Q42">
            <v>308.86</v>
          </cell>
          <cell r="R42">
            <v>308.86</v>
          </cell>
          <cell r="S42">
            <v>308.86</v>
          </cell>
          <cell r="T42">
            <v>312.98</v>
          </cell>
          <cell r="U42">
            <v>308.86</v>
          </cell>
          <cell r="V42">
            <v>308.86</v>
          </cell>
          <cell r="W42">
            <v>308.86</v>
          </cell>
          <cell r="X42">
            <v>320.25</v>
          </cell>
          <cell r="Y42">
            <v>308.86</v>
          </cell>
          <cell r="Z42">
            <v>308.86</v>
          </cell>
          <cell r="AA42">
            <v>308.86</v>
          </cell>
          <cell r="AB42">
            <v>308.86</v>
          </cell>
          <cell r="AC42">
            <v>308.86</v>
          </cell>
          <cell r="AD42">
            <v>316.17</v>
          </cell>
          <cell r="AE42">
            <v>308.86</v>
          </cell>
        </row>
        <row r="43">
          <cell r="A43" t="str">
            <v>PCS-OzTL113</v>
          </cell>
          <cell r="B43">
            <v>43</v>
          </cell>
          <cell r="C43" t="str">
            <v>Oi TV Total Futebol HD DVR</v>
          </cell>
          <cell r="D43">
            <v>300.48</v>
          </cell>
          <cell r="E43">
            <v>300.49</v>
          </cell>
          <cell r="F43">
            <v>300.49</v>
          </cell>
          <cell r="G43">
            <v>300.49</v>
          </cell>
          <cell r="H43">
            <v>300.49</v>
          </cell>
          <cell r="I43">
            <v>300.49</v>
          </cell>
          <cell r="J43">
            <v>300.49</v>
          </cell>
          <cell r="K43">
            <v>300.48</v>
          </cell>
          <cell r="L43">
            <v>300.49</v>
          </cell>
          <cell r="M43">
            <v>300.49</v>
          </cell>
          <cell r="N43">
            <v>300.49</v>
          </cell>
          <cell r="O43">
            <v>300.49</v>
          </cell>
          <cell r="P43">
            <v>300.49</v>
          </cell>
          <cell r="Q43">
            <v>300.49</v>
          </cell>
          <cell r="R43">
            <v>300.49</v>
          </cell>
          <cell r="S43">
            <v>300.49</v>
          </cell>
          <cell r="T43">
            <v>300.49</v>
          </cell>
          <cell r="U43">
            <v>300.49</v>
          </cell>
          <cell r="V43">
            <v>300.49</v>
          </cell>
          <cell r="W43">
            <v>300.49</v>
          </cell>
          <cell r="X43">
            <v>311.57</v>
          </cell>
          <cell r="Y43">
            <v>300.49</v>
          </cell>
          <cell r="Z43">
            <v>300.49</v>
          </cell>
          <cell r="AA43">
            <v>300.49</v>
          </cell>
          <cell r="AB43">
            <v>300.49</v>
          </cell>
          <cell r="AC43">
            <v>300.49</v>
          </cell>
          <cell r="AD43">
            <v>300.49</v>
          </cell>
          <cell r="AE43">
            <v>300.49</v>
          </cell>
        </row>
        <row r="44">
          <cell r="A44" t="str">
            <v>PCS-OzTL114</v>
          </cell>
          <cell r="B44">
            <v>44</v>
          </cell>
          <cell r="C44" t="str">
            <v>Oi TV Total Cinema Futebol HD DVR</v>
          </cell>
          <cell r="D44">
            <v>380.64</v>
          </cell>
          <cell r="E44">
            <v>380.65</v>
          </cell>
          <cell r="F44">
            <v>380.65</v>
          </cell>
          <cell r="G44">
            <v>380.65</v>
          </cell>
          <cell r="H44">
            <v>380.65</v>
          </cell>
          <cell r="I44">
            <v>380.65</v>
          </cell>
          <cell r="J44">
            <v>380.65</v>
          </cell>
          <cell r="K44">
            <v>380.64</v>
          </cell>
          <cell r="L44">
            <v>380.65</v>
          </cell>
          <cell r="M44">
            <v>380.65</v>
          </cell>
          <cell r="N44">
            <v>380.65</v>
          </cell>
          <cell r="O44">
            <v>380.65</v>
          </cell>
          <cell r="P44">
            <v>380.65</v>
          </cell>
          <cell r="Q44">
            <v>380.65</v>
          </cell>
          <cell r="R44">
            <v>380.65</v>
          </cell>
          <cell r="S44">
            <v>380.65</v>
          </cell>
          <cell r="T44">
            <v>380.65</v>
          </cell>
          <cell r="U44">
            <v>380.65</v>
          </cell>
          <cell r="V44">
            <v>380.65</v>
          </cell>
          <cell r="W44">
            <v>380.65</v>
          </cell>
          <cell r="X44">
            <v>394.68</v>
          </cell>
          <cell r="Y44">
            <v>380.65</v>
          </cell>
          <cell r="Z44">
            <v>380.65</v>
          </cell>
          <cell r="AA44">
            <v>380.65</v>
          </cell>
          <cell r="AB44">
            <v>380.65</v>
          </cell>
          <cell r="AC44">
            <v>380.65</v>
          </cell>
          <cell r="AD44">
            <v>380.65</v>
          </cell>
          <cell r="AE44">
            <v>380.65</v>
          </cell>
        </row>
        <row r="45">
          <cell r="A45" t="str">
            <v>PCS-OzTL101</v>
          </cell>
          <cell r="B45">
            <v>45</v>
          </cell>
          <cell r="C45" t="str">
            <v>Oi TV Livre HD</v>
          </cell>
          <cell r="D45">
            <v>160.19999999999999</v>
          </cell>
          <cell r="E45">
            <v>160.21</v>
          </cell>
          <cell r="F45">
            <v>160.21</v>
          </cell>
          <cell r="G45">
            <v>160.21</v>
          </cell>
          <cell r="H45">
            <v>160.21</v>
          </cell>
          <cell r="I45">
            <v>160.21</v>
          </cell>
          <cell r="J45">
            <v>160.21</v>
          </cell>
          <cell r="K45">
            <v>160.19999999999999</v>
          </cell>
          <cell r="L45">
            <v>160.21</v>
          </cell>
          <cell r="M45">
            <v>160.21</v>
          </cell>
          <cell r="N45">
            <v>160.21</v>
          </cell>
          <cell r="O45">
            <v>160.21</v>
          </cell>
          <cell r="P45">
            <v>160.21</v>
          </cell>
          <cell r="Q45">
            <v>160.21</v>
          </cell>
          <cell r="R45">
            <v>160.21</v>
          </cell>
          <cell r="S45">
            <v>160.21</v>
          </cell>
          <cell r="T45">
            <v>160.21</v>
          </cell>
          <cell r="U45">
            <v>160.21</v>
          </cell>
          <cell r="V45">
            <v>160.21</v>
          </cell>
          <cell r="W45">
            <v>160.21</v>
          </cell>
          <cell r="X45">
            <v>166.12</v>
          </cell>
          <cell r="Y45">
            <v>160.21</v>
          </cell>
          <cell r="Z45">
            <v>160.21</v>
          </cell>
          <cell r="AA45">
            <v>160.21</v>
          </cell>
          <cell r="AB45">
            <v>160.21</v>
          </cell>
          <cell r="AC45">
            <v>160.21</v>
          </cell>
          <cell r="AD45">
            <v>160.21</v>
          </cell>
          <cell r="AE45">
            <v>160.21</v>
          </cell>
        </row>
        <row r="46">
          <cell r="A46" t="str">
            <v>PCS-OzTL34</v>
          </cell>
          <cell r="B46">
            <v>46</v>
          </cell>
          <cell r="C46" t="str">
            <v>A la carte Combate</v>
          </cell>
          <cell r="D46">
            <v>110.33</v>
          </cell>
          <cell r="E46">
            <v>110.34</v>
          </cell>
          <cell r="F46">
            <v>110.34</v>
          </cell>
          <cell r="G46">
            <v>110.34</v>
          </cell>
          <cell r="H46">
            <v>110.34</v>
          </cell>
          <cell r="I46">
            <v>110.34</v>
          </cell>
          <cell r="J46">
            <v>110.34</v>
          </cell>
          <cell r="K46">
            <v>110.33</v>
          </cell>
          <cell r="L46">
            <v>110.34</v>
          </cell>
          <cell r="M46">
            <v>110.34</v>
          </cell>
          <cell r="N46">
            <v>110.34</v>
          </cell>
          <cell r="O46">
            <v>114.4</v>
          </cell>
          <cell r="P46">
            <v>110.34</v>
          </cell>
          <cell r="Q46">
            <v>110.34</v>
          </cell>
          <cell r="R46">
            <v>110.34</v>
          </cell>
          <cell r="S46">
            <v>110.34</v>
          </cell>
          <cell r="T46">
            <v>111.81</v>
          </cell>
          <cell r="U46">
            <v>110.34</v>
          </cell>
          <cell r="V46">
            <v>110.34</v>
          </cell>
          <cell r="W46">
            <v>110.34</v>
          </cell>
          <cell r="X46">
            <v>114.41</v>
          </cell>
          <cell r="Y46">
            <v>110.34</v>
          </cell>
          <cell r="Z46">
            <v>110.34</v>
          </cell>
          <cell r="AA46">
            <v>110.34</v>
          </cell>
          <cell r="AB46">
            <v>110.34</v>
          </cell>
          <cell r="AC46">
            <v>110.34</v>
          </cell>
          <cell r="AD46">
            <v>112.96</v>
          </cell>
          <cell r="AE46">
            <v>110.34</v>
          </cell>
        </row>
        <row r="47">
          <cell r="A47" t="str">
            <v>PCS-OzTL31</v>
          </cell>
          <cell r="B47">
            <v>47</v>
          </cell>
          <cell r="C47" t="str">
            <v>A la carte Sexy Hot</v>
          </cell>
          <cell r="D47">
            <v>21.94</v>
          </cell>
          <cell r="E47">
            <v>21.95</v>
          </cell>
          <cell r="F47">
            <v>21.95</v>
          </cell>
          <cell r="G47">
            <v>21.95</v>
          </cell>
          <cell r="H47">
            <v>21.95</v>
          </cell>
          <cell r="I47">
            <v>21.95</v>
          </cell>
          <cell r="J47">
            <v>21.95</v>
          </cell>
          <cell r="K47">
            <v>21.94</v>
          </cell>
          <cell r="L47">
            <v>21.95</v>
          </cell>
          <cell r="M47">
            <v>21.95</v>
          </cell>
          <cell r="N47">
            <v>21.95</v>
          </cell>
          <cell r="O47">
            <v>22.75</v>
          </cell>
          <cell r="P47">
            <v>21.95</v>
          </cell>
          <cell r="Q47">
            <v>21.95</v>
          </cell>
          <cell r="R47">
            <v>21.95</v>
          </cell>
          <cell r="S47">
            <v>21.95</v>
          </cell>
          <cell r="T47">
            <v>22.24</v>
          </cell>
          <cell r="U47">
            <v>21.95</v>
          </cell>
          <cell r="V47">
            <v>21.95</v>
          </cell>
          <cell r="W47">
            <v>21.95</v>
          </cell>
          <cell r="X47">
            <v>22.75</v>
          </cell>
          <cell r="Y47">
            <v>21.95</v>
          </cell>
          <cell r="Z47">
            <v>21.95</v>
          </cell>
          <cell r="AA47">
            <v>21.95</v>
          </cell>
          <cell r="AB47">
            <v>21.95</v>
          </cell>
          <cell r="AC47">
            <v>21.95</v>
          </cell>
          <cell r="AD47">
            <v>22.47</v>
          </cell>
          <cell r="AE47">
            <v>21.95</v>
          </cell>
        </row>
        <row r="48">
          <cell r="A48" t="str">
            <v>PCS-OzTL32</v>
          </cell>
          <cell r="B48">
            <v>48</v>
          </cell>
          <cell r="C48" t="str">
            <v>A la carte Playboy TV</v>
          </cell>
          <cell r="D48">
            <v>21.94</v>
          </cell>
          <cell r="E48">
            <v>21.95</v>
          </cell>
          <cell r="F48">
            <v>21.95</v>
          </cell>
          <cell r="G48">
            <v>21.95</v>
          </cell>
          <cell r="H48">
            <v>21.95</v>
          </cell>
          <cell r="I48">
            <v>21.95</v>
          </cell>
          <cell r="J48">
            <v>21.95</v>
          </cell>
          <cell r="K48">
            <v>21.94</v>
          </cell>
          <cell r="L48">
            <v>21.95</v>
          </cell>
          <cell r="M48">
            <v>21.95</v>
          </cell>
          <cell r="N48">
            <v>21.95</v>
          </cell>
          <cell r="O48">
            <v>22.75</v>
          </cell>
          <cell r="P48">
            <v>21.95</v>
          </cell>
          <cell r="Q48">
            <v>21.95</v>
          </cell>
          <cell r="R48">
            <v>21.95</v>
          </cell>
          <cell r="S48">
            <v>21.95</v>
          </cell>
          <cell r="T48">
            <v>22.24</v>
          </cell>
          <cell r="U48">
            <v>21.95</v>
          </cell>
          <cell r="V48">
            <v>21.95</v>
          </cell>
          <cell r="W48">
            <v>21.95</v>
          </cell>
          <cell r="X48">
            <v>22.75</v>
          </cell>
          <cell r="Y48">
            <v>21.95</v>
          </cell>
          <cell r="Z48">
            <v>21.95</v>
          </cell>
          <cell r="AA48">
            <v>21.95</v>
          </cell>
          <cell r="AB48">
            <v>21.95</v>
          </cell>
          <cell r="AC48">
            <v>21.95</v>
          </cell>
          <cell r="AD48">
            <v>22.47</v>
          </cell>
          <cell r="AE48">
            <v>21.95</v>
          </cell>
        </row>
        <row r="49">
          <cell r="A49" t="str">
            <v>PCS-OzTL33</v>
          </cell>
          <cell r="B49">
            <v>49</v>
          </cell>
          <cell r="C49" t="str">
            <v>A la carte Sexy Hot + Playboy</v>
          </cell>
          <cell r="D49">
            <v>32.97</v>
          </cell>
          <cell r="E49">
            <v>32.979999999999997</v>
          </cell>
          <cell r="F49">
            <v>32.979999999999997</v>
          </cell>
          <cell r="G49">
            <v>32.979999999999997</v>
          </cell>
          <cell r="H49">
            <v>32.979999999999997</v>
          </cell>
          <cell r="I49">
            <v>32.979999999999997</v>
          </cell>
          <cell r="J49">
            <v>32.979999999999997</v>
          </cell>
          <cell r="K49">
            <v>32.97</v>
          </cell>
          <cell r="L49">
            <v>32.979999999999997</v>
          </cell>
          <cell r="M49">
            <v>32.979999999999997</v>
          </cell>
          <cell r="N49">
            <v>32.979999999999997</v>
          </cell>
          <cell r="O49">
            <v>34.200000000000003</v>
          </cell>
          <cell r="P49">
            <v>32.979999999999997</v>
          </cell>
          <cell r="Q49">
            <v>32.979999999999997</v>
          </cell>
          <cell r="R49">
            <v>32.979999999999997</v>
          </cell>
          <cell r="S49">
            <v>32.979999999999997</v>
          </cell>
          <cell r="T49">
            <v>33.409999999999997</v>
          </cell>
          <cell r="U49">
            <v>32.979999999999997</v>
          </cell>
          <cell r="V49">
            <v>32.979999999999997</v>
          </cell>
          <cell r="W49">
            <v>32.979999999999997</v>
          </cell>
          <cell r="X49">
            <v>34.19</v>
          </cell>
          <cell r="Y49">
            <v>32.979999999999997</v>
          </cell>
          <cell r="Z49">
            <v>32.979999999999997</v>
          </cell>
          <cell r="AA49">
            <v>32.979999999999997</v>
          </cell>
          <cell r="AB49">
            <v>32.979999999999997</v>
          </cell>
          <cell r="AC49">
            <v>32.979999999999997</v>
          </cell>
          <cell r="AD49">
            <v>33.75</v>
          </cell>
          <cell r="AE49">
            <v>32.979999999999997</v>
          </cell>
        </row>
        <row r="50">
          <cell r="A50" t="str">
            <v>PCS-OzTL503</v>
          </cell>
          <cell r="B50">
            <v>50</v>
          </cell>
          <cell r="C50" t="str">
            <v>A la carte SexPrivê</v>
          </cell>
          <cell r="D50">
            <v>16.420000000000002</v>
          </cell>
          <cell r="E50">
            <v>16.43</v>
          </cell>
          <cell r="F50">
            <v>16.43</v>
          </cell>
          <cell r="G50">
            <v>16.43</v>
          </cell>
          <cell r="H50">
            <v>16.43</v>
          </cell>
          <cell r="I50">
            <v>16.43</v>
          </cell>
          <cell r="J50">
            <v>16.43</v>
          </cell>
          <cell r="K50">
            <v>16.420000000000002</v>
          </cell>
          <cell r="L50">
            <v>16.43</v>
          </cell>
          <cell r="M50">
            <v>16.43</v>
          </cell>
          <cell r="N50">
            <v>16.43</v>
          </cell>
          <cell r="O50">
            <v>17.03</v>
          </cell>
          <cell r="P50">
            <v>16.43</v>
          </cell>
          <cell r="Q50">
            <v>16.43</v>
          </cell>
          <cell r="R50">
            <v>16.43</v>
          </cell>
          <cell r="S50">
            <v>16.43</v>
          </cell>
          <cell r="T50">
            <v>16.64</v>
          </cell>
          <cell r="U50">
            <v>16.43</v>
          </cell>
          <cell r="V50">
            <v>16.43</v>
          </cell>
          <cell r="W50">
            <v>16.43</v>
          </cell>
          <cell r="X50">
            <v>17.03</v>
          </cell>
          <cell r="Y50">
            <v>16.43</v>
          </cell>
          <cell r="Z50">
            <v>16.43</v>
          </cell>
          <cell r="AA50">
            <v>16.43</v>
          </cell>
          <cell r="AB50">
            <v>16.43</v>
          </cell>
          <cell r="AC50">
            <v>16.43</v>
          </cell>
          <cell r="AD50">
            <v>16.82</v>
          </cell>
          <cell r="AE50">
            <v>16.43</v>
          </cell>
        </row>
        <row r="51">
          <cell r="A51" t="str">
            <v>PCS-OzTL60</v>
          </cell>
          <cell r="B51">
            <v>51</v>
          </cell>
          <cell r="C51" t="str">
            <v>A la carte Étnicos</v>
          </cell>
          <cell r="D51">
            <v>11.02</v>
          </cell>
          <cell r="E51">
            <v>11.03</v>
          </cell>
          <cell r="F51">
            <v>11.03</v>
          </cell>
          <cell r="G51">
            <v>11.03</v>
          </cell>
          <cell r="H51">
            <v>11.03</v>
          </cell>
          <cell r="I51">
            <v>11.03</v>
          </cell>
          <cell r="J51">
            <v>11.03</v>
          </cell>
          <cell r="K51">
            <v>11.02</v>
          </cell>
          <cell r="L51">
            <v>11.03</v>
          </cell>
          <cell r="M51">
            <v>11.03</v>
          </cell>
          <cell r="N51">
            <v>11.03</v>
          </cell>
          <cell r="O51">
            <v>11.42</v>
          </cell>
          <cell r="P51">
            <v>11.03</v>
          </cell>
          <cell r="Q51">
            <v>11.03</v>
          </cell>
          <cell r="R51">
            <v>11.03</v>
          </cell>
          <cell r="S51">
            <v>11.03</v>
          </cell>
          <cell r="T51">
            <v>11.17</v>
          </cell>
          <cell r="U51">
            <v>11.03</v>
          </cell>
          <cell r="V51">
            <v>11.03</v>
          </cell>
          <cell r="W51">
            <v>11.03</v>
          </cell>
          <cell r="X51">
            <v>11.43</v>
          </cell>
          <cell r="Y51">
            <v>11.03</v>
          </cell>
          <cell r="Z51">
            <v>11.03</v>
          </cell>
          <cell r="AA51">
            <v>11.03</v>
          </cell>
          <cell r="AB51">
            <v>11.03</v>
          </cell>
          <cell r="AC51">
            <v>11.03</v>
          </cell>
          <cell r="AD51">
            <v>11.28</v>
          </cell>
          <cell r="AE51">
            <v>11.03</v>
          </cell>
        </row>
        <row r="52">
          <cell r="A52" t="str">
            <v>PCS-OzTL50</v>
          </cell>
          <cell r="B52">
            <v>52</v>
          </cell>
          <cell r="C52" t="str">
            <v>A la carte Coleção OI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</row>
        <row r="53">
          <cell r="A53" t="str">
            <v>PCS-OzTL51</v>
          </cell>
          <cell r="B53">
            <v>53</v>
          </cell>
          <cell r="C53" t="str">
            <v>A la carte Fox Premium</v>
          </cell>
          <cell r="D53">
            <v>24.9</v>
          </cell>
          <cell r="E53">
            <v>24.9</v>
          </cell>
          <cell r="F53">
            <v>24.9</v>
          </cell>
          <cell r="G53">
            <v>24.9</v>
          </cell>
          <cell r="H53">
            <v>24.9</v>
          </cell>
          <cell r="I53">
            <v>24.9</v>
          </cell>
          <cell r="J53">
            <v>24.9</v>
          </cell>
          <cell r="K53">
            <v>24.9</v>
          </cell>
          <cell r="L53">
            <v>24.9</v>
          </cell>
          <cell r="M53">
            <v>24.9</v>
          </cell>
          <cell r="N53">
            <v>24.9</v>
          </cell>
          <cell r="O53">
            <v>24.9</v>
          </cell>
          <cell r="P53">
            <v>24.9</v>
          </cell>
          <cell r="Q53">
            <v>24.9</v>
          </cell>
          <cell r="R53">
            <v>24.9</v>
          </cell>
          <cell r="S53">
            <v>24.9</v>
          </cell>
          <cell r="T53">
            <v>24.9</v>
          </cell>
          <cell r="U53">
            <v>24.9</v>
          </cell>
          <cell r="V53">
            <v>24.9</v>
          </cell>
          <cell r="W53">
            <v>24.9</v>
          </cell>
          <cell r="X53">
            <v>24.9</v>
          </cell>
          <cell r="Y53">
            <v>24.9</v>
          </cell>
          <cell r="Z53">
            <v>24.9</v>
          </cell>
          <cell r="AA53">
            <v>24.9</v>
          </cell>
          <cell r="AB53">
            <v>24.9</v>
          </cell>
          <cell r="AC53">
            <v>24.9</v>
          </cell>
          <cell r="AD53">
            <v>24.9</v>
          </cell>
          <cell r="AE53">
            <v>24.9</v>
          </cell>
        </row>
        <row r="54">
          <cell r="A54" t="str">
            <v>PCS-OzTL52</v>
          </cell>
          <cell r="B54">
            <v>54</v>
          </cell>
          <cell r="C54" t="str">
            <v>A la carte PenVr</v>
          </cell>
          <cell r="D54">
            <v>10</v>
          </cell>
          <cell r="E54">
            <v>10</v>
          </cell>
          <cell r="F54">
            <v>10</v>
          </cell>
          <cell r="G54">
            <v>10</v>
          </cell>
          <cell r="H54">
            <v>10</v>
          </cell>
          <cell r="I54">
            <v>10</v>
          </cell>
          <cell r="J54">
            <v>10</v>
          </cell>
          <cell r="K54">
            <v>10</v>
          </cell>
          <cell r="L54">
            <v>10</v>
          </cell>
          <cell r="M54">
            <v>10</v>
          </cell>
          <cell r="N54">
            <v>10</v>
          </cell>
          <cell r="O54">
            <v>10</v>
          </cell>
          <cell r="P54">
            <v>10</v>
          </cell>
          <cell r="Q54">
            <v>10</v>
          </cell>
          <cell r="R54">
            <v>10</v>
          </cell>
          <cell r="S54">
            <v>10</v>
          </cell>
          <cell r="T54">
            <v>10</v>
          </cell>
          <cell r="U54">
            <v>10</v>
          </cell>
          <cell r="V54">
            <v>10</v>
          </cell>
          <cell r="W54">
            <v>10</v>
          </cell>
          <cell r="X54">
            <v>10</v>
          </cell>
          <cell r="Y54">
            <v>10</v>
          </cell>
          <cell r="Z54">
            <v>10</v>
          </cell>
          <cell r="AA54">
            <v>10</v>
          </cell>
          <cell r="AB54">
            <v>10</v>
          </cell>
          <cell r="AC54">
            <v>10</v>
          </cell>
          <cell r="AD54">
            <v>10</v>
          </cell>
          <cell r="AE54">
            <v>10</v>
          </cell>
        </row>
        <row r="55">
          <cell r="A55" t="str">
            <v>PCS-OzTL53</v>
          </cell>
          <cell r="B55">
            <v>55</v>
          </cell>
          <cell r="C55" t="str">
            <v>A la carte PFC Completo</v>
          </cell>
          <cell r="D55">
            <v>104.9</v>
          </cell>
          <cell r="E55">
            <v>104.9</v>
          </cell>
          <cell r="F55">
            <v>104.9</v>
          </cell>
          <cell r="G55">
            <v>104.9</v>
          </cell>
          <cell r="H55">
            <v>104.9</v>
          </cell>
          <cell r="I55">
            <v>104.9</v>
          </cell>
          <cell r="J55">
            <v>104.9</v>
          </cell>
          <cell r="K55">
            <v>104.9</v>
          </cell>
          <cell r="L55">
            <v>104.9</v>
          </cell>
          <cell r="M55">
            <v>104.9</v>
          </cell>
          <cell r="N55">
            <v>104.9</v>
          </cell>
          <cell r="O55">
            <v>104.9</v>
          </cell>
          <cell r="P55">
            <v>104.9</v>
          </cell>
          <cell r="Q55">
            <v>104.9</v>
          </cell>
          <cell r="R55">
            <v>104.9</v>
          </cell>
          <cell r="S55">
            <v>104.9</v>
          </cell>
          <cell r="T55">
            <v>104.9</v>
          </cell>
          <cell r="U55">
            <v>104.9</v>
          </cell>
          <cell r="V55">
            <v>104.9</v>
          </cell>
          <cell r="W55">
            <v>104.9</v>
          </cell>
          <cell r="X55">
            <v>104.9</v>
          </cell>
          <cell r="Y55">
            <v>104.9</v>
          </cell>
          <cell r="Z55">
            <v>104.9</v>
          </cell>
          <cell r="AA55">
            <v>104.9</v>
          </cell>
          <cell r="AB55">
            <v>104.9</v>
          </cell>
          <cell r="AC55">
            <v>104.9</v>
          </cell>
          <cell r="AD55">
            <v>104.9</v>
          </cell>
          <cell r="AE55">
            <v>104.9</v>
          </cell>
        </row>
        <row r="56">
          <cell r="A56" t="str">
            <v>PCS-OzTL54</v>
          </cell>
          <cell r="B56">
            <v>56</v>
          </cell>
          <cell r="C56" t="str">
            <v>A la carte PFC Básico</v>
          </cell>
          <cell r="D56">
            <v>64.900000000000006</v>
          </cell>
          <cell r="E56">
            <v>64.900000000000006</v>
          </cell>
          <cell r="F56">
            <v>64.900000000000006</v>
          </cell>
          <cell r="G56">
            <v>64.900000000000006</v>
          </cell>
          <cell r="H56">
            <v>64.900000000000006</v>
          </cell>
          <cell r="I56">
            <v>64.900000000000006</v>
          </cell>
          <cell r="J56">
            <v>64.900000000000006</v>
          </cell>
          <cell r="K56">
            <v>64.900000000000006</v>
          </cell>
          <cell r="L56">
            <v>64.900000000000006</v>
          </cell>
          <cell r="M56">
            <v>64.900000000000006</v>
          </cell>
          <cell r="N56">
            <v>64.900000000000006</v>
          </cell>
          <cell r="O56">
            <v>64.900000000000006</v>
          </cell>
          <cell r="P56">
            <v>64.900000000000006</v>
          </cell>
          <cell r="Q56">
            <v>64.900000000000006</v>
          </cell>
          <cell r="R56">
            <v>64.900000000000006</v>
          </cell>
          <cell r="S56">
            <v>64.900000000000006</v>
          </cell>
          <cell r="T56">
            <v>64.900000000000006</v>
          </cell>
          <cell r="U56">
            <v>64.900000000000006</v>
          </cell>
          <cell r="V56">
            <v>64.900000000000006</v>
          </cell>
          <cell r="W56">
            <v>64.900000000000006</v>
          </cell>
          <cell r="X56">
            <v>64.900000000000006</v>
          </cell>
          <cell r="Y56">
            <v>64.900000000000006</v>
          </cell>
          <cell r="Z56">
            <v>64.900000000000006</v>
          </cell>
          <cell r="AA56">
            <v>64.900000000000006</v>
          </cell>
          <cell r="AB56">
            <v>64.900000000000006</v>
          </cell>
          <cell r="AC56">
            <v>64.900000000000006</v>
          </cell>
          <cell r="AD56">
            <v>64.900000000000006</v>
          </cell>
          <cell r="AE56">
            <v>64.900000000000006</v>
          </cell>
        </row>
        <row r="57">
          <cell r="A57" t="str">
            <v>PCS-OzTL62</v>
          </cell>
          <cell r="B57">
            <v>57</v>
          </cell>
          <cell r="C57" t="str">
            <v>A la carte  HBO/Max</v>
          </cell>
          <cell r="D57">
            <v>100</v>
          </cell>
          <cell r="E57">
            <v>100</v>
          </cell>
          <cell r="F57">
            <v>100</v>
          </cell>
          <cell r="G57">
            <v>100</v>
          </cell>
          <cell r="H57">
            <v>100</v>
          </cell>
          <cell r="I57">
            <v>100</v>
          </cell>
          <cell r="J57">
            <v>100</v>
          </cell>
          <cell r="K57">
            <v>100</v>
          </cell>
          <cell r="L57">
            <v>100</v>
          </cell>
          <cell r="M57">
            <v>100</v>
          </cell>
          <cell r="N57">
            <v>100</v>
          </cell>
          <cell r="O57">
            <v>100</v>
          </cell>
          <cell r="P57">
            <v>100</v>
          </cell>
          <cell r="Q57">
            <v>100</v>
          </cell>
          <cell r="R57">
            <v>100</v>
          </cell>
          <cell r="S57">
            <v>100</v>
          </cell>
          <cell r="T57">
            <v>100</v>
          </cell>
          <cell r="U57">
            <v>100</v>
          </cell>
          <cell r="V57">
            <v>100</v>
          </cell>
          <cell r="W57">
            <v>100</v>
          </cell>
          <cell r="X57">
            <v>100</v>
          </cell>
          <cell r="Y57">
            <v>100</v>
          </cell>
          <cell r="Z57">
            <v>100</v>
          </cell>
          <cell r="AA57">
            <v>100</v>
          </cell>
          <cell r="AB57">
            <v>100</v>
          </cell>
          <cell r="AC57">
            <v>100</v>
          </cell>
          <cell r="AD57">
            <v>100</v>
          </cell>
          <cell r="AE57">
            <v>100</v>
          </cell>
        </row>
        <row r="58">
          <cell r="A58" t="str">
            <v>PCS-OzTL61</v>
          </cell>
          <cell r="B58">
            <v>58</v>
          </cell>
          <cell r="C58" t="str">
            <v>A la carte Telecine</v>
          </cell>
          <cell r="D58">
            <v>100</v>
          </cell>
          <cell r="E58">
            <v>100</v>
          </cell>
          <cell r="F58">
            <v>100</v>
          </cell>
          <cell r="G58">
            <v>100</v>
          </cell>
          <cell r="H58">
            <v>100</v>
          </cell>
          <cell r="I58">
            <v>100</v>
          </cell>
          <cell r="J58">
            <v>100</v>
          </cell>
          <cell r="K58">
            <v>100</v>
          </cell>
          <cell r="L58">
            <v>100</v>
          </cell>
          <cell r="M58">
            <v>100</v>
          </cell>
          <cell r="N58">
            <v>100</v>
          </cell>
          <cell r="O58">
            <v>100</v>
          </cell>
          <cell r="P58">
            <v>100</v>
          </cell>
          <cell r="Q58">
            <v>100</v>
          </cell>
          <cell r="R58">
            <v>100</v>
          </cell>
          <cell r="S58">
            <v>100</v>
          </cell>
          <cell r="T58">
            <v>100</v>
          </cell>
          <cell r="U58">
            <v>100</v>
          </cell>
          <cell r="V58">
            <v>100</v>
          </cell>
          <cell r="W58">
            <v>100</v>
          </cell>
          <cell r="X58">
            <v>100</v>
          </cell>
          <cell r="Y58">
            <v>100</v>
          </cell>
          <cell r="Z58">
            <v>100</v>
          </cell>
          <cell r="AA58">
            <v>100</v>
          </cell>
          <cell r="AB58">
            <v>100</v>
          </cell>
          <cell r="AC58">
            <v>100</v>
          </cell>
          <cell r="AD58">
            <v>100</v>
          </cell>
          <cell r="AE58">
            <v>100</v>
          </cell>
        </row>
        <row r="59">
          <cell r="A59" t="str">
            <v>PCS-OzTL63</v>
          </cell>
          <cell r="B59">
            <v>59</v>
          </cell>
          <cell r="C59" t="str">
            <v>A la carte Cinema</v>
          </cell>
          <cell r="D59">
            <v>100</v>
          </cell>
          <cell r="E59">
            <v>100</v>
          </cell>
          <cell r="F59">
            <v>100</v>
          </cell>
          <cell r="G59">
            <v>100</v>
          </cell>
          <cell r="H59">
            <v>100</v>
          </cell>
          <cell r="I59">
            <v>100</v>
          </cell>
          <cell r="J59">
            <v>100</v>
          </cell>
          <cell r="K59">
            <v>100</v>
          </cell>
          <cell r="L59">
            <v>100</v>
          </cell>
          <cell r="M59">
            <v>100</v>
          </cell>
          <cell r="N59">
            <v>100</v>
          </cell>
          <cell r="O59">
            <v>100</v>
          </cell>
          <cell r="P59">
            <v>100</v>
          </cell>
          <cell r="Q59">
            <v>100</v>
          </cell>
          <cell r="R59">
            <v>100</v>
          </cell>
          <cell r="S59">
            <v>100</v>
          </cell>
          <cell r="T59">
            <v>100</v>
          </cell>
          <cell r="U59">
            <v>100</v>
          </cell>
          <cell r="V59">
            <v>100</v>
          </cell>
          <cell r="W59">
            <v>100</v>
          </cell>
          <cell r="X59">
            <v>100</v>
          </cell>
          <cell r="Y59">
            <v>100</v>
          </cell>
          <cell r="Z59">
            <v>100</v>
          </cell>
          <cell r="AA59">
            <v>100</v>
          </cell>
          <cell r="AB59">
            <v>100</v>
          </cell>
          <cell r="AC59">
            <v>100</v>
          </cell>
          <cell r="AD59">
            <v>100</v>
          </cell>
          <cell r="AE59">
            <v>100</v>
          </cell>
        </row>
        <row r="60">
          <cell r="A60" t="str">
            <v>PCS-OzTL99</v>
          </cell>
          <cell r="B60">
            <v>60</v>
          </cell>
          <cell r="C60" t="str">
            <v>Ponto Adicional</v>
          </cell>
          <cell r="D60">
            <v>29.9</v>
          </cell>
          <cell r="E60">
            <v>29.9</v>
          </cell>
          <cell r="F60">
            <v>29.9</v>
          </cell>
          <cell r="G60">
            <v>29.9</v>
          </cell>
          <cell r="H60">
            <v>29.9</v>
          </cell>
          <cell r="I60">
            <v>29.9</v>
          </cell>
          <cell r="J60">
            <v>29.9</v>
          </cell>
          <cell r="K60">
            <v>30.54</v>
          </cell>
          <cell r="L60">
            <v>29.9</v>
          </cell>
          <cell r="M60">
            <v>29.9</v>
          </cell>
          <cell r="N60">
            <v>29.9</v>
          </cell>
          <cell r="O60">
            <v>31</v>
          </cell>
          <cell r="P60">
            <v>29.9</v>
          </cell>
          <cell r="Q60">
            <v>29.9</v>
          </cell>
          <cell r="R60">
            <v>29.9</v>
          </cell>
          <cell r="S60">
            <v>29.9</v>
          </cell>
          <cell r="T60">
            <v>30.29</v>
          </cell>
          <cell r="U60">
            <v>29.9</v>
          </cell>
          <cell r="V60">
            <v>29.9</v>
          </cell>
          <cell r="W60">
            <v>29.9</v>
          </cell>
          <cell r="X60">
            <v>31</v>
          </cell>
          <cell r="Y60">
            <v>29.9</v>
          </cell>
          <cell r="Z60">
            <v>29.9</v>
          </cell>
          <cell r="AA60">
            <v>29.9</v>
          </cell>
          <cell r="AB60">
            <v>29.9</v>
          </cell>
          <cell r="AC60">
            <v>29.9</v>
          </cell>
          <cell r="AD60">
            <v>30.6</v>
          </cell>
          <cell r="AE60">
            <v>29.9</v>
          </cell>
        </row>
        <row r="61">
          <cell r="A61" t="str">
            <v>-</v>
          </cell>
          <cell r="B61">
            <v>61</v>
          </cell>
          <cell r="C61" t="str">
            <v>Assinatura + Franquia Titular Pós Fidelizado</v>
          </cell>
          <cell r="D61">
            <v>13.6</v>
          </cell>
          <cell r="E61">
            <v>13.6</v>
          </cell>
          <cell r="F61">
            <v>13.6</v>
          </cell>
          <cell r="G61">
            <v>13.6</v>
          </cell>
          <cell r="H61">
            <v>13.6</v>
          </cell>
          <cell r="I61">
            <v>13.6</v>
          </cell>
          <cell r="J61">
            <v>13.6</v>
          </cell>
          <cell r="K61">
            <v>13.6</v>
          </cell>
          <cell r="L61">
            <v>13.6</v>
          </cell>
          <cell r="M61">
            <v>13.6</v>
          </cell>
          <cell r="N61">
            <v>13.6</v>
          </cell>
          <cell r="O61">
            <v>13.6</v>
          </cell>
          <cell r="P61">
            <v>13.6</v>
          </cell>
          <cell r="Q61">
            <v>13.6</v>
          </cell>
          <cell r="R61">
            <v>13.6</v>
          </cell>
          <cell r="S61">
            <v>13.6</v>
          </cell>
          <cell r="T61">
            <v>13.6</v>
          </cell>
          <cell r="U61">
            <v>13.6</v>
          </cell>
          <cell r="V61">
            <v>13.6</v>
          </cell>
          <cell r="W61">
            <v>13.6</v>
          </cell>
          <cell r="X61">
            <v>13.6</v>
          </cell>
          <cell r="Y61">
            <v>13.6</v>
          </cell>
          <cell r="Z61">
            <v>13.6</v>
          </cell>
          <cell r="AA61">
            <v>13.6</v>
          </cell>
          <cell r="AB61">
            <v>13.6</v>
          </cell>
          <cell r="AC61">
            <v>13.6</v>
          </cell>
          <cell r="AD61">
            <v>13.6</v>
          </cell>
          <cell r="AE61">
            <v>13.6</v>
          </cell>
        </row>
        <row r="62">
          <cell r="A62" t="str">
            <v>-</v>
          </cell>
          <cell r="B62">
            <v>62</v>
          </cell>
          <cell r="C62" t="str">
            <v>Assinatura + Franquia Titular Pós Não Fidelizado</v>
          </cell>
          <cell r="D62">
            <v>23.5</v>
          </cell>
          <cell r="E62">
            <v>23.5</v>
          </cell>
          <cell r="F62">
            <v>23.5</v>
          </cell>
          <cell r="G62">
            <v>23.5</v>
          </cell>
          <cell r="H62">
            <v>23.5</v>
          </cell>
          <cell r="I62">
            <v>23.5</v>
          </cell>
          <cell r="J62">
            <v>23.5</v>
          </cell>
          <cell r="K62">
            <v>23.5</v>
          </cell>
          <cell r="L62">
            <v>23.5</v>
          </cell>
          <cell r="M62">
            <v>23.5</v>
          </cell>
          <cell r="N62">
            <v>23.5</v>
          </cell>
          <cell r="O62">
            <v>23.5</v>
          </cell>
          <cell r="P62">
            <v>23.5</v>
          </cell>
          <cell r="Q62">
            <v>23.5</v>
          </cell>
          <cell r="R62">
            <v>23.5</v>
          </cell>
          <cell r="S62">
            <v>23.5</v>
          </cell>
          <cell r="T62">
            <v>23.5</v>
          </cell>
          <cell r="U62">
            <v>23.5</v>
          </cell>
          <cell r="V62">
            <v>23.5</v>
          </cell>
          <cell r="W62">
            <v>23.5</v>
          </cell>
          <cell r="X62">
            <v>23.5</v>
          </cell>
          <cell r="Y62">
            <v>23.5</v>
          </cell>
          <cell r="Z62">
            <v>23.5</v>
          </cell>
          <cell r="AA62">
            <v>23.5</v>
          </cell>
          <cell r="AB62">
            <v>23.5</v>
          </cell>
          <cell r="AC62">
            <v>23.5</v>
          </cell>
          <cell r="AD62">
            <v>23.5</v>
          </cell>
          <cell r="AE62">
            <v>23.5</v>
          </cell>
        </row>
        <row r="63">
          <cell r="A63" t="str">
            <v>-</v>
          </cell>
          <cell r="B63">
            <v>63</v>
          </cell>
          <cell r="C63" t="str">
            <v>Assinatura Dependente Pós Fidelizado</v>
          </cell>
          <cell r="D63">
            <v>12</v>
          </cell>
          <cell r="E63">
            <v>12</v>
          </cell>
          <cell r="F63">
            <v>12</v>
          </cell>
          <cell r="G63">
            <v>12</v>
          </cell>
          <cell r="H63">
            <v>12</v>
          </cell>
          <cell r="I63">
            <v>12</v>
          </cell>
          <cell r="J63">
            <v>12</v>
          </cell>
          <cell r="K63">
            <v>12</v>
          </cell>
          <cell r="L63">
            <v>12</v>
          </cell>
          <cell r="M63">
            <v>12</v>
          </cell>
          <cell r="N63">
            <v>12</v>
          </cell>
          <cell r="O63">
            <v>12</v>
          </cell>
          <cell r="P63">
            <v>12</v>
          </cell>
          <cell r="Q63">
            <v>12</v>
          </cell>
          <cell r="R63">
            <v>12</v>
          </cell>
          <cell r="S63">
            <v>12</v>
          </cell>
          <cell r="T63">
            <v>12</v>
          </cell>
          <cell r="U63">
            <v>12</v>
          </cell>
          <cell r="V63">
            <v>12</v>
          </cell>
          <cell r="W63">
            <v>12</v>
          </cell>
          <cell r="X63">
            <v>12</v>
          </cell>
          <cell r="Y63">
            <v>12</v>
          </cell>
          <cell r="Z63">
            <v>12</v>
          </cell>
          <cell r="AA63">
            <v>12</v>
          </cell>
          <cell r="AB63">
            <v>12</v>
          </cell>
          <cell r="AC63">
            <v>12</v>
          </cell>
          <cell r="AD63">
            <v>12</v>
          </cell>
          <cell r="AE63">
            <v>12</v>
          </cell>
        </row>
        <row r="64">
          <cell r="A64" t="str">
            <v>-</v>
          </cell>
          <cell r="B64">
            <v>64</v>
          </cell>
          <cell r="C64" t="str">
            <v>Assinatura Dependente Pós Não Fidelizado</v>
          </cell>
          <cell r="D64">
            <v>24</v>
          </cell>
          <cell r="E64">
            <v>24</v>
          </cell>
          <cell r="F64">
            <v>24</v>
          </cell>
          <cell r="G64">
            <v>24</v>
          </cell>
          <cell r="H64">
            <v>24</v>
          </cell>
          <cell r="I64">
            <v>24</v>
          </cell>
          <cell r="J64">
            <v>24</v>
          </cell>
          <cell r="K64">
            <v>24</v>
          </cell>
          <cell r="L64">
            <v>24</v>
          </cell>
          <cell r="M64">
            <v>24</v>
          </cell>
          <cell r="N64">
            <v>24</v>
          </cell>
          <cell r="O64">
            <v>24</v>
          </cell>
          <cell r="P64">
            <v>24</v>
          </cell>
          <cell r="Q64">
            <v>24</v>
          </cell>
          <cell r="R64">
            <v>24</v>
          </cell>
          <cell r="S64">
            <v>24</v>
          </cell>
          <cell r="T64">
            <v>24</v>
          </cell>
          <cell r="U64">
            <v>24</v>
          </cell>
          <cell r="V64">
            <v>24</v>
          </cell>
          <cell r="W64">
            <v>24</v>
          </cell>
          <cell r="X64">
            <v>24</v>
          </cell>
          <cell r="Y64">
            <v>24</v>
          </cell>
          <cell r="Z64">
            <v>24</v>
          </cell>
          <cell r="AA64">
            <v>24</v>
          </cell>
          <cell r="AB64">
            <v>24</v>
          </cell>
          <cell r="AC64">
            <v>24</v>
          </cell>
          <cell r="AD64">
            <v>24</v>
          </cell>
          <cell r="AE64">
            <v>24</v>
          </cell>
        </row>
        <row r="65">
          <cell r="A65" t="str">
            <v>Oi-36221-SVA</v>
          </cell>
          <cell r="B65">
            <v>65</v>
          </cell>
          <cell r="C65" t="str">
            <v>SVA 4GB  (Te Ligou Pro R$ 10,00 / Ubook R$ 11,00)</v>
          </cell>
          <cell r="D65">
            <v>21</v>
          </cell>
          <cell r="E65">
            <v>21</v>
          </cell>
          <cell r="F65">
            <v>21</v>
          </cell>
          <cell r="G65">
            <v>21</v>
          </cell>
          <cell r="H65">
            <v>21</v>
          </cell>
          <cell r="I65">
            <v>21</v>
          </cell>
          <cell r="J65">
            <v>21</v>
          </cell>
          <cell r="K65">
            <v>21</v>
          </cell>
          <cell r="L65">
            <v>21</v>
          </cell>
          <cell r="M65">
            <v>21</v>
          </cell>
          <cell r="N65">
            <v>21</v>
          </cell>
          <cell r="O65">
            <v>21</v>
          </cell>
          <cell r="P65">
            <v>21</v>
          </cell>
          <cell r="Q65">
            <v>21</v>
          </cell>
          <cell r="R65">
            <v>21</v>
          </cell>
          <cell r="S65">
            <v>21</v>
          </cell>
          <cell r="T65">
            <v>21</v>
          </cell>
          <cell r="U65">
            <v>21</v>
          </cell>
          <cell r="V65">
            <v>21</v>
          </cell>
          <cell r="W65">
            <v>21</v>
          </cell>
          <cell r="X65">
            <v>21</v>
          </cell>
          <cell r="Y65">
            <v>21</v>
          </cell>
          <cell r="Z65">
            <v>21</v>
          </cell>
          <cell r="AA65">
            <v>21</v>
          </cell>
          <cell r="AB65">
            <v>21</v>
          </cell>
          <cell r="AC65">
            <v>21</v>
          </cell>
          <cell r="AD65">
            <v>21</v>
          </cell>
          <cell r="AE65">
            <v>21</v>
          </cell>
        </row>
        <row r="66">
          <cell r="A66" t="str">
            <v>Oi-36249-SVA</v>
          </cell>
          <cell r="B66">
            <v>66</v>
          </cell>
          <cell r="C66" t="str">
            <v>SVA 7GB (Te Ligou Pro R$ 10,00 / Ubook R$ 11,00 / Oi Revistas R$ 9,00)</v>
          </cell>
          <cell r="D66">
            <v>30</v>
          </cell>
          <cell r="E66">
            <v>30</v>
          </cell>
          <cell r="F66">
            <v>30</v>
          </cell>
          <cell r="G66">
            <v>30</v>
          </cell>
          <cell r="H66">
            <v>30</v>
          </cell>
          <cell r="I66">
            <v>30</v>
          </cell>
          <cell r="J66">
            <v>30</v>
          </cell>
          <cell r="K66">
            <v>30</v>
          </cell>
          <cell r="L66">
            <v>30</v>
          </cell>
          <cell r="M66">
            <v>30</v>
          </cell>
          <cell r="N66">
            <v>30</v>
          </cell>
          <cell r="O66">
            <v>30</v>
          </cell>
          <cell r="P66">
            <v>30</v>
          </cell>
          <cell r="Q66">
            <v>30</v>
          </cell>
          <cell r="R66">
            <v>30</v>
          </cell>
          <cell r="S66">
            <v>30</v>
          </cell>
          <cell r="T66">
            <v>30</v>
          </cell>
          <cell r="U66">
            <v>30</v>
          </cell>
          <cell r="V66">
            <v>30</v>
          </cell>
          <cell r="W66">
            <v>30</v>
          </cell>
          <cell r="X66">
            <v>30</v>
          </cell>
          <cell r="Y66">
            <v>30</v>
          </cell>
          <cell r="Z66">
            <v>30</v>
          </cell>
          <cell r="AA66">
            <v>30</v>
          </cell>
          <cell r="AB66">
            <v>30</v>
          </cell>
          <cell r="AC66">
            <v>30</v>
          </cell>
          <cell r="AD66">
            <v>30</v>
          </cell>
          <cell r="AE66">
            <v>30</v>
          </cell>
        </row>
        <row r="67">
          <cell r="A67" t="str">
            <v>Oi-35559-SVA</v>
          </cell>
          <cell r="B67">
            <v>67</v>
          </cell>
          <cell r="C67" t="str">
            <v>SVA 10GB (Te Ligou Pro R$ 10,00 / Ubook R$ 11,00 / Oi Revistas R$ 9,00 / Para Aprender R$ 5,00)</v>
          </cell>
          <cell r="D67">
            <v>35</v>
          </cell>
          <cell r="E67">
            <v>35</v>
          </cell>
          <cell r="F67">
            <v>35</v>
          </cell>
          <cell r="G67">
            <v>35</v>
          </cell>
          <cell r="H67">
            <v>35</v>
          </cell>
          <cell r="I67">
            <v>35</v>
          </cell>
          <cell r="J67">
            <v>35</v>
          </cell>
          <cell r="K67">
            <v>35</v>
          </cell>
          <cell r="L67">
            <v>35</v>
          </cell>
          <cell r="M67">
            <v>35</v>
          </cell>
          <cell r="N67">
            <v>35</v>
          </cell>
          <cell r="O67">
            <v>35</v>
          </cell>
          <cell r="P67">
            <v>35</v>
          </cell>
          <cell r="Q67">
            <v>35</v>
          </cell>
          <cell r="R67">
            <v>35</v>
          </cell>
          <cell r="S67">
            <v>35</v>
          </cell>
          <cell r="T67">
            <v>35</v>
          </cell>
          <cell r="U67">
            <v>35</v>
          </cell>
          <cell r="V67">
            <v>35</v>
          </cell>
          <cell r="W67">
            <v>35</v>
          </cell>
          <cell r="X67">
            <v>35</v>
          </cell>
          <cell r="Y67">
            <v>35</v>
          </cell>
          <cell r="Z67">
            <v>35</v>
          </cell>
          <cell r="AA67">
            <v>35</v>
          </cell>
          <cell r="AB67">
            <v>35</v>
          </cell>
          <cell r="AC67">
            <v>35</v>
          </cell>
          <cell r="AD67">
            <v>35</v>
          </cell>
          <cell r="AE67">
            <v>35</v>
          </cell>
        </row>
        <row r="68">
          <cell r="A68" t="str">
            <v>Oi-36277-SVA</v>
          </cell>
          <cell r="B68">
            <v>68</v>
          </cell>
          <cell r="C68" t="str">
            <v>SVA 14GB (Te Ligou Pro R$ 10,00 / Ubook R$ 11,00 / Oi Revistas R$ 9,00 / Play Kids &amp; BT Fit R$ 17,00)</v>
          </cell>
          <cell r="D68">
            <v>47</v>
          </cell>
          <cell r="E68">
            <v>47</v>
          </cell>
          <cell r="F68">
            <v>47</v>
          </cell>
          <cell r="G68">
            <v>47</v>
          </cell>
          <cell r="H68">
            <v>47</v>
          </cell>
          <cell r="I68">
            <v>47</v>
          </cell>
          <cell r="J68">
            <v>47</v>
          </cell>
          <cell r="K68">
            <v>47</v>
          </cell>
          <cell r="L68">
            <v>47</v>
          </cell>
          <cell r="M68">
            <v>47</v>
          </cell>
          <cell r="N68">
            <v>47</v>
          </cell>
          <cell r="O68">
            <v>47</v>
          </cell>
          <cell r="P68">
            <v>47</v>
          </cell>
          <cell r="Q68">
            <v>47</v>
          </cell>
          <cell r="R68">
            <v>47</v>
          </cell>
          <cell r="S68">
            <v>47</v>
          </cell>
          <cell r="T68">
            <v>47</v>
          </cell>
          <cell r="U68">
            <v>47</v>
          </cell>
          <cell r="V68">
            <v>47</v>
          </cell>
          <cell r="W68">
            <v>47</v>
          </cell>
          <cell r="X68">
            <v>47</v>
          </cell>
          <cell r="Y68">
            <v>47</v>
          </cell>
          <cell r="Z68">
            <v>47</v>
          </cell>
          <cell r="AA68">
            <v>47</v>
          </cell>
          <cell r="AB68">
            <v>47</v>
          </cell>
          <cell r="AC68">
            <v>47</v>
          </cell>
          <cell r="AD68">
            <v>47</v>
          </cell>
          <cell r="AE68">
            <v>47</v>
          </cell>
        </row>
        <row r="69">
          <cell r="A69" t="str">
            <v>Oi-35587-SVA</v>
          </cell>
          <cell r="B69">
            <v>69</v>
          </cell>
          <cell r="C69" t="str">
            <v>SVA 20GB (Te Ligou Pro R$ 10,00 / Ubook R$ 11,00 / Oi Revistas R$ 9,00 / Play Kids &amp; BT Fit R$ 17,00 / Para Aprender R$ 5,00)</v>
          </cell>
          <cell r="D69">
            <v>52</v>
          </cell>
          <cell r="E69">
            <v>52</v>
          </cell>
          <cell r="F69">
            <v>52</v>
          </cell>
          <cell r="G69">
            <v>52</v>
          </cell>
          <cell r="H69">
            <v>52</v>
          </cell>
          <cell r="I69">
            <v>52</v>
          </cell>
          <cell r="J69">
            <v>52</v>
          </cell>
          <cell r="K69">
            <v>52</v>
          </cell>
          <cell r="L69">
            <v>52</v>
          </cell>
          <cell r="M69">
            <v>52</v>
          </cell>
          <cell r="N69">
            <v>52</v>
          </cell>
          <cell r="O69">
            <v>52</v>
          </cell>
          <cell r="P69">
            <v>52</v>
          </cell>
          <cell r="Q69">
            <v>52</v>
          </cell>
          <cell r="R69">
            <v>52</v>
          </cell>
          <cell r="S69">
            <v>52</v>
          </cell>
          <cell r="T69">
            <v>52</v>
          </cell>
          <cell r="U69">
            <v>52</v>
          </cell>
          <cell r="V69">
            <v>52</v>
          </cell>
          <cell r="W69">
            <v>52</v>
          </cell>
          <cell r="X69">
            <v>52</v>
          </cell>
          <cell r="Y69">
            <v>52</v>
          </cell>
          <cell r="Z69">
            <v>52</v>
          </cell>
          <cell r="AA69">
            <v>52</v>
          </cell>
          <cell r="AB69">
            <v>52</v>
          </cell>
          <cell r="AC69">
            <v>52</v>
          </cell>
          <cell r="AD69">
            <v>52</v>
          </cell>
          <cell r="AE69">
            <v>52</v>
          </cell>
        </row>
        <row r="70">
          <cell r="A70" t="str">
            <v>Oi-35615-SVA</v>
          </cell>
          <cell r="B70">
            <v>70</v>
          </cell>
          <cell r="C70" t="str">
            <v>SVA 40GB (Te Ligou Pro R$ 10,00 / Ubook R$ 11,00 / Oi Revistas R$ 9,00 / Play Kids &amp; BT Fit R$ 17,00 / Para Aprender R$ 5,00)</v>
          </cell>
          <cell r="D70">
            <v>52</v>
          </cell>
          <cell r="E70">
            <v>52</v>
          </cell>
          <cell r="F70">
            <v>52</v>
          </cell>
          <cell r="G70">
            <v>52</v>
          </cell>
          <cell r="H70">
            <v>52</v>
          </cell>
          <cell r="I70">
            <v>52</v>
          </cell>
          <cell r="J70">
            <v>52</v>
          </cell>
          <cell r="K70">
            <v>52</v>
          </cell>
          <cell r="L70">
            <v>52</v>
          </cell>
          <cell r="M70">
            <v>52</v>
          </cell>
          <cell r="N70">
            <v>52</v>
          </cell>
          <cell r="O70">
            <v>52</v>
          </cell>
          <cell r="P70">
            <v>52</v>
          </cell>
          <cell r="Q70">
            <v>52</v>
          </cell>
          <cell r="R70">
            <v>52</v>
          </cell>
          <cell r="S70">
            <v>52</v>
          </cell>
          <cell r="T70">
            <v>52</v>
          </cell>
          <cell r="U70">
            <v>52</v>
          </cell>
          <cell r="V70">
            <v>52</v>
          </cell>
          <cell r="W70">
            <v>52</v>
          </cell>
          <cell r="X70">
            <v>52</v>
          </cell>
          <cell r="Y70">
            <v>52</v>
          </cell>
          <cell r="Z70">
            <v>52</v>
          </cell>
          <cell r="AA70">
            <v>52</v>
          </cell>
          <cell r="AB70">
            <v>52</v>
          </cell>
          <cell r="AC70">
            <v>52</v>
          </cell>
          <cell r="AD70">
            <v>52</v>
          </cell>
          <cell r="AE70">
            <v>52</v>
          </cell>
        </row>
        <row r="71">
          <cell r="A71" t="str">
            <v>Oi-36221-LDN</v>
          </cell>
          <cell r="B71">
            <v>71</v>
          </cell>
          <cell r="C71" t="str">
            <v>LDN Plano 4GB</v>
          </cell>
          <cell r="D71">
            <v>6.3</v>
          </cell>
          <cell r="E71">
            <v>6.3</v>
          </cell>
          <cell r="F71">
            <v>6.3</v>
          </cell>
          <cell r="G71">
            <v>6.3</v>
          </cell>
          <cell r="H71">
            <v>6.3</v>
          </cell>
          <cell r="I71">
            <v>6.3</v>
          </cell>
          <cell r="J71">
            <v>6.3</v>
          </cell>
          <cell r="K71">
            <v>6.3</v>
          </cell>
          <cell r="L71">
            <v>6.3</v>
          </cell>
          <cell r="M71">
            <v>6.3</v>
          </cell>
          <cell r="N71">
            <v>6.3</v>
          </cell>
          <cell r="O71">
            <v>6.3</v>
          </cell>
          <cell r="P71">
            <v>6.3</v>
          </cell>
          <cell r="Q71">
            <v>6.3</v>
          </cell>
          <cell r="R71">
            <v>6.3</v>
          </cell>
          <cell r="S71">
            <v>6.3</v>
          </cell>
          <cell r="T71">
            <v>6.3</v>
          </cell>
          <cell r="U71">
            <v>6.3</v>
          </cell>
          <cell r="V71">
            <v>6.3</v>
          </cell>
          <cell r="W71">
            <v>6.3</v>
          </cell>
          <cell r="X71">
            <v>6.3</v>
          </cell>
          <cell r="Y71">
            <v>6.3</v>
          </cell>
          <cell r="Z71">
            <v>6.3</v>
          </cell>
          <cell r="AA71">
            <v>6.3</v>
          </cell>
          <cell r="AB71">
            <v>6.3</v>
          </cell>
          <cell r="AC71">
            <v>6.3</v>
          </cell>
          <cell r="AD71">
            <v>6.3</v>
          </cell>
          <cell r="AE71">
            <v>6.3</v>
          </cell>
        </row>
        <row r="72">
          <cell r="A72" t="str">
            <v>Oi-36249-LDN</v>
          </cell>
          <cell r="B72">
            <v>72</v>
          </cell>
          <cell r="C72" t="str">
            <v>LDN Plano 7GB</v>
          </cell>
          <cell r="D72">
            <v>6.3</v>
          </cell>
          <cell r="E72">
            <v>6.3</v>
          </cell>
          <cell r="F72">
            <v>6.3</v>
          </cell>
          <cell r="G72">
            <v>6.3</v>
          </cell>
          <cell r="H72">
            <v>6.3</v>
          </cell>
          <cell r="I72">
            <v>6.3</v>
          </cell>
          <cell r="J72">
            <v>6.3</v>
          </cell>
          <cell r="K72">
            <v>6.3</v>
          </cell>
          <cell r="L72">
            <v>6.3</v>
          </cell>
          <cell r="M72">
            <v>6.3</v>
          </cell>
          <cell r="N72">
            <v>6.3</v>
          </cell>
          <cell r="O72">
            <v>6.3</v>
          </cell>
          <cell r="P72">
            <v>6.3</v>
          </cell>
          <cell r="Q72">
            <v>6.3</v>
          </cell>
          <cell r="R72">
            <v>6.3</v>
          </cell>
          <cell r="S72">
            <v>6.3</v>
          </cell>
          <cell r="T72">
            <v>6.3</v>
          </cell>
          <cell r="U72">
            <v>6.3</v>
          </cell>
          <cell r="V72">
            <v>6.3</v>
          </cell>
          <cell r="W72">
            <v>6.3</v>
          </cell>
          <cell r="X72">
            <v>6.3</v>
          </cell>
          <cell r="Y72">
            <v>6.3</v>
          </cell>
          <cell r="Z72">
            <v>6.3</v>
          </cell>
          <cell r="AA72">
            <v>6.3</v>
          </cell>
          <cell r="AB72">
            <v>6.3</v>
          </cell>
          <cell r="AC72">
            <v>6.3</v>
          </cell>
          <cell r="AD72">
            <v>6.3</v>
          </cell>
          <cell r="AE72">
            <v>6.3</v>
          </cell>
        </row>
        <row r="73">
          <cell r="A73" t="str">
            <v>Oi-35559-LDN</v>
          </cell>
          <cell r="B73">
            <v>73</v>
          </cell>
          <cell r="C73" t="str">
            <v>LDN Plano 10GB</v>
          </cell>
          <cell r="D73">
            <v>6.3</v>
          </cell>
          <cell r="E73">
            <v>6.3</v>
          </cell>
          <cell r="F73">
            <v>6.3</v>
          </cell>
          <cell r="G73">
            <v>6.3</v>
          </cell>
          <cell r="H73">
            <v>6.3</v>
          </cell>
          <cell r="I73">
            <v>6.3</v>
          </cell>
          <cell r="J73">
            <v>6.3</v>
          </cell>
          <cell r="K73">
            <v>6.3</v>
          </cell>
          <cell r="L73">
            <v>6.3</v>
          </cell>
          <cell r="M73">
            <v>6.3</v>
          </cell>
          <cell r="N73">
            <v>6.3</v>
          </cell>
          <cell r="O73">
            <v>6.3</v>
          </cell>
          <cell r="P73">
            <v>6.3</v>
          </cell>
          <cell r="Q73">
            <v>6.3</v>
          </cell>
          <cell r="R73">
            <v>6.3</v>
          </cell>
          <cell r="S73">
            <v>6.3</v>
          </cell>
          <cell r="T73">
            <v>6.3</v>
          </cell>
          <cell r="U73">
            <v>6.3</v>
          </cell>
          <cell r="V73">
            <v>6.3</v>
          </cell>
          <cell r="W73">
            <v>6.3</v>
          </cell>
          <cell r="X73">
            <v>6.3</v>
          </cell>
          <cell r="Y73">
            <v>6.3</v>
          </cell>
          <cell r="Z73">
            <v>6.3</v>
          </cell>
          <cell r="AA73">
            <v>6.3</v>
          </cell>
          <cell r="AB73">
            <v>6.3</v>
          </cell>
          <cell r="AC73">
            <v>6.3</v>
          </cell>
          <cell r="AD73">
            <v>6.3</v>
          </cell>
          <cell r="AE73">
            <v>6.3</v>
          </cell>
        </row>
        <row r="74">
          <cell r="A74" t="str">
            <v>Oi-36277-LDN</v>
          </cell>
          <cell r="B74">
            <v>74</v>
          </cell>
          <cell r="C74" t="str">
            <v>LDN Plano 14GB</v>
          </cell>
          <cell r="D74">
            <v>6.3</v>
          </cell>
          <cell r="E74">
            <v>6.3</v>
          </cell>
          <cell r="F74">
            <v>6.3</v>
          </cell>
          <cell r="G74">
            <v>6.3</v>
          </cell>
          <cell r="H74">
            <v>6.3</v>
          </cell>
          <cell r="I74">
            <v>6.3</v>
          </cell>
          <cell r="J74">
            <v>6.3</v>
          </cell>
          <cell r="K74">
            <v>6.3</v>
          </cell>
          <cell r="L74">
            <v>6.3</v>
          </cell>
          <cell r="M74">
            <v>6.3</v>
          </cell>
          <cell r="N74">
            <v>6.3</v>
          </cell>
          <cell r="O74">
            <v>6.3</v>
          </cell>
          <cell r="P74">
            <v>6.3</v>
          </cell>
          <cell r="Q74">
            <v>6.3</v>
          </cell>
          <cell r="R74">
            <v>6.3</v>
          </cell>
          <cell r="S74">
            <v>6.3</v>
          </cell>
          <cell r="T74">
            <v>6.3</v>
          </cell>
          <cell r="U74">
            <v>6.3</v>
          </cell>
          <cell r="V74">
            <v>6.3</v>
          </cell>
          <cell r="W74">
            <v>6.3</v>
          </cell>
          <cell r="X74">
            <v>6.3</v>
          </cell>
          <cell r="Y74">
            <v>6.3</v>
          </cell>
          <cell r="Z74">
            <v>6.3</v>
          </cell>
          <cell r="AA74">
            <v>6.3</v>
          </cell>
          <cell r="AB74">
            <v>6.3</v>
          </cell>
          <cell r="AC74">
            <v>6.3</v>
          </cell>
          <cell r="AD74">
            <v>6.3</v>
          </cell>
          <cell r="AE74">
            <v>6.3</v>
          </cell>
        </row>
        <row r="75">
          <cell r="A75" t="str">
            <v>Oi-35587-LDN</v>
          </cell>
          <cell r="B75">
            <v>75</v>
          </cell>
          <cell r="C75" t="str">
            <v>LDN Plano 20GB</v>
          </cell>
          <cell r="D75">
            <v>6.3</v>
          </cell>
          <cell r="E75">
            <v>6.3</v>
          </cell>
          <cell r="F75">
            <v>6.3</v>
          </cell>
          <cell r="G75">
            <v>6.3</v>
          </cell>
          <cell r="H75">
            <v>6.3</v>
          </cell>
          <cell r="I75">
            <v>6.3</v>
          </cell>
          <cell r="J75">
            <v>6.3</v>
          </cell>
          <cell r="K75">
            <v>6.3</v>
          </cell>
          <cell r="L75">
            <v>6.3</v>
          </cell>
          <cell r="M75">
            <v>6.3</v>
          </cell>
          <cell r="N75">
            <v>6.3</v>
          </cell>
          <cell r="O75">
            <v>6.3</v>
          </cell>
          <cell r="P75">
            <v>6.3</v>
          </cell>
          <cell r="Q75">
            <v>6.3</v>
          </cell>
          <cell r="R75">
            <v>6.3</v>
          </cell>
          <cell r="S75">
            <v>6.3</v>
          </cell>
          <cell r="T75">
            <v>6.3</v>
          </cell>
          <cell r="U75">
            <v>6.3</v>
          </cell>
          <cell r="V75">
            <v>6.3</v>
          </cell>
          <cell r="W75">
            <v>6.3</v>
          </cell>
          <cell r="X75">
            <v>6.3</v>
          </cell>
          <cell r="Y75">
            <v>6.3</v>
          </cell>
          <cell r="Z75">
            <v>6.3</v>
          </cell>
          <cell r="AA75">
            <v>6.3</v>
          </cell>
          <cell r="AB75">
            <v>6.3</v>
          </cell>
          <cell r="AC75">
            <v>6.3</v>
          </cell>
          <cell r="AD75">
            <v>6.3</v>
          </cell>
          <cell r="AE75">
            <v>6.3</v>
          </cell>
        </row>
        <row r="76">
          <cell r="A76" t="str">
            <v>Oi-35615-LDN</v>
          </cell>
          <cell r="B76">
            <v>76</v>
          </cell>
          <cell r="C76" t="str">
            <v>LDN Plano 40GB</v>
          </cell>
          <cell r="D76">
            <v>6.3</v>
          </cell>
          <cell r="E76">
            <v>6.3</v>
          </cell>
          <cell r="F76">
            <v>6.3</v>
          </cell>
          <cell r="G76">
            <v>6.3</v>
          </cell>
          <cell r="H76">
            <v>6.3</v>
          </cell>
          <cell r="I76">
            <v>6.3</v>
          </cell>
          <cell r="J76">
            <v>6.3</v>
          </cell>
          <cell r="K76">
            <v>6.3</v>
          </cell>
          <cell r="L76">
            <v>6.3</v>
          </cell>
          <cell r="M76">
            <v>6.3</v>
          </cell>
          <cell r="N76">
            <v>6.3</v>
          </cell>
          <cell r="O76">
            <v>6.3</v>
          </cell>
          <cell r="P76">
            <v>6.3</v>
          </cell>
          <cell r="Q76">
            <v>6.3</v>
          </cell>
          <cell r="R76">
            <v>6.3</v>
          </cell>
          <cell r="S76">
            <v>6.3</v>
          </cell>
          <cell r="T76">
            <v>6.3</v>
          </cell>
          <cell r="U76">
            <v>6.3</v>
          </cell>
          <cell r="V76">
            <v>6.3</v>
          </cell>
          <cell r="W76">
            <v>6.3</v>
          </cell>
          <cell r="X76">
            <v>6.3</v>
          </cell>
          <cell r="Y76">
            <v>6.3</v>
          </cell>
          <cell r="Z76">
            <v>6.3</v>
          </cell>
          <cell r="AA76">
            <v>6.3</v>
          </cell>
          <cell r="AB76">
            <v>6.3</v>
          </cell>
          <cell r="AC76">
            <v>6.3</v>
          </cell>
          <cell r="AD76">
            <v>6.3</v>
          </cell>
          <cell r="AE76">
            <v>6.3</v>
          </cell>
        </row>
        <row r="77">
          <cell r="A77" t="str">
            <v>Oi-36221-VOZ</v>
          </cell>
          <cell r="B77">
            <v>77</v>
          </cell>
          <cell r="C77" t="str">
            <v>Voz Plano 4GB</v>
          </cell>
          <cell r="D77">
            <v>100</v>
          </cell>
          <cell r="E77">
            <v>100</v>
          </cell>
          <cell r="F77">
            <v>100</v>
          </cell>
          <cell r="G77">
            <v>100</v>
          </cell>
          <cell r="H77">
            <v>100</v>
          </cell>
          <cell r="I77">
            <v>100</v>
          </cell>
          <cell r="J77">
            <v>100</v>
          </cell>
          <cell r="K77">
            <v>100</v>
          </cell>
          <cell r="L77">
            <v>100</v>
          </cell>
          <cell r="M77">
            <v>100</v>
          </cell>
          <cell r="N77">
            <v>100</v>
          </cell>
          <cell r="O77">
            <v>100</v>
          </cell>
          <cell r="P77">
            <v>100</v>
          </cell>
          <cell r="Q77">
            <v>100</v>
          </cell>
          <cell r="R77">
            <v>100</v>
          </cell>
          <cell r="S77">
            <v>100</v>
          </cell>
          <cell r="T77">
            <v>100</v>
          </cell>
          <cell r="U77">
            <v>100</v>
          </cell>
          <cell r="V77">
            <v>100</v>
          </cell>
          <cell r="W77">
            <v>100</v>
          </cell>
          <cell r="X77">
            <v>100</v>
          </cell>
          <cell r="Y77">
            <v>100</v>
          </cell>
          <cell r="Z77">
            <v>100</v>
          </cell>
          <cell r="AA77">
            <v>100</v>
          </cell>
          <cell r="AB77">
            <v>100</v>
          </cell>
          <cell r="AC77">
            <v>100</v>
          </cell>
          <cell r="AD77">
            <v>100</v>
          </cell>
          <cell r="AE77">
            <v>100</v>
          </cell>
        </row>
        <row r="78">
          <cell r="A78" t="str">
            <v>Oi-36249-VOZ</v>
          </cell>
          <cell r="B78">
            <v>78</v>
          </cell>
          <cell r="C78" t="str">
            <v>Voz Plano 7GB</v>
          </cell>
          <cell r="D78">
            <v>100</v>
          </cell>
          <cell r="E78">
            <v>100</v>
          </cell>
          <cell r="F78">
            <v>100</v>
          </cell>
          <cell r="G78">
            <v>100</v>
          </cell>
          <cell r="H78">
            <v>100</v>
          </cell>
          <cell r="I78">
            <v>100</v>
          </cell>
          <cell r="J78">
            <v>100</v>
          </cell>
          <cell r="K78">
            <v>100</v>
          </cell>
          <cell r="L78">
            <v>100</v>
          </cell>
          <cell r="M78">
            <v>100</v>
          </cell>
          <cell r="N78">
            <v>100</v>
          </cell>
          <cell r="O78">
            <v>100</v>
          </cell>
          <cell r="P78">
            <v>100</v>
          </cell>
          <cell r="Q78">
            <v>100</v>
          </cell>
          <cell r="R78">
            <v>100</v>
          </cell>
          <cell r="S78">
            <v>100</v>
          </cell>
          <cell r="T78">
            <v>100</v>
          </cell>
          <cell r="U78">
            <v>100</v>
          </cell>
          <cell r="V78">
            <v>100</v>
          </cell>
          <cell r="W78">
            <v>100</v>
          </cell>
          <cell r="X78">
            <v>100</v>
          </cell>
          <cell r="Y78">
            <v>100</v>
          </cell>
          <cell r="Z78">
            <v>100</v>
          </cell>
          <cell r="AA78">
            <v>100</v>
          </cell>
          <cell r="AB78">
            <v>100</v>
          </cell>
          <cell r="AC78">
            <v>100</v>
          </cell>
          <cell r="AD78">
            <v>100</v>
          </cell>
          <cell r="AE78">
            <v>100</v>
          </cell>
        </row>
        <row r="79">
          <cell r="A79" t="str">
            <v>Oi-35559-VOZ</v>
          </cell>
          <cell r="B79">
            <v>79</v>
          </cell>
          <cell r="C79" t="str">
            <v>Voz Plano 10GB</v>
          </cell>
          <cell r="D79">
            <v>100</v>
          </cell>
          <cell r="E79">
            <v>100</v>
          </cell>
          <cell r="F79">
            <v>100</v>
          </cell>
          <cell r="G79">
            <v>100</v>
          </cell>
          <cell r="H79">
            <v>100</v>
          </cell>
          <cell r="I79">
            <v>100</v>
          </cell>
          <cell r="J79">
            <v>100</v>
          </cell>
          <cell r="K79">
            <v>100</v>
          </cell>
          <cell r="L79">
            <v>100</v>
          </cell>
          <cell r="M79">
            <v>100</v>
          </cell>
          <cell r="N79">
            <v>100</v>
          </cell>
          <cell r="O79">
            <v>100</v>
          </cell>
          <cell r="P79">
            <v>100</v>
          </cell>
          <cell r="Q79">
            <v>100</v>
          </cell>
          <cell r="R79">
            <v>100</v>
          </cell>
          <cell r="S79">
            <v>100</v>
          </cell>
          <cell r="T79">
            <v>100</v>
          </cell>
          <cell r="U79">
            <v>100</v>
          </cell>
          <cell r="V79">
            <v>100</v>
          </cell>
          <cell r="W79">
            <v>100</v>
          </cell>
          <cell r="X79">
            <v>100</v>
          </cell>
          <cell r="Y79">
            <v>100</v>
          </cell>
          <cell r="Z79">
            <v>100</v>
          </cell>
          <cell r="AA79">
            <v>100</v>
          </cell>
          <cell r="AB79">
            <v>100</v>
          </cell>
          <cell r="AC79">
            <v>100</v>
          </cell>
          <cell r="AD79">
            <v>100</v>
          </cell>
          <cell r="AE79">
            <v>100</v>
          </cell>
        </row>
        <row r="80">
          <cell r="A80" t="str">
            <v>Oi-36277-VOZ</v>
          </cell>
          <cell r="B80">
            <v>80</v>
          </cell>
          <cell r="C80" t="str">
            <v>Voz Plano 14GB</v>
          </cell>
          <cell r="D80">
            <v>100</v>
          </cell>
          <cell r="E80">
            <v>100</v>
          </cell>
          <cell r="F80">
            <v>100</v>
          </cell>
          <cell r="G80">
            <v>100</v>
          </cell>
          <cell r="H80">
            <v>100</v>
          </cell>
          <cell r="I80">
            <v>100</v>
          </cell>
          <cell r="J80">
            <v>100</v>
          </cell>
          <cell r="K80">
            <v>100</v>
          </cell>
          <cell r="L80">
            <v>100</v>
          </cell>
          <cell r="M80">
            <v>100</v>
          </cell>
          <cell r="N80">
            <v>100</v>
          </cell>
          <cell r="O80">
            <v>100</v>
          </cell>
          <cell r="P80">
            <v>100</v>
          </cell>
          <cell r="Q80">
            <v>100</v>
          </cell>
          <cell r="R80">
            <v>100</v>
          </cell>
          <cell r="S80">
            <v>100</v>
          </cell>
          <cell r="T80">
            <v>100</v>
          </cell>
          <cell r="U80">
            <v>100</v>
          </cell>
          <cell r="V80">
            <v>100</v>
          </cell>
          <cell r="W80">
            <v>100</v>
          </cell>
          <cell r="X80">
            <v>100</v>
          </cell>
          <cell r="Y80">
            <v>100</v>
          </cell>
          <cell r="Z80">
            <v>100</v>
          </cell>
          <cell r="AA80">
            <v>100</v>
          </cell>
          <cell r="AB80">
            <v>100</v>
          </cell>
          <cell r="AC80">
            <v>100</v>
          </cell>
          <cell r="AD80">
            <v>100</v>
          </cell>
          <cell r="AE80">
            <v>100</v>
          </cell>
        </row>
        <row r="81">
          <cell r="A81" t="str">
            <v>Oi-35587-VOZ</v>
          </cell>
          <cell r="B81">
            <v>81</v>
          </cell>
          <cell r="C81" t="str">
            <v>Voz Plano 20GB</v>
          </cell>
          <cell r="D81">
            <v>100</v>
          </cell>
          <cell r="E81">
            <v>100</v>
          </cell>
          <cell r="F81">
            <v>100</v>
          </cell>
          <cell r="G81">
            <v>100</v>
          </cell>
          <cell r="H81">
            <v>100</v>
          </cell>
          <cell r="I81">
            <v>100</v>
          </cell>
          <cell r="J81">
            <v>100</v>
          </cell>
          <cell r="K81">
            <v>100</v>
          </cell>
          <cell r="L81">
            <v>100</v>
          </cell>
          <cell r="M81">
            <v>100</v>
          </cell>
          <cell r="N81">
            <v>100</v>
          </cell>
          <cell r="O81">
            <v>100</v>
          </cell>
          <cell r="P81">
            <v>100</v>
          </cell>
          <cell r="Q81">
            <v>100</v>
          </cell>
          <cell r="R81">
            <v>100</v>
          </cell>
          <cell r="S81">
            <v>100</v>
          </cell>
          <cell r="T81">
            <v>100</v>
          </cell>
          <cell r="U81">
            <v>100</v>
          </cell>
          <cell r="V81">
            <v>100</v>
          </cell>
          <cell r="W81">
            <v>100</v>
          </cell>
          <cell r="X81">
            <v>100</v>
          </cell>
          <cell r="Y81">
            <v>100</v>
          </cell>
          <cell r="Z81">
            <v>100</v>
          </cell>
          <cell r="AA81">
            <v>100</v>
          </cell>
          <cell r="AB81">
            <v>100</v>
          </cell>
          <cell r="AC81">
            <v>100</v>
          </cell>
          <cell r="AD81">
            <v>100</v>
          </cell>
          <cell r="AE81">
            <v>100</v>
          </cell>
        </row>
        <row r="82">
          <cell r="A82" t="str">
            <v>Oi-35615-VOZ</v>
          </cell>
          <cell r="B82">
            <v>82</v>
          </cell>
          <cell r="C82" t="str">
            <v>Voz Plano 40GB</v>
          </cell>
          <cell r="D82">
            <v>100</v>
          </cell>
          <cell r="E82">
            <v>100</v>
          </cell>
          <cell r="F82">
            <v>100</v>
          </cell>
          <cell r="G82">
            <v>100</v>
          </cell>
          <cell r="H82">
            <v>100</v>
          </cell>
          <cell r="I82">
            <v>100</v>
          </cell>
          <cell r="J82">
            <v>100</v>
          </cell>
          <cell r="K82">
            <v>100</v>
          </cell>
          <cell r="L82">
            <v>100</v>
          </cell>
          <cell r="M82">
            <v>100</v>
          </cell>
          <cell r="N82">
            <v>100</v>
          </cell>
          <cell r="O82">
            <v>100</v>
          </cell>
          <cell r="P82">
            <v>100</v>
          </cell>
          <cell r="Q82">
            <v>100</v>
          </cell>
          <cell r="R82">
            <v>100</v>
          </cell>
          <cell r="S82">
            <v>100</v>
          </cell>
          <cell r="T82">
            <v>100</v>
          </cell>
          <cell r="U82">
            <v>100</v>
          </cell>
          <cell r="V82">
            <v>100</v>
          </cell>
          <cell r="W82">
            <v>100</v>
          </cell>
          <cell r="X82">
            <v>100</v>
          </cell>
          <cell r="Y82">
            <v>100</v>
          </cell>
          <cell r="Z82">
            <v>100</v>
          </cell>
          <cell r="AA82">
            <v>100</v>
          </cell>
          <cell r="AB82">
            <v>100</v>
          </cell>
          <cell r="AC82">
            <v>100</v>
          </cell>
          <cell r="AD82">
            <v>100</v>
          </cell>
          <cell r="AE82">
            <v>100</v>
          </cell>
        </row>
        <row r="83">
          <cell r="A83" t="str">
            <v>Oi-36221-DADOS</v>
          </cell>
          <cell r="B83">
            <v>83</v>
          </cell>
          <cell r="C83" t="str">
            <v>Dados Plano 4GB</v>
          </cell>
          <cell r="D83">
            <v>120</v>
          </cell>
          <cell r="E83">
            <v>120</v>
          </cell>
          <cell r="F83">
            <v>120</v>
          </cell>
          <cell r="G83">
            <v>120</v>
          </cell>
          <cell r="H83">
            <v>120</v>
          </cell>
          <cell r="I83">
            <v>120</v>
          </cell>
          <cell r="J83">
            <v>120</v>
          </cell>
          <cell r="K83">
            <v>120</v>
          </cell>
          <cell r="L83">
            <v>120</v>
          </cell>
          <cell r="M83">
            <v>120</v>
          </cell>
          <cell r="N83">
            <v>120</v>
          </cell>
          <cell r="O83">
            <v>120</v>
          </cell>
          <cell r="P83">
            <v>120</v>
          </cell>
          <cell r="Q83">
            <v>120</v>
          </cell>
          <cell r="R83">
            <v>120</v>
          </cell>
          <cell r="S83">
            <v>120</v>
          </cell>
          <cell r="T83">
            <v>120</v>
          </cell>
          <cell r="U83">
            <v>120</v>
          </cell>
          <cell r="V83">
            <v>120</v>
          </cell>
          <cell r="W83">
            <v>120</v>
          </cell>
          <cell r="X83">
            <v>120</v>
          </cell>
          <cell r="Y83">
            <v>120</v>
          </cell>
          <cell r="Z83">
            <v>120</v>
          </cell>
          <cell r="AA83">
            <v>120</v>
          </cell>
          <cell r="AB83">
            <v>120</v>
          </cell>
          <cell r="AC83">
            <v>120</v>
          </cell>
          <cell r="AD83">
            <v>120</v>
          </cell>
          <cell r="AE83">
            <v>120</v>
          </cell>
        </row>
        <row r="84">
          <cell r="A84" t="str">
            <v>Oi-36249-DADOS</v>
          </cell>
          <cell r="B84">
            <v>84</v>
          </cell>
          <cell r="C84" t="str">
            <v>Dados Plano 7GB</v>
          </cell>
          <cell r="D84">
            <v>210</v>
          </cell>
          <cell r="E84">
            <v>210</v>
          </cell>
          <cell r="F84">
            <v>210</v>
          </cell>
          <cell r="G84">
            <v>210</v>
          </cell>
          <cell r="H84">
            <v>210</v>
          </cell>
          <cell r="I84">
            <v>210</v>
          </cell>
          <cell r="J84">
            <v>210</v>
          </cell>
          <cell r="K84">
            <v>210</v>
          </cell>
          <cell r="L84">
            <v>210</v>
          </cell>
          <cell r="M84">
            <v>210</v>
          </cell>
          <cell r="N84">
            <v>210</v>
          </cell>
          <cell r="O84">
            <v>210</v>
          </cell>
          <cell r="P84">
            <v>210</v>
          </cell>
          <cell r="Q84">
            <v>210</v>
          </cell>
          <cell r="R84">
            <v>210</v>
          </cell>
          <cell r="S84">
            <v>210</v>
          </cell>
          <cell r="T84">
            <v>210</v>
          </cell>
          <cell r="U84">
            <v>210</v>
          </cell>
          <cell r="V84">
            <v>210</v>
          </cell>
          <cell r="W84">
            <v>210</v>
          </cell>
          <cell r="X84">
            <v>210</v>
          </cell>
          <cell r="Y84">
            <v>210</v>
          </cell>
          <cell r="Z84">
            <v>210</v>
          </cell>
          <cell r="AA84">
            <v>210</v>
          </cell>
          <cell r="AB84">
            <v>210</v>
          </cell>
          <cell r="AC84">
            <v>210</v>
          </cell>
          <cell r="AD84">
            <v>210</v>
          </cell>
          <cell r="AE84">
            <v>210</v>
          </cell>
        </row>
        <row r="85">
          <cell r="A85" t="str">
            <v>Oi-35559-DADOS</v>
          </cell>
          <cell r="B85">
            <v>85</v>
          </cell>
          <cell r="C85" t="str">
            <v>Dados Plano 10GB</v>
          </cell>
          <cell r="D85">
            <v>300</v>
          </cell>
          <cell r="E85">
            <v>300</v>
          </cell>
          <cell r="F85">
            <v>300</v>
          </cell>
          <cell r="G85">
            <v>300</v>
          </cell>
          <cell r="H85">
            <v>300</v>
          </cell>
          <cell r="I85">
            <v>300</v>
          </cell>
          <cell r="J85">
            <v>300</v>
          </cell>
          <cell r="K85">
            <v>300</v>
          </cell>
          <cell r="L85">
            <v>300</v>
          </cell>
          <cell r="M85">
            <v>300</v>
          </cell>
          <cell r="N85">
            <v>300</v>
          </cell>
          <cell r="O85">
            <v>300</v>
          </cell>
          <cell r="P85">
            <v>300</v>
          </cell>
          <cell r="Q85">
            <v>300</v>
          </cell>
          <cell r="R85">
            <v>300</v>
          </cell>
          <cell r="S85">
            <v>300</v>
          </cell>
          <cell r="T85">
            <v>300</v>
          </cell>
          <cell r="U85">
            <v>300</v>
          </cell>
          <cell r="V85">
            <v>300</v>
          </cell>
          <cell r="W85">
            <v>300</v>
          </cell>
          <cell r="X85">
            <v>300</v>
          </cell>
          <cell r="Y85">
            <v>300</v>
          </cell>
          <cell r="Z85">
            <v>300</v>
          </cell>
          <cell r="AA85">
            <v>300</v>
          </cell>
          <cell r="AB85">
            <v>300</v>
          </cell>
          <cell r="AC85">
            <v>300</v>
          </cell>
          <cell r="AD85">
            <v>300</v>
          </cell>
          <cell r="AE85">
            <v>300</v>
          </cell>
        </row>
        <row r="86">
          <cell r="A86" t="str">
            <v>Oi-36277-DADOS</v>
          </cell>
          <cell r="B86">
            <v>86</v>
          </cell>
          <cell r="C86" t="str">
            <v>Dados Plano 14GB</v>
          </cell>
          <cell r="D86">
            <v>420</v>
          </cell>
          <cell r="E86">
            <v>420</v>
          </cell>
          <cell r="F86">
            <v>420</v>
          </cell>
          <cell r="G86">
            <v>420</v>
          </cell>
          <cell r="H86">
            <v>420</v>
          </cell>
          <cell r="I86">
            <v>420</v>
          </cell>
          <cell r="J86">
            <v>420</v>
          </cell>
          <cell r="K86">
            <v>420</v>
          </cell>
          <cell r="L86">
            <v>420</v>
          </cell>
          <cell r="M86">
            <v>420</v>
          </cell>
          <cell r="N86">
            <v>420</v>
          </cell>
          <cell r="O86">
            <v>420</v>
          </cell>
          <cell r="P86">
            <v>420</v>
          </cell>
          <cell r="Q86">
            <v>420</v>
          </cell>
          <cell r="R86">
            <v>420</v>
          </cell>
          <cell r="S86">
            <v>420</v>
          </cell>
          <cell r="T86">
            <v>420</v>
          </cell>
          <cell r="U86">
            <v>420</v>
          </cell>
          <cell r="V86">
            <v>420</v>
          </cell>
          <cell r="W86">
            <v>420</v>
          </cell>
          <cell r="X86">
            <v>420</v>
          </cell>
          <cell r="Y86">
            <v>420</v>
          </cell>
          <cell r="Z86">
            <v>420</v>
          </cell>
          <cell r="AA86">
            <v>420</v>
          </cell>
          <cell r="AB86">
            <v>420</v>
          </cell>
          <cell r="AC86">
            <v>420</v>
          </cell>
          <cell r="AD86">
            <v>420</v>
          </cell>
          <cell r="AE86">
            <v>420</v>
          </cell>
        </row>
        <row r="87">
          <cell r="A87" t="str">
            <v>Oi-35587-DADOS</v>
          </cell>
          <cell r="B87">
            <v>87</v>
          </cell>
          <cell r="C87" t="str">
            <v>Dados Plano 20GB</v>
          </cell>
          <cell r="D87">
            <v>600</v>
          </cell>
          <cell r="E87">
            <v>600</v>
          </cell>
          <cell r="F87">
            <v>600</v>
          </cell>
          <cell r="G87">
            <v>600</v>
          </cell>
          <cell r="H87">
            <v>600</v>
          </cell>
          <cell r="I87">
            <v>600</v>
          </cell>
          <cell r="J87">
            <v>600</v>
          </cell>
          <cell r="K87">
            <v>600</v>
          </cell>
          <cell r="L87">
            <v>600</v>
          </cell>
          <cell r="M87">
            <v>600</v>
          </cell>
          <cell r="N87">
            <v>600</v>
          </cell>
          <cell r="O87">
            <v>600</v>
          </cell>
          <cell r="P87">
            <v>600</v>
          </cell>
          <cell r="Q87">
            <v>600</v>
          </cell>
          <cell r="R87">
            <v>600</v>
          </cell>
          <cell r="S87">
            <v>600</v>
          </cell>
          <cell r="T87">
            <v>600</v>
          </cell>
          <cell r="U87">
            <v>600</v>
          </cell>
          <cell r="V87">
            <v>600</v>
          </cell>
          <cell r="W87">
            <v>600</v>
          </cell>
          <cell r="X87">
            <v>600</v>
          </cell>
          <cell r="Y87">
            <v>600</v>
          </cell>
          <cell r="Z87">
            <v>600</v>
          </cell>
          <cell r="AA87">
            <v>600</v>
          </cell>
          <cell r="AB87">
            <v>600</v>
          </cell>
          <cell r="AC87">
            <v>600</v>
          </cell>
          <cell r="AD87">
            <v>600</v>
          </cell>
          <cell r="AE87">
            <v>600</v>
          </cell>
        </row>
        <row r="88">
          <cell r="A88" t="str">
            <v>Oi-35615-DADOS</v>
          </cell>
          <cell r="B88">
            <v>88</v>
          </cell>
          <cell r="C88" t="str">
            <v>Dados Plano 40GB</v>
          </cell>
          <cell r="D88">
            <v>1200</v>
          </cell>
          <cell r="E88">
            <v>1200</v>
          </cell>
          <cell r="F88">
            <v>1200</v>
          </cell>
          <cell r="G88">
            <v>1200</v>
          </cell>
          <cell r="H88">
            <v>1200</v>
          </cell>
          <cell r="I88">
            <v>1200</v>
          </cell>
          <cell r="J88">
            <v>1200</v>
          </cell>
          <cell r="K88">
            <v>1200</v>
          </cell>
          <cell r="L88">
            <v>1200</v>
          </cell>
          <cell r="M88">
            <v>1200</v>
          </cell>
          <cell r="N88">
            <v>1200</v>
          </cell>
          <cell r="O88">
            <v>1200</v>
          </cell>
          <cell r="P88">
            <v>1200</v>
          </cell>
          <cell r="Q88">
            <v>1200</v>
          </cell>
          <cell r="R88">
            <v>1200</v>
          </cell>
          <cell r="S88">
            <v>1200</v>
          </cell>
          <cell r="T88">
            <v>1200</v>
          </cell>
          <cell r="U88">
            <v>1200</v>
          </cell>
          <cell r="V88">
            <v>1200</v>
          </cell>
          <cell r="W88">
            <v>1200</v>
          </cell>
          <cell r="X88">
            <v>1200</v>
          </cell>
          <cell r="Y88">
            <v>1200</v>
          </cell>
          <cell r="Z88">
            <v>1200</v>
          </cell>
          <cell r="AA88">
            <v>1200</v>
          </cell>
          <cell r="AB88">
            <v>1200</v>
          </cell>
          <cell r="AC88">
            <v>1200</v>
          </cell>
          <cell r="AD88">
            <v>1200</v>
          </cell>
          <cell r="AE88">
            <v>1200</v>
          </cell>
        </row>
        <row r="89">
          <cell r="A89" t="str">
            <v>SVAD</v>
          </cell>
          <cell r="B89">
            <v>89</v>
          </cell>
          <cell r="C89" t="str">
            <v>SVA Dependente (Te Ligou Pro R$ 6,01 / Ubook R$ 6,68 / Oi Revistas R$ 4,68)</v>
          </cell>
          <cell r="D89">
            <v>17.37</v>
          </cell>
          <cell r="E89">
            <v>17.37</v>
          </cell>
          <cell r="F89">
            <v>17.37</v>
          </cell>
          <cell r="G89">
            <v>17.37</v>
          </cell>
          <cell r="H89">
            <v>17.37</v>
          </cell>
          <cell r="I89">
            <v>17.37</v>
          </cell>
          <cell r="J89">
            <v>17.37</v>
          </cell>
          <cell r="K89">
            <v>17.37</v>
          </cell>
          <cell r="L89">
            <v>17.37</v>
          </cell>
          <cell r="M89">
            <v>17.37</v>
          </cell>
          <cell r="N89">
            <v>17.37</v>
          </cell>
          <cell r="O89">
            <v>17.37</v>
          </cell>
          <cell r="P89">
            <v>17.37</v>
          </cell>
          <cell r="Q89">
            <v>17.37</v>
          </cell>
          <cell r="R89">
            <v>17.37</v>
          </cell>
          <cell r="S89">
            <v>17.37</v>
          </cell>
          <cell r="T89">
            <v>17.37</v>
          </cell>
          <cell r="U89">
            <v>17.37</v>
          </cell>
          <cell r="V89">
            <v>17.37</v>
          </cell>
          <cell r="W89">
            <v>17.37</v>
          </cell>
          <cell r="X89">
            <v>17.37</v>
          </cell>
          <cell r="Y89">
            <v>17.37</v>
          </cell>
          <cell r="Z89">
            <v>17.37</v>
          </cell>
          <cell r="AA89">
            <v>17.37</v>
          </cell>
          <cell r="AB89">
            <v>17.37</v>
          </cell>
          <cell r="AC89">
            <v>17.37</v>
          </cell>
          <cell r="AD89">
            <v>17.37</v>
          </cell>
          <cell r="AE89">
            <v>17.37</v>
          </cell>
        </row>
        <row r="90">
          <cell r="A90" t="str">
            <v>INTRAGRUPO</v>
          </cell>
          <cell r="B90">
            <v>90</v>
          </cell>
          <cell r="C90" t="str">
            <v>Intragrupo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</row>
        <row r="91">
          <cell r="A91" t="str">
            <v>ASS-DEP</v>
          </cell>
          <cell r="B91">
            <v>91</v>
          </cell>
          <cell r="C91" t="str">
            <v>Assinatura</v>
          </cell>
          <cell r="D91">
            <v>30</v>
          </cell>
          <cell r="E91">
            <v>30</v>
          </cell>
          <cell r="F91">
            <v>30</v>
          </cell>
          <cell r="G91">
            <v>30</v>
          </cell>
          <cell r="H91">
            <v>30</v>
          </cell>
          <cell r="I91">
            <v>30</v>
          </cell>
          <cell r="J91">
            <v>30</v>
          </cell>
          <cell r="K91">
            <v>30</v>
          </cell>
          <cell r="L91">
            <v>30</v>
          </cell>
          <cell r="M91">
            <v>30</v>
          </cell>
          <cell r="N91">
            <v>30</v>
          </cell>
          <cell r="O91">
            <v>30</v>
          </cell>
          <cell r="P91">
            <v>30</v>
          </cell>
          <cell r="Q91">
            <v>30</v>
          </cell>
          <cell r="R91">
            <v>30</v>
          </cell>
          <cell r="S91">
            <v>30</v>
          </cell>
          <cell r="T91">
            <v>30</v>
          </cell>
          <cell r="U91">
            <v>30</v>
          </cell>
          <cell r="V91">
            <v>30</v>
          </cell>
          <cell r="W91">
            <v>30</v>
          </cell>
          <cell r="X91">
            <v>30</v>
          </cell>
          <cell r="Y91">
            <v>30</v>
          </cell>
          <cell r="Z91">
            <v>30</v>
          </cell>
          <cell r="AA91">
            <v>30</v>
          </cell>
          <cell r="AB91">
            <v>30</v>
          </cell>
          <cell r="AC91">
            <v>30</v>
          </cell>
          <cell r="AD91">
            <v>30</v>
          </cell>
          <cell r="AE91">
            <v>30</v>
          </cell>
        </row>
        <row r="92">
          <cell r="A92" t="str">
            <v>COMP. DADOS</v>
          </cell>
          <cell r="B92">
            <v>92</v>
          </cell>
          <cell r="C92" t="str">
            <v>Compartilhamento de Dados Plano</v>
          </cell>
          <cell r="D92">
            <v>100</v>
          </cell>
          <cell r="E92">
            <v>100</v>
          </cell>
          <cell r="F92">
            <v>100</v>
          </cell>
          <cell r="G92">
            <v>100</v>
          </cell>
          <cell r="H92">
            <v>100</v>
          </cell>
          <cell r="I92">
            <v>100</v>
          </cell>
          <cell r="J92">
            <v>100</v>
          </cell>
          <cell r="K92">
            <v>100</v>
          </cell>
          <cell r="L92">
            <v>100</v>
          </cell>
          <cell r="M92">
            <v>100</v>
          </cell>
          <cell r="N92">
            <v>100</v>
          </cell>
          <cell r="O92">
            <v>100</v>
          </cell>
          <cell r="P92">
            <v>100</v>
          </cell>
          <cell r="Q92">
            <v>100</v>
          </cell>
          <cell r="R92">
            <v>100</v>
          </cell>
          <cell r="S92">
            <v>100</v>
          </cell>
          <cell r="T92">
            <v>100</v>
          </cell>
          <cell r="U92">
            <v>100</v>
          </cell>
          <cell r="V92">
            <v>100</v>
          </cell>
          <cell r="W92">
            <v>100</v>
          </cell>
          <cell r="X92">
            <v>100</v>
          </cell>
          <cell r="Y92">
            <v>100</v>
          </cell>
          <cell r="Z92">
            <v>100</v>
          </cell>
          <cell r="AA92">
            <v>100</v>
          </cell>
          <cell r="AB92">
            <v>100</v>
          </cell>
          <cell r="AC92">
            <v>100</v>
          </cell>
          <cell r="AD92">
            <v>100</v>
          </cell>
          <cell r="AE92">
            <v>100</v>
          </cell>
        </row>
        <row r="93">
          <cell r="A93" t="str">
            <v>1GB-ASS</v>
          </cell>
          <cell r="B93">
            <v>93</v>
          </cell>
          <cell r="C93" t="str">
            <v>Assinatura 1GB</v>
          </cell>
          <cell r="D93">
            <v>65.680000000000007</v>
          </cell>
          <cell r="E93">
            <v>65.680000000000007</v>
          </cell>
          <cell r="F93">
            <v>65.680000000000007</v>
          </cell>
          <cell r="G93">
            <v>65.680000000000007</v>
          </cell>
          <cell r="H93">
            <v>65.680000000000007</v>
          </cell>
          <cell r="I93">
            <v>65.680000000000007</v>
          </cell>
          <cell r="J93">
            <v>65.680000000000007</v>
          </cell>
          <cell r="K93">
            <v>65.680000000000007</v>
          </cell>
          <cell r="L93">
            <v>65.680000000000007</v>
          </cell>
          <cell r="M93">
            <v>65.680000000000007</v>
          </cell>
          <cell r="N93">
            <v>67.63</v>
          </cell>
          <cell r="O93">
            <v>65.680000000000007</v>
          </cell>
          <cell r="P93">
            <v>65.680000000000007</v>
          </cell>
          <cell r="Q93">
            <v>65.680000000000007</v>
          </cell>
          <cell r="R93">
            <v>65.680000000000007</v>
          </cell>
          <cell r="S93">
            <v>65.680000000000007</v>
          </cell>
          <cell r="T93">
            <v>65.680000000000007</v>
          </cell>
          <cell r="U93">
            <v>65.680000000000007</v>
          </cell>
          <cell r="V93">
            <v>65.680000000000007</v>
          </cell>
          <cell r="W93">
            <v>67.709999999999994</v>
          </cell>
          <cell r="X93">
            <v>65.680000000000007</v>
          </cell>
          <cell r="Y93">
            <v>65.680000000000007</v>
          </cell>
          <cell r="Z93">
            <v>65.680000000000007</v>
          </cell>
          <cell r="AA93">
            <v>65.680000000000007</v>
          </cell>
          <cell r="AB93">
            <v>65.680000000000007</v>
          </cell>
          <cell r="AC93">
            <v>65.680000000000007</v>
          </cell>
          <cell r="AD93">
            <v>65.680000000000007</v>
          </cell>
          <cell r="AE93">
            <v>65.680000000000007</v>
          </cell>
        </row>
        <row r="94">
          <cell r="A94" t="str">
            <v>2GB-ASS</v>
          </cell>
          <cell r="B94">
            <v>94</v>
          </cell>
          <cell r="C94" t="str">
            <v>Assinatura 2GB</v>
          </cell>
          <cell r="D94">
            <v>37.950000000000003</v>
          </cell>
          <cell r="E94">
            <v>47.73</v>
          </cell>
          <cell r="F94">
            <v>47.73</v>
          </cell>
          <cell r="G94">
            <v>37.950000000000003</v>
          </cell>
          <cell r="H94">
            <v>47.73</v>
          </cell>
          <cell r="I94">
            <v>47.73</v>
          </cell>
          <cell r="J94">
            <v>47.73</v>
          </cell>
          <cell r="K94">
            <v>47.73</v>
          </cell>
          <cell r="L94">
            <v>47.73</v>
          </cell>
          <cell r="M94">
            <v>47.73</v>
          </cell>
          <cell r="N94">
            <v>49.15</v>
          </cell>
          <cell r="O94">
            <v>47.73</v>
          </cell>
          <cell r="P94">
            <v>47.73</v>
          </cell>
          <cell r="Q94">
            <v>47.73</v>
          </cell>
          <cell r="R94">
            <v>47.73</v>
          </cell>
          <cell r="S94">
            <v>47.73</v>
          </cell>
          <cell r="T94">
            <v>47.73</v>
          </cell>
          <cell r="U94">
            <v>47.73</v>
          </cell>
          <cell r="V94">
            <v>47.73</v>
          </cell>
          <cell r="W94">
            <v>49.95</v>
          </cell>
          <cell r="X94">
            <v>47.73</v>
          </cell>
          <cell r="Y94">
            <v>47.73</v>
          </cell>
          <cell r="Z94">
            <v>47.73</v>
          </cell>
          <cell r="AA94">
            <v>47.73</v>
          </cell>
          <cell r="AB94">
            <v>47.73</v>
          </cell>
          <cell r="AC94">
            <v>47.73</v>
          </cell>
          <cell r="AD94">
            <v>47.73</v>
          </cell>
          <cell r="AE94">
            <v>47.73</v>
          </cell>
        </row>
        <row r="95">
          <cell r="A95" t="str">
            <v>3GB-ASS</v>
          </cell>
          <cell r="B95">
            <v>95</v>
          </cell>
          <cell r="C95" t="str">
            <v>Assinatura 3GB</v>
          </cell>
          <cell r="D95">
            <v>98.15</v>
          </cell>
          <cell r="E95">
            <v>98.15</v>
          </cell>
          <cell r="F95">
            <v>98.15</v>
          </cell>
          <cell r="G95">
            <v>98.15</v>
          </cell>
          <cell r="H95">
            <v>98.15</v>
          </cell>
          <cell r="I95">
            <v>98.15</v>
          </cell>
          <cell r="J95">
            <v>98.15</v>
          </cell>
          <cell r="K95">
            <v>98.15</v>
          </cell>
          <cell r="L95">
            <v>98.15</v>
          </cell>
          <cell r="M95">
            <v>98.15</v>
          </cell>
          <cell r="N95">
            <v>101.06</v>
          </cell>
          <cell r="O95">
            <v>98.15</v>
          </cell>
          <cell r="P95">
            <v>98.15</v>
          </cell>
          <cell r="Q95">
            <v>98.15</v>
          </cell>
          <cell r="R95">
            <v>98.15</v>
          </cell>
          <cell r="S95">
            <v>98.15</v>
          </cell>
          <cell r="T95">
            <v>98.15</v>
          </cell>
          <cell r="U95">
            <v>98.15</v>
          </cell>
          <cell r="V95">
            <v>98.15</v>
          </cell>
          <cell r="W95">
            <v>101.19</v>
          </cell>
          <cell r="X95">
            <v>98.15</v>
          </cell>
          <cell r="Y95">
            <v>98.15</v>
          </cell>
          <cell r="Z95">
            <v>98.15</v>
          </cell>
          <cell r="AA95">
            <v>98.15</v>
          </cell>
          <cell r="AB95">
            <v>98.15</v>
          </cell>
          <cell r="AC95">
            <v>98.15</v>
          </cell>
          <cell r="AD95">
            <v>98.15</v>
          </cell>
          <cell r="AE95">
            <v>98.15</v>
          </cell>
        </row>
        <row r="96">
          <cell r="A96" t="str">
            <v>5GB-ASS</v>
          </cell>
          <cell r="B96">
            <v>96</v>
          </cell>
          <cell r="C96" t="str">
            <v>Assinatura 5GB</v>
          </cell>
          <cell r="D96">
            <v>142.15</v>
          </cell>
          <cell r="E96">
            <v>178.81</v>
          </cell>
          <cell r="F96">
            <v>178.81</v>
          </cell>
          <cell r="G96">
            <v>142.15</v>
          </cell>
          <cell r="H96">
            <v>178.81</v>
          </cell>
          <cell r="I96">
            <v>178.81</v>
          </cell>
          <cell r="J96">
            <v>178.81</v>
          </cell>
          <cell r="K96">
            <v>178.81</v>
          </cell>
          <cell r="L96">
            <v>178.81</v>
          </cell>
          <cell r="M96">
            <v>178.81</v>
          </cell>
          <cell r="N96">
            <v>184.12</v>
          </cell>
          <cell r="O96">
            <v>178.81</v>
          </cell>
          <cell r="P96">
            <v>178.81</v>
          </cell>
          <cell r="Q96">
            <v>178.81</v>
          </cell>
          <cell r="R96">
            <v>178.81</v>
          </cell>
          <cell r="S96">
            <v>178.81</v>
          </cell>
          <cell r="T96">
            <v>178.81</v>
          </cell>
          <cell r="U96">
            <v>178.81</v>
          </cell>
          <cell r="V96">
            <v>178.81</v>
          </cell>
          <cell r="W96">
            <v>184.36</v>
          </cell>
          <cell r="X96">
            <v>178.81</v>
          </cell>
          <cell r="Y96">
            <v>178.81</v>
          </cell>
          <cell r="Z96">
            <v>178.81</v>
          </cell>
          <cell r="AA96">
            <v>178.81</v>
          </cell>
          <cell r="AB96">
            <v>178.81</v>
          </cell>
          <cell r="AC96">
            <v>178.81</v>
          </cell>
          <cell r="AD96">
            <v>178.81</v>
          </cell>
          <cell r="AE96">
            <v>178.81</v>
          </cell>
        </row>
        <row r="97">
          <cell r="A97" t="str">
            <v>10GB-ASS</v>
          </cell>
          <cell r="B97">
            <v>97</v>
          </cell>
          <cell r="C97" t="str">
            <v>Assinatura 10GB</v>
          </cell>
          <cell r="D97">
            <v>196.31</v>
          </cell>
          <cell r="E97">
            <v>196.31</v>
          </cell>
          <cell r="F97">
            <v>196.31</v>
          </cell>
          <cell r="G97">
            <v>196.31</v>
          </cell>
          <cell r="H97">
            <v>196.31</v>
          </cell>
          <cell r="I97">
            <v>196.31</v>
          </cell>
          <cell r="J97">
            <v>196.31</v>
          </cell>
          <cell r="K97">
            <v>196.31</v>
          </cell>
          <cell r="L97">
            <v>196.31</v>
          </cell>
          <cell r="M97">
            <v>196.31</v>
          </cell>
          <cell r="N97">
            <v>202.13</v>
          </cell>
          <cell r="O97">
            <v>196.31</v>
          </cell>
          <cell r="P97">
            <v>196.31</v>
          </cell>
          <cell r="Q97">
            <v>196.31</v>
          </cell>
          <cell r="R97">
            <v>196.31</v>
          </cell>
          <cell r="S97">
            <v>196.31</v>
          </cell>
          <cell r="T97">
            <v>196.31</v>
          </cell>
          <cell r="U97">
            <v>196.31</v>
          </cell>
          <cell r="V97">
            <v>196.31</v>
          </cell>
          <cell r="W97">
            <v>202.41</v>
          </cell>
          <cell r="X97">
            <v>196.31</v>
          </cell>
          <cell r="Y97">
            <v>196.31</v>
          </cell>
          <cell r="Z97">
            <v>196.31</v>
          </cell>
          <cell r="AA97">
            <v>196.31</v>
          </cell>
          <cell r="AB97">
            <v>196.31</v>
          </cell>
          <cell r="AC97">
            <v>196.31</v>
          </cell>
          <cell r="AD97">
            <v>196.31</v>
          </cell>
          <cell r="AE97">
            <v>196.31</v>
          </cell>
        </row>
        <row r="98">
          <cell r="A98" t="str">
            <v>PCS-4P7pi-ASS</v>
          </cell>
          <cell r="B98">
            <v>98</v>
          </cell>
          <cell r="C98" t="str">
            <v>Assinatura Voz Oi Total Fixo + Pós Conectado 250 + Banda Larga</v>
          </cell>
          <cell r="D98">
            <v>23.06</v>
          </cell>
          <cell r="E98">
            <v>31.14</v>
          </cell>
          <cell r="F98">
            <v>23.06</v>
          </cell>
          <cell r="G98">
            <v>33.49</v>
          </cell>
          <cell r="H98">
            <v>33</v>
          </cell>
          <cell r="I98">
            <v>32.520000000000003</v>
          </cell>
          <cell r="J98">
            <v>33.49</v>
          </cell>
          <cell r="K98">
            <v>32.520000000000003</v>
          </cell>
          <cell r="L98">
            <v>31.14</v>
          </cell>
          <cell r="M98">
            <v>33</v>
          </cell>
          <cell r="N98">
            <v>32.99</v>
          </cell>
          <cell r="O98">
            <v>23.06</v>
          </cell>
          <cell r="P98">
            <v>33</v>
          </cell>
          <cell r="Q98">
            <v>33.49</v>
          </cell>
          <cell r="R98">
            <v>33.49</v>
          </cell>
          <cell r="S98">
            <v>33.49</v>
          </cell>
          <cell r="T98">
            <v>33.49</v>
          </cell>
          <cell r="U98">
            <v>33.479999999999997</v>
          </cell>
          <cell r="V98">
            <v>33</v>
          </cell>
          <cell r="W98">
            <v>34.520000000000003</v>
          </cell>
          <cell r="X98">
            <v>33.49</v>
          </cell>
          <cell r="Y98">
            <v>33.49</v>
          </cell>
          <cell r="Z98">
            <v>23.06</v>
          </cell>
          <cell r="AA98">
            <v>33.49</v>
          </cell>
          <cell r="AB98">
            <v>31.14</v>
          </cell>
          <cell r="AC98">
            <v>33.49</v>
          </cell>
          <cell r="AD98">
            <v>31.14</v>
          </cell>
          <cell r="AE98">
            <v>33</v>
          </cell>
        </row>
        <row r="99">
          <cell r="A99" t="str">
            <v>PCS-4P8pi-ASS</v>
          </cell>
          <cell r="B99">
            <v>99</v>
          </cell>
          <cell r="C99" t="str">
            <v>Assinatura Voz Oi Total Fixo + Pós Conectado 500 + Banda Larga</v>
          </cell>
          <cell r="D99">
            <v>23.06</v>
          </cell>
          <cell r="E99">
            <v>31.14</v>
          </cell>
          <cell r="F99">
            <v>23.06</v>
          </cell>
          <cell r="G99">
            <v>33.49</v>
          </cell>
          <cell r="H99">
            <v>33</v>
          </cell>
          <cell r="I99">
            <v>32.520000000000003</v>
          </cell>
          <cell r="J99">
            <v>33.49</v>
          </cell>
          <cell r="K99">
            <v>32.520000000000003</v>
          </cell>
          <cell r="L99">
            <v>31.14</v>
          </cell>
          <cell r="M99">
            <v>33</v>
          </cell>
          <cell r="N99">
            <v>32.99</v>
          </cell>
          <cell r="O99">
            <v>23.06</v>
          </cell>
          <cell r="P99">
            <v>33</v>
          </cell>
          <cell r="Q99">
            <v>33.49</v>
          </cell>
          <cell r="R99">
            <v>33.49</v>
          </cell>
          <cell r="S99">
            <v>33.49</v>
          </cell>
          <cell r="T99">
            <v>33.49</v>
          </cell>
          <cell r="U99">
            <v>33.479999999999997</v>
          </cell>
          <cell r="V99">
            <v>33</v>
          </cell>
          <cell r="W99">
            <v>34.520000000000003</v>
          </cell>
          <cell r="X99">
            <v>33.49</v>
          </cell>
          <cell r="Y99">
            <v>33.49</v>
          </cell>
          <cell r="Z99">
            <v>23.06</v>
          </cell>
          <cell r="AA99">
            <v>33.49</v>
          </cell>
          <cell r="AB99">
            <v>31.14</v>
          </cell>
          <cell r="AC99">
            <v>33.49</v>
          </cell>
          <cell r="AD99">
            <v>31.14</v>
          </cell>
          <cell r="AE99">
            <v>33</v>
          </cell>
        </row>
        <row r="100">
          <cell r="A100" t="str">
            <v>PCS-4P10pi-ASS</v>
          </cell>
          <cell r="B100">
            <v>100</v>
          </cell>
          <cell r="C100" t="str">
            <v>Assinatura Voz Oi Total Fixo + Pós Conectado 1.000 + Banda Larga</v>
          </cell>
          <cell r="D100">
            <v>23.06</v>
          </cell>
          <cell r="E100">
            <v>31.14</v>
          </cell>
          <cell r="F100">
            <v>23.06</v>
          </cell>
          <cell r="G100">
            <v>33.49</v>
          </cell>
          <cell r="H100">
            <v>33</v>
          </cell>
          <cell r="I100">
            <v>32.520000000000003</v>
          </cell>
          <cell r="J100">
            <v>33.49</v>
          </cell>
          <cell r="K100">
            <v>32.520000000000003</v>
          </cell>
          <cell r="L100">
            <v>31.14</v>
          </cell>
          <cell r="M100">
            <v>33</v>
          </cell>
          <cell r="N100">
            <v>32.99</v>
          </cell>
          <cell r="O100">
            <v>23.06</v>
          </cell>
          <cell r="P100">
            <v>33</v>
          </cell>
          <cell r="Q100">
            <v>33.49</v>
          </cell>
          <cell r="R100">
            <v>33.49</v>
          </cell>
          <cell r="S100">
            <v>33.49</v>
          </cell>
          <cell r="T100">
            <v>33.49</v>
          </cell>
          <cell r="U100">
            <v>33.479999999999997</v>
          </cell>
          <cell r="V100">
            <v>33</v>
          </cell>
          <cell r="W100">
            <v>34.520000000000003</v>
          </cell>
          <cell r="X100">
            <v>33.49</v>
          </cell>
          <cell r="Y100">
            <v>33.49</v>
          </cell>
          <cell r="Z100">
            <v>23.06</v>
          </cell>
          <cell r="AA100">
            <v>33.49</v>
          </cell>
          <cell r="AB100">
            <v>31.14</v>
          </cell>
          <cell r="AC100">
            <v>33.49</v>
          </cell>
          <cell r="AD100">
            <v>31.14</v>
          </cell>
          <cell r="AE100">
            <v>33</v>
          </cell>
        </row>
        <row r="101">
          <cell r="A101" t="str">
            <v>PCS-4P9pi-ASS</v>
          </cell>
          <cell r="B101">
            <v>101</v>
          </cell>
          <cell r="C101" t="str">
            <v>Assinatura Voz Oi Total Fixo + Pós Conectado Mais + Banda Larga</v>
          </cell>
          <cell r="D101">
            <v>23.06</v>
          </cell>
          <cell r="E101">
            <v>31.14</v>
          </cell>
          <cell r="F101">
            <v>23.06</v>
          </cell>
          <cell r="G101">
            <v>33.49</v>
          </cell>
          <cell r="H101">
            <v>33</v>
          </cell>
          <cell r="I101">
            <v>32.520000000000003</v>
          </cell>
          <cell r="J101">
            <v>33.49</v>
          </cell>
          <cell r="K101">
            <v>32.520000000000003</v>
          </cell>
          <cell r="L101">
            <v>31.14</v>
          </cell>
          <cell r="M101">
            <v>33</v>
          </cell>
          <cell r="N101">
            <v>32.99</v>
          </cell>
          <cell r="O101">
            <v>23.06</v>
          </cell>
          <cell r="P101">
            <v>33</v>
          </cell>
          <cell r="Q101">
            <v>33.49</v>
          </cell>
          <cell r="R101">
            <v>33.49</v>
          </cell>
          <cell r="S101">
            <v>33.49</v>
          </cell>
          <cell r="T101">
            <v>33.49</v>
          </cell>
          <cell r="U101">
            <v>33.479999999999997</v>
          </cell>
          <cell r="V101">
            <v>33</v>
          </cell>
          <cell r="W101">
            <v>34.520000000000003</v>
          </cell>
          <cell r="X101">
            <v>33.49</v>
          </cell>
          <cell r="Y101">
            <v>33.49</v>
          </cell>
          <cell r="Z101">
            <v>23.06</v>
          </cell>
          <cell r="AA101">
            <v>33.49</v>
          </cell>
          <cell r="AB101">
            <v>31.14</v>
          </cell>
          <cell r="AC101">
            <v>33.49</v>
          </cell>
          <cell r="AD101">
            <v>31.14</v>
          </cell>
          <cell r="AE101">
            <v>33</v>
          </cell>
        </row>
        <row r="102">
          <cell r="A102" t="str">
            <v>PCS-4P1pi-ASS</v>
          </cell>
          <cell r="B102">
            <v>102</v>
          </cell>
          <cell r="C102" t="str">
            <v>Assinatura Voz Oi Total Fixo + Pós + Banda Larga</v>
          </cell>
          <cell r="D102">
            <v>23.06</v>
          </cell>
          <cell r="E102">
            <v>31.14</v>
          </cell>
          <cell r="F102">
            <v>23.06</v>
          </cell>
          <cell r="G102">
            <v>33.49</v>
          </cell>
          <cell r="H102">
            <v>33</v>
          </cell>
          <cell r="I102">
            <v>32.520000000000003</v>
          </cell>
          <cell r="J102">
            <v>33.49</v>
          </cell>
          <cell r="K102">
            <v>32.520000000000003</v>
          </cell>
          <cell r="L102">
            <v>31.14</v>
          </cell>
          <cell r="M102">
            <v>33</v>
          </cell>
          <cell r="N102">
            <v>32.99</v>
          </cell>
          <cell r="O102">
            <v>23.06</v>
          </cell>
          <cell r="P102">
            <v>33</v>
          </cell>
          <cell r="Q102">
            <v>33.49</v>
          </cell>
          <cell r="R102">
            <v>33.49</v>
          </cell>
          <cell r="S102">
            <v>33.49</v>
          </cell>
          <cell r="T102">
            <v>33.49</v>
          </cell>
          <cell r="U102">
            <v>33.479999999999997</v>
          </cell>
          <cell r="V102">
            <v>33</v>
          </cell>
          <cell r="W102">
            <v>34.520000000000003</v>
          </cell>
          <cell r="X102">
            <v>33.49</v>
          </cell>
          <cell r="Y102">
            <v>33.49</v>
          </cell>
          <cell r="Z102">
            <v>23.06</v>
          </cell>
          <cell r="AA102">
            <v>33.49</v>
          </cell>
          <cell r="AB102">
            <v>31.14</v>
          </cell>
          <cell r="AC102">
            <v>33.49</v>
          </cell>
          <cell r="AD102">
            <v>31.14</v>
          </cell>
          <cell r="AE102">
            <v>33</v>
          </cell>
        </row>
        <row r="103">
          <cell r="A103" t="str">
            <v>PCS-4P2pi-ASS</v>
          </cell>
          <cell r="B103">
            <v>103</v>
          </cell>
          <cell r="C103" t="str">
            <v>Assinatura Voz Oi Total Fixo + Pós 50 + Banda Larga</v>
          </cell>
          <cell r="D103">
            <v>23.06</v>
          </cell>
          <cell r="E103">
            <v>31.14</v>
          </cell>
          <cell r="F103">
            <v>23.06</v>
          </cell>
          <cell r="G103">
            <v>33.49</v>
          </cell>
          <cell r="H103">
            <v>33</v>
          </cell>
          <cell r="I103">
            <v>32.520000000000003</v>
          </cell>
          <cell r="J103">
            <v>33.49</v>
          </cell>
          <cell r="K103">
            <v>32.520000000000003</v>
          </cell>
          <cell r="L103">
            <v>31.14</v>
          </cell>
          <cell r="M103">
            <v>33</v>
          </cell>
          <cell r="N103">
            <v>32.99</v>
          </cell>
          <cell r="O103">
            <v>23.06</v>
          </cell>
          <cell r="P103">
            <v>33</v>
          </cell>
          <cell r="Q103">
            <v>33.49</v>
          </cell>
          <cell r="R103">
            <v>33.49</v>
          </cell>
          <cell r="S103">
            <v>33.49</v>
          </cell>
          <cell r="T103">
            <v>33.49</v>
          </cell>
          <cell r="U103">
            <v>33.479999999999997</v>
          </cell>
          <cell r="V103">
            <v>33</v>
          </cell>
          <cell r="W103">
            <v>34.520000000000003</v>
          </cell>
          <cell r="X103">
            <v>33.49</v>
          </cell>
          <cell r="Y103">
            <v>33.49</v>
          </cell>
          <cell r="Z103">
            <v>23.06</v>
          </cell>
          <cell r="AA103">
            <v>33.49</v>
          </cell>
          <cell r="AB103">
            <v>31.14</v>
          </cell>
          <cell r="AC103">
            <v>33.49</v>
          </cell>
          <cell r="AD103">
            <v>31.14</v>
          </cell>
          <cell r="AE103">
            <v>33</v>
          </cell>
        </row>
        <row r="104">
          <cell r="A104" t="str">
            <v>PCS-4P3pi-ASS</v>
          </cell>
          <cell r="B104">
            <v>104</v>
          </cell>
          <cell r="C104" t="str">
            <v>Assinatura Voz Oi Total Fixo + Pós 100 + Banda Larga</v>
          </cell>
          <cell r="D104">
            <v>23.06</v>
          </cell>
          <cell r="E104">
            <v>31.14</v>
          </cell>
          <cell r="F104">
            <v>23.06</v>
          </cell>
          <cell r="G104">
            <v>33.49</v>
          </cell>
          <cell r="H104">
            <v>33</v>
          </cell>
          <cell r="I104">
            <v>32.520000000000003</v>
          </cell>
          <cell r="J104">
            <v>33.49</v>
          </cell>
          <cell r="K104">
            <v>32.520000000000003</v>
          </cell>
          <cell r="L104">
            <v>31.14</v>
          </cell>
          <cell r="M104">
            <v>33</v>
          </cell>
          <cell r="N104">
            <v>32.99</v>
          </cell>
          <cell r="O104">
            <v>23.06</v>
          </cell>
          <cell r="P104">
            <v>33</v>
          </cell>
          <cell r="Q104">
            <v>33.49</v>
          </cell>
          <cell r="R104">
            <v>33.49</v>
          </cell>
          <cell r="S104">
            <v>33.49</v>
          </cell>
          <cell r="T104">
            <v>33.49</v>
          </cell>
          <cell r="U104">
            <v>33.479999999999997</v>
          </cell>
          <cell r="V104">
            <v>33</v>
          </cell>
          <cell r="W104">
            <v>34.520000000000003</v>
          </cell>
          <cell r="X104">
            <v>33.49</v>
          </cell>
          <cell r="Y104">
            <v>33.49</v>
          </cell>
          <cell r="Z104">
            <v>23.06</v>
          </cell>
          <cell r="AA104">
            <v>33.49</v>
          </cell>
          <cell r="AB104">
            <v>31.14</v>
          </cell>
          <cell r="AC104">
            <v>33.49</v>
          </cell>
          <cell r="AD104">
            <v>31.14</v>
          </cell>
          <cell r="AE104">
            <v>33</v>
          </cell>
        </row>
        <row r="105">
          <cell r="A105" t="str">
            <v>PCS-4P4pi-ASS</v>
          </cell>
          <cell r="B105">
            <v>105</v>
          </cell>
          <cell r="C105" t="str">
            <v>Assinatura Voz Oi Total Fixo + Pós 250 + Banda Larga</v>
          </cell>
          <cell r="D105">
            <v>23.06</v>
          </cell>
          <cell r="E105">
            <v>31.14</v>
          </cell>
          <cell r="F105">
            <v>23.06</v>
          </cell>
          <cell r="G105">
            <v>33.49</v>
          </cell>
          <cell r="H105">
            <v>33</v>
          </cell>
          <cell r="I105">
            <v>32.520000000000003</v>
          </cell>
          <cell r="J105">
            <v>33.49</v>
          </cell>
          <cell r="K105">
            <v>32.520000000000003</v>
          </cell>
          <cell r="L105">
            <v>31.14</v>
          </cell>
          <cell r="M105">
            <v>33</v>
          </cell>
          <cell r="N105">
            <v>32.99</v>
          </cell>
          <cell r="O105">
            <v>23.06</v>
          </cell>
          <cell r="P105">
            <v>33</v>
          </cell>
          <cell r="Q105">
            <v>33.49</v>
          </cell>
          <cell r="R105">
            <v>33.49</v>
          </cell>
          <cell r="S105">
            <v>33.49</v>
          </cell>
          <cell r="T105">
            <v>33.49</v>
          </cell>
          <cell r="U105">
            <v>33.479999999999997</v>
          </cell>
          <cell r="V105">
            <v>33</v>
          </cell>
          <cell r="W105">
            <v>34.520000000000003</v>
          </cell>
          <cell r="X105">
            <v>33.49</v>
          </cell>
          <cell r="Y105">
            <v>33.49</v>
          </cell>
          <cell r="Z105">
            <v>23.06</v>
          </cell>
          <cell r="AA105">
            <v>33.49</v>
          </cell>
          <cell r="AB105">
            <v>31.14</v>
          </cell>
          <cell r="AC105">
            <v>33.49</v>
          </cell>
          <cell r="AD105">
            <v>31.14</v>
          </cell>
          <cell r="AE105">
            <v>33</v>
          </cell>
        </row>
        <row r="106">
          <cell r="A106" t="str">
            <v>PCS-4P5pi-ASS</v>
          </cell>
          <cell r="B106">
            <v>106</v>
          </cell>
          <cell r="C106" t="str">
            <v>Assinatura Voz Oi Total Fixo + Pós 500 + Banda Larga</v>
          </cell>
          <cell r="D106">
            <v>23.06</v>
          </cell>
          <cell r="E106">
            <v>31.14</v>
          </cell>
          <cell r="F106">
            <v>23.06</v>
          </cell>
          <cell r="G106">
            <v>33.49</v>
          </cell>
          <cell r="H106">
            <v>33</v>
          </cell>
          <cell r="I106">
            <v>32.520000000000003</v>
          </cell>
          <cell r="J106">
            <v>33.49</v>
          </cell>
          <cell r="K106">
            <v>32.520000000000003</v>
          </cell>
          <cell r="L106">
            <v>31.14</v>
          </cell>
          <cell r="M106">
            <v>33</v>
          </cell>
          <cell r="N106">
            <v>32.99</v>
          </cell>
          <cell r="O106">
            <v>23.06</v>
          </cell>
          <cell r="P106">
            <v>33</v>
          </cell>
          <cell r="Q106">
            <v>33.49</v>
          </cell>
          <cell r="R106">
            <v>33.49</v>
          </cell>
          <cell r="S106">
            <v>33.49</v>
          </cell>
          <cell r="T106">
            <v>33.49</v>
          </cell>
          <cell r="U106">
            <v>33.479999999999997</v>
          </cell>
          <cell r="V106">
            <v>33</v>
          </cell>
          <cell r="W106">
            <v>34.520000000000003</v>
          </cell>
          <cell r="X106">
            <v>33.49</v>
          </cell>
          <cell r="Y106">
            <v>33.49</v>
          </cell>
          <cell r="Z106">
            <v>23.06</v>
          </cell>
          <cell r="AA106">
            <v>33.49</v>
          </cell>
          <cell r="AB106">
            <v>31.14</v>
          </cell>
          <cell r="AC106">
            <v>33.49</v>
          </cell>
          <cell r="AD106">
            <v>31.14</v>
          </cell>
          <cell r="AE106">
            <v>33</v>
          </cell>
        </row>
        <row r="107">
          <cell r="A107" t="str">
            <v>PCS-4P6pi-ASS</v>
          </cell>
          <cell r="B107">
            <v>107</v>
          </cell>
          <cell r="C107" t="str">
            <v>Assinatura Voz Oi Total Fixo + Pós 800 + Banda Larga</v>
          </cell>
          <cell r="D107">
            <v>23.06</v>
          </cell>
          <cell r="E107">
            <v>31.14</v>
          </cell>
          <cell r="F107">
            <v>23.06</v>
          </cell>
          <cell r="G107">
            <v>33.49</v>
          </cell>
          <cell r="H107">
            <v>33</v>
          </cell>
          <cell r="I107">
            <v>32.520000000000003</v>
          </cell>
          <cell r="J107">
            <v>33.49</v>
          </cell>
          <cell r="K107">
            <v>32.520000000000003</v>
          </cell>
          <cell r="L107">
            <v>31.14</v>
          </cell>
          <cell r="M107">
            <v>33</v>
          </cell>
          <cell r="N107">
            <v>32.99</v>
          </cell>
          <cell r="O107">
            <v>23.06</v>
          </cell>
          <cell r="P107">
            <v>33</v>
          </cell>
          <cell r="Q107">
            <v>33.49</v>
          </cell>
          <cell r="R107">
            <v>33.49</v>
          </cell>
          <cell r="S107">
            <v>33.49</v>
          </cell>
          <cell r="T107">
            <v>33.49</v>
          </cell>
          <cell r="U107">
            <v>33.479999999999997</v>
          </cell>
          <cell r="V107">
            <v>33</v>
          </cell>
          <cell r="W107">
            <v>34.520000000000003</v>
          </cell>
          <cell r="X107">
            <v>33.49</v>
          </cell>
          <cell r="Y107">
            <v>33.49</v>
          </cell>
          <cell r="Z107">
            <v>23.06</v>
          </cell>
          <cell r="AA107">
            <v>33.49</v>
          </cell>
          <cell r="AB107">
            <v>31.14</v>
          </cell>
          <cell r="AC107">
            <v>33.49</v>
          </cell>
          <cell r="AD107">
            <v>31.14</v>
          </cell>
          <cell r="AE107">
            <v>33</v>
          </cell>
        </row>
        <row r="108">
          <cell r="A108" t="str">
            <v>PCS-4P7pi-FRQ</v>
          </cell>
          <cell r="B108">
            <v>108</v>
          </cell>
          <cell r="C108" t="str">
            <v>Franquia Voz Oi Total Fixo + Pós Conectado 250 + Banda Larga</v>
          </cell>
          <cell r="D108">
            <v>92.25</v>
          </cell>
          <cell r="E108">
            <v>92.25</v>
          </cell>
          <cell r="F108">
            <v>92.25</v>
          </cell>
          <cell r="G108">
            <v>92.25</v>
          </cell>
          <cell r="H108">
            <v>92.25</v>
          </cell>
          <cell r="I108">
            <v>92.25</v>
          </cell>
          <cell r="J108">
            <v>92.25</v>
          </cell>
          <cell r="K108">
            <v>92.25</v>
          </cell>
          <cell r="L108">
            <v>92.25</v>
          </cell>
          <cell r="M108">
            <v>92.25</v>
          </cell>
          <cell r="N108">
            <v>94.98</v>
          </cell>
          <cell r="O108">
            <v>92.25</v>
          </cell>
          <cell r="P108">
            <v>92.25</v>
          </cell>
          <cell r="Q108">
            <v>92.25</v>
          </cell>
          <cell r="R108">
            <v>92.25</v>
          </cell>
          <cell r="S108">
            <v>92.25</v>
          </cell>
          <cell r="T108">
            <v>92.25</v>
          </cell>
          <cell r="U108">
            <v>99.19</v>
          </cell>
          <cell r="V108">
            <v>92.25</v>
          </cell>
          <cell r="W108">
            <v>95.1</v>
          </cell>
          <cell r="X108">
            <v>92.25</v>
          </cell>
          <cell r="Y108">
            <v>92.25</v>
          </cell>
          <cell r="Z108">
            <v>92.25</v>
          </cell>
          <cell r="AA108">
            <v>92.25</v>
          </cell>
          <cell r="AB108">
            <v>92.25</v>
          </cell>
          <cell r="AC108">
            <v>92.25</v>
          </cell>
          <cell r="AD108">
            <v>92.25</v>
          </cell>
          <cell r="AE108">
            <v>92.25</v>
          </cell>
        </row>
        <row r="109">
          <cell r="A109" t="str">
            <v>PCS-4P8pi-FRQ</v>
          </cell>
          <cell r="B109">
            <v>109</v>
          </cell>
          <cell r="C109" t="str">
            <v>Franquia Voz Oi Total Fixo + Pós Conectado 500 + Banda Larga</v>
          </cell>
          <cell r="D109">
            <v>194.1</v>
          </cell>
          <cell r="E109">
            <v>194.1</v>
          </cell>
          <cell r="F109">
            <v>194.1</v>
          </cell>
          <cell r="G109">
            <v>194.1</v>
          </cell>
          <cell r="H109">
            <v>194.1</v>
          </cell>
          <cell r="I109">
            <v>194.1</v>
          </cell>
          <cell r="J109">
            <v>194.1</v>
          </cell>
          <cell r="K109">
            <v>194.1</v>
          </cell>
          <cell r="L109">
            <v>194.1</v>
          </cell>
          <cell r="M109">
            <v>194.1</v>
          </cell>
          <cell r="N109">
            <v>199.86</v>
          </cell>
          <cell r="O109">
            <v>194.1</v>
          </cell>
          <cell r="P109">
            <v>194.1</v>
          </cell>
          <cell r="Q109">
            <v>194.1</v>
          </cell>
          <cell r="R109">
            <v>194.1</v>
          </cell>
          <cell r="S109">
            <v>194.1</v>
          </cell>
          <cell r="T109">
            <v>194.1</v>
          </cell>
          <cell r="U109">
            <v>208.72</v>
          </cell>
          <cell r="V109">
            <v>194.1</v>
          </cell>
          <cell r="W109">
            <v>200.13</v>
          </cell>
          <cell r="X109">
            <v>194.1</v>
          </cell>
          <cell r="Y109">
            <v>194.1</v>
          </cell>
          <cell r="Z109">
            <v>194.1</v>
          </cell>
          <cell r="AA109">
            <v>194.1</v>
          </cell>
          <cell r="AB109">
            <v>194.1</v>
          </cell>
          <cell r="AC109">
            <v>194.1</v>
          </cell>
          <cell r="AD109">
            <v>194.1</v>
          </cell>
          <cell r="AE109">
            <v>194.1</v>
          </cell>
        </row>
        <row r="110">
          <cell r="A110" t="str">
            <v>PCS-4P10pi-FRQ</v>
          </cell>
          <cell r="B110">
            <v>110</v>
          </cell>
          <cell r="C110" t="str">
            <v>Franquia Voz Oi Total Fixo + Pós Conectado 1.000 + Banda Larga</v>
          </cell>
          <cell r="D110">
            <v>258.75</v>
          </cell>
          <cell r="E110">
            <v>258.75</v>
          </cell>
          <cell r="F110">
            <v>258.75</v>
          </cell>
          <cell r="G110">
            <v>258.75</v>
          </cell>
          <cell r="H110">
            <v>258.75</v>
          </cell>
          <cell r="I110">
            <v>258.75</v>
          </cell>
          <cell r="J110">
            <v>258.75</v>
          </cell>
          <cell r="K110">
            <v>258.75</v>
          </cell>
          <cell r="L110">
            <v>258.75</v>
          </cell>
          <cell r="M110">
            <v>258.75</v>
          </cell>
          <cell r="N110">
            <v>266.43</v>
          </cell>
          <cell r="O110">
            <v>258.75</v>
          </cell>
          <cell r="P110">
            <v>258.75</v>
          </cell>
          <cell r="Q110">
            <v>258.75</v>
          </cell>
          <cell r="R110">
            <v>258.75</v>
          </cell>
          <cell r="S110">
            <v>258.75</v>
          </cell>
          <cell r="T110">
            <v>258.75</v>
          </cell>
          <cell r="U110">
            <v>278.24</v>
          </cell>
          <cell r="V110">
            <v>258.75</v>
          </cell>
          <cell r="W110">
            <v>266.77999999999997</v>
          </cell>
          <cell r="X110">
            <v>258.75</v>
          </cell>
          <cell r="Y110">
            <v>258.75</v>
          </cell>
          <cell r="Z110">
            <v>258.75</v>
          </cell>
          <cell r="AA110">
            <v>258.75</v>
          </cell>
          <cell r="AB110">
            <v>258.75</v>
          </cell>
          <cell r="AC110">
            <v>258.75</v>
          </cell>
          <cell r="AD110">
            <v>258.75</v>
          </cell>
          <cell r="AE110">
            <v>258.75</v>
          </cell>
        </row>
        <row r="111">
          <cell r="A111" t="str">
            <v>PCS-4P9pi-FRQ</v>
          </cell>
          <cell r="B111">
            <v>111</v>
          </cell>
          <cell r="C111" t="str">
            <v>Franquia Voz Oi Total Fixo + Pós Conectado Mais + Banda Larga</v>
          </cell>
          <cell r="D111">
            <v>323.38</v>
          </cell>
          <cell r="E111">
            <v>323.38</v>
          </cell>
          <cell r="F111">
            <v>323.38</v>
          </cell>
          <cell r="G111">
            <v>323.38</v>
          </cell>
          <cell r="H111">
            <v>323.38</v>
          </cell>
          <cell r="I111">
            <v>323.38</v>
          </cell>
          <cell r="J111">
            <v>323.38</v>
          </cell>
          <cell r="K111">
            <v>323.38</v>
          </cell>
          <cell r="L111">
            <v>323.38</v>
          </cell>
          <cell r="M111">
            <v>323.38</v>
          </cell>
          <cell r="N111">
            <v>332.98</v>
          </cell>
          <cell r="O111">
            <v>323.38</v>
          </cell>
          <cell r="P111">
            <v>323.38</v>
          </cell>
          <cell r="Q111">
            <v>323.38</v>
          </cell>
          <cell r="R111">
            <v>323.38</v>
          </cell>
          <cell r="S111">
            <v>323.38</v>
          </cell>
          <cell r="T111">
            <v>323.38</v>
          </cell>
          <cell r="U111">
            <v>347.74</v>
          </cell>
          <cell r="V111">
            <v>323.38</v>
          </cell>
          <cell r="W111">
            <v>333.42</v>
          </cell>
          <cell r="X111">
            <v>323.38</v>
          </cell>
          <cell r="Y111">
            <v>323.38</v>
          </cell>
          <cell r="Z111">
            <v>323.38</v>
          </cell>
          <cell r="AA111">
            <v>323.38</v>
          </cell>
          <cell r="AB111">
            <v>323.38</v>
          </cell>
          <cell r="AC111">
            <v>323.38</v>
          </cell>
          <cell r="AD111">
            <v>323.38</v>
          </cell>
          <cell r="AE111">
            <v>323.38</v>
          </cell>
        </row>
        <row r="112">
          <cell r="A112" t="str">
            <v>PCS-4P1pi-FRQ</v>
          </cell>
          <cell r="B112">
            <v>112</v>
          </cell>
          <cell r="C112" t="str">
            <v>Franquia Voz Oi Total Fixo + Pós + Banda Larga</v>
          </cell>
          <cell r="D112">
            <v>50.53</v>
          </cell>
          <cell r="E112">
            <v>50.53</v>
          </cell>
          <cell r="F112">
            <v>50.53</v>
          </cell>
          <cell r="G112">
            <v>50.53</v>
          </cell>
          <cell r="H112">
            <v>50.53</v>
          </cell>
          <cell r="I112">
            <v>50.53</v>
          </cell>
          <cell r="J112">
            <v>50.53</v>
          </cell>
          <cell r="K112">
            <v>50.53</v>
          </cell>
          <cell r="L112">
            <v>50.53</v>
          </cell>
          <cell r="M112">
            <v>50.53</v>
          </cell>
          <cell r="N112">
            <v>52.03</v>
          </cell>
          <cell r="O112">
            <v>50.53</v>
          </cell>
          <cell r="P112">
            <v>50.53</v>
          </cell>
          <cell r="Q112">
            <v>50.53</v>
          </cell>
          <cell r="R112">
            <v>50.53</v>
          </cell>
          <cell r="S112">
            <v>50.53</v>
          </cell>
          <cell r="T112">
            <v>50.53</v>
          </cell>
          <cell r="U112">
            <v>54.34</v>
          </cell>
          <cell r="V112">
            <v>50.53</v>
          </cell>
          <cell r="W112">
            <v>52.1</v>
          </cell>
          <cell r="X112">
            <v>50.53</v>
          </cell>
          <cell r="Y112">
            <v>50.53</v>
          </cell>
          <cell r="Z112">
            <v>50.53</v>
          </cell>
          <cell r="AA112">
            <v>50.53</v>
          </cell>
          <cell r="AB112">
            <v>50.53</v>
          </cell>
          <cell r="AC112">
            <v>50.53</v>
          </cell>
          <cell r="AD112">
            <v>50.53</v>
          </cell>
          <cell r="AE112">
            <v>50.53</v>
          </cell>
        </row>
        <row r="113">
          <cell r="A113" t="str">
            <v>PCS-4P2pi-FRQ</v>
          </cell>
          <cell r="B113">
            <v>113</v>
          </cell>
          <cell r="C113" t="str">
            <v>Franquia Voz Oi Total Fixo + Pós 50 + Banda Larga</v>
          </cell>
          <cell r="D113">
            <v>64.819999999999993</v>
          </cell>
          <cell r="E113">
            <v>64.819999999999993</v>
          </cell>
          <cell r="F113">
            <v>64.819999999999993</v>
          </cell>
          <cell r="G113">
            <v>64.819999999999993</v>
          </cell>
          <cell r="H113">
            <v>64.819999999999993</v>
          </cell>
          <cell r="I113">
            <v>64.819999999999993</v>
          </cell>
          <cell r="J113">
            <v>64.819999999999993</v>
          </cell>
          <cell r="K113">
            <v>64.819999999999993</v>
          </cell>
          <cell r="L113">
            <v>64.819999999999993</v>
          </cell>
          <cell r="M113">
            <v>64.819999999999993</v>
          </cell>
          <cell r="N113">
            <v>66.739999999999995</v>
          </cell>
          <cell r="O113">
            <v>64.819999999999993</v>
          </cell>
          <cell r="P113">
            <v>64.819999999999993</v>
          </cell>
          <cell r="Q113">
            <v>64.819999999999993</v>
          </cell>
          <cell r="R113">
            <v>64.819999999999993</v>
          </cell>
          <cell r="S113">
            <v>64.819999999999993</v>
          </cell>
          <cell r="T113">
            <v>64.819999999999993</v>
          </cell>
          <cell r="U113">
            <v>69.69</v>
          </cell>
          <cell r="V113">
            <v>64.819999999999993</v>
          </cell>
          <cell r="W113">
            <v>66.83</v>
          </cell>
          <cell r="X113">
            <v>64.819999999999993</v>
          </cell>
          <cell r="Y113">
            <v>64.819999999999993</v>
          </cell>
          <cell r="Z113">
            <v>64.819999999999993</v>
          </cell>
          <cell r="AA113">
            <v>64.819999999999993</v>
          </cell>
          <cell r="AB113">
            <v>64.819999999999993</v>
          </cell>
          <cell r="AC113">
            <v>64.819999999999993</v>
          </cell>
          <cell r="AD113">
            <v>64.819999999999993</v>
          </cell>
          <cell r="AE113">
            <v>64.819999999999993</v>
          </cell>
        </row>
        <row r="114">
          <cell r="A114" t="str">
            <v>PCS-4P3pi-FRQ</v>
          </cell>
          <cell r="B114">
            <v>114</v>
          </cell>
          <cell r="C114" t="str">
            <v>Franquia Voz Oi Total Fixo + Pós 100 + Banda Larga</v>
          </cell>
          <cell r="D114">
            <v>105.48</v>
          </cell>
          <cell r="E114">
            <v>105.48</v>
          </cell>
          <cell r="F114">
            <v>105.48</v>
          </cell>
          <cell r="G114">
            <v>105.48</v>
          </cell>
          <cell r="H114">
            <v>105.48</v>
          </cell>
          <cell r="I114">
            <v>105.48</v>
          </cell>
          <cell r="J114">
            <v>105.48</v>
          </cell>
          <cell r="K114">
            <v>105.48</v>
          </cell>
          <cell r="L114">
            <v>105.48</v>
          </cell>
          <cell r="M114">
            <v>105.48</v>
          </cell>
          <cell r="N114">
            <v>108.61</v>
          </cell>
          <cell r="O114">
            <v>105.48</v>
          </cell>
          <cell r="P114">
            <v>105.48</v>
          </cell>
          <cell r="Q114">
            <v>105.48</v>
          </cell>
          <cell r="R114">
            <v>105.48</v>
          </cell>
          <cell r="S114">
            <v>105.48</v>
          </cell>
          <cell r="T114">
            <v>105.48</v>
          </cell>
          <cell r="U114">
            <v>113.42</v>
          </cell>
          <cell r="V114">
            <v>105.48</v>
          </cell>
          <cell r="W114">
            <v>108.75</v>
          </cell>
          <cell r="X114">
            <v>105.48</v>
          </cell>
          <cell r="Y114">
            <v>105.48</v>
          </cell>
          <cell r="Z114">
            <v>105.48</v>
          </cell>
          <cell r="AA114">
            <v>105.48</v>
          </cell>
          <cell r="AB114">
            <v>105.48</v>
          </cell>
          <cell r="AC114">
            <v>105.48</v>
          </cell>
          <cell r="AD114">
            <v>105.48</v>
          </cell>
          <cell r="AE114">
            <v>105.48</v>
          </cell>
        </row>
        <row r="115">
          <cell r="A115" t="str">
            <v>PCS-4P4pi-FRQ</v>
          </cell>
          <cell r="B115">
            <v>115</v>
          </cell>
          <cell r="C115" t="str">
            <v>Franquia Voz Oi Total Fixo + Pós 250 + Banda Larga</v>
          </cell>
          <cell r="D115">
            <v>191.18</v>
          </cell>
          <cell r="E115">
            <v>191.18</v>
          </cell>
          <cell r="F115">
            <v>191.18</v>
          </cell>
          <cell r="G115">
            <v>191.18</v>
          </cell>
          <cell r="H115">
            <v>191.18</v>
          </cell>
          <cell r="I115">
            <v>191.18</v>
          </cell>
          <cell r="J115">
            <v>191.18</v>
          </cell>
          <cell r="K115">
            <v>191.18</v>
          </cell>
          <cell r="L115">
            <v>191.18</v>
          </cell>
          <cell r="M115">
            <v>191.18</v>
          </cell>
          <cell r="N115">
            <v>196.85</v>
          </cell>
          <cell r="O115">
            <v>191.18</v>
          </cell>
          <cell r="P115">
            <v>191.18</v>
          </cell>
          <cell r="Q115">
            <v>191.18</v>
          </cell>
          <cell r="R115">
            <v>191.18</v>
          </cell>
          <cell r="S115">
            <v>191.18</v>
          </cell>
          <cell r="T115">
            <v>191.18</v>
          </cell>
          <cell r="U115">
            <v>205.58</v>
          </cell>
          <cell r="V115">
            <v>191.18</v>
          </cell>
          <cell r="W115">
            <v>197.11</v>
          </cell>
          <cell r="X115">
            <v>191.18</v>
          </cell>
          <cell r="Y115">
            <v>191.18</v>
          </cell>
          <cell r="Z115">
            <v>191.18</v>
          </cell>
          <cell r="AA115">
            <v>191.18</v>
          </cell>
          <cell r="AB115">
            <v>191.18</v>
          </cell>
          <cell r="AC115">
            <v>191.18</v>
          </cell>
          <cell r="AD115">
            <v>191.18</v>
          </cell>
          <cell r="AE115">
            <v>191.18</v>
          </cell>
        </row>
        <row r="116">
          <cell r="A116" t="str">
            <v>PCS-4P5pi-FRQ</v>
          </cell>
          <cell r="B116">
            <v>116</v>
          </cell>
          <cell r="C116" t="str">
            <v>Franquia Voz Oi Total Fixo + Pós 500 + Banda Larga</v>
          </cell>
          <cell r="D116">
            <v>308.76</v>
          </cell>
          <cell r="E116">
            <v>308.76</v>
          </cell>
          <cell r="F116">
            <v>308.76</v>
          </cell>
          <cell r="G116">
            <v>308.76</v>
          </cell>
          <cell r="H116">
            <v>308.76</v>
          </cell>
          <cell r="I116">
            <v>308.76</v>
          </cell>
          <cell r="J116">
            <v>308.76</v>
          </cell>
          <cell r="K116">
            <v>308.76</v>
          </cell>
          <cell r="L116">
            <v>308.76</v>
          </cell>
          <cell r="M116">
            <v>308.76</v>
          </cell>
          <cell r="N116">
            <v>317.92</v>
          </cell>
          <cell r="O116">
            <v>308.76</v>
          </cell>
          <cell r="P116">
            <v>308.76</v>
          </cell>
          <cell r="Q116">
            <v>308.76</v>
          </cell>
          <cell r="R116">
            <v>308.76</v>
          </cell>
          <cell r="S116">
            <v>308.76</v>
          </cell>
          <cell r="T116">
            <v>308.76</v>
          </cell>
          <cell r="U116">
            <v>332.02</v>
          </cell>
          <cell r="V116">
            <v>308.76</v>
          </cell>
          <cell r="W116">
            <v>318.33999999999997</v>
          </cell>
          <cell r="X116">
            <v>308.76</v>
          </cell>
          <cell r="Y116">
            <v>308.76</v>
          </cell>
          <cell r="Z116">
            <v>308.76</v>
          </cell>
          <cell r="AA116">
            <v>308.76</v>
          </cell>
          <cell r="AB116">
            <v>308.76</v>
          </cell>
          <cell r="AC116">
            <v>308.76</v>
          </cell>
          <cell r="AD116">
            <v>308.76</v>
          </cell>
          <cell r="AE116">
            <v>308.76</v>
          </cell>
        </row>
        <row r="117">
          <cell r="A117" t="str">
            <v>PCS-4P6pi-FRQ</v>
          </cell>
          <cell r="B117">
            <v>117</v>
          </cell>
          <cell r="C117" t="str">
            <v>Franquia Voz Oi Total Fixo + Pós 800 + Banda Larga</v>
          </cell>
          <cell r="D117">
            <v>458.18</v>
          </cell>
          <cell r="E117">
            <v>458.18</v>
          </cell>
          <cell r="F117">
            <v>458.18</v>
          </cell>
          <cell r="G117">
            <v>458.18</v>
          </cell>
          <cell r="H117">
            <v>458.18</v>
          </cell>
          <cell r="I117">
            <v>458.18</v>
          </cell>
          <cell r="J117">
            <v>458.18</v>
          </cell>
          <cell r="K117">
            <v>458.18</v>
          </cell>
          <cell r="L117">
            <v>458.18</v>
          </cell>
          <cell r="M117">
            <v>458.18</v>
          </cell>
          <cell r="N117">
            <v>471.79</v>
          </cell>
          <cell r="O117">
            <v>458.18</v>
          </cell>
          <cell r="P117">
            <v>458.18</v>
          </cell>
          <cell r="Q117">
            <v>458.18</v>
          </cell>
          <cell r="R117">
            <v>458.18</v>
          </cell>
          <cell r="S117">
            <v>458.18</v>
          </cell>
          <cell r="T117">
            <v>458.18</v>
          </cell>
          <cell r="U117">
            <v>492.7</v>
          </cell>
          <cell r="V117">
            <v>458.18</v>
          </cell>
          <cell r="W117">
            <v>472.43</v>
          </cell>
          <cell r="X117">
            <v>458.18</v>
          </cell>
          <cell r="Y117">
            <v>458.18</v>
          </cell>
          <cell r="Z117">
            <v>458.18</v>
          </cell>
          <cell r="AA117">
            <v>458.18</v>
          </cell>
          <cell r="AB117">
            <v>458.18</v>
          </cell>
          <cell r="AC117">
            <v>458.18</v>
          </cell>
          <cell r="AD117">
            <v>458.18</v>
          </cell>
          <cell r="AE117">
            <v>458.18</v>
          </cell>
        </row>
        <row r="118">
          <cell r="A118" t="str">
            <v>1GB-SVA</v>
          </cell>
          <cell r="B118">
            <v>118</v>
          </cell>
          <cell r="C118" t="str">
            <v>SVA 1GB (Oi Bancas / Oi Livros Narrados)</v>
          </cell>
          <cell r="D118">
            <v>20</v>
          </cell>
          <cell r="E118">
            <v>14</v>
          </cell>
          <cell r="F118">
            <v>14</v>
          </cell>
          <cell r="G118">
            <v>14</v>
          </cell>
          <cell r="H118">
            <v>14</v>
          </cell>
          <cell r="I118">
            <v>14</v>
          </cell>
          <cell r="J118">
            <v>14</v>
          </cell>
          <cell r="K118">
            <v>14</v>
          </cell>
          <cell r="L118">
            <v>14</v>
          </cell>
          <cell r="M118">
            <v>14</v>
          </cell>
          <cell r="N118">
            <v>14</v>
          </cell>
          <cell r="O118">
            <v>14</v>
          </cell>
          <cell r="P118">
            <v>14</v>
          </cell>
          <cell r="Q118">
            <v>14</v>
          </cell>
          <cell r="R118">
            <v>14</v>
          </cell>
          <cell r="S118">
            <v>14</v>
          </cell>
          <cell r="T118">
            <v>14</v>
          </cell>
          <cell r="U118">
            <v>14</v>
          </cell>
          <cell r="V118">
            <v>14</v>
          </cell>
          <cell r="W118">
            <v>14</v>
          </cell>
          <cell r="X118">
            <v>14</v>
          </cell>
          <cell r="Y118">
            <v>14</v>
          </cell>
          <cell r="Z118">
            <v>14</v>
          </cell>
          <cell r="AA118">
            <v>14</v>
          </cell>
          <cell r="AB118">
            <v>14</v>
          </cell>
          <cell r="AC118">
            <v>14</v>
          </cell>
          <cell r="AD118">
            <v>14</v>
          </cell>
          <cell r="AE118">
            <v>14</v>
          </cell>
        </row>
        <row r="119">
          <cell r="A119" t="str">
            <v>2GB-SVA</v>
          </cell>
          <cell r="B119">
            <v>119</v>
          </cell>
          <cell r="C119" t="str">
            <v>SVA 2GB (Oi Bancas / Oi Livros Narrados)</v>
          </cell>
          <cell r="D119">
            <v>20</v>
          </cell>
          <cell r="E119">
            <v>14</v>
          </cell>
          <cell r="F119">
            <v>14</v>
          </cell>
          <cell r="G119">
            <v>14</v>
          </cell>
          <cell r="H119">
            <v>14</v>
          </cell>
          <cell r="I119">
            <v>14</v>
          </cell>
          <cell r="J119">
            <v>14</v>
          </cell>
          <cell r="K119">
            <v>14</v>
          </cell>
          <cell r="L119">
            <v>14</v>
          </cell>
          <cell r="M119">
            <v>14</v>
          </cell>
          <cell r="N119">
            <v>14</v>
          </cell>
          <cell r="O119">
            <v>14</v>
          </cell>
          <cell r="P119">
            <v>14</v>
          </cell>
          <cell r="Q119">
            <v>14</v>
          </cell>
          <cell r="R119">
            <v>14</v>
          </cell>
          <cell r="S119">
            <v>14</v>
          </cell>
          <cell r="T119">
            <v>14</v>
          </cell>
          <cell r="U119">
            <v>14</v>
          </cell>
          <cell r="V119">
            <v>14</v>
          </cell>
          <cell r="W119">
            <v>14</v>
          </cell>
          <cell r="X119">
            <v>14</v>
          </cell>
          <cell r="Y119">
            <v>14</v>
          </cell>
          <cell r="Z119">
            <v>14</v>
          </cell>
          <cell r="AA119">
            <v>14</v>
          </cell>
          <cell r="AB119">
            <v>14</v>
          </cell>
          <cell r="AC119">
            <v>14</v>
          </cell>
          <cell r="AD119">
            <v>14</v>
          </cell>
          <cell r="AE119">
            <v>14</v>
          </cell>
        </row>
        <row r="120">
          <cell r="A120" t="str">
            <v>3GB-SVA</v>
          </cell>
          <cell r="B120">
            <v>120</v>
          </cell>
          <cell r="C120" t="str">
            <v>SVA 3GB (Oi Bancas / Oi Livros Narrados)</v>
          </cell>
          <cell r="D120">
            <v>20</v>
          </cell>
          <cell r="E120">
            <v>14</v>
          </cell>
          <cell r="F120">
            <v>14</v>
          </cell>
          <cell r="G120">
            <v>14</v>
          </cell>
          <cell r="H120">
            <v>14</v>
          </cell>
          <cell r="I120">
            <v>14</v>
          </cell>
          <cell r="J120">
            <v>14</v>
          </cell>
          <cell r="K120">
            <v>14</v>
          </cell>
          <cell r="L120">
            <v>14</v>
          </cell>
          <cell r="M120">
            <v>14</v>
          </cell>
          <cell r="N120">
            <v>14</v>
          </cell>
          <cell r="O120">
            <v>14</v>
          </cell>
          <cell r="P120">
            <v>14</v>
          </cell>
          <cell r="Q120">
            <v>14</v>
          </cell>
          <cell r="R120">
            <v>14</v>
          </cell>
          <cell r="S120">
            <v>14</v>
          </cell>
          <cell r="T120">
            <v>14</v>
          </cell>
          <cell r="U120">
            <v>14</v>
          </cell>
          <cell r="V120">
            <v>14</v>
          </cell>
          <cell r="W120">
            <v>14</v>
          </cell>
          <cell r="X120">
            <v>14</v>
          </cell>
          <cell r="Y120">
            <v>14</v>
          </cell>
          <cell r="Z120">
            <v>14</v>
          </cell>
          <cell r="AA120">
            <v>14</v>
          </cell>
          <cell r="AB120">
            <v>14</v>
          </cell>
          <cell r="AC120">
            <v>14</v>
          </cell>
          <cell r="AD120">
            <v>14</v>
          </cell>
          <cell r="AE120">
            <v>14</v>
          </cell>
        </row>
        <row r="121">
          <cell r="A121" t="str">
            <v>5GB-SVA</v>
          </cell>
          <cell r="B121">
            <v>121</v>
          </cell>
          <cell r="C121" t="str">
            <v>SVA 5GB (Oi Bancas / Oi Livros Narrados / Oi Vídeo Curtas)</v>
          </cell>
          <cell r="D121">
            <v>29.35</v>
          </cell>
          <cell r="E121">
            <v>20.350000000000001</v>
          </cell>
          <cell r="F121">
            <v>20.350000000000001</v>
          </cell>
          <cell r="G121">
            <v>20.350000000000001</v>
          </cell>
          <cell r="H121">
            <v>20.350000000000001</v>
          </cell>
          <cell r="I121">
            <v>20.350000000000001</v>
          </cell>
          <cell r="J121">
            <v>20.350000000000001</v>
          </cell>
          <cell r="K121">
            <v>20.350000000000001</v>
          </cell>
          <cell r="L121">
            <v>20.350000000000001</v>
          </cell>
          <cell r="M121">
            <v>20.350000000000001</v>
          </cell>
          <cell r="N121">
            <v>20.350000000000001</v>
          </cell>
          <cell r="O121">
            <v>20.350000000000001</v>
          </cell>
          <cell r="P121">
            <v>20.350000000000001</v>
          </cell>
          <cell r="Q121">
            <v>20.350000000000001</v>
          </cell>
          <cell r="R121">
            <v>20.350000000000001</v>
          </cell>
          <cell r="S121">
            <v>20.350000000000001</v>
          </cell>
          <cell r="T121">
            <v>20.350000000000001</v>
          </cell>
          <cell r="U121">
            <v>20.350000000000001</v>
          </cell>
          <cell r="V121">
            <v>20.350000000000001</v>
          </cell>
          <cell r="W121">
            <v>20.350000000000001</v>
          </cell>
          <cell r="X121">
            <v>20.350000000000001</v>
          </cell>
          <cell r="Y121">
            <v>20.350000000000001</v>
          </cell>
          <cell r="Z121">
            <v>20.350000000000001</v>
          </cell>
          <cell r="AA121">
            <v>20.350000000000001</v>
          </cell>
          <cell r="AB121">
            <v>20.350000000000001</v>
          </cell>
          <cell r="AC121">
            <v>20.350000000000001</v>
          </cell>
          <cell r="AD121">
            <v>20.350000000000001</v>
          </cell>
          <cell r="AE121">
            <v>20.350000000000001</v>
          </cell>
        </row>
        <row r="122">
          <cell r="A122" t="str">
            <v>10GB-SVA</v>
          </cell>
          <cell r="B122">
            <v>122</v>
          </cell>
          <cell r="C122" t="str">
            <v>SVA 10GB (Oi Bancas / Oi Livros Narrados / Oi Vídeo Curtas)</v>
          </cell>
          <cell r="D122">
            <v>29.35</v>
          </cell>
          <cell r="E122">
            <v>20.350000000000001</v>
          </cell>
          <cell r="F122">
            <v>20.350000000000001</v>
          </cell>
          <cell r="G122">
            <v>20.350000000000001</v>
          </cell>
          <cell r="H122">
            <v>20.350000000000001</v>
          </cell>
          <cell r="I122">
            <v>20.350000000000001</v>
          </cell>
          <cell r="J122">
            <v>20.350000000000001</v>
          </cell>
          <cell r="K122">
            <v>20.350000000000001</v>
          </cell>
          <cell r="L122">
            <v>20.350000000000001</v>
          </cell>
          <cell r="M122">
            <v>20.350000000000001</v>
          </cell>
          <cell r="N122">
            <v>20.350000000000001</v>
          </cell>
          <cell r="O122">
            <v>20.350000000000001</v>
          </cell>
          <cell r="P122">
            <v>20.350000000000001</v>
          </cell>
          <cell r="Q122">
            <v>20.350000000000001</v>
          </cell>
          <cell r="R122">
            <v>20.350000000000001</v>
          </cell>
          <cell r="S122">
            <v>20.350000000000001</v>
          </cell>
          <cell r="T122">
            <v>20.350000000000001</v>
          </cell>
          <cell r="U122">
            <v>20.350000000000001</v>
          </cell>
          <cell r="V122">
            <v>20.350000000000001</v>
          </cell>
          <cell r="W122">
            <v>20.350000000000001</v>
          </cell>
          <cell r="X122">
            <v>20.350000000000001</v>
          </cell>
          <cell r="Y122">
            <v>20.350000000000001</v>
          </cell>
          <cell r="Z122">
            <v>20.350000000000001</v>
          </cell>
          <cell r="AA122">
            <v>20.350000000000001</v>
          </cell>
          <cell r="AB122">
            <v>20.350000000000001</v>
          </cell>
          <cell r="AC122">
            <v>20.350000000000001</v>
          </cell>
          <cell r="AD122">
            <v>20.350000000000001</v>
          </cell>
          <cell r="AE122">
            <v>20.350000000000001</v>
          </cell>
        </row>
        <row r="123">
          <cell r="A123" t="str">
            <v>PCS-4P7pi-A+F</v>
          </cell>
          <cell r="B123">
            <v>123</v>
          </cell>
          <cell r="C123" t="str">
            <v>Assinatura + Franquia Voz Oi Total Fixo + Pós Conectado 250 + Banda Larga</v>
          </cell>
          <cell r="D123">
            <v>115.31</v>
          </cell>
          <cell r="E123">
            <v>123.39</v>
          </cell>
          <cell r="F123">
            <v>115.31</v>
          </cell>
          <cell r="G123">
            <v>125.74</v>
          </cell>
          <cell r="H123">
            <v>125.25</v>
          </cell>
          <cell r="I123">
            <v>124.77</v>
          </cell>
          <cell r="J123">
            <v>125.74</v>
          </cell>
          <cell r="K123">
            <v>124.77</v>
          </cell>
          <cell r="L123">
            <v>123.39</v>
          </cell>
          <cell r="M123">
            <v>125.25</v>
          </cell>
          <cell r="N123">
            <v>127.97</v>
          </cell>
          <cell r="O123">
            <v>115.31</v>
          </cell>
          <cell r="P123">
            <v>125.25</v>
          </cell>
          <cell r="Q123">
            <v>125.74</v>
          </cell>
          <cell r="R123">
            <v>125.74</v>
          </cell>
          <cell r="S123">
            <v>125.74</v>
          </cell>
          <cell r="T123">
            <v>125.74</v>
          </cell>
          <cell r="U123">
            <v>132.66999999999999</v>
          </cell>
          <cell r="V123">
            <v>125.25</v>
          </cell>
          <cell r="W123">
            <v>129.62</v>
          </cell>
          <cell r="X123">
            <v>125.74</v>
          </cell>
          <cell r="Y123">
            <v>125.74</v>
          </cell>
          <cell r="Z123">
            <v>115.31</v>
          </cell>
          <cell r="AA123">
            <v>125.74</v>
          </cell>
          <cell r="AB123">
            <v>123.39</v>
          </cell>
          <cell r="AC123">
            <v>125.74</v>
          </cell>
          <cell r="AD123">
            <v>123.39</v>
          </cell>
          <cell r="AE123">
            <v>125.25</v>
          </cell>
        </row>
        <row r="124">
          <cell r="A124" t="str">
            <v>PCS-4P8pi-A+F</v>
          </cell>
          <cell r="B124">
            <v>124</v>
          </cell>
          <cell r="C124" t="str">
            <v>Assinatura + Franquia Voz Oi Total Fixo + Pós Conectado 500 + Banda Larga</v>
          </cell>
          <cell r="D124">
            <v>217.16</v>
          </cell>
          <cell r="E124">
            <v>225.24</v>
          </cell>
          <cell r="F124">
            <v>217.16</v>
          </cell>
          <cell r="G124">
            <v>227.59</v>
          </cell>
          <cell r="H124">
            <v>227.1</v>
          </cell>
          <cell r="I124">
            <v>226.62</v>
          </cell>
          <cell r="J124">
            <v>227.59</v>
          </cell>
          <cell r="K124">
            <v>226.62</v>
          </cell>
          <cell r="L124">
            <v>225.24</v>
          </cell>
          <cell r="M124">
            <v>227.1</v>
          </cell>
          <cell r="N124">
            <v>232.85</v>
          </cell>
          <cell r="O124">
            <v>217.16</v>
          </cell>
          <cell r="P124">
            <v>227.1</v>
          </cell>
          <cell r="Q124">
            <v>227.59</v>
          </cell>
          <cell r="R124">
            <v>227.59</v>
          </cell>
          <cell r="S124">
            <v>227.59</v>
          </cell>
          <cell r="T124">
            <v>227.59</v>
          </cell>
          <cell r="U124">
            <v>242.2</v>
          </cell>
          <cell r="V124">
            <v>227.1</v>
          </cell>
          <cell r="W124">
            <v>234.65</v>
          </cell>
          <cell r="X124">
            <v>227.59</v>
          </cell>
          <cell r="Y124">
            <v>227.59</v>
          </cell>
          <cell r="Z124">
            <v>217.16</v>
          </cell>
          <cell r="AA124">
            <v>227.59</v>
          </cell>
          <cell r="AB124">
            <v>225.24</v>
          </cell>
          <cell r="AC124">
            <v>227.59</v>
          </cell>
          <cell r="AD124">
            <v>225.24</v>
          </cell>
          <cell r="AE124">
            <v>227.1</v>
          </cell>
        </row>
        <row r="125">
          <cell r="A125" t="str">
            <v>PCS-4P10pi-A+F</v>
          </cell>
          <cell r="B125">
            <v>125</v>
          </cell>
          <cell r="C125" t="str">
            <v>Assinatura + Franquia Voz Oi Total Fixo + Pós Conectado 1.000 + Banda Larga</v>
          </cell>
          <cell r="D125">
            <v>281.81</v>
          </cell>
          <cell r="E125">
            <v>289.89</v>
          </cell>
          <cell r="F125">
            <v>281.81</v>
          </cell>
          <cell r="G125">
            <v>292.24</v>
          </cell>
          <cell r="H125">
            <v>291.75</v>
          </cell>
          <cell r="I125">
            <v>291.27</v>
          </cell>
          <cell r="J125">
            <v>292.24</v>
          </cell>
          <cell r="K125">
            <v>291.27</v>
          </cell>
          <cell r="L125">
            <v>289.89</v>
          </cell>
          <cell r="M125">
            <v>291.75</v>
          </cell>
          <cell r="N125">
            <v>299.42</v>
          </cell>
          <cell r="O125">
            <v>281.81</v>
          </cell>
          <cell r="P125">
            <v>291.75</v>
          </cell>
          <cell r="Q125">
            <v>292.24</v>
          </cell>
          <cell r="R125">
            <v>292.24</v>
          </cell>
          <cell r="S125">
            <v>292.24</v>
          </cell>
          <cell r="T125">
            <v>292.24</v>
          </cell>
          <cell r="U125">
            <v>311.72000000000003</v>
          </cell>
          <cell r="V125">
            <v>291.75</v>
          </cell>
          <cell r="W125">
            <v>301.3</v>
          </cell>
          <cell r="X125">
            <v>292.24</v>
          </cell>
          <cell r="Y125">
            <v>292.24</v>
          </cell>
          <cell r="Z125">
            <v>281.81</v>
          </cell>
          <cell r="AA125">
            <v>292.24</v>
          </cell>
          <cell r="AB125">
            <v>289.89</v>
          </cell>
          <cell r="AC125">
            <v>292.24</v>
          </cell>
          <cell r="AD125">
            <v>289.89</v>
          </cell>
          <cell r="AE125">
            <v>291.75</v>
          </cell>
        </row>
        <row r="126">
          <cell r="A126" t="str">
            <v>PCS-4P9pi-A+F</v>
          </cell>
          <cell r="B126">
            <v>126</v>
          </cell>
          <cell r="C126" t="str">
            <v>Assinatura + Franquia Voz Oi Total Fixo + Pós Conectado Mais + Banda Larga</v>
          </cell>
          <cell r="D126">
            <v>346.44</v>
          </cell>
          <cell r="E126">
            <v>354.52</v>
          </cell>
          <cell r="F126">
            <v>346.44</v>
          </cell>
          <cell r="G126">
            <v>356.87</v>
          </cell>
          <cell r="H126">
            <v>356.38</v>
          </cell>
          <cell r="I126">
            <v>355.9</v>
          </cell>
          <cell r="J126">
            <v>356.87</v>
          </cell>
          <cell r="K126">
            <v>355.9</v>
          </cell>
          <cell r="L126">
            <v>354.52</v>
          </cell>
          <cell r="M126">
            <v>356.38</v>
          </cell>
          <cell r="N126">
            <v>365.97</v>
          </cell>
          <cell r="O126">
            <v>346.44</v>
          </cell>
          <cell r="P126">
            <v>356.38</v>
          </cell>
          <cell r="Q126">
            <v>356.87</v>
          </cell>
          <cell r="R126">
            <v>356.87</v>
          </cell>
          <cell r="S126">
            <v>356.87</v>
          </cell>
          <cell r="T126">
            <v>356.87</v>
          </cell>
          <cell r="U126">
            <v>381.22</v>
          </cell>
          <cell r="V126">
            <v>356.38</v>
          </cell>
          <cell r="W126">
            <v>367.94</v>
          </cell>
          <cell r="X126">
            <v>356.87</v>
          </cell>
          <cell r="Y126">
            <v>356.87</v>
          </cell>
          <cell r="Z126">
            <v>346.44</v>
          </cell>
          <cell r="AA126">
            <v>356.87</v>
          </cell>
          <cell r="AB126">
            <v>354.52</v>
          </cell>
          <cell r="AC126">
            <v>356.87</v>
          </cell>
          <cell r="AD126">
            <v>354.52</v>
          </cell>
          <cell r="AE126">
            <v>356.38</v>
          </cell>
        </row>
        <row r="127">
          <cell r="A127" t="str">
            <v>PCS-4P1pi-A+F</v>
          </cell>
          <cell r="B127">
            <v>127</v>
          </cell>
          <cell r="C127" t="str">
            <v>Assinatura + Franquia Voz Oi Total Fixo + Pós + Banda Larga</v>
          </cell>
          <cell r="D127">
            <v>73.59</v>
          </cell>
          <cell r="E127">
            <v>81.67</v>
          </cell>
          <cell r="F127">
            <v>73.59</v>
          </cell>
          <cell r="G127">
            <v>84.02</v>
          </cell>
          <cell r="H127">
            <v>83.53</v>
          </cell>
          <cell r="I127">
            <v>83.05</v>
          </cell>
          <cell r="J127">
            <v>84.02</v>
          </cell>
          <cell r="K127">
            <v>83.05</v>
          </cell>
          <cell r="L127">
            <v>81.67</v>
          </cell>
          <cell r="M127">
            <v>83.53</v>
          </cell>
          <cell r="N127">
            <v>85.02</v>
          </cell>
          <cell r="O127">
            <v>73.59</v>
          </cell>
          <cell r="P127">
            <v>83.53</v>
          </cell>
          <cell r="Q127">
            <v>84.02</v>
          </cell>
          <cell r="R127">
            <v>84.02</v>
          </cell>
          <cell r="S127">
            <v>84.02</v>
          </cell>
          <cell r="T127">
            <v>84.02</v>
          </cell>
          <cell r="U127">
            <v>87.82</v>
          </cell>
          <cell r="V127">
            <v>83.53</v>
          </cell>
          <cell r="W127">
            <v>86.62</v>
          </cell>
          <cell r="X127">
            <v>84.02</v>
          </cell>
          <cell r="Y127">
            <v>84.02</v>
          </cell>
          <cell r="Z127">
            <v>73.59</v>
          </cell>
          <cell r="AA127">
            <v>84.02</v>
          </cell>
          <cell r="AB127">
            <v>81.67</v>
          </cell>
          <cell r="AC127">
            <v>84.02</v>
          </cell>
          <cell r="AD127">
            <v>81.67</v>
          </cell>
          <cell r="AE127">
            <v>83.53</v>
          </cell>
        </row>
        <row r="128">
          <cell r="A128" t="str">
            <v>PCS-4P2pi-A+F</v>
          </cell>
          <cell r="B128">
            <v>128</v>
          </cell>
          <cell r="C128" t="str">
            <v>Assinatura + Franquia Voz Oi Total Fixo + Pós 50 + Banda Larga</v>
          </cell>
          <cell r="D128">
            <v>87.88</v>
          </cell>
          <cell r="E128">
            <v>95.96</v>
          </cell>
          <cell r="F128">
            <v>87.88</v>
          </cell>
          <cell r="G128">
            <v>98.31</v>
          </cell>
          <cell r="H128">
            <v>97.82</v>
          </cell>
          <cell r="I128">
            <v>97.34</v>
          </cell>
          <cell r="J128">
            <v>98.31</v>
          </cell>
          <cell r="K128">
            <v>97.34</v>
          </cell>
          <cell r="L128">
            <v>95.96</v>
          </cell>
          <cell r="M128">
            <v>97.82</v>
          </cell>
          <cell r="N128">
            <v>99.73</v>
          </cell>
          <cell r="O128">
            <v>87.88</v>
          </cell>
          <cell r="P128">
            <v>97.82</v>
          </cell>
          <cell r="Q128">
            <v>98.31</v>
          </cell>
          <cell r="R128">
            <v>98.31</v>
          </cell>
          <cell r="S128">
            <v>98.31</v>
          </cell>
          <cell r="T128">
            <v>98.31</v>
          </cell>
          <cell r="U128">
            <v>103.17</v>
          </cell>
          <cell r="V128">
            <v>97.82</v>
          </cell>
          <cell r="W128">
            <v>101.35</v>
          </cell>
          <cell r="X128">
            <v>98.31</v>
          </cell>
          <cell r="Y128">
            <v>98.31</v>
          </cell>
          <cell r="Z128">
            <v>87.88</v>
          </cell>
          <cell r="AA128">
            <v>98.31</v>
          </cell>
          <cell r="AB128">
            <v>95.96</v>
          </cell>
          <cell r="AC128">
            <v>98.31</v>
          </cell>
          <cell r="AD128">
            <v>95.96</v>
          </cell>
          <cell r="AE128">
            <v>97.82</v>
          </cell>
        </row>
        <row r="129">
          <cell r="A129" t="str">
            <v>PCS-4P3pi-A+F</v>
          </cell>
          <cell r="B129">
            <v>129</v>
          </cell>
          <cell r="C129" t="str">
            <v>Assinatura + Franquia Voz Oi Total Fixo + Pós 100 + Banda Larga</v>
          </cell>
          <cell r="D129">
            <v>128.54</v>
          </cell>
          <cell r="E129">
            <v>136.62</v>
          </cell>
          <cell r="F129">
            <v>128.54</v>
          </cell>
          <cell r="G129">
            <v>138.97</v>
          </cell>
          <cell r="H129">
            <v>138.47999999999999</v>
          </cell>
          <cell r="I129">
            <v>138</v>
          </cell>
          <cell r="J129">
            <v>138.97</v>
          </cell>
          <cell r="K129">
            <v>138</v>
          </cell>
          <cell r="L129">
            <v>136.62</v>
          </cell>
          <cell r="M129">
            <v>138.47999999999999</v>
          </cell>
          <cell r="N129">
            <v>141.6</v>
          </cell>
          <cell r="O129">
            <v>128.54</v>
          </cell>
          <cell r="P129">
            <v>138.47999999999999</v>
          </cell>
          <cell r="Q129">
            <v>138.97</v>
          </cell>
          <cell r="R129">
            <v>138.97</v>
          </cell>
          <cell r="S129">
            <v>138.97</v>
          </cell>
          <cell r="T129">
            <v>138.97</v>
          </cell>
          <cell r="U129">
            <v>146.9</v>
          </cell>
          <cell r="V129">
            <v>138.47999999999999</v>
          </cell>
          <cell r="W129">
            <v>143.27000000000001</v>
          </cell>
          <cell r="X129">
            <v>138.97</v>
          </cell>
          <cell r="Y129">
            <v>138.97</v>
          </cell>
          <cell r="Z129">
            <v>128.54</v>
          </cell>
          <cell r="AA129">
            <v>138.97</v>
          </cell>
          <cell r="AB129">
            <v>136.62</v>
          </cell>
          <cell r="AC129">
            <v>138.97</v>
          </cell>
          <cell r="AD129">
            <v>136.62</v>
          </cell>
          <cell r="AE129">
            <v>138.47999999999999</v>
          </cell>
        </row>
        <row r="130">
          <cell r="A130" t="str">
            <v>PCS-4P4pi-A+F</v>
          </cell>
          <cell r="B130">
            <v>130</v>
          </cell>
          <cell r="C130" t="str">
            <v>Assinatura + Franquia Voz Oi Total Fixo + Pós 250 + Banda Larga</v>
          </cell>
          <cell r="D130">
            <v>214.24</v>
          </cell>
          <cell r="E130">
            <v>222.32</v>
          </cell>
          <cell r="F130">
            <v>214.24</v>
          </cell>
          <cell r="G130">
            <v>224.67</v>
          </cell>
          <cell r="H130">
            <v>224.18</v>
          </cell>
          <cell r="I130">
            <v>223.7</v>
          </cell>
          <cell r="J130">
            <v>224.67</v>
          </cell>
          <cell r="K130">
            <v>223.7</v>
          </cell>
          <cell r="L130">
            <v>222.32</v>
          </cell>
          <cell r="M130">
            <v>224.18</v>
          </cell>
          <cell r="N130">
            <v>229.84</v>
          </cell>
          <cell r="O130">
            <v>214.24</v>
          </cell>
          <cell r="P130">
            <v>224.18</v>
          </cell>
          <cell r="Q130">
            <v>224.67</v>
          </cell>
          <cell r="R130">
            <v>224.67</v>
          </cell>
          <cell r="S130">
            <v>224.67</v>
          </cell>
          <cell r="T130">
            <v>224.67</v>
          </cell>
          <cell r="U130">
            <v>239.06</v>
          </cell>
          <cell r="V130">
            <v>224.18</v>
          </cell>
          <cell r="W130">
            <v>231.63</v>
          </cell>
          <cell r="X130">
            <v>224.67</v>
          </cell>
          <cell r="Y130">
            <v>224.67</v>
          </cell>
          <cell r="Z130">
            <v>214.24</v>
          </cell>
          <cell r="AA130">
            <v>224.67</v>
          </cell>
          <cell r="AB130">
            <v>222.32</v>
          </cell>
          <cell r="AC130">
            <v>224.67</v>
          </cell>
          <cell r="AD130">
            <v>222.32</v>
          </cell>
          <cell r="AE130">
            <v>224.18</v>
          </cell>
        </row>
        <row r="131">
          <cell r="A131" t="str">
            <v>PCS-4P5pi-A+F</v>
          </cell>
          <cell r="B131">
            <v>131</v>
          </cell>
          <cell r="C131" t="str">
            <v>Assinatura + Franquia Voz Oi Total Fixo + Pós 500 + Banda Larga</v>
          </cell>
          <cell r="D131">
            <v>331.82</v>
          </cell>
          <cell r="E131">
            <v>339.9</v>
          </cell>
          <cell r="F131">
            <v>331.82</v>
          </cell>
          <cell r="G131">
            <v>342.25</v>
          </cell>
          <cell r="H131">
            <v>341.76</v>
          </cell>
          <cell r="I131">
            <v>341.28</v>
          </cell>
          <cell r="J131">
            <v>342.25</v>
          </cell>
          <cell r="K131">
            <v>341.28</v>
          </cell>
          <cell r="L131">
            <v>339.9</v>
          </cell>
          <cell r="M131">
            <v>341.76</v>
          </cell>
          <cell r="N131">
            <v>350.91</v>
          </cell>
          <cell r="O131">
            <v>331.82</v>
          </cell>
          <cell r="P131">
            <v>341.76</v>
          </cell>
          <cell r="Q131">
            <v>342.25</v>
          </cell>
          <cell r="R131">
            <v>342.25</v>
          </cell>
          <cell r="S131">
            <v>342.25</v>
          </cell>
          <cell r="T131">
            <v>342.25</v>
          </cell>
          <cell r="U131">
            <v>365.5</v>
          </cell>
          <cell r="V131">
            <v>341.76</v>
          </cell>
          <cell r="W131">
            <v>352.86</v>
          </cell>
          <cell r="X131">
            <v>342.25</v>
          </cell>
          <cell r="Y131">
            <v>342.25</v>
          </cell>
          <cell r="Z131">
            <v>331.82</v>
          </cell>
          <cell r="AA131">
            <v>342.25</v>
          </cell>
          <cell r="AB131">
            <v>339.9</v>
          </cell>
          <cell r="AC131">
            <v>342.25</v>
          </cell>
          <cell r="AD131">
            <v>339.9</v>
          </cell>
          <cell r="AE131">
            <v>341.76</v>
          </cell>
        </row>
        <row r="132">
          <cell r="A132" t="str">
            <v>PCS-4P6pi-A+F</v>
          </cell>
          <cell r="B132">
            <v>132</v>
          </cell>
          <cell r="C132" t="str">
            <v>Assinatura + Franquia Voz Oi Total Fixo + Pós 800 + Banda Larga</v>
          </cell>
          <cell r="D132">
            <v>481.24</v>
          </cell>
          <cell r="E132">
            <v>489.32</v>
          </cell>
          <cell r="F132">
            <v>481.24</v>
          </cell>
          <cell r="G132">
            <v>491.67</v>
          </cell>
          <cell r="H132">
            <v>491.18</v>
          </cell>
          <cell r="I132">
            <v>490.7</v>
          </cell>
          <cell r="J132">
            <v>491.67</v>
          </cell>
          <cell r="K132">
            <v>490.7</v>
          </cell>
          <cell r="L132">
            <v>489.32</v>
          </cell>
          <cell r="M132">
            <v>491.18</v>
          </cell>
          <cell r="N132">
            <v>504.78</v>
          </cell>
          <cell r="O132">
            <v>481.24</v>
          </cell>
          <cell r="P132">
            <v>491.18</v>
          </cell>
          <cell r="Q132">
            <v>491.67</v>
          </cell>
          <cell r="R132">
            <v>491.67</v>
          </cell>
          <cell r="S132">
            <v>491.67</v>
          </cell>
          <cell r="T132">
            <v>491.67</v>
          </cell>
          <cell r="U132">
            <v>526.17999999999995</v>
          </cell>
          <cell r="V132">
            <v>491.18</v>
          </cell>
          <cell r="W132">
            <v>506.95</v>
          </cell>
          <cell r="X132">
            <v>491.67</v>
          </cell>
          <cell r="Y132">
            <v>491.67</v>
          </cell>
          <cell r="Z132">
            <v>481.24</v>
          </cell>
          <cell r="AA132">
            <v>491.67</v>
          </cell>
          <cell r="AB132">
            <v>489.32</v>
          </cell>
          <cell r="AC132">
            <v>491.67</v>
          </cell>
          <cell r="AD132">
            <v>489.32</v>
          </cell>
          <cell r="AE132">
            <v>491.18</v>
          </cell>
        </row>
        <row r="133">
          <cell r="B133">
            <v>133</v>
          </cell>
          <cell r="C133" t="str">
            <v>THAB Fixo</v>
          </cell>
          <cell r="D133">
            <v>156</v>
          </cell>
          <cell r="E133">
            <v>12</v>
          </cell>
        </row>
        <row r="134">
          <cell r="B134">
            <v>134</v>
          </cell>
          <cell r="C134" t="str">
            <v>THAB BL</v>
          </cell>
          <cell r="D134">
            <v>72</v>
          </cell>
          <cell r="E134">
            <v>12</v>
          </cell>
        </row>
      </sheetData>
      <sheetData sheetId="2"/>
      <sheetData sheetId="3"/>
      <sheetData sheetId="4"/>
      <sheetData sheetId="5"/>
      <sheetData sheetId="6">
        <row r="1">
          <cell r="A1" t="str">
            <v>PLANOS</v>
          </cell>
          <cell r="B1" t="str">
            <v>Código ARBOR</v>
          </cell>
        </row>
        <row r="2">
          <cell r="A2" t="str">
            <v>Oi Total Fixo + Pré 2</v>
          </cell>
          <cell r="B2" t="str">
            <v>PCS-1PFPre2</v>
          </cell>
        </row>
        <row r="3">
          <cell r="A3" t="str">
            <v>Oi Total Fixo + Banda Larga 1</v>
          </cell>
          <cell r="B3" t="str">
            <v>PCS-2PFBL1</v>
          </cell>
        </row>
        <row r="4">
          <cell r="A4" t="str">
            <v>Oi Total Fixo + Banda Larga 2</v>
          </cell>
          <cell r="B4" t="str">
            <v>PCS-2PFBL2</v>
          </cell>
        </row>
        <row r="5">
          <cell r="A5" t="str">
            <v>Oi Total Fixo + Banda Larga 3</v>
          </cell>
          <cell r="B5" t="str">
            <v>PCS-2PFBL3</v>
          </cell>
        </row>
        <row r="6">
          <cell r="A6" t="str">
            <v>Oi Total Fixo + TV 1</v>
          </cell>
          <cell r="B6" t="str">
            <v>CFG-2Plowpi</v>
          </cell>
        </row>
        <row r="7">
          <cell r="A7" t="str">
            <v>Oi Total Fixo + TV 2</v>
          </cell>
          <cell r="B7" t="str">
            <v>PCS-2PMepi</v>
          </cell>
        </row>
        <row r="8">
          <cell r="A8" t="str">
            <v>Oi Total Fixo + TV 3</v>
          </cell>
          <cell r="B8" t="str">
            <v>PCS-2PHipi</v>
          </cell>
        </row>
        <row r="9">
          <cell r="A9" t="str">
            <v>Oi Total Fixo + Banda Larga + TV 1</v>
          </cell>
          <cell r="B9" t="str">
            <v>PCS-3PLowpi</v>
          </cell>
        </row>
        <row r="10">
          <cell r="A10" t="str">
            <v>Oi Total Fixo + Banda Larga + TV 2</v>
          </cell>
          <cell r="B10" t="str">
            <v>PCS-3PMepi</v>
          </cell>
        </row>
        <row r="11">
          <cell r="A11" t="str">
            <v>Oi Total Fixo + Banda Larga + TV 3</v>
          </cell>
          <cell r="B11" t="str">
            <v>PCS-3PHipi</v>
          </cell>
        </row>
        <row r="12">
          <cell r="A12" t="str">
            <v>Oi Total Fixo + Oi Mais 4GB + Banda Larga</v>
          </cell>
          <cell r="B12" t="str">
            <v>Oi-36221</v>
          </cell>
        </row>
        <row r="13">
          <cell r="A13" t="str">
            <v>Oi Total Fixo + Oi Mais 7GB + Banda Larga</v>
          </cell>
          <cell r="B13" t="str">
            <v>Oi-36249</v>
          </cell>
        </row>
        <row r="14">
          <cell r="A14" t="str">
            <v>Oi Total Fixo + Oi Mais 10GB + Banda Larga</v>
          </cell>
          <cell r="B14" t="str">
            <v>Oi-35559</v>
          </cell>
        </row>
        <row r="15">
          <cell r="A15" t="str">
            <v>Oi Total Fixo + Oi Mais 14GB + Banda Larga</v>
          </cell>
          <cell r="B15" t="str">
            <v>Oi-36277</v>
          </cell>
        </row>
        <row r="16">
          <cell r="A16" t="str">
            <v>Oi Total Fixo + Oi Mais 20GB + Banda Larga</v>
          </cell>
          <cell r="B16" t="str">
            <v>Oi-35587</v>
          </cell>
        </row>
        <row r="17">
          <cell r="A17" t="str">
            <v>Oi Total Fixo + Oi Mais 40GB + Banda Larga</v>
          </cell>
          <cell r="B17" t="str">
            <v>Oi-35615</v>
          </cell>
        </row>
        <row r="18">
          <cell r="A18" t="str">
            <v>Oi Total Fixo + Pós Conectado 250 + Banda Larga</v>
          </cell>
          <cell r="B18" t="str">
            <v>PCS-4P7pi</v>
          </cell>
        </row>
        <row r="19">
          <cell r="A19" t="str">
            <v>Oi Total Fixo + Pós Conectado 500 + Banda Larga</v>
          </cell>
          <cell r="B19" t="str">
            <v>PCS-4P8pi</v>
          </cell>
        </row>
        <row r="20">
          <cell r="A20" t="str">
            <v>Oi Total Fixo + Pós Conectado 1.000 + Banda Larga</v>
          </cell>
          <cell r="B20" t="str">
            <v>PCS-4P10pi</v>
          </cell>
        </row>
        <row r="21">
          <cell r="A21" t="str">
            <v>Oi Total Fixo + Pós Conectado Mais + Banda Larga</v>
          </cell>
          <cell r="B21" t="str">
            <v>PCS-4P9pi</v>
          </cell>
        </row>
        <row r="22">
          <cell r="A22" t="str">
            <v>Oi Total Fixo + Pós + Banda Larga</v>
          </cell>
          <cell r="B22" t="str">
            <v>PCS-4P1pi</v>
          </cell>
        </row>
        <row r="23">
          <cell r="A23" t="str">
            <v>Oi Total Fixo + Pós 50 + Banda Larga</v>
          </cell>
          <cell r="B23" t="str">
            <v>PCS-4P2pi</v>
          </cell>
        </row>
        <row r="24">
          <cell r="A24" t="str">
            <v>Oi Total Fixo + Pós 100 + Banda Larga</v>
          </cell>
          <cell r="B24" t="str">
            <v>PCS-4P3pi</v>
          </cell>
        </row>
        <row r="25">
          <cell r="A25" t="str">
            <v>Oi Total Fixo + Pós 250 + Banda Larga</v>
          </cell>
          <cell r="B25" t="str">
            <v>PCS-4P4pi</v>
          </cell>
        </row>
        <row r="26">
          <cell r="A26" t="str">
            <v>Oi Total Fixo + Pós 500 + Banda Larga</v>
          </cell>
          <cell r="B26" t="str">
            <v>PCS-4P5pi</v>
          </cell>
        </row>
        <row r="27">
          <cell r="A27" t="str">
            <v>Oi Total Fixo + Pós 800 + Banda Larga</v>
          </cell>
          <cell r="B27" t="str">
            <v>PCS-4P6pi</v>
          </cell>
        </row>
        <row r="29">
          <cell r="A29" t="str">
            <v>VOZ TOTAL</v>
          </cell>
        </row>
        <row r="30">
          <cell r="A30" t="str">
            <v>Uso dos minutos</v>
          </cell>
          <cell r="B30" t="str">
            <v>Local (On-net)</v>
          </cell>
        </row>
        <row r="31">
          <cell r="A31" t="str">
            <v>Conversão Minutos-Dados</v>
          </cell>
          <cell r="B31" t="str">
            <v>Sim</v>
          </cell>
        </row>
        <row r="33">
          <cell r="A33" t="str">
            <v>ALAVANCA</v>
          </cell>
        </row>
        <row r="34">
          <cell r="A34" t="str">
            <v>Aquisição</v>
          </cell>
        </row>
        <row r="35">
          <cell r="A35" t="str">
            <v>Rentabilização</v>
          </cell>
        </row>
        <row r="36">
          <cell r="A36" t="str">
            <v>Retenção (Residencial)</v>
          </cell>
        </row>
        <row r="37">
          <cell r="A37" t="str">
            <v>Retenção (Móvel)</v>
          </cell>
        </row>
        <row r="38">
          <cell r="A38" t="str">
            <v>Campanha Básica</v>
          </cell>
        </row>
        <row r="40">
          <cell r="A40" t="str">
            <v>OI PLAY</v>
          </cell>
        </row>
        <row r="41">
          <cell r="A41" t="str">
            <v>Sim</v>
          </cell>
          <cell r="B41" t="str">
            <v>Básico</v>
          </cell>
        </row>
        <row r="42">
          <cell r="A42" t="str">
            <v>Não, mas mantêm existente</v>
          </cell>
        </row>
        <row r="43">
          <cell r="A43" t="str">
            <v>Não, mas retira existente</v>
          </cell>
        </row>
        <row r="44">
          <cell r="A44" t="str">
            <v>Não permitido</v>
          </cell>
        </row>
        <row r="47">
          <cell r="A47" t="str">
            <v>BENEFÍCIO FIXO</v>
          </cell>
        </row>
        <row r="48">
          <cell r="A48" t="str">
            <v>Ilimitado</v>
          </cell>
        </row>
        <row r="49">
          <cell r="A49" t="str">
            <v>Ilimitado + LD</v>
          </cell>
        </row>
        <row r="50">
          <cell r="A50" t="str">
            <v>Ilimitado + VC On-net</v>
          </cell>
        </row>
        <row r="51">
          <cell r="A51" t="str">
            <v>Ilimitado + LD + VC On-net</v>
          </cell>
        </row>
        <row r="52">
          <cell r="A52" t="str">
            <v>Ilimitado + LD + VC All-net</v>
          </cell>
        </row>
        <row r="54">
          <cell r="A54" t="str">
            <v>DADOS</v>
          </cell>
          <cell r="B54" t="str">
            <v>SVA AQ</v>
          </cell>
        </row>
        <row r="55">
          <cell r="A55" t="str">
            <v>1GB</v>
          </cell>
          <cell r="B55">
            <v>14</v>
          </cell>
        </row>
        <row r="56">
          <cell r="A56" t="str">
            <v>2GB</v>
          </cell>
          <cell r="B56">
            <v>14</v>
          </cell>
        </row>
        <row r="57">
          <cell r="A57" t="str">
            <v>3GB</v>
          </cell>
          <cell r="B57">
            <v>14</v>
          </cell>
        </row>
        <row r="58">
          <cell r="A58" t="str">
            <v>5GB</v>
          </cell>
          <cell r="B58">
            <v>20.350000000000001</v>
          </cell>
        </row>
        <row r="59">
          <cell r="A59" t="str">
            <v>10GB</v>
          </cell>
          <cell r="B59">
            <v>20.350000000000001</v>
          </cell>
        </row>
        <row r="62">
          <cell r="A62" t="str">
            <v>Ilimitado (All-Net)</v>
          </cell>
          <cell r="B62" t="str">
            <v>0T0T_UR_MIN_LD_ALLNET_FIXO_270000..</v>
          </cell>
        </row>
        <row r="63">
          <cell r="A63" t="str">
            <v>Outros</v>
          </cell>
          <cell r="B63" t="str">
            <v>XXXXX</v>
          </cell>
        </row>
        <row r="65">
          <cell r="A65" t="str">
            <v>FIDELIDADE</v>
          </cell>
          <cell r="B65" t="str">
            <v>TITULAR</v>
          </cell>
        </row>
        <row r="66">
          <cell r="A66" t="str">
            <v>Sim</v>
          </cell>
          <cell r="B66">
            <v>13.6</v>
          </cell>
        </row>
        <row r="67">
          <cell r="A67" t="str">
            <v>Não</v>
          </cell>
          <cell r="B67">
            <v>23.5</v>
          </cell>
        </row>
        <row r="73">
          <cell r="A73" t="str">
            <v>COD</v>
          </cell>
          <cell r="B73" t="str">
            <v>PACOTE</v>
          </cell>
        </row>
        <row r="74">
          <cell r="A74" t="str">
            <v>PCS-OzTL34</v>
          </cell>
          <cell r="B74" t="str">
            <v>A la carte Combate</v>
          </cell>
        </row>
        <row r="75">
          <cell r="A75" t="str">
            <v>PCS-OzTL31</v>
          </cell>
          <cell r="B75" t="str">
            <v>A la carte Sexy Hot</v>
          </cell>
        </row>
        <row r="76">
          <cell r="A76" t="str">
            <v>PCS-OzTL32</v>
          </cell>
          <cell r="B76" t="str">
            <v>A la carte Playboy TV</v>
          </cell>
        </row>
        <row r="77">
          <cell r="A77" t="str">
            <v>PCS-OzTL33</v>
          </cell>
          <cell r="B77" t="str">
            <v>A la carte Sexy Hot + Playboy</v>
          </cell>
        </row>
        <row r="78">
          <cell r="A78" t="str">
            <v>PCS-OzTL503</v>
          </cell>
          <cell r="B78" t="str">
            <v>A la carte SexPrivê</v>
          </cell>
        </row>
        <row r="79">
          <cell r="A79" t="str">
            <v>PCS-OzTL500</v>
          </cell>
          <cell r="B79" t="str">
            <v>A la carte Étnicos</v>
          </cell>
        </row>
        <row r="80">
          <cell r="A80" t="str">
            <v>PCS-OzTL50</v>
          </cell>
          <cell r="B80" t="str">
            <v>A la carte Coleção OI</v>
          </cell>
        </row>
        <row r="81">
          <cell r="A81" t="str">
            <v>PCS-OzTL51</v>
          </cell>
          <cell r="B81" t="str">
            <v>A la carte Fox Premium</v>
          </cell>
        </row>
        <row r="82">
          <cell r="A82" t="str">
            <v>PCS-OzTL52</v>
          </cell>
          <cell r="B82" t="str">
            <v>A la carte PenVr</v>
          </cell>
        </row>
        <row r="83">
          <cell r="A83" t="str">
            <v>PCS-OzTL53</v>
          </cell>
          <cell r="B83" t="str">
            <v>A la carte PFC Completo</v>
          </cell>
        </row>
        <row r="84">
          <cell r="A84" t="str">
            <v>PCS-OzTL54</v>
          </cell>
          <cell r="B84" t="str">
            <v>A la carte PFC Básico</v>
          </cell>
        </row>
        <row r="85">
          <cell r="A85" t="str">
            <v>PCS-OzTL62</v>
          </cell>
          <cell r="B85" t="str">
            <v>A la carte  HBO/Max</v>
          </cell>
        </row>
        <row r="86">
          <cell r="A86" t="str">
            <v>PCS-OzTL61</v>
          </cell>
          <cell r="B86" t="str">
            <v>A la carte Telecine</v>
          </cell>
        </row>
        <row r="87">
          <cell r="A87" t="str">
            <v>PCS-OzTL63</v>
          </cell>
          <cell r="B87" t="str">
            <v>A la carte Cinema</v>
          </cell>
        </row>
      </sheetData>
      <sheetData sheetId="7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  <cell r="F1" t="str">
            <v>nomeBeneficio</v>
          </cell>
          <cell r="G1" t="str">
            <v>status</v>
          </cell>
        </row>
        <row r="2">
          <cell r="A2" t="str">
            <v>Oi Total Fixo + Oi Mais 14GB + Banda Larga0.0001Template Desc. % LDN Plano B2C</v>
          </cell>
          <cell r="B2" t="str">
            <v>Oi Total Completo 14GB</v>
          </cell>
          <cell r="C2" t="str">
            <v>Template Desc. % LDN Plano B2C</v>
          </cell>
          <cell r="D2">
            <v>1E-4</v>
          </cell>
          <cell r="E2" t="str">
            <v>MKT-1-10416698441</v>
          </cell>
          <cell r="F2" t="str">
            <v>0T0T_MAE18_LDN_IND_00.01%</v>
          </cell>
        </row>
        <row r="3">
          <cell r="A3" t="str">
            <v>Oi Total Fixo + Oi Mais 7GB + Banda Larga0.0001Template Desc. % LDN Plano B2C</v>
          </cell>
          <cell r="B3" t="str">
            <v>Oi Total Completo 7GB</v>
          </cell>
          <cell r="C3" t="str">
            <v>Template Desc. % LDN Plano B2C</v>
          </cell>
          <cell r="D3">
            <v>1E-4</v>
          </cell>
          <cell r="E3" t="str">
            <v>MKT-1-10416698441</v>
          </cell>
          <cell r="F3" t="str">
            <v>0T0T_MAE18_LDN_IND_00.01%</v>
          </cell>
        </row>
        <row r="4">
          <cell r="A4" t="str">
            <v>Oi Total Fixo + Oi Mais 4GB + Banda Larga0.0001Template Desc. % LDN Plano B2C</v>
          </cell>
          <cell r="B4" t="str">
            <v>Oi Total Completo 4GB</v>
          </cell>
          <cell r="C4" t="str">
            <v>Template Desc. % LDN Plano B2C</v>
          </cell>
          <cell r="D4">
            <v>1E-4</v>
          </cell>
          <cell r="E4" t="str">
            <v>MKT-1-10416698441</v>
          </cell>
          <cell r="F4" t="str">
            <v>0T0T_MAE18_LDN_IND_00.01%</v>
          </cell>
        </row>
        <row r="5">
          <cell r="A5" t="str">
            <v>Oi Total Fixo + Oi Mais 40GB + Banda Larga0.0001Template Desc. % LDN Plano B2C</v>
          </cell>
          <cell r="B5" t="str">
            <v>Oi Total Completo 40GB</v>
          </cell>
          <cell r="C5" t="str">
            <v>Template Desc. % LDN Plano B2C</v>
          </cell>
          <cell r="D5">
            <v>1E-4</v>
          </cell>
          <cell r="E5" t="str">
            <v>MKT-1-10416698441</v>
          </cell>
          <cell r="F5" t="str">
            <v>0T0T_MAE18_LDN_IND_00.01%</v>
          </cell>
        </row>
        <row r="6">
          <cell r="A6" t="str">
            <v>Oi Total Fixo + Oi Mais 10GB + Banda Larga0.0001Template Desc. % LDN Plano B2C</v>
          </cell>
          <cell r="B6" t="str">
            <v>Oi Total Completo 10GB</v>
          </cell>
          <cell r="C6" t="str">
            <v>Template Desc. % LDN Plano B2C</v>
          </cell>
          <cell r="D6">
            <v>1E-4</v>
          </cell>
          <cell r="E6" t="str">
            <v>MKT-1-10416698441</v>
          </cell>
          <cell r="F6" t="str">
            <v>0T0T_MAE18_LDN_IND_00.01%</v>
          </cell>
        </row>
        <row r="7">
          <cell r="A7" t="str">
            <v>Oi Total Fixo + Oi Mais 20GB + Banda Larga0.0001Template Desc. % LDN Plano B2C</v>
          </cell>
          <cell r="B7" t="str">
            <v>Oi Total Completo 20GB</v>
          </cell>
          <cell r="C7" t="str">
            <v>Template Desc. % LDN Plano B2C</v>
          </cell>
          <cell r="D7">
            <v>1E-4</v>
          </cell>
          <cell r="E7" t="str">
            <v>MKT-1-10416698441</v>
          </cell>
          <cell r="F7" t="str">
            <v>0T0T_MAE18_LDN_IND_00.01%</v>
          </cell>
        </row>
        <row r="8">
          <cell r="A8" t="str">
            <v>Oi Total Fixo + Oi Mais 14GB + Banda Larga0.0001Template Desc. % SVA Plano B2C</v>
          </cell>
          <cell r="B8" t="str">
            <v>Oi Total Completo 14GB</v>
          </cell>
          <cell r="C8" t="str">
            <v>Template Desc. % SVA Plano B2C</v>
          </cell>
          <cell r="D8">
            <v>1E-4</v>
          </cell>
          <cell r="E8" t="str">
            <v>MKT-1-10415488341</v>
          </cell>
          <cell r="F8" t="str">
            <v>0T0T_MAE18_SVA_DADOS_CONTA_00.01%</v>
          </cell>
        </row>
        <row r="9">
          <cell r="A9" t="str">
            <v>Oi Total Fixo + Oi Mais 7GB + Banda Larga0.0001Template Desc. % SVA Plano B2C</v>
          </cell>
          <cell r="B9" t="str">
            <v>Oi Total Completo 7GB</v>
          </cell>
          <cell r="C9" t="str">
            <v>Template Desc. % SVA Plano B2C</v>
          </cell>
          <cell r="D9">
            <v>1E-4</v>
          </cell>
          <cell r="E9" t="str">
            <v>MKT-1-10415488341</v>
          </cell>
          <cell r="F9" t="str">
            <v>0T0T_MAE18_SVA_DADOS_CONTA_00.01%</v>
          </cell>
        </row>
        <row r="10">
          <cell r="A10" t="str">
            <v>Oi Total Fixo + Oi Mais 4GB + Banda Larga0.0001Template Desc. % SVA Plano B2C</v>
          </cell>
          <cell r="B10" t="str">
            <v>Oi Total Completo 4GB</v>
          </cell>
          <cell r="C10" t="str">
            <v>Template Desc. % SVA Plano B2C</v>
          </cell>
          <cell r="D10">
            <v>1E-4</v>
          </cell>
          <cell r="E10" t="str">
            <v>MKT-1-10415488341</v>
          </cell>
          <cell r="F10" t="str">
            <v>0T0T_MAE18_SVA_DADOS_CONTA_00.01%</v>
          </cell>
        </row>
        <row r="11">
          <cell r="A11" t="str">
            <v>Oi Total Fixo + Oi Mais 40GB + Banda Larga0.0001Template Desc. % SVA Plano B2C</v>
          </cell>
          <cell r="B11" t="str">
            <v>Oi Total Completo 40GB</v>
          </cell>
          <cell r="C11" t="str">
            <v>Template Desc. % SVA Plano B2C</v>
          </cell>
          <cell r="D11">
            <v>1E-4</v>
          </cell>
          <cell r="E11" t="str">
            <v>MKT-1-10415488341</v>
          </cell>
          <cell r="F11" t="str">
            <v>0T0T_MAE18_SVA_DADOS_CONTA_00.01%</v>
          </cell>
        </row>
        <row r="12">
          <cell r="A12" t="str">
            <v>Oi Total Fixo + Oi Mais 10GB + Banda Larga0.0001Template Desc. % SVA Plano B2C</v>
          </cell>
          <cell r="B12" t="str">
            <v>Oi Total Completo 10GB</v>
          </cell>
          <cell r="C12" t="str">
            <v>Template Desc. % SVA Plano B2C</v>
          </cell>
          <cell r="D12">
            <v>1E-4</v>
          </cell>
          <cell r="E12" t="str">
            <v>MKT-1-10415488341</v>
          </cell>
          <cell r="F12" t="str">
            <v>0T0T_MAE18_SVA_DADOS_CONTA_00.01%</v>
          </cell>
        </row>
        <row r="13">
          <cell r="A13" t="str">
            <v>Oi Total Fixo + Oi Mais 20GB + Banda Larga0.0001Template Desc. % SVA Plano B2C</v>
          </cell>
          <cell r="B13" t="str">
            <v>Oi Total Completo 20GB</v>
          </cell>
          <cell r="C13" t="str">
            <v>Template Desc. % SVA Plano B2C</v>
          </cell>
          <cell r="D13">
            <v>1E-4</v>
          </cell>
          <cell r="E13" t="str">
            <v>MKT-1-10415488341</v>
          </cell>
          <cell r="F13" t="str">
            <v>0T0T_MAE18_SVA_DADOS_CONTA_00.01%</v>
          </cell>
        </row>
        <row r="14">
          <cell r="A14" t="str">
            <v>Compartilhamento de Dados Oi Total0.0001Template Desconto % SVA DADOS B2C</v>
          </cell>
          <cell r="B14" t="str">
            <v>Compartilhamento de Dados Oi Total</v>
          </cell>
          <cell r="C14" t="str">
            <v>Template Desconto % SVA DADOS B2C</v>
          </cell>
          <cell r="D14">
            <v>1E-4</v>
          </cell>
          <cell r="E14" t="str">
            <v>MKT-1-10422420786</v>
          </cell>
          <cell r="F14" t="str">
            <v>0T0T_MAE18_SVA_DADOS_00.01%</v>
          </cell>
        </row>
        <row r="15">
          <cell r="A15" t="str">
            <v>Compartilhamento de Dados Oi Total1Template desconto % intra-grupo Oi Total</v>
          </cell>
          <cell r="B15" t="str">
            <v>Compartilhamento de Dados Oi Total</v>
          </cell>
          <cell r="C15" t="str">
            <v>Template desconto % intra-grupo Oi Total</v>
          </cell>
          <cell r="D15">
            <v>1</v>
          </cell>
          <cell r="E15" t="str">
            <v>MKT-1-10422058936</v>
          </cell>
          <cell r="F15" t="str">
            <v>0T0T_MAE18_INTRAGRUPO_IND_100.00%</v>
          </cell>
        </row>
        <row r="16">
          <cell r="A16" t="str">
            <v>Compartilhamento de Dados Oi Total0.4664Desc % Ass Dependente Oi Total</v>
          </cell>
          <cell r="B16" t="str">
            <v>Compartilhamento de Dados Oi Total</v>
          </cell>
          <cell r="C16" t="str">
            <v>Desc % Ass Dependente Oi Total</v>
          </cell>
          <cell r="D16">
            <v>0.46639999999999998</v>
          </cell>
          <cell r="E16" t="str">
            <v>MKT-1-10478474891</v>
          </cell>
          <cell r="F16" t="str">
            <v>0T0T_MAE18_ASS_DEPENDENTE_IND_46.65%</v>
          </cell>
        </row>
        <row r="17">
          <cell r="A17" t="str">
            <v>Compartilhamento de Dados Oi Total0.4665Desc % Ass Dependente Oi Total</v>
          </cell>
          <cell r="B17" t="str">
            <v>Compartilhamento de Dados Oi Total</v>
          </cell>
          <cell r="C17" t="str">
            <v>Desc % Ass Dependente Oi Total</v>
          </cell>
          <cell r="D17">
            <v>0.46650000000000003</v>
          </cell>
          <cell r="E17" t="str">
            <v>MKT-1-10478474891</v>
          </cell>
          <cell r="F17" t="str">
            <v>0T0T_MAE18_ASS_DEPENDENTE_IND_46.65%</v>
          </cell>
        </row>
        <row r="18">
          <cell r="A18" t="str">
            <v>Compartilhamento de Dados Oi Total0.0664Desc % Ass Dependente Oi Total</v>
          </cell>
          <cell r="B18" t="str">
            <v>Compartilhamento de Dados Oi Total</v>
          </cell>
          <cell r="C18" t="str">
            <v>Desc % Ass Dependente Oi Total</v>
          </cell>
          <cell r="D18">
            <v>6.6400000000000001E-2</v>
          </cell>
          <cell r="E18" t="str">
            <v>MKT-1-10478416471</v>
          </cell>
          <cell r="F18" t="str">
            <v>0T0T_MAE18_ASS_DEPENDENTE_IND_06.65%</v>
          </cell>
        </row>
        <row r="19">
          <cell r="A19" t="str">
            <v>Compartilhamento de Dados Oi Total0.6611Template Flat Instância Dados</v>
          </cell>
          <cell r="B19" t="str">
            <v>Compartilhamento de Dados Oi Total</v>
          </cell>
          <cell r="C19" t="str">
            <v>Template Flat Instância Dados</v>
          </cell>
          <cell r="D19">
            <v>0.66110000000000002</v>
          </cell>
          <cell r="E19" t="str">
            <v>MKT-1-10624917121</v>
          </cell>
          <cell r="F19" t="str">
            <v>0T0T_PAI18_COMPARTILHAMENTO_66.11%</v>
          </cell>
        </row>
        <row r="20">
          <cell r="A20" t="str">
            <v>Compartilhamento de Dados Oi Total0.8611Template Flat Instância Dados</v>
          </cell>
          <cell r="B20" t="str">
            <v>Compartilhamento de Dados Oi Total</v>
          </cell>
          <cell r="C20" t="str">
            <v>Template Flat Instância Dados</v>
          </cell>
          <cell r="D20">
            <v>0.86109999999999998</v>
          </cell>
          <cell r="E20" t="str">
            <v>MKT-1-10624947201</v>
          </cell>
          <cell r="F20" t="str">
            <v>0T0T_PAI18_COMPARTILHAMENTO_86.11%</v>
          </cell>
        </row>
        <row r="21">
          <cell r="A21" t="str">
            <v>Oi Conta Total Plug 10GB Downgrade0.4572Template de desconto percentual BL Móvel - Internet Total - Varejo</v>
          </cell>
          <cell r="B21" t="str">
            <v>OCT Plug 10GB Downgrade</v>
          </cell>
          <cell r="C21" t="str">
            <v>Template de desconto percentual BL Móvel - Internet Total - Varejo</v>
          </cell>
          <cell r="D21">
            <v>0.4572</v>
          </cell>
          <cell r="E21" t="str">
            <v>MKT-1-10621673101</v>
          </cell>
          <cell r="F21" t="str">
            <v>0T0T_PAI18_INTSUB-10G_45.72%</v>
          </cell>
        </row>
        <row r="22">
          <cell r="A22" t="str">
            <v>Oi Conta Total Plug 10GB Downgrade0.5251Template de desconto percentual BL Móvel - Internet Total - Varejo</v>
          </cell>
          <cell r="B22" t="str">
            <v>Oi Conta Total Plug 10GB Downgrade</v>
          </cell>
          <cell r="C22" t="str">
            <v>Template de desconto percentual BL Móvel - Internet Total - Varejo</v>
          </cell>
          <cell r="D22">
            <v>0.52510000000000001</v>
          </cell>
          <cell r="E22" t="str">
            <v>MKT-1-10624263371</v>
          </cell>
          <cell r="F22" t="str">
            <v>0T0T_PAI18_INTSUB-10G_52.51%</v>
          </cell>
        </row>
        <row r="23">
          <cell r="A23" t="str">
            <v>Oi Conta Total Plug 10GB Downgrade0.5251Template de desconto percentual BL Móvel - Internet Total - Varejo</v>
          </cell>
          <cell r="B23" t="str">
            <v>OCT Plug 10GB Downgrade</v>
          </cell>
          <cell r="C23" t="str">
            <v>Template de desconto percentual BL Móvel - Internet Total - Varejo</v>
          </cell>
          <cell r="D23">
            <v>0.52510000000000001</v>
          </cell>
          <cell r="E23" t="str">
            <v>MKT-1-10624263371</v>
          </cell>
          <cell r="F23" t="str">
            <v>0T0T_PAI18_INTSUB-10G_52.51%</v>
          </cell>
        </row>
        <row r="24">
          <cell r="A24" t="str">
            <v>Oi Conta Total Plug 10GB Downgrade0.5795Template de desconto percentual BL Móvel - Internet Total - Varejo</v>
          </cell>
          <cell r="B24" t="str">
            <v>OCT Plug 10GB Downgrade</v>
          </cell>
          <cell r="C24" t="str">
            <v>Template de desconto percentual BL Móvel - Internet Total - Varejo</v>
          </cell>
          <cell r="D24">
            <v>0.57950000000000002</v>
          </cell>
          <cell r="E24" t="str">
            <v>MKT-1-10624846211</v>
          </cell>
          <cell r="F24" t="str">
            <v>0T0T_PAI18_INTSUB-10G_57.95%</v>
          </cell>
        </row>
        <row r="25">
          <cell r="A25" t="str">
            <v>Oi Conta Total Plug 10GB Downgrade0.5795Template de desconto percentual BL Móvel - Internet Total - Varejo</v>
          </cell>
          <cell r="B25" t="str">
            <v>Oi Conta Total Plug 10GB Downgrade</v>
          </cell>
          <cell r="C25" t="str">
            <v>Template de desconto percentual BL Móvel - Internet Total - Varejo</v>
          </cell>
          <cell r="D25">
            <v>0.57950000000000002</v>
          </cell>
          <cell r="E25" t="str">
            <v>MKT-1-10624846211</v>
          </cell>
          <cell r="F25" t="str">
            <v>0T0T_PAI18_INTSUB-10G_57.95%</v>
          </cell>
        </row>
        <row r="26">
          <cell r="A26" t="str">
            <v>Oi Conta Total Plug 10GB Downgrade0.5931Template de desconto percentual BL Móvel - Internet Total - Varejo</v>
          </cell>
          <cell r="B26" t="str">
            <v>OCT Plug 10GB Downgrade</v>
          </cell>
          <cell r="C26" t="str">
            <v>Template de desconto percentual BL Móvel - Internet Total - Varejo</v>
          </cell>
          <cell r="D26">
            <v>0.59309999999999996</v>
          </cell>
          <cell r="E26" t="str">
            <v>MKT-1-10624909781</v>
          </cell>
          <cell r="F26" t="str">
            <v>0T0T_PAI18_INTSUB-10G_59.31%</v>
          </cell>
        </row>
        <row r="27">
          <cell r="A27" t="str">
            <v>Oi Conta Total Plug 10GB Downgrade0.5931Template de desconto percentual BL Móvel - Internet Total - Varejo</v>
          </cell>
          <cell r="B27" t="str">
            <v>Oi Conta Total Plug 10GB Downgrade</v>
          </cell>
          <cell r="C27" t="str">
            <v>Template de desconto percentual BL Móvel - Internet Total - Varejo</v>
          </cell>
          <cell r="D27">
            <v>0.59309999999999996</v>
          </cell>
          <cell r="E27" t="str">
            <v>MKT-1-10624909781</v>
          </cell>
          <cell r="F27" t="str">
            <v>0T0T_PAI18_INTSUB-10G_59.31%</v>
          </cell>
        </row>
        <row r="28">
          <cell r="A28" t="str">
            <v>Oi Conta Total Plug 10GB Downgrade0.6474Template de desconto percentual BL Móvel - Internet Total - Varejo</v>
          </cell>
          <cell r="B28" t="str">
            <v>Oi Conta Total Plug 10GB Downgrade</v>
          </cell>
          <cell r="C28" t="str">
            <v>Template de desconto percentual BL Móvel - Internet Total - Varejo</v>
          </cell>
          <cell r="D28">
            <v>0.64739999999999998</v>
          </cell>
          <cell r="E28" t="str">
            <v>MKT-1-10624812331</v>
          </cell>
          <cell r="F28" t="str">
            <v>0T0T_PAI18_INTSUB-10G_64.74%</v>
          </cell>
        </row>
        <row r="29">
          <cell r="A29" t="str">
            <v>Oi Conta Total Plug 10GB Downgrade0.6474Template de desconto percentual BL Móvel - Internet Total - Varejo</v>
          </cell>
          <cell r="B29" t="str">
            <v>OCT Plug 10GB Downgrade</v>
          </cell>
          <cell r="C29" t="str">
            <v>Template de desconto percentual BL Móvel - Internet Total - Varejo</v>
          </cell>
          <cell r="D29">
            <v>0.64739999999999998</v>
          </cell>
          <cell r="E29" t="str">
            <v>MKT-1-10624812331</v>
          </cell>
          <cell r="F29" t="str">
            <v>0T0T_PAI18_INTSUB-10G_64.74%</v>
          </cell>
        </row>
        <row r="30">
          <cell r="A30" t="str">
            <v>Oi Conta Total Plug 10GB Downgrade0.695Template de desconto percentual BL Móvel - Internet Total - Varejo</v>
          </cell>
          <cell r="B30" t="str">
            <v>OCT Plug 10GB Downgrade</v>
          </cell>
          <cell r="C30" t="str">
            <v>Template de desconto percentual BL Móvel - Internet Total - Varejo</v>
          </cell>
          <cell r="D30">
            <v>0.69499999999999995</v>
          </cell>
          <cell r="E30" t="str">
            <v>MKT-1-10621663551</v>
          </cell>
          <cell r="F30" t="str">
            <v>0T0T_PAI18_INTSUB-10G_69.50%</v>
          </cell>
        </row>
        <row r="31">
          <cell r="A31" t="str">
            <v>Oi Conta Total Plug 10GB Downgrade0.7622Template de desconto percentual BL Móvel - Internet Total - Varejo</v>
          </cell>
          <cell r="B31" t="str">
            <v>OCT Plug 10GB Downgrade</v>
          </cell>
          <cell r="C31" t="str">
            <v>Template de desconto percentual BL Móvel - Internet Total - Varejo</v>
          </cell>
          <cell r="D31">
            <v>0.76219999999999999</v>
          </cell>
          <cell r="E31" t="str">
            <v>MKT-1-10624845811</v>
          </cell>
          <cell r="F31" t="str">
            <v>0T0T_PAI18_INTSUB-10G_76.22%</v>
          </cell>
        </row>
        <row r="32">
          <cell r="A32" t="str">
            <v>Oi Conta Total Plug 10GB Downgrade0.7622Template de desconto percentual BL Móvel - Internet Total - Varejo</v>
          </cell>
          <cell r="B32" t="str">
            <v>Oi Conta Total Plug 10GB Downgrade</v>
          </cell>
          <cell r="C32" t="str">
            <v>Template de desconto percentual BL Móvel - Internet Total - Varejo</v>
          </cell>
          <cell r="D32">
            <v>0.76219999999999999</v>
          </cell>
          <cell r="E32" t="str">
            <v>MKT-1-10624845811</v>
          </cell>
          <cell r="F32" t="str">
            <v>0T0T_PAI18_INTSUB-10G_76.22%</v>
          </cell>
        </row>
        <row r="33">
          <cell r="A33" t="str">
            <v>Oi Total Fixo + Oi Mais 10GB + Banda Larga0.7455Template Desc. % Dados nível conta B2C</v>
          </cell>
          <cell r="B33" t="str">
            <v>Oi Total Completo 10GB</v>
          </cell>
          <cell r="C33" t="str">
            <v>Template Desc. % Dados nível conta B2C</v>
          </cell>
          <cell r="D33">
            <v>0.74550000000000005</v>
          </cell>
          <cell r="E33" t="str">
            <v>MKT-1-10624226901</v>
          </cell>
          <cell r="F33" t="str">
            <v>0T3T_PAI18_Oi-35559_DADOS_CONTA_74.55%</v>
          </cell>
        </row>
        <row r="34">
          <cell r="A34" t="str">
            <v>Oi Total Fixo + Oi Mais 10GB + Banda Larga0.8122Template Desc. % Dados nível conta B2C</v>
          </cell>
          <cell r="B34" t="str">
            <v>Oi Total Completo 10GB</v>
          </cell>
          <cell r="C34" t="str">
            <v>Template Desc. % Dados nível conta B2C</v>
          </cell>
          <cell r="D34">
            <v>0.81220000000000003</v>
          </cell>
          <cell r="E34" t="str">
            <v>MKT-1-10624186941</v>
          </cell>
          <cell r="F34" t="str">
            <v>0T3T_PAI18_Oi-35559_DADOS_CONTA_81.22%</v>
          </cell>
        </row>
        <row r="35">
          <cell r="A35" t="str">
            <v>Oi Total Fixo + Oi Mais 10GB + Banda Larga0.0903Template de desconto percentual Bundle - Velox XDSL - Varejo</v>
          </cell>
          <cell r="B35" t="str">
            <v>Oi Total Completo 10GB</v>
          </cell>
          <cell r="C35" t="str">
            <v>Template de desconto percentual Bundle - Velox XDSL - Varejo</v>
          </cell>
          <cell r="D35">
            <v>9.0300000000000005E-2</v>
          </cell>
          <cell r="E35" t="str">
            <v>MKT-1-10621324471</v>
          </cell>
          <cell r="F35" t="str">
            <v>0T3T_PAI18_Oi-35559_DET_BL_09.03%</v>
          </cell>
        </row>
        <row r="36">
          <cell r="A36" t="str">
            <v>Oi Total Fixo + Oi Mais 10GB + Banda Larga0.1057Template de desconto percentual Bundle - Velox XDSL - Varejo</v>
          </cell>
          <cell r="B36" t="str">
            <v>Oi Total Completo 10GB</v>
          </cell>
          <cell r="C36" t="str">
            <v>Template de desconto percentual Bundle - Velox XDSL - Varejo</v>
          </cell>
          <cell r="D36">
            <v>0.1057</v>
          </cell>
          <cell r="E36" t="str">
            <v>MKT-1-10621342141</v>
          </cell>
          <cell r="F36" t="str">
            <v>0T3T_PAI18_Oi-35559_DET_BL_10.57%</v>
          </cell>
        </row>
        <row r="37">
          <cell r="A37" t="str">
            <v>Oi Total Fixo + Oi Mais 10GB + Banda Larga0.1203Template de desconto percentual Bundle - Velox XDSL - Varejo</v>
          </cell>
          <cell r="B37" t="str">
            <v>Oi Total Completo 10GB</v>
          </cell>
          <cell r="C37" t="str">
            <v>Template de desconto percentual Bundle - Velox XDSL - Varejo</v>
          </cell>
          <cell r="D37">
            <v>0.1203</v>
          </cell>
          <cell r="E37" t="str">
            <v>MKT-1-10621037231</v>
          </cell>
          <cell r="F37" t="str">
            <v>0T3T_PAI18_Oi-35559_DET_BL_12.03%</v>
          </cell>
        </row>
        <row r="38">
          <cell r="A38" t="str">
            <v>Oi Total Fixo + Oi Mais 10GB + Banda Larga0.0693Template de desconto percentual Bundle - Fixo - Varejo - Ganho Tributário</v>
          </cell>
          <cell r="B38" t="str">
            <v>Oi Total Completo 10GB</v>
          </cell>
          <cell r="C38" t="str">
            <v>Template de desconto percentual Bundle - Fixo - Varejo - Ganho Tributário</v>
          </cell>
          <cell r="D38">
            <v>6.93E-2</v>
          </cell>
          <cell r="E38" t="str">
            <v>MKT-1-10621066771</v>
          </cell>
          <cell r="F38" t="str">
            <v>0T3T_PAI18_Oi-35559_DET_FIXO_FR_06.93%</v>
          </cell>
        </row>
        <row r="39">
          <cell r="A39" t="str">
            <v>Oi Total Fixo + Oi Mais 10GB + Banda Larga0.1938Template de desconto FLAT bundle - Velox XDSL - Varejo</v>
          </cell>
          <cell r="B39" t="str">
            <v>Oi Total Completo 10GB</v>
          </cell>
          <cell r="C39" t="str">
            <v>Template de desconto FLAT bundle - Velox XDSL - Varejo</v>
          </cell>
          <cell r="D39">
            <v>0.1938</v>
          </cell>
          <cell r="E39" t="str">
            <v>MKT-1-10621257411</v>
          </cell>
          <cell r="F39" t="str">
            <v>0T3T_PAI18_Oi-35559_FLAT_BL_19.38%</v>
          </cell>
        </row>
        <row r="40">
          <cell r="A40" t="str">
            <v>Oi Total Fixo + Oi Mais 10GB + Banda Larga0.195Template de desconto FLAT bundle - Velox XDSL - Varejo</v>
          </cell>
          <cell r="B40" t="str">
            <v>Oi Total Completo 10GB</v>
          </cell>
          <cell r="C40" t="str">
            <v>Template de desconto FLAT bundle - Velox XDSL - Varejo</v>
          </cell>
          <cell r="D40">
            <v>0.19500000000000001</v>
          </cell>
          <cell r="E40" t="str">
            <v>MKT-1-10621349961</v>
          </cell>
          <cell r="F40" t="str">
            <v>0T3T_PAI18_Oi-35559_FLAT_BL_19.50%</v>
          </cell>
        </row>
        <row r="41">
          <cell r="A41" t="str">
            <v>Oi Total Fixo + Oi Mais 10GB + Banda Larga0.309Template de desconto FLAT bundle - Velox XDSL - Varejo</v>
          </cell>
          <cell r="B41" t="str">
            <v>Oi Total Completo 10GB</v>
          </cell>
          <cell r="C41" t="str">
            <v>Template de desconto FLAT bundle - Velox XDSL - Varejo</v>
          </cell>
          <cell r="D41">
            <v>0.309</v>
          </cell>
          <cell r="E41" t="str">
            <v>MKT-1-10621382631</v>
          </cell>
          <cell r="F41" t="str">
            <v>0T3T_PAI18_Oi-35559_FLAT_BL_30.90%</v>
          </cell>
        </row>
        <row r="42">
          <cell r="A42" t="str">
            <v>Oi Total Fixo + Oi Mais 10GB + Banda Larga0.31Template de desconto FLAT bundle - Velox XDSL - Varejo</v>
          </cell>
          <cell r="B42" t="str">
            <v>Oi Total Completo 10GB</v>
          </cell>
          <cell r="C42" t="str">
            <v>Template de desconto FLAT bundle - Velox XDSL - Varejo</v>
          </cell>
          <cell r="D42">
            <v>0.31</v>
          </cell>
          <cell r="E42" t="str">
            <v>MKT-1-10621408671</v>
          </cell>
          <cell r="F42" t="str">
            <v>0T3T_PAI18_Oi-35559_FLAT_BL_31.00%</v>
          </cell>
        </row>
        <row r="43">
          <cell r="A43" t="str">
            <v>Oi Total Fixo + Oi Mais 10GB + Banda Larga0.3508Template de desconto FLAT bundle - Velox XDSL - Varejo</v>
          </cell>
          <cell r="B43" t="str">
            <v>Oi Total Completo 10GB</v>
          </cell>
          <cell r="C43" t="str">
            <v>Template de desconto FLAT bundle - Velox XDSL - Varejo</v>
          </cell>
          <cell r="D43">
            <v>0.3508</v>
          </cell>
          <cell r="E43" t="str">
            <v>MKT-1-10621459171</v>
          </cell>
          <cell r="F43" t="str">
            <v>0T3T_PAI18_Oi-35559_FLAT_BL_35.08%</v>
          </cell>
        </row>
        <row r="44">
          <cell r="A44" t="str">
            <v>Oi Total Fixo + Oi Mais 10GB + Banda Larga0.4229Template de desconto FLAT bundle - Velox XDSL - Varejo</v>
          </cell>
          <cell r="B44" t="str">
            <v>Oi Total Completo 10GB</v>
          </cell>
          <cell r="C44" t="str">
            <v>Template de desconto FLAT bundle - Velox XDSL - Varejo</v>
          </cell>
          <cell r="D44">
            <v>0.4229</v>
          </cell>
          <cell r="E44" t="str">
            <v>MKT-1-10621575111</v>
          </cell>
          <cell r="F44" t="str">
            <v>0T3T_PAI18_Oi-35559_FLAT_BL_42.29%</v>
          </cell>
        </row>
        <row r="45">
          <cell r="A45" t="str">
            <v>Oi Total Fixo + Oi Mais 10GB + Banda Larga0.4807Template de desconto FLAT bundle - Velox XDSL - Varejo</v>
          </cell>
          <cell r="B45" t="str">
            <v>Oi Total Completo 10GB</v>
          </cell>
          <cell r="C45" t="str">
            <v>Template de desconto FLAT bundle - Velox XDSL - Varejo</v>
          </cell>
          <cell r="D45">
            <v>0.48070000000000002</v>
          </cell>
          <cell r="E45" t="str">
            <v>MKT-1-10621303261</v>
          </cell>
          <cell r="F45" t="str">
            <v>0T3T_PAI18_Oi-35559_FLAT_BL_48.07%</v>
          </cell>
        </row>
        <row r="46">
          <cell r="A46" t="str">
            <v>Oi Total Fixo + Oi Mais 10GB + Banda Larga0.5443Template de desconto FLAT bundle - Velox XDSL - Varejo</v>
          </cell>
          <cell r="B46" t="str">
            <v>Oi Total Completo 10GB</v>
          </cell>
          <cell r="C46" t="str">
            <v>Template de desconto FLAT bundle - Velox XDSL - Varejo</v>
          </cell>
          <cell r="D46">
            <v>0.54430000000000001</v>
          </cell>
          <cell r="E46" t="str">
            <v>MKT-1-10621067131</v>
          </cell>
          <cell r="F46" t="str">
            <v>0T3T_PAI18_Oi-35559_FLAT_BL_54.43%</v>
          </cell>
        </row>
        <row r="47">
          <cell r="A47" t="str">
            <v>Oi Total Fixo + Oi Mais 10GB + Banda Larga0.5455Template de desconto FLAT bundle - Velox XDSL - Varejo</v>
          </cell>
          <cell r="B47" t="str">
            <v>Oi Total Completo 10GB</v>
          </cell>
          <cell r="C47" t="str">
            <v>Template de desconto FLAT bundle - Velox XDSL - Varejo</v>
          </cell>
          <cell r="D47">
            <v>0.54549999999999998</v>
          </cell>
          <cell r="E47" t="str">
            <v>MKT-1-10621155821</v>
          </cell>
          <cell r="F47" t="str">
            <v>0T3T_PAI18_Oi-35559_FLAT_BL_54.55%</v>
          </cell>
        </row>
        <row r="48">
          <cell r="A48" t="str">
            <v>Oi Total Fixo + Oi Mais 10GB + Banda Larga0.6094Template de desconto FLAT bundle - Velox XDSL - Varejo</v>
          </cell>
          <cell r="B48" t="str">
            <v>Oi Total Completo 10GB</v>
          </cell>
          <cell r="C48" t="str">
            <v>Template de desconto FLAT bundle - Velox XDSL - Varejo</v>
          </cell>
          <cell r="D48">
            <v>0.60940000000000005</v>
          </cell>
          <cell r="E48" t="str">
            <v>MKT-1-10621174281</v>
          </cell>
          <cell r="F48" t="str">
            <v>0T3T_PAI18_Oi-35559_FLAT_BL_60.94%</v>
          </cell>
        </row>
        <row r="49">
          <cell r="A49" t="str">
            <v>Oi Total Fixo + Oi Mais 10GB + Banda Larga0.6104Template de desconto FLAT bundle - Velox XDSL - Varejo</v>
          </cell>
          <cell r="B49" t="str">
            <v>Oi Total Completo 10GB</v>
          </cell>
          <cell r="C49" t="str">
            <v>Template de desconto FLAT bundle - Velox XDSL - Varejo</v>
          </cell>
          <cell r="D49">
            <v>0.61040000000000005</v>
          </cell>
          <cell r="E49" t="str">
            <v>MKT-1-10621188271</v>
          </cell>
          <cell r="F49" t="str">
            <v>0T3T_PAI18_Oi-35559_FLAT_BL_61.04%</v>
          </cell>
        </row>
        <row r="50">
          <cell r="A50" t="str">
            <v>Oi Total Fixo + Oi Mais 10GB + Banda Larga0.6206Template de desconto FLAT bundle - Velox XDSL - Varejo</v>
          </cell>
          <cell r="B50" t="str">
            <v>Oi Total Completo 10GB</v>
          </cell>
          <cell r="C50" t="str">
            <v>Template de desconto FLAT bundle - Velox XDSL - Varejo</v>
          </cell>
          <cell r="D50">
            <v>0.62060000000000004</v>
          </cell>
          <cell r="E50" t="str">
            <v>MKT-1-10621231601</v>
          </cell>
          <cell r="F50" t="str">
            <v>0T3T_PAI18_Oi-35559_FLAT_BL_62.06%</v>
          </cell>
        </row>
        <row r="51">
          <cell r="A51" t="str">
            <v>Oi Total Fixo + Oi Mais 10GB + Banda Larga0.6628Template de desconto FLAT bundle - Velox XDSL - Varejo</v>
          </cell>
          <cell r="B51" t="str">
            <v>Oi Total Completo 10GB</v>
          </cell>
          <cell r="C51" t="str">
            <v>Template de desconto FLAT bundle - Velox XDSL - Varejo</v>
          </cell>
          <cell r="D51">
            <v>0.66279999999999994</v>
          </cell>
          <cell r="E51" t="str">
            <v>MKT-1-10621205261</v>
          </cell>
          <cell r="F51" t="str">
            <v>0T3T_PAI18_Oi-35559_FLAT_BL_66.28%</v>
          </cell>
        </row>
        <row r="52">
          <cell r="A52" t="str">
            <v>Oi Total Fixo + Oi Mais 10GB + Banda Larga0.6787Template de desconto FLAT bundle - Velox XDSL - Varejo</v>
          </cell>
          <cell r="B52" t="str">
            <v>Oi Total Completo 10GB</v>
          </cell>
          <cell r="C52" t="str">
            <v>Template de desconto FLAT bundle - Velox XDSL - Varejo</v>
          </cell>
          <cell r="D52">
            <v>0.67869999999999997</v>
          </cell>
          <cell r="E52" t="str">
            <v>MKT-1-10621659551</v>
          </cell>
          <cell r="F52" t="str">
            <v>0T3T_PAI18_Oi-35559_FLAT_BL_67.87%</v>
          </cell>
        </row>
        <row r="53">
          <cell r="A53" t="str">
            <v>Oi Total Fixo + Oi Mais 10GB + Banda Larga0.6965Template de desconto FLAT bundle - Velox XDSL - Varejo</v>
          </cell>
          <cell r="B53" t="str">
            <v>Oi Total Completo 10GB</v>
          </cell>
          <cell r="C53" t="str">
            <v>Template de desconto FLAT bundle - Velox XDSL - Varejo</v>
          </cell>
          <cell r="D53">
            <v>0.69650000000000001</v>
          </cell>
          <cell r="E53" t="str">
            <v>MKT-1-10621243441</v>
          </cell>
          <cell r="F53" t="str">
            <v>0T3T_PAI18_Oi-35559_FLAT_BL_69.65%</v>
          </cell>
        </row>
        <row r="54">
          <cell r="A54" t="str">
            <v>Oi Total Fixo + Oi Mais 10GB + Banda Larga0.7095Template de desconto FLAT bundle - Velox XDSL - Varejo</v>
          </cell>
          <cell r="B54" t="str">
            <v>Oi Total Completo 10GB</v>
          </cell>
          <cell r="C54" t="str">
            <v>Template de desconto FLAT bundle - Velox XDSL - Varejo</v>
          </cell>
          <cell r="D54">
            <v>0.70950000000000002</v>
          </cell>
          <cell r="E54" t="str">
            <v>MKT-1-10621616761</v>
          </cell>
          <cell r="F54" t="str">
            <v>0T3T_PAI18_Oi-35559_FLAT_BL_70.95%</v>
          </cell>
        </row>
        <row r="55">
          <cell r="A55" t="str">
            <v>Oi Total Fixo + Oi Mais 10GB + Banda Larga0.7566Template de desconto FLAT bundle - Velox XDSL - Varejo</v>
          </cell>
          <cell r="B55" t="str">
            <v>Oi Total Completo 10GB</v>
          </cell>
          <cell r="C55" t="str">
            <v>Template de desconto FLAT bundle - Velox XDSL - Varejo</v>
          </cell>
          <cell r="D55">
            <v>0.75660000000000005</v>
          </cell>
          <cell r="E55" t="str">
            <v>MKT-1-10621232481</v>
          </cell>
          <cell r="F55" t="str">
            <v>0T3T_PAI18_Oi-35559_FLAT_BL_75.66%</v>
          </cell>
        </row>
        <row r="56">
          <cell r="A56" t="str">
            <v>Oi Total Fixo + Oi Mais 10GB + Banda Larga0.7866Template de desconto FLAT bundle - Velox XDSL - Varejo</v>
          </cell>
          <cell r="B56" t="str">
            <v>Oi Total Completo 10GB</v>
          </cell>
          <cell r="C56" t="str">
            <v>Template de desconto FLAT bundle - Velox XDSL - Varejo</v>
          </cell>
          <cell r="D56">
            <v>0.78659999999999997</v>
          </cell>
          <cell r="E56" t="str">
            <v>MKT-1-10621312971</v>
          </cell>
          <cell r="F56" t="str">
            <v>0T3T_PAI18_Oi-35559_FLAT_BL_78.66%</v>
          </cell>
        </row>
        <row r="57">
          <cell r="A57" t="str">
            <v>Oi Total Fixo + Oi Mais 10GB + Banda Larga0.8174Template de desconto FLAT bundle - Velox XDSL - Varejo</v>
          </cell>
          <cell r="B57" t="str">
            <v>Oi Total Completo 10GB</v>
          </cell>
          <cell r="C57" t="str">
            <v>Template de desconto FLAT bundle - Velox XDSL - Varejo</v>
          </cell>
          <cell r="D57">
            <v>0.81740000000000002</v>
          </cell>
          <cell r="E57" t="str">
            <v>MKT-1-10621281421</v>
          </cell>
          <cell r="F57" t="str">
            <v>0T3T_PAI18_Oi-35559_FLAT_BL_81.74%</v>
          </cell>
        </row>
        <row r="58">
          <cell r="A58" t="str">
            <v>Oi Total Fixo + Oi Mais 10GB + Banda Larga0.2444Template de desconto FLAT bundle - Fixo - Varejo - Ganho Tributário</v>
          </cell>
          <cell r="B58" t="str">
            <v>Oi Total Completo 10GB</v>
          </cell>
          <cell r="C58" t="str">
            <v>Template de desconto FLAT bundle - Fixo - Varejo - Ganho Tributário</v>
          </cell>
          <cell r="D58">
            <v>0.24440000000000001</v>
          </cell>
          <cell r="E58" t="str">
            <v>MKT-1-10621036531</v>
          </cell>
          <cell r="F58" t="str">
            <v>0T3T_PAI18_Oi-35559_FLAT_FIXO_FR_24.44%</v>
          </cell>
        </row>
        <row r="59">
          <cell r="A59" t="str">
            <v>Oi Total Fixo + Oi Mais 10GB + Banda Larga0.4507Template de desconto FLAT bundle - Fixo - Varejo - Ganho Tributário</v>
          </cell>
          <cell r="B59" t="str">
            <v>Oi Total Completo 10GB</v>
          </cell>
          <cell r="C59" t="str">
            <v>Template de desconto FLAT bundle - Fixo - Varejo - Ganho Tributário</v>
          </cell>
          <cell r="D59">
            <v>0.45069999999999999</v>
          </cell>
          <cell r="E59" t="str">
            <v>MKT-1-10621000291</v>
          </cell>
          <cell r="F59" t="str">
            <v>0T3T_PAI18_Oi-35559_FLAT_FIXO_FR_45.07%</v>
          </cell>
        </row>
        <row r="60">
          <cell r="A60" t="str">
            <v>Oi Total Fixo + Oi Mais 10GB + Banda Larga0.9243Template de desconto FLAT bundle - Fixo - Varejo - Ganho Tributário</v>
          </cell>
          <cell r="B60" t="str">
            <v>Oi Total Completo 10GB</v>
          </cell>
          <cell r="C60" t="str">
            <v>Template de desconto FLAT bundle - Fixo - Varejo - Ganho Tributário</v>
          </cell>
          <cell r="D60">
            <v>0.92430000000000001</v>
          </cell>
          <cell r="E60" t="str">
            <v>MKT-1-10624710291</v>
          </cell>
          <cell r="F60" t="str">
            <v>0T3T_PAI18_Oi-35559_FLAT_FIXO_FR_92.43%</v>
          </cell>
        </row>
        <row r="61">
          <cell r="A61" t="str">
            <v>Oi Total Fixo + Oi Mais 10GB + Banda Larga0.6775Template de desconto percentual FLAT Móvel - Conta Total - Varejo - Ganho Tributário Cross</v>
          </cell>
          <cell r="B61" t="str">
            <v>Oi Total Completo 10GB</v>
          </cell>
          <cell r="C61" t="str">
            <v>Template de desconto percentual FLAT Móvel - Conta Total - Varejo - Ganho Tributário Cross</v>
          </cell>
          <cell r="D61">
            <v>0.67749999999999999</v>
          </cell>
          <cell r="E61" t="str">
            <v>MKT-1-10624140001</v>
          </cell>
          <cell r="F61" t="str">
            <v>0T3T_PAI18_Oi-35559_FLAT_MÓVEL_GT_67.75%</v>
          </cell>
        </row>
        <row r="62">
          <cell r="A62" t="str">
            <v>Oi Total Fixo + Oi Mais 10GB + Banda Larga0.7765Template de desconto percentual FLAT Móvel - Conta Total - Varejo - Ganho Tributário Cross</v>
          </cell>
          <cell r="B62" t="str">
            <v>Oi Total Completo 10GB</v>
          </cell>
          <cell r="C62" t="str">
            <v>Template de desconto percentual FLAT Móvel - Conta Total - Varejo - Ganho Tributário Cross</v>
          </cell>
          <cell r="D62">
            <v>0.77649999999999997</v>
          </cell>
          <cell r="E62" t="str">
            <v>MKT-1-10624089491</v>
          </cell>
          <cell r="F62" t="str">
            <v>0T3T_PAI18_Oi-35559_FLAT_MÓVEL_GT_77.65%</v>
          </cell>
        </row>
        <row r="63">
          <cell r="A63" t="str">
            <v>Oi Total Fixo + Oi Mais 10GB + Banda Larga0.0938Template desconto FLAT Plano Principal Oi TV nível conta</v>
          </cell>
          <cell r="B63" t="str">
            <v>Oi Total Completo 10GB</v>
          </cell>
          <cell r="C63" t="str">
            <v>Template desconto FLAT Plano Principal Oi TV nível conta</v>
          </cell>
          <cell r="D63">
            <v>9.3799999999999994E-2</v>
          </cell>
          <cell r="E63" t="str">
            <v>MKT-1-10621970801</v>
          </cell>
          <cell r="F63" t="str">
            <v>0T3T_PAI18_Oi-35559_FLAT_TV_09.38%</v>
          </cell>
        </row>
        <row r="64">
          <cell r="A64" t="str">
            <v>Oi Total Fixo + Oi Mais 10GB + Banda Larga0.1135Template desconto FLAT Plano Principal Oi TV nível conta</v>
          </cell>
          <cell r="B64" t="str">
            <v>Oi Total Completo 10GB</v>
          </cell>
          <cell r="C64" t="str">
            <v>Template desconto FLAT Plano Principal Oi TV nível conta</v>
          </cell>
          <cell r="D64">
            <v>0.1135</v>
          </cell>
          <cell r="E64" t="str">
            <v>MKT-1-10624031261</v>
          </cell>
          <cell r="F64" t="str">
            <v>0T3T_PAI18_Oi-35559_FLAT_TV_11.35%</v>
          </cell>
        </row>
        <row r="65">
          <cell r="A65" t="str">
            <v>Oi Total Fixo + Oi Mais 10GB + Banda Larga0.1391Template desconto FLAT Plano Principal Oi TV nível conta</v>
          </cell>
          <cell r="B65" t="str">
            <v>Oi Total Completo 10GB</v>
          </cell>
          <cell r="C65" t="str">
            <v>Template desconto FLAT Plano Principal Oi TV nível conta</v>
          </cell>
          <cell r="D65">
            <v>0.1391</v>
          </cell>
          <cell r="E65" t="str">
            <v>MKT-1-10621986731</v>
          </cell>
          <cell r="F65" t="str">
            <v>0T3T_PAI18_Oi-35559_FLAT_TV_13.91%</v>
          </cell>
        </row>
        <row r="66">
          <cell r="A66" t="str">
            <v>Oi Total Fixo + Oi Mais 10GB + Banda Larga0.1415Template desconto FLAT Plano Principal Oi TV nível conta</v>
          </cell>
          <cell r="B66" t="str">
            <v>Oi Total Completo 10GB</v>
          </cell>
          <cell r="C66" t="str">
            <v>Template desconto FLAT Plano Principal Oi TV nível conta</v>
          </cell>
          <cell r="D66">
            <v>0.14149999999999999</v>
          </cell>
          <cell r="E66" t="str">
            <v>MKT-1-10621896171</v>
          </cell>
          <cell r="F66" t="str">
            <v>0T3T_PAI18_Oi-35559_FLAT_TV_14.15%</v>
          </cell>
        </row>
        <row r="67">
          <cell r="A67" t="str">
            <v>Oi Total Fixo + Oi Mais 10GB + Banda Larga0.1654Template desconto FLAT Plano Principal Oi TV nível conta</v>
          </cell>
          <cell r="B67" t="str">
            <v>Oi Total Completo 10GB</v>
          </cell>
          <cell r="C67" t="str">
            <v>Template desconto FLAT Plano Principal Oi TV nível conta</v>
          </cell>
          <cell r="D67">
            <v>0.16539999999999999</v>
          </cell>
          <cell r="E67" t="str">
            <v>MKT-1-10621740261</v>
          </cell>
          <cell r="F67" t="str">
            <v>0T3T_PAI18_Oi-35559_FLAT_TV_16.54%</v>
          </cell>
        </row>
        <row r="68">
          <cell r="A68" t="str">
            <v>Oi Total Fixo + Oi Mais 10GB + Banda Larga0.1726Template desconto FLAT Plano Principal Oi TV nível conta</v>
          </cell>
          <cell r="B68" t="str">
            <v>Oi Total Completo 10GB</v>
          </cell>
          <cell r="C68" t="str">
            <v>Template desconto FLAT Plano Principal Oi TV nível conta</v>
          </cell>
          <cell r="D68">
            <v>0.1726</v>
          </cell>
          <cell r="E68" t="str">
            <v>MKT-1-10621783391</v>
          </cell>
          <cell r="F68" t="str">
            <v>0T3T_PAI18_Oi-35559_FLAT_TV_17.26%</v>
          </cell>
        </row>
        <row r="69">
          <cell r="A69" t="str">
            <v>Oi Total Fixo + Oi Mais 10GB + Banda Larga0.2071Template desconto FLAT Plano Principal Oi TV nível conta</v>
          </cell>
          <cell r="B69" t="str">
            <v>Oi Total Completo 10GB</v>
          </cell>
          <cell r="C69" t="str">
            <v>Template desconto FLAT Plano Principal Oi TV nível conta</v>
          </cell>
          <cell r="D69">
            <v>0.20710000000000001</v>
          </cell>
          <cell r="E69" t="str">
            <v>MKT-1-10621782761</v>
          </cell>
          <cell r="F69" t="str">
            <v>0T3T_PAI18_Oi-35559_FLAT_TV_20.71%</v>
          </cell>
        </row>
        <row r="70">
          <cell r="A70" t="str">
            <v>Oi Total Fixo + Oi Mais 10GB + Banda Larga0.2131Template desconto FLAT Plano Principal Oi TV nível conta</v>
          </cell>
          <cell r="B70" t="str">
            <v>Oi Total Completo 10GB</v>
          </cell>
          <cell r="C70" t="str">
            <v>Template desconto FLAT Plano Principal Oi TV nível conta</v>
          </cell>
          <cell r="D70">
            <v>0.21310000000000001</v>
          </cell>
          <cell r="E70" t="str">
            <v>MKT-1-10621773991</v>
          </cell>
          <cell r="F70" t="str">
            <v>0T3T_PAI18_Oi-35559_FLAT_TV_21.31%</v>
          </cell>
        </row>
        <row r="71">
          <cell r="A71" t="str">
            <v>Oi Total Fixo + Oi Mais 10GB + Banda Larga0.2175Template desconto FLAT Plano Principal Oi TV nível conta</v>
          </cell>
          <cell r="B71" t="str">
            <v>Oi Total Completo 10GB</v>
          </cell>
          <cell r="C71" t="str">
            <v>Template desconto FLAT Plano Principal Oi TV nível conta</v>
          </cell>
          <cell r="D71">
            <v>0.2175</v>
          </cell>
          <cell r="E71" t="str">
            <v>MKT-1-10621663951</v>
          </cell>
          <cell r="F71" t="str">
            <v>0T3T_PAI18_Oi-35559_FLAT_TV_21.75%</v>
          </cell>
        </row>
        <row r="72">
          <cell r="A72" t="str">
            <v>Oi Total Fixo + Oi Mais 10GB + Banda Larga0.2408Template desconto FLAT Plano Principal Oi TV nível conta</v>
          </cell>
          <cell r="B72" t="str">
            <v>Oi Total Completo 10GB</v>
          </cell>
          <cell r="C72" t="str">
            <v>Template desconto FLAT Plano Principal Oi TV nível conta</v>
          </cell>
          <cell r="D72">
            <v>0.24079999999999999</v>
          </cell>
          <cell r="E72" t="str">
            <v>MKT-1-10621903361</v>
          </cell>
          <cell r="F72" t="str">
            <v>0T3T_PAI18_Oi-35559_FLAT_TV_24.08%</v>
          </cell>
        </row>
        <row r="73">
          <cell r="A73" t="str">
            <v>Oi Total Fixo + Oi Mais 10GB + Banda Larga0.2492Template desconto FLAT Plano Principal Oi TV nível conta</v>
          </cell>
          <cell r="B73" t="str">
            <v>Oi Total Completo 10GB</v>
          </cell>
          <cell r="C73" t="str">
            <v>Template desconto FLAT Plano Principal Oi TV nível conta</v>
          </cell>
          <cell r="D73">
            <v>0.2492</v>
          </cell>
          <cell r="E73" t="str">
            <v>MKT-1-10621895711</v>
          </cell>
          <cell r="F73" t="str">
            <v>0T3T_PAI18_Oi-35559_FLAT_TV_24.92%</v>
          </cell>
        </row>
        <row r="74">
          <cell r="A74" t="str">
            <v>Oi Total Fixo + Oi Mais 10GB + Banda Larga0.3144Template desconto FLAT Plano Principal Oi TV nível conta</v>
          </cell>
          <cell r="B74" t="str">
            <v>Oi Total Completo 10GB</v>
          </cell>
          <cell r="C74" t="str">
            <v>Template desconto FLAT Plano Principal Oi TV nível conta</v>
          </cell>
          <cell r="D74">
            <v>0.31440000000000001</v>
          </cell>
          <cell r="E74" t="str">
            <v>MKT-1-10621664441</v>
          </cell>
          <cell r="F74" t="str">
            <v>0T3T_PAI18_Oi-35559_FLAT_TV_31.44%</v>
          </cell>
        </row>
        <row r="75">
          <cell r="A75" t="str">
            <v>Oi Total Fixo + Oi Mais 10GB + Banda Larga0.327Template desconto FLAT Plano Principal Oi TV nível conta</v>
          </cell>
          <cell r="B75" t="str">
            <v>Oi Total Completo 10GB</v>
          </cell>
          <cell r="C75" t="str">
            <v>Template desconto FLAT Plano Principal Oi TV nível conta</v>
          </cell>
          <cell r="D75">
            <v>0.32700000000000001</v>
          </cell>
          <cell r="E75" t="str">
            <v>MKT-1-10621606611</v>
          </cell>
          <cell r="F75" t="str">
            <v>0T3T_PAI18_Oi-35559_FLAT_TV_32.70%</v>
          </cell>
        </row>
        <row r="76">
          <cell r="A76" t="str">
            <v>Oi Total Fixo + Oi Mais 20GB + Banda Larga0.6956Template Desc. % Dados nível conta B2C</v>
          </cell>
          <cell r="B76" t="str">
            <v>Oi Total Completo 20GB</v>
          </cell>
          <cell r="C76" t="str">
            <v>Template Desc. % Dados nível conta B2C</v>
          </cell>
          <cell r="D76">
            <v>0.6956</v>
          </cell>
          <cell r="E76" t="str">
            <v>MKT-1-10624231951</v>
          </cell>
          <cell r="F76" t="str">
            <v>0T3T_PAI18_Oi-35587_DADOS_CONTA_69.56%</v>
          </cell>
        </row>
        <row r="77">
          <cell r="A77" t="str">
            <v>Oi Total Fixo + Oi Mais 20GB + Banda Larga0.8289Template Desc. % Dados nível conta B2C</v>
          </cell>
          <cell r="B77" t="str">
            <v>Oi Total Completo 20GB</v>
          </cell>
          <cell r="C77" t="str">
            <v>Template Desc. % Dados nível conta B2C</v>
          </cell>
          <cell r="D77">
            <v>0.82889999999999997</v>
          </cell>
          <cell r="E77" t="str">
            <v>MKT-1-10624187421</v>
          </cell>
          <cell r="F77" t="str">
            <v>0T3T_PAI18_Oi-35587_DADOS_CONTA_82.89%</v>
          </cell>
        </row>
        <row r="78">
          <cell r="A78" t="str">
            <v>Oi Total Fixo + Oi Mais 20GB + Banda Larga0.0903Template de desconto percentual Bundle - Velox XDSL - Varejo</v>
          </cell>
          <cell r="B78" t="str">
            <v>Oi Total Completo 20GB</v>
          </cell>
          <cell r="C78" t="str">
            <v>Template de desconto percentual Bundle - Velox XDSL - Varejo</v>
          </cell>
          <cell r="D78">
            <v>9.0300000000000005E-2</v>
          </cell>
          <cell r="E78" t="str">
            <v>MKT-1-10621257401</v>
          </cell>
          <cell r="F78" t="str">
            <v>0T3T_PAI18_Oi-35587_DET_BL_09.03%</v>
          </cell>
        </row>
        <row r="79">
          <cell r="A79" t="str">
            <v>Oi Total Fixo + Oi Mais 20GB + Banda Larga0.1057Template de desconto percentual Bundle - Velox XDSL - Varejo</v>
          </cell>
          <cell r="B79" t="str">
            <v>Oi Total Completo 20GB</v>
          </cell>
          <cell r="C79" t="str">
            <v>Template de desconto percentual Bundle - Velox XDSL - Varejo</v>
          </cell>
          <cell r="D79">
            <v>0.1057</v>
          </cell>
          <cell r="E79" t="str">
            <v>MKT-1-10621349621</v>
          </cell>
          <cell r="F79" t="str">
            <v>0T3T_PAI18_Oi-35587_DET_BL_10.57%</v>
          </cell>
        </row>
        <row r="80">
          <cell r="A80" t="str">
            <v>Oi Total Fixo + Oi Mais 20GB + Banda Larga0.1203Template de desconto percentual Bundle - Velox XDSL - Varejo</v>
          </cell>
          <cell r="B80" t="str">
            <v>Oi Total Completo 20GB</v>
          </cell>
          <cell r="C80" t="str">
            <v>Template de desconto percentual Bundle - Velox XDSL - Varejo</v>
          </cell>
          <cell r="D80">
            <v>0.1203</v>
          </cell>
          <cell r="E80" t="str">
            <v>MKT-1-10621256801</v>
          </cell>
          <cell r="F80" t="str">
            <v>0T3T_PAI18_Oi-35587_DET_BL_12.03%</v>
          </cell>
        </row>
        <row r="81">
          <cell r="A81" t="str">
            <v>Oi Total Fixo + Oi Mais 20GB + Banda Larga0.0693Template de desconto percentual Bundle - Fixo - Varejo - Ganho Tributário</v>
          </cell>
          <cell r="B81" t="str">
            <v>Oi Total Completo 20GB</v>
          </cell>
          <cell r="C81" t="str">
            <v>Template de desconto percentual Bundle - Fixo - Varejo - Ganho Tributário</v>
          </cell>
          <cell r="D81">
            <v>6.93E-2</v>
          </cell>
          <cell r="E81" t="str">
            <v>MKT-1-10621119001</v>
          </cell>
          <cell r="F81" t="str">
            <v>0T3T_PAI18_Oi-35587_DET_FIXO_FR_06.93%</v>
          </cell>
        </row>
        <row r="82">
          <cell r="A82" t="str">
            <v>Oi Total Fixo + Oi Mais 20GB + Banda Larga0.1938Template de desconto FLAT bundle - Velox XDSL - Varejo</v>
          </cell>
          <cell r="B82" t="str">
            <v>Oi Total Completo 20GB</v>
          </cell>
          <cell r="C82" t="str">
            <v>Template de desconto FLAT bundle - Velox XDSL - Varejo</v>
          </cell>
          <cell r="D82">
            <v>0.1938</v>
          </cell>
          <cell r="E82" t="str">
            <v>MKT-1-10621337571</v>
          </cell>
          <cell r="F82" t="str">
            <v>0T3T_PAI18_Oi-35587_FLAT_BL_19.38%</v>
          </cell>
        </row>
        <row r="83">
          <cell r="A83" t="str">
            <v>Oi Total Fixo + Oi Mais 20GB + Banda Larga0.195Template de desconto FLAT bundle - Velox XDSL - Varejo</v>
          </cell>
          <cell r="B83" t="str">
            <v>Oi Total Completo 20GB</v>
          </cell>
          <cell r="C83" t="str">
            <v>Template de desconto FLAT bundle - Velox XDSL - Varejo</v>
          </cell>
          <cell r="D83">
            <v>0.19500000000000001</v>
          </cell>
          <cell r="E83" t="str">
            <v>MKT-1-10621338031</v>
          </cell>
          <cell r="F83" t="str">
            <v>0T3T_PAI18_Oi-35587_FLAT_BL_19.50%</v>
          </cell>
        </row>
        <row r="84">
          <cell r="A84" t="str">
            <v>Oi Total Fixo + Oi Mais 20GB + Banda Larga0.309Template de desconto FLAT bundle - Velox XDSL - Varejo</v>
          </cell>
          <cell r="B84" t="str">
            <v>Oi Total Completo 20GB</v>
          </cell>
          <cell r="C84" t="str">
            <v>Template de desconto FLAT bundle - Velox XDSL - Varejo</v>
          </cell>
          <cell r="D84">
            <v>0.309</v>
          </cell>
          <cell r="E84" t="str">
            <v>MKT-1-10621382941</v>
          </cell>
          <cell r="F84" t="str">
            <v>0T3T_PAI18_Oi-35587_FLAT_BL_30.90%</v>
          </cell>
        </row>
        <row r="85">
          <cell r="A85" t="str">
            <v>Oi Total Fixo + Oi Mais 20GB + Banda Larga0.31Template de desconto FLAT bundle - Velox XDSL - Varejo</v>
          </cell>
          <cell r="B85" t="str">
            <v>Oi Total Completo 20GB</v>
          </cell>
          <cell r="C85" t="str">
            <v>Template de desconto FLAT bundle - Velox XDSL - Varejo</v>
          </cell>
          <cell r="D85">
            <v>0.31</v>
          </cell>
          <cell r="E85" t="str">
            <v>MKT-1-10621388321</v>
          </cell>
          <cell r="F85" t="str">
            <v>0T3T_PAI18_Oi-35587_FLAT_BL_31.00%</v>
          </cell>
        </row>
        <row r="86">
          <cell r="A86" t="str">
            <v>Oi Total Fixo + Oi Mais 20GB + Banda Larga0.3508Template de desconto FLAT bundle - Velox XDSL - Varejo</v>
          </cell>
          <cell r="B86" t="str">
            <v>Oi Total Completo 20GB</v>
          </cell>
          <cell r="C86" t="str">
            <v>Template de desconto FLAT bundle - Velox XDSL - Varejo</v>
          </cell>
          <cell r="D86">
            <v>0.3508</v>
          </cell>
          <cell r="E86" t="str">
            <v>MKT-1-10621459471</v>
          </cell>
          <cell r="F86" t="str">
            <v>0T3T_PAI18_Oi-35587_FLAT_BL_35.08%</v>
          </cell>
        </row>
        <row r="87">
          <cell r="A87" t="str">
            <v>Oi Total Fixo + Oi Mais 20GB + Banda Larga0.4229Template de desconto FLAT bundle - Velox XDSL - Varejo</v>
          </cell>
          <cell r="B87" t="str">
            <v>Oi Total Completo 20GB</v>
          </cell>
          <cell r="C87" t="str">
            <v>Template de desconto FLAT bundle - Velox XDSL - Varejo</v>
          </cell>
          <cell r="D87">
            <v>0.4229</v>
          </cell>
          <cell r="E87" t="str">
            <v>MKT-1-10621562811</v>
          </cell>
          <cell r="F87" t="str">
            <v>0T3T_PAI18_Oi-35587_FLAT_BL_42.29%</v>
          </cell>
        </row>
        <row r="88">
          <cell r="A88" t="str">
            <v>Oi Total Fixo + Oi Mais 20GB + Banda Larga0.4807Template de desconto FLAT bundle - Velox XDSL - Varejo</v>
          </cell>
          <cell r="B88" t="str">
            <v>Oi Total Completo 20GB</v>
          </cell>
          <cell r="C88" t="str">
            <v>Template de desconto FLAT bundle - Velox XDSL - Varejo</v>
          </cell>
          <cell r="D88">
            <v>0.48070000000000002</v>
          </cell>
          <cell r="E88" t="str">
            <v>MKT-1-10621596921</v>
          </cell>
          <cell r="F88" t="str">
            <v>0T3T_PAI18_Oi-35587_FLAT_BL_48.07%</v>
          </cell>
        </row>
        <row r="89">
          <cell r="A89" t="str">
            <v>Oi Total Fixo + Oi Mais 20GB + Banda Larga0.5443Template de desconto FLAT bundle - Velox XDSL - Varejo</v>
          </cell>
          <cell r="B89" t="str">
            <v>Oi Total Completo 20GB</v>
          </cell>
          <cell r="C89" t="str">
            <v>Template de desconto FLAT bundle - Velox XDSL - Varejo</v>
          </cell>
          <cell r="D89">
            <v>0.54430000000000001</v>
          </cell>
          <cell r="E89" t="str">
            <v>MKT-1-10621143041</v>
          </cell>
          <cell r="F89" t="str">
            <v>0T3T_PAI18_Oi-35587_FLAT_BL_54.43%</v>
          </cell>
        </row>
        <row r="90">
          <cell r="A90" t="str">
            <v>Oi Total Fixo + Oi Mais 20GB + Banda Larga0.5455Template de desconto FLAT bundle - Velox XDSL - Varejo</v>
          </cell>
          <cell r="B90" t="str">
            <v>Oi Total Completo 20GB</v>
          </cell>
          <cell r="C90" t="str">
            <v>Template de desconto FLAT bundle - Velox XDSL - Varejo</v>
          </cell>
          <cell r="D90">
            <v>0.54549999999999998</v>
          </cell>
          <cell r="E90" t="str">
            <v>MKT-1-10621155511</v>
          </cell>
          <cell r="F90" t="str">
            <v>0T3T_PAI18_Oi-35587_FLAT_BL_54.55%</v>
          </cell>
        </row>
        <row r="91">
          <cell r="A91" t="str">
            <v>Oi Total Fixo + Oi Mais 20GB + Banda Larga0.6094Template de desconto FLAT bundle - Velox XDSL - Varejo</v>
          </cell>
          <cell r="B91" t="str">
            <v>Oi Total Completo 20GB</v>
          </cell>
          <cell r="C91" t="str">
            <v>Template de desconto FLAT bundle - Velox XDSL - Varejo</v>
          </cell>
          <cell r="D91">
            <v>0.60940000000000005</v>
          </cell>
          <cell r="E91" t="str">
            <v>MKT-1-10621187631</v>
          </cell>
          <cell r="F91" t="str">
            <v>0T3T_PAI18_Oi-35587_FLAT_BL_60.94%</v>
          </cell>
        </row>
        <row r="92">
          <cell r="A92" t="str">
            <v>Oi Total Fixo + Oi Mais 20GB + Banda Larga0.6104Template de desconto FLAT bundle - Velox XDSL - Varejo</v>
          </cell>
          <cell r="B92" t="str">
            <v>Oi Total Completo 20GB</v>
          </cell>
          <cell r="C92" t="str">
            <v>Template de desconto FLAT bundle - Velox XDSL - Varejo</v>
          </cell>
          <cell r="D92">
            <v>0.61040000000000005</v>
          </cell>
          <cell r="E92" t="str">
            <v>MKT-1-10621187961</v>
          </cell>
          <cell r="F92" t="str">
            <v>0T3T_PAI18_Oi-35587_FLAT_BL_61.04%</v>
          </cell>
        </row>
        <row r="93">
          <cell r="A93" t="str">
            <v>Oi Total Fixo + Oi Mais 20GB + Banda Larga0.6206Template de desconto FLAT bundle - Velox XDSL - Varejo</v>
          </cell>
          <cell r="B93" t="str">
            <v>Oi Total Completo 20GB</v>
          </cell>
          <cell r="C93" t="str">
            <v>Template de desconto FLAT bundle - Velox XDSL - Varejo</v>
          </cell>
          <cell r="D93">
            <v>0.62060000000000004</v>
          </cell>
          <cell r="E93" t="str">
            <v>MKT-1-10621242581</v>
          </cell>
          <cell r="F93" t="str">
            <v>0T3T_PAI18_Oi-35587_FLAT_BL_62.06%</v>
          </cell>
        </row>
        <row r="94">
          <cell r="A94" t="str">
            <v>Oi Total Fixo + Oi Mais 20GB + Banda Larga0.6628Template de desconto FLAT bundle - Velox XDSL - Varejo</v>
          </cell>
          <cell r="B94" t="str">
            <v>Oi Total Completo 20GB</v>
          </cell>
          <cell r="C94" t="str">
            <v>Template de desconto FLAT bundle - Velox XDSL - Varejo</v>
          </cell>
          <cell r="D94">
            <v>0.66279999999999994</v>
          </cell>
          <cell r="E94" t="str">
            <v>MKT-1-10621204911</v>
          </cell>
          <cell r="F94" t="str">
            <v>0T3T_PAI18_Oi-35587_FLAT_BL_66.28%</v>
          </cell>
        </row>
        <row r="95">
          <cell r="A95" t="str">
            <v>Oi Total Fixo + Oi Mais 20GB + Banda Larga0.6787Template de desconto FLAT bundle - Velox XDSL - Varejo</v>
          </cell>
          <cell r="B95" t="str">
            <v>Oi Total Completo 20GB</v>
          </cell>
          <cell r="C95" t="str">
            <v>Template de desconto FLAT bundle - Velox XDSL - Varejo</v>
          </cell>
          <cell r="D95">
            <v>0.67869999999999997</v>
          </cell>
          <cell r="E95" t="str">
            <v>MKT-1-10621660011</v>
          </cell>
          <cell r="F95" t="str">
            <v>0T3T_PAI18_Oi-35587_FLAT_BL_67.87%</v>
          </cell>
        </row>
        <row r="96">
          <cell r="A96" t="str">
            <v>Oi Total Fixo + Oi Mais 20GB + Banda Larga0.6965Template de desconto FLAT bundle - Velox XDSL - Varejo</v>
          </cell>
          <cell r="B96" t="str">
            <v>Oi Total Completo 20GB</v>
          </cell>
          <cell r="C96" t="str">
            <v>Template de desconto FLAT bundle - Velox XDSL - Varejo</v>
          </cell>
          <cell r="D96">
            <v>0.69650000000000001</v>
          </cell>
          <cell r="E96" t="str">
            <v>MKT-1-10621280751</v>
          </cell>
          <cell r="F96" t="str">
            <v>0T3T_PAI18_Oi-35587_FLAT_BL_69.65%</v>
          </cell>
        </row>
        <row r="97">
          <cell r="A97" t="str">
            <v>Oi Total Fixo + Oi Mais 20GB + Banda Larga0.7095Template de desconto FLAT bundle - Velox XDSL - Varejo</v>
          </cell>
          <cell r="B97" t="str">
            <v>Oi Total Completo 20GB</v>
          </cell>
          <cell r="C97" t="str">
            <v>Template de desconto FLAT bundle - Velox XDSL - Varejo</v>
          </cell>
          <cell r="D97">
            <v>0.70950000000000002</v>
          </cell>
          <cell r="E97" t="str">
            <v>MKT-1-10621595361</v>
          </cell>
          <cell r="F97" t="str">
            <v>0T3T_PAI18_Oi-35587_FLAT_BL_70.95%</v>
          </cell>
        </row>
        <row r="98">
          <cell r="A98" t="str">
            <v>Oi Total Fixo + Oi Mais 20GB + Banda Larga0.7566Template de desconto FLAT bundle - Velox XDSL - Varejo</v>
          </cell>
          <cell r="B98" t="str">
            <v>Oi Total Completo 20GB</v>
          </cell>
          <cell r="C98" t="str">
            <v>Template de desconto FLAT bundle - Velox XDSL - Varejo</v>
          </cell>
          <cell r="D98">
            <v>0.75660000000000005</v>
          </cell>
          <cell r="E98" t="str">
            <v>MKT-1-10621281081</v>
          </cell>
          <cell r="F98" t="str">
            <v>0T3T_PAI18_Oi-35587_FLAT_BL_75.66%</v>
          </cell>
        </row>
        <row r="99">
          <cell r="A99" t="str">
            <v>Oi Total Fixo + Oi Mais 20GB + Banda Larga0.7866Template de desconto FLAT bundle - Velox XDSL - Varejo</v>
          </cell>
          <cell r="B99" t="str">
            <v>Oi Total Completo 20GB</v>
          </cell>
          <cell r="C99" t="str">
            <v>Template de desconto FLAT bundle - Velox XDSL - Varejo</v>
          </cell>
          <cell r="D99">
            <v>0.78659999999999997</v>
          </cell>
          <cell r="E99" t="str">
            <v>MKT-1-10621294361</v>
          </cell>
          <cell r="F99" t="str">
            <v>0T3T_PAI18_Oi-35587_FLAT_BL_78.66%</v>
          </cell>
        </row>
        <row r="100">
          <cell r="A100" t="str">
            <v>Oi Total Fixo + Oi Mais 20GB + Banda Larga0.8174Template de desconto FLAT bundle - Velox XDSL - Varejo</v>
          </cell>
          <cell r="B100" t="str">
            <v>Oi Total Completo 20GB</v>
          </cell>
          <cell r="C100" t="str">
            <v>Template de desconto FLAT bundle - Velox XDSL - Varejo</v>
          </cell>
          <cell r="D100">
            <v>0.81740000000000002</v>
          </cell>
          <cell r="E100" t="str">
            <v>MKT-1-10621297831</v>
          </cell>
          <cell r="F100" t="str">
            <v>0T3T_PAI18_Oi-35587_FLAT_BL_81.74%</v>
          </cell>
        </row>
        <row r="101">
          <cell r="A101" t="str">
            <v>Oi Total Fixo + Oi Mais 20GB + Banda Larga0.2444Template de desconto FLAT bundle - Fixo - Varejo - Ganho Tributário</v>
          </cell>
          <cell r="B101" t="str">
            <v>Oi Total Completo 20GB</v>
          </cell>
          <cell r="C101" t="str">
            <v>Template de desconto FLAT bundle - Fixo - Varejo - Ganho Tributário</v>
          </cell>
          <cell r="D101">
            <v>0.24440000000000001</v>
          </cell>
          <cell r="E101" t="str">
            <v>MKT-1-10621036821</v>
          </cell>
          <cell r="F101" t="str">
            <v>0T3T_PAI18_Oi-35587_FLAT_FIXO_FR_24.44%</v>
          </cell>
        </row>
        <row r="102">
          <cell r="A102" t="str">
            <v>Oi Total Fixo + Oi Mais 20GB + Banda Larga0.4507Template de desconto FLAT bundle - Fixo - Varejo - Ganho Tributário</v>
          </cell>
          <cell r="B102" t="str">
            <v>Oi Total Completo 20GB</v>
          </cell>
          <cell r="C102" t="str">
            <v>Template de desconto FLAT bundle - Fixo - Varejo - Ganho Tributário</v>
          </cell>
          <cell r="D102">
            <v>0.45069999999999999</v>
          </cell>
          <cell r="E102" t="str">
            <v>MKT-1-10621018851</v>
          </cell>
          <cell r="F102" t="str">
            <v>0T3T_PAI18_Oi-35587_FLAT_FIXO_FR_45.07%</v>
          </cell>
        </row>
        <row r="103">
          <cell r="A103" t="str">
            <v>Oi Total Fixo + Oi Mais 20GB + Banda Larga0.9243Template de desconto FLAT bundle - Fixo - Varejo - Ganho Tributário</v>
          </cell>
          <cell r="B103" t="str">
            <v>Oi Total Completo 20GB</v>
          </cell>
          <cell r="C103" t="str">
            <v>Template de desconto FLAT bundle - Fixo - Varejo - Ganho Tributário</v>
          </cell>
          <cell r="D103">
            <v>0.92430000000000001</v>
          </cell>
          <cell r="E103" t="str">
            <v>MKT-1-10624758581</v>
          </cell>
          <cell r="F103" t="str">
            <v>0T3T_PAI18_Oi-35587_FLAT_FIXO_FR_92.43%</v>
          </cell>
        </row>
        <row r="104">
          <cell r="A104" t="str">
            <v>Oi Total Fixo + Oi Mais 20GB + Banda Larga0.6908Template de desconto percentual FLAT Móvel - Conta Total - Varejo - Ganho Tributário Cross</v>
          </cell>
          <cell r="B104" t="str">
            <v>Oi Total Completo 20GB</v>
          </cell>
          <cell r="C104" t="str">
            <v>Template de desconto percentual FLAT Móvel - Conta Total - Varejo - Ganho Tributário Cross</v>
          </cell>
          <cell r="D104">
            <v>0.69079999999999997</v>
          </cell>
          <cell r="E104" t="str">
            <v>MKT-1-10624155511</v>
          </cell>
          <cell r="F104" t="str">
            <v>0T3T_PAI18_Oi-35587_FLAT_MÓVEL_GT_69.08%</v>
          </cell>
        </row>
        <row r="105">
          <cell r="A105" t="str">
            <v>Oi Total Fixo + Oi Mais 20GB + Banda Larga0.7898Template de desconto percentual FLAT Móvel - Conta Total - Varejo - Ganho Tributário Cross</v>
          </cell>
          <cell r="B105" t="str">
            <v>Oi Total Completo 20GB</v>
          </cell>
          <cell r="C105" t="str">
            <v>Template de desconto percentual FLAT Móvel - Conta Total - Varejo - Ganho Tributário Cross</v>
          </cell>
          <cell r="D105">
            <v>0.78979999999999995</v>
          </cell>
          <cell r="E105" t="str">
            <v>MKT-1-10624070481</v>
          </cell>
          <cell r="F105" t="str">
            <v>0T3T_PAI18_Oi-35587_FLAT_MÓVEL_GT_78.98%</v>
          </cell>
        </row>
        <row r="106">
          <cell r="A106" t="str">
            <v>Oi Total Fixo + Oi Mais 20GB + Banda Larga0.0938Template desconto FLAT Plano Principal Oi TV nível conta</v>
          </cell>
          <cell r="B106" t="str">
            <v>Oi Total Completo 20GB</v>
          </cell>
          <cell r="C106" t="str">
            <v>Template desconto FLAT Plano Principal Oi TV nível conta</v>
          </cell>
          <cell r="D106">
            <v>9.3799999999999994E-2</v>
          </cell>
          <cell r="E106" t="str">
            <v>MKT-1-10622197161</v>
          </cell>
          <cell r="F106" t="str">
            <v>0T3T_PAI18_Oi-35587_FLAT_TV_09.38%</v>
          </cell>
        </row>
        <row r="107">
          <cell r="A107" t="str">
            <v>Oi Total Fixo + Oi Mais 20GB + Banda Larga0.2288Template desconto FLAT Plano Principal Oi TV nível conta</v>
          </cell>
          <cell r="B107" t="str">
            <v>Oi Total Completo 20GB</v>
          </cell>
          <cell r="C107" t="str">
            <v>Template desconto FLAT Plano Principal Oi TV nível conta</v>
          </cell>
          <cell r="D107">
            <v>0.2288</v>
          </cell>
          <cell r="E107" t="str">
            <v>MKT-1-10624156021</v>
          </cell>
          <cell r="F107" t="str">
            <v>0T3T_PAI18_Oi-35587_FLAT_TV_22.88%</v>
          </cell>
        </row>
        <row r="108">
          <cell r="A108" t="str">
            <v>Oi Total Fixo + Oi Mais 20GB + Banda Larga0.2395Template desconto FLAT Plano Principal Oi TV nível conta</v>
          </cell>
          <cell r="B108" t="str">
            <v>Oi Total Completo 20GB</v>
          </cell>
          <cell r="C108" t="str">
            <v>Template desconto FLAT Plano Principal Oi TV nível conta</v>
          </cell>
          <cell r="D108">
            <v>0.23949999999999999</v>
          </cell>
          <cell r="E108" t="str">
            <v>MKT-1-10624156481</v>
          </cell>
          <cell r="F108" t="str">
            <v>0T3T_PAI18_Oi-35587_FLAT_TV_23.95%</v>
          </cell>
        </row>
        <row r="109">
          <cell r="A109" t="str">
            <v>Oi Total Fixo + Oi Mais 20GB + Banda Larga0.2603Template desconto FLAT Plano Principal Oi TV nível conta</v>
          </cell>
          <cell r="B109" t="str">
            <v>Oi Total Completo 20GB</v>
          </cell>
          <cell r="C109" t="str">
            <v>Template desconto FLAT Plano Principal Oi TV nível conta</v>
          </cell>
          <cell r="D109">
            <v>0.26029999999999998</v>
          </cell>
          <cell r="E109" t="str">
            <v>MKT-1-10624152531</v>
          </cell>
          <cell r="F109" t="str">
            <v>0T3T_PAI18_Oi-35587_FLAT_TV_26.03%</v>
          </cell>
        </row>
        <row r="110">
          <cell r="A110" t="str">
            <v>Oi Total Fixo + Oi Mais 20GB + Banda Larga0.3431Template desconto FLAT Plano Principal Oi TV nível conta</v>
          </cell>
          <cell r="B110" t="str">
            <v>Oi Total Completo 20GB</v>
          </cell>
          <cell r="C110" t="str">
            <v>Template desconto FLAT Plano Principal Oi TV nível conta</v>
          </cell>
          <cell r="D110">
            <v>0.34310000000000002</v>
          </cell>
          <cell r="E110" t="str">
            <v>MKT-1-10621811991</v>
          </cell>
          <cell r="F110" t="str">
            <v>0T3T_PAI18_Oi-35587_FLAT_TV_34.31%</v>
          </cell>
        </row>
        <row r="111">
          <cell r="A111" t="str">
            <v>Oi Total Fixo + Oi Mais 20GB + Banda Larga0.4176Template desconto FLAT Plano Principal Oi TV nível conta</v>
          </cell>
          <cell r="B111" t="str">
            <v>Oi Total Completo 20GB</v>
          </cell>
          <cell r="C111" t="str">
            <v>Template desconto FLAT Plano Principal Oi TV nível conta</v>
          </cell>
          <cell r="D111">
            <v>0.41760000000000003</v>
          </cell>
          <cell r="E111" t="str">
            <v>MKT-1-10621838691</v>
          </cell>
          <cell r="F111" t="str">
            <v>0T3T_PAI18_Oi-35587_FLAT_TV_41.76%</v>
          </cell>
        </row>
        <row r="112">
          <cell r="A112" t="str">
            <v>Oi Total Fixo + Oi Mais 20GB + Banda Larga0.441Template desconto FLAT Plano Principal Oi TV nível conta</v>
          </cell>
          <cell r="B112" t="str">
            <v>Oi Total Completo 20GB</v>
          </cell>
          <cell r="C112" t="str">
            <v>Template desconto FLAT Plano Principal Oi TV nível conta</v>
          </cell>
          <cell r="D112">
            <v>0.441</v>
          </cell>
          <cell r="E112" t="str">
            <v>MKT-1-10621607071</v>
          </cell>
          <cell r="F112" t="str">
            <v>0T3T_PAI18_Oi-35587_FLAT_TV_44.10%</v>
          </cell>
        </row>
        <row r="113">
          <cell r="A113" t="str">
            <v>Oi Total Fixo + Oi Mais 20GB + Banda Larga0.4638Template desconto FLAT Plano Principal Oi TV nível conta</v>
          </cell>
          <cell r="B113" t="str">
            <v>Oi Total Completo 20GB</v>
          </cell>
          <cell r="C113" t="str">
            <v>Template desconto FLAT Plano Principal Oi TV nível conta</v>
          </cell>
          <cell r="D113">
            <v>0.46379999999999999</v>
          </cell>
          <cell r="E113" t="str">
            <v>MKT-1-10621833881</v>
          </cell>
          <cell r="F113" t="str">
            <v>0T3T_PAI18_Oi-35587_FLAT_TV_46.38%</v>
          </cell>
        </row>
        <row r="114">
          <cell r="A114" t="str">
            <v>Oi Total Fixo + Pós 250 + Banda Larga0.3203Template desconto % Combate nível conta</v>
          </cell>
          <cell r="B114" t="str">
            <v>Plano Oi Completo Medium</v>
          </cell>
          <cell r="C114" t="str">
            <v>Template desconto % Combate nível conta</v>
          </cell>
          <cell r="D114">
            <v>0.32029999999999997</v>
          </cell>
          <cell r="E114" t="str">
            <v>MKT-1-10624232431</v>
          </cell>
          <cell r="F114" t="str">
            <v>0T3T_PAI18_Oi-36221_ALACARTE_COMBATE_32.03%</v>
          </cell>
        </row>
        <row r="115">
          <cell r="A115" t="str">
            <v>Oi Total Fixo + Pós 100 + Banda Larga0.3203Template desconto % Combate nível conta</v>
          </cell>
          <cell r="B115" t="str">
            <v>Plano Oi Completo Small</v>
          </cell>
          <cell r="C115" t="str">
            <v>Template desconto % Combate nível conta</v>
          </cell>
          <cell r="D115">
            <v>0.32029999999999997</v>
          </cell>
          <cell r="E115" t="str">
            <v>MKT-1-10624232431</v>
          </cell>
          <cell r="F115" t="str">
            <v>0T3T_PAI18_Oi-36221_ALACARTE_COMBATE_32.03%</v>
          </cell>
        </row>
        <row r="116">
          <cell r="A116" t="str">
            <v>Oi Total Fixo + Pós Conectado 250 + Banda Larga0.3203Template desconto % Combate nível conta</v>
          </cell>
          <cell r="B116" t="str">
            <v>Plano Oi Completo 250</v>
          </cell>
          <cell r="C116" t="str">
            <v>Template desconto % Combate nível conta</v>
          </cell>
          <cell r="D116">
            <v>0.32029999999999997</v>
          </cell>
          <cell r="E116" t="str">
            <v>MKT-1-10624232431</v>
          </cell>
          <cell r="F116" t="str">
            <v>0T3T_PAI18_Oi-36221_ALACARTE_COMBATE_32.03%</v>
          </cell>
        </row>
        <row r="117">
          <cell r="A117" t="str">
            <v>Oi Total Fixo + Oi Mais 7GB + Banda Larga0.3203Template desconto % Combate nível conta</v>
          </cell>
          <cell r="B117" t="str">
            <v>Oi Total Completo 7GB</v>
          </cell>
          <cell r="C117" t="str">
            <v>Template desconto % Combate nível conta</v>
          </cell>
          <cell r="D117">
            <v>0.32029999999999997</v>
          </cell>
          <cell r="E117" t="str">
            <v>MKT-1-10624232431</v>
          </cell>
          <cell r="F117" t="str">
            <v>0T3T_PAI18_Oi-36221_ALACARTE_COMBATE_32.03%</v>
          </cell>
        </row>
        <row r="118">
          <cell r="A118" t="str">
            <v>Oi Total Fixo + TV 10.3203Template desconto % Combate nível conta</v>
          </cell>
          <cell r="B118" t="str">
            <v>Plano Oi Internet Total Low</v>
          </cell>
          <cell r="C118" t="str">
            <v>Template desconto % Combate nível conta</v>
          </cell>
          <cell r="D118">
            <v>0.32029999999999997</v>
          </cell>
          <cell r="E118" t="str">
            <v>MKT-1-10624232431</v>
          </cell>
          <cell r="F118" t="str">
            <v>0T3T_PAI18_Oi-36221_ALACARTE_COMBATE_32.03%</v>
          </cell>
        </row>
        <row r="119">
          <cell r="A119" t="str">
            <v>Oi Total Fixo + Pós 500 + Banda Larga0.3203Template desconto % Combate nível conta</v>
          </cell>
          <cell r="B119" t="str">
            <v>Plano Oi Completo Large</v>
          </cell>
          <cell r="C119" t="str">
            <v>Template desconto % Combate nível conta</v>
          </cell>
          <cell r="D119">
            <v>0.32029999999999997</v>
          </cell>
          <cell r="E119" t="str">
            <v>MKT-1-10624232431</v>
          </cell>
          <cell r="F119" t="str">
            <v>0T3T_PAI18_Oi-36221_ALACARTE_COMBATE_32.03%</v>
          </cell>
        </row>
        <row r="120">
          <cell r="A120" t="str">
            <v>Oi Total Fixo + Pós 800 + Banda Larga0.3203Template desconto % Combate nível conta</v>
          </cell>
          <cell r="B120" t="str">
            <v>Plano Oi Completo XLarge</v>
          </cell>
          <cell r="C120" t="str">
            <v>Template desconto % Combate nível conta</v>
          </cell>
          <cell r="D120">
            <v>0.32029999999999997</v>
          </cell>
          <cell r="E120" t="str">
            <v>MKT-1-10624232431</v>
          </cell>
          <cell r="F120" t="str">
            <v>0T3T_PAI18_Oi-36221_ALACARTE_COMBATE_32.03%</v>
          </cell>
        </row>
        <row r="121">
          <cell r="A121" t="str">
            <v>Oi Total Fixo + Oi Mais 40GB + Banda Larga0.3203Template desconto % Combate nível conta</v>
          </cell>
          <cell r="B121" t="str">
            <v>Oi Total Completo 40GB</v>
          </cell>
          <cell r="C121" t="str">
            <v>Template desconto % Combate nível conta</v>
          </cell>
          <cell r="D121">
            <v>0.32029999999999997</v>
          </cell>
          <cell r="E121" t="str">
            <v>MKT-1-10624232431</v>
          </cell>
          <cell r="F121" t="str">
            <v>0T3T_PAI18_Oi-36221_ALACARTE_COMBATE_32.03%</v>
          </cell>
        </row>
        <row r="122">
          <cell r="A122" t="str">
            <v>Oi Total Fixo + TV 20.3203Template desconto % Combate nível conta</v>
          </cell>
          <cell r="B122" t="str">
            <v>Plano Oi Internet Total Medium</v>
          </cell>
          <cell r="C122" t="str">
            <v>Template desconto % Combate nível conta</v>
          </cell>
          <cell r="D122">
            <v>0.32029999999999997</v>
          </cell>
          <cell r="E122" t="str">
            <v>MKT-1-10624232431</v>
          </cell>
          <cell r="F122" t="str">
            <v>0T3T_PAI18_Oi-36221_ALACARTE_COMBATE_32.03%</v>
          </cell>
        </row>
        <row r="123">
          <cell r="A123" t="str">
            <v>Oi Total Fixo + Pós Conectado Mais + Banda Larga0.3203Template desconto % Combate nível conta</v>
          </cell>
          <cell r="B123" t="str">
            <v>Plano Oi Completo Mais</v>
          </cell>
          <cell r="C123" t="str">
            <v>Template desconto % Combate nível conta</v>
          </cell>
          <cell r="D123">
            <v>0.32029999999999997</v>
          </cell>
          <cell r="E123" t="str">
            <v>MKT-1-10624232431</v>
          </cell>
          <cell r="F123" t="str">
            <v>0T3T_PAI18_Oi-36221_ALACARTE_COMBATE_32.03%</v>
          </cell>
        </row>
        <row r="124">
          <cell r="A124" t="str">
            <v>Oi Total Fixo + Banda Larga + TV 10.3203Template desconto % Combate nível conta</v>
          </cell>
          <cell r="B124" t="str">
            <v>Plano Oi Convergente Low</v>
          </cell>
          <cell r="C124" t="str">
            <v>Template desconto % Combate nível conta</v>
          </cell>
          <cell r="D124">
            <v>0.32029999999999997</v>
          </cell>
          <cell r="E124" t="str">
            <v>MKT-1-10624232431</v>
          </cell>
          <cell r="F124" t="str">
            <v>0T3T_PAI18_Oi-36221_ALACARTE_COMBATE_32.03%</v>
          </cell>
        </row>
        <row r="125">
          <cell r="A125" t="str">
            <v>Oi Total Fixo + Oi Mais 4GB + Banda Larga0.3203Template desconto % Combate nível conta</v>
          </cell>
          <cell r="B125" t="str">
            <v>Oi Total Completo 4GB</v>
          </cell>
          <cell r="C125" t="str">
            <v>Template desconto % Combate nível conta</v>
          </cell>
          <cell r="D125">
            <v>0.32029999999999997</v>
          </cell>
          <cell r="E125" t="str">
            <v>MKT-1-10624232431</v>
          </cell>
          <cell r="F125" t="str">
            <v>0T3T_PAI18_Oi-36221_ALACARTE_COMBATE_32.03%</v>
          </cell>
        </row>
        <row r="126">
          <cell r="A126" t="str">
            <v>Oi Total Fixo + Oi Mais 10GB + Banda Larga0.3203Template desconto % Combate nível conta</v>
          </cell>
          <cell r="B126" t="str">
            <v>Oi Total Completo 10GB</v>
          </cell>
          <cell r="C126" t="str">
            <v>Template desconto % Combate nível conta</v>
          </cell>
          <cell r="D126">
            <v>0.32029999999999997</v>
          </cell>
          <cell r="E126" t="str">
            <v>MKT-1-10624232431</v>
          </cell>
          <cell r="F126" t="str">
            <v>0T3T_PAI18_Oi-36221_ALACARTE_COMBATE_32.03%</v>
          </cell>
        </row>
        <row r="127">
          <cell r="A127" t="str">
            <v>Oi Total Fixo + Pós + Banda Larga0.3203Template desconto % Combate nível conta</v>
          </cell>
          <cell r="B127" t="str">
            <v>Plano Oi Completo Mini</v>
          </cell>
          <cell r="C127" t="str">
            <v>Template desconto % Combate nível conta</v>
          </cell>
          <cell r="D127">
            <v>0.32029999999999997</v>
          </cell>
          <cell r="E127" t="str">
            <v>MKT-1-10624232431</v>
          </cell>
          <cell r="F127" t="str">
            <v>0T3T_PAI18_Oi-36221_ALACARTE_COMBATE_32.03%</v>
          </cell>
        </row>
        <row r="128">
          <cell r="A128" t="str">
            <v>Oi Total Fixo + Pós 50 + Banda Larga0.3203Template desconto % Combate nível conta</v>
          </cell>
          <cell r="B128" t="str">
            <v>Plano Oi Completo XSmall</v>
          </cell>
          <cell r="C128" t="str">
            <v>Template desconto % Combate nível conta</v>
          </cell>
          <cell r="D128">
            <v>0.32029999999999997</v>
          </cell>
          <cell r="E128" t="str">
            <v>MKT-1-10624232431</v>
          </cell>
          <cell r="F128" t="str">
            <v>0T3T_PAI18_Oi-36221_ALACARTE_COMBATE_32.03%</v>
          </cell>
        </row>
        <row r="129">
          <cell r="A129" t="str">
            <v>Oi Total Fixo + TV 30.3203Template desconto % Combate nível conta</v>
          </cell>
          <cell r="B129" t="str">
            <v>Plano Oi Internet Total High</v>
          </cell>
          <cell r="C129" t="str">
            <v>Template desconto % Combate nível conta</v>
          </cell>
          <cell r="D129">
            <v>0.32029999999999997</v>
          </cell>
          <cell r="E129" t="str">
            <v>MKT-1-10624232431</v>
          </cell>
          <cell r="F129" t="str">
            <v>0T3T_PAI18_Oi-36221_ALACARTE_COMBATE_32.03%</v>
          </cell>
        </row>
        <row r="130">
          <cell r="A130" t="str">
            <v>Oi Total Fixo + Pós Conectado 500 + Banda Larga0.3203Template desconto % Combate nível conta</v>
          </cell>
          <cell r="B130" t="str">
            <v>Plano Oi Completo 500</v>
          </cell>
          <cell r="C130" t="str">
            <v>Template desconto % Combate nível conta</v>
          </cell>
          <cell r="D130">
            <v>0.32029999999999997</v>
          </cell>
          <cell r="E130" t="str">
            <v>MKT-1-10624232431</v>
          </cell>
          <cell r="F130" t="str">
            <v>0T3T_PAI18_Oi-36221_ALACARTE_COMBATE_32.03%</v>
          </cell>
        </row>
        <row r="131">
          <cell r="A131" t="str">
            <v>Oi Total Fixo + Pós Conectado 1.000 + Banda Larga0.3203Template desconto % Combate nível conta</v>
          </cell>
          <cell r="B131" t="str">
            <v>Plano Oi Completo 1.000</v>
          </cell>
          <cell r="C131" t="str">
            <v>Template desconto % Combate nível conta</v>
          </cell>
          <cell r="D131">
            <v>0.32029999999999997</v>
          </cell>
          <cell r="E131" t="str">
            <v>MKT-1-10624232431</v>
          </cell>
          <cell r="F131" t="str">
            <v>0T3T_PAI18_Oi-36221_ALACARTE_COMBATE_32.03%</v>
          </cell>
        </row>
        <row r="132">
          <cell r="A132" t="str">
            <v>Oi Total Fixo + Banda Larga + TV 20.3203Template desconto % Combate nível conta</v>
          </cell>
          <cell r="B132" t="str">
            <v>Plano Oi Convergente Medium</v>
          </cell>
          <cell r="C132" t="str">
            <v>Template desconto % Combate nível conta</v>
          </cell>
          <cell r="D132">
            <v>0.32029999999999997</v>
          </cell>
          <cell r="E132" t="str">
            <v>MKT-1-10624232431</v>
          </cell>
          <cell r="F132" t="str">
            <v>0T3T_PAI18_Oi-36221_ALACARTE_COMBATE_32.03%</v>
          </cell>
        </row>
        <row r="133">
          <cell r="A133" t="str">
            <v>Oi Total Fixo + Banda Larga + TV 30.3203Template desconto % Combate nível conta</v>
          </cell>
          <cell r="B133" t="str">
            <v>Plano Oi Convergente High</v>
          </cell>
          <cell r="C133" t="str">
            <v>Template desconto % Combate nível conta</v>
          </cell>
          <cell r="D133">
            <v>0.32029999999999997</v>
          </cell>
          <cell r="E133" t="str">
            <v>MKT-1-10624232431</v>
          </cell>
          <cell r="F133" t="str">
            <v>0T3T_PAI18_Oi-36221_ALACARTE_COMBATE_32.03%</v>
          </cell>
        </row>
        <row r="134">
          <cell r="A134" t="str">
            <v>Oi Total Fixo + Oi Mais 14GB + Banda Larga0.3203Template desconto % Combate nível conta</v>
          </cell>
          <cell r="B134" t="str">
            <v>Oi Total Completo 14GB</v>
          </cell>
          <cell r="C134" t="str">
            <v>Template desconto % Combate nível conta</v>
          </cell>
          <cell r="D134">
            <v>0.32029999999999997</v>
          </cell>
          <cell r="E134" t="str">
            <v>MKT-1-10624232431</v>
          </cell>
          <cell r="F134" t="str">
            <v>0T3T_PAI18_Oi-36221_ALACARTE_COMBATE_32.03%</v>
          </cell>
        </row>
        <row r="135">
          <cell r="A135" t="str">
            <v>Oi Total Fixo + Oi Mais 20GB + Banda Larga0.3203Template desconto % Combate nível conta</v>
          </cell>
          <cell r="B135" t="str">
            <v>Oi Total Completo 20GB</v>
          </cell>
          <cell r="C135" t="str">
            <v>Template desconto % Combate nível conta</v>
          </cell>
          <cell r="D135">
            <v>0.32029999999999997</v>
          </cell>
          <cell r="E135" t="str">
            <v>MKT-1-10624232431</v>
          </cell>
          <cell r="F135" t="str">
            <v>0T3T_PAI18_Oi-36221_ALACARTE_COMBATE_32.03%</v>
          </cell>
        </row>
        <row r="136">
          <cell r="A136" t="str">
            <v>Oi Total Fixo + Oi Mais 20GB + Banda Larga0.0934Template desconto % Playboy nível conta</v>
          </cell>
          <cell r="B136" t="str">
            <v>Oi Total Completo 20GB</v>
          </cell>
          <cell r="C136" t="str">
            <v>Template desconto % Playboy nível conta</v>
          </cell>
          <cell r="D136">
            <v>9.3399999999999997E-2</v>
          </cell>
          <cell r="E136" t="str">
            <v>MKT-1-10624289671</v>
          </cell>
          <cell r="F136" t="str">
            <v>0T3T_PAI18_Oi-36221_ALACARTE_PLAYBOY_09.34%</v>
          </cell>
        </row>
        <row r="137">
          <cell r="A137" t="str">
            <v>Oi Total Fixo + Pós 250 + Banda Larga0.0934Template desconto % Playboy nível conta</v>
          </cell>
          <cell r="B137" t="str">
            <v>Plano Oi Completo Medium</v>
          </cell>
          <cell r="C137" t="str">
            <v>Template desconto % Playboy nível conta</v>
          </cell>
          <cell r="D137">
            <v>9.3399999999999997E-2</v>
          </cell>
          <cell r="E137" t="str">
            <v>MKT-1-10624289671</v>
          </cell>
          <cell r="F137" t="str">
            <v>0T3T_PAI18_Oi-36221_ALACARTE_PLAYBOY_09.34%</v>
          </cell>
        </row>
        <row r="138">
          <cell r="A138" t="str">
            <v>Oi Total Fixo + Pós 100 + Banda Larga0.0934Template desconto % Playboy nível conta</v>
          </cell>
          <cell r="B138" t="str">
            <v>Plano Oi Completo Small</v>
          </cell>
          <cell r="C138" t="str">
            <v>Template desconto % Playboy nível conta</v>
          </cell>
          <cell r="D138">
            <v>9.3399999999999997E-2</v>
          </cell>
          <cell r="E138" t="str">
            <v>MKT-1-10624289671</v>
          </cell>
          <cell r="F138" t="str">
            <v>0T3T_PAI18_Oi-36221_ALACARTE_PLAYBOY_09.34%</v>
          </cell>
        </row>
        <row r="139">
          <cell r="A139" t="str">
            <v>Oi Total Fixo + Oi Mais 7GB + Banda Larga0.0934Template desconto % Playboy nível conta</v>
          </cell>
          <cell r="B139" t="str">
            <v>Oi Total Completo 7GB</v>
          </cell>
          <cell r="C139" t="str">
            <v>Template desconto % Playboy nível conta</v>
          </cell>
          <cell r="D139">
            <v>9.3399999999999997E-2</v>
          </cell>
          <cell r="E139" t="str">
            <v>MKT-1-10624289671</v>
          </cell>
          <cell r="F139" t="str">
            <v>0T3T_PAI18_Oi-36221_ALACARTE_PLAYBOY_09.34%</v>
          </cell>
        </row>
        <row r="140">
          <cell r="A140" t="str">
            <v>Oi Total Fixo + Pós Conectado 250 + Banda Larga0.0934Template desconto % Playboy nível conta</v>
          </cell>
          <cell r="B140" t="str">
            <v>Plano Oi Completo 250</v>
          </cell>
          <cell r="C140" t="str">
            <v>Template desconto % Playboy nível conta</v>
          </cell>
          <cell r="D140">
            <v>9.3399999999999997E-2</v>
          </cell>
          <cell r="E140" t="str">
            <v>MKT-1-10624289671</v>
          </cell>
          <cell r="F140" t="str">
            <v>0T3T_PAI18_Oi-36221_ALACARTE_PLAYBOY_09.34%</v>
          </cell>
        </row>
        <row r="141">
          <cell r="A141" t="str">
            <v>Oi Total Fixo + Banda Larga + TV 20.0934Template desconto % Playboy nível conta</v>
          </cell>
          <cell r="B141" t="str">
            <v>Plano Oi Convergente Medium</v>
          </cell>
          <cell r="C141" t="str">
            <v>Template desconto % Playboy nível conta</v>
          </cell>
          <cell r="D141">
            <v>9.3399999999999997E-2</v>
          </cell>
          <cell r="E141" t="str">
            <v>MKT-1-10624289671</v>
          </cell>
          <cell r="F141" t="str">
            <v>0T3T_PAI18_Oi-36221_ALACARTE_PLAYBOY_09.34%</v>
          </cell>
        </row>
        <row r="142">
          <cell r="A142" t="str">
            <v>Oi Total Fixo + TV 10.0934Template desconto % Playboy nível conta</v>
          </cell>
          <cell r="B142" t="str">
            <v>Plano Oi Internet Total Low</v>
          </cell>
          <cell r="C142" t="str">
            <v>Template desconto % Playboy nível conta</v>
          </cell>
          <cell r="D142">
            <v>9.3399999999999997E-2</v>
          </cell>
          <cell r="E142" t="str">
            <v>MKT-1-10624289671</v>
          </cell>
          <cell r="F142" t="str">
            <v>0T3T_PAI18_Oi-36221_ALACARTE_PLAYBOY_09.34%</v>
          </cell>
        </row>
        <row r="143">
          <cell r="A143" t="str">
            <v>Oi Total Fixo + Pós 500 + Banda Larga0.0934Template desconto % Playboy nível conta</v>
          </cell>
          <cell r="B143" t="str">
            <v>Plano Oi Completo Large</v>
          </cell>
          <cell r="C143" t="str">
            <v>Template desconto % Playboy nível conta</v>
          </cell>
          <cell r="D143">
            <v>9.3399999999999997E-2</v>
          </cell>
          <cell r="E143" t="str">
            <v>MKT-1-10624289671</v>
          </cell>
          <cell r="F143" t="str">
            <v>0T3T_PAI18_Oi-36221_ALACARTE_PLAYBOY_09.34%</v>
          </cell>
        </row>
        <row r="144">
          <cell r="A144" t="str">
            <v>Oi Total Fixo + Pós 800 + Banda Larga0.0934Template desconto % Playboy nível conta</v>
          </cell>
          <cell r="B144" t="str">
            <v>Plano Oi Completo XLarge</v>
          </cell>
          <cell r="C144" t="str">
            <v>Template desconto % Playboy nível conta</v>
          </cell>
          <cell r="D144">
            <v>9.3399999999999997E-2</v>
          </cell>
          <cell r="E144" t="str">
            <v>MKT-1-10624289671</v>
          </cell>
          <cell r="F144" t="str">
            <v>0T3T_PAI18_Oi-36221_ALACARTE_PLAYBOY_09.34%</v>
          </cell>
        </row>
        <row r="145">
          <cell r="A145" t="str">
            <v>Oi Total Fixo + Oi Mais 40GB + Banda Larga0.0934Template desconto % Playboy nível conta</v>
          </cell>
          <cell r="B145" t="str">
            <v>Oi Total Completo 40GB</v>
          </cell>
          <cell r="C145" t="str">
            <v>Template desconto % Playboy nível conta</v>
          </cell>
          <cell r="D145">
            <v>9.3399999999999997E-2</v>
          </cell>
          <cell r="E145" t="str">
            <v>MKT-1-10624289671</v>
          </cell>
          <cell r="F145" t="str">
            <v>0T3T_PAI18_Oi-36221_ALACARTE_PLAYBOY_09.34%</v>
          </cell>
        </row>
        <row r="146">
          <cell r="A146" t="str">
            <v>Oi Total Fixo + Oi Mais 4GB + Banda Larga0.0934Template desconto % Playboy nível conta</v>
          </cell>
          <cell r="B146" t="str">
            <v>Oi Total Completo 4GB</v>
          </cell>
          <cell r="C146" t="str">
            <v>Template desconto % Playboy nível conta</v>
          </cell>
          <cell r="D146">
            <v>9.3399999999999997E-2</v>
          </cell>
          <cell r="E146" t="str">
            <v>MKT-1-10624289671</v>
          </cell>
          <cell r="F146" t="str">
            <v>0T3T_PAI18_Oi-36221_ALACARTE_PLAYBOY_09.34%</v>
          </cell>
        </row>
        <row r="147">
          <cell r="A147" t="str">
            <v>Oi Total Fixo + Oi Mais 10GB + Banda Larga0.0934Template desconto % Playboy nível conta</v>
          </cell>
          <cell r="B147" t="str">
            <v>Oi Total Completo 10GB</v>
          </cell>
          <cell r="C147" t="str">
            <v>Template desconto % Playboy nível conta</v>
          </cell>
          <cell r="D147">
            <v>9.3399999999999997E-2</v>
          </cell>
          <cell r="E147" t="str">
            <v>MKT-1-10624289671</v>
          </cell>
          <cell r="F147" t="str">
            <v>0T3T_PAI18_Oi-36221_ALACARTE_PLAYBOY_09.34%</v>
          </cell>
        </row>
        <row r="148">
          <cell r="A148" t="str">
            <v>Oi Total Fixo + TV 20.0934Template desconto % Playboy nível conta</v>
          </cell>
          <cell r="B148" t="str">
            <v>Plano Oi Internet Total Medium</v>
          </cell>
          <cell r="C148" t="str">
            <v>Template desconto % Playboy nível conta</v>
          </cell>
          <cell r="D148">
            <v>9.3399999999999997E-2</v>
          </cell>
          <cell r="E148" t="str">
            <v>MKT-1-10624289671</v>
          </cell>
          <cell r="F148" t="str">
            <v>0T3T_PAI18_Oi-36221_ALACARTE_PLAYBOY_09.34%</v>
          </cell>
        </row>
        <row r="149">
          <cell r="A149" t="str">
            <v>Oi Total Fixo + Banda Larga + TV 10.0934Template desconto % Playboy nível conta</v>
          </cell>
          <cell r="B149" t="str">
            <v>Plano Oi Convergente Low</v>
          </cell>
          <cell r="C149" t="str">
            <v>Template desconto % Playboy nível conta</v>
          </cell>
          <cell r="D149">
            <v>9.3399999999999997E-2</v>
          </cell>
          <cell r="E149" t="str">
            <v>MKT-1-10624289671</v>
          </cell>
          <cell r="F149" t="str">
            <v>0T3T_PAI18_Oi-36221_ALACARTE_PLAYBOY_09.34%</v>
          </cell>
        </row>
        <row r="150">
          <cell r="A150" t="str">
            <v>Oi Total Fixo + Pós Conectado Mais + Banda Larga0.0934Template desconto % Playboy nível conta</v>
          </cell>
          <cell r="B150" t="str">
            <v>Plano Oi Completo Mais</v>
          </cell>
          <cell r="C150" t="str">
            <v>Template desconto % Playboy nível conta</v>
          </cell>
          <cell r="D150">
            <v>9.3399999999999997E-2</v>
          </cell>
          <cell r="E150" t="str">
            <v>MKT-1-10624289671</v>
          </cell>
          <cell r="F150" t="str">
            <v>0T3T_PAI18_Oi-36221_ALACARTE_PLAYBOY_09.34%</v>
          </cell>
        </row>
        <row r="151">
          <cell r="A151" t="str">
            <v>Oi Total Fixo + Pós + Banda Larga0.0934Template desconto % Playboy nível conta</v>
          </cell>
          <cell r="B151" t="str">
            <v>Plano Oi Completo Mini</v>
          </cell>
          <cell r="C151" t="str">
            <v>Template desconto % Playboy nível conta</v>
          </cell>
          <cell r="D151">
            <v>9.3399999999999997E-2</v>
          </cell>
          <cell r="E151" t="str">
            <v>MKT-1-10624289671</v>
          </cell>
          <cell r="F151" t="str">
            <v>0T3T_PAI18_Oi-36221_ALACARTE_PLAYBOY_09.34%</v>
          </cell>
        </row>
        <row r="152">
          <cell r="A152" t="str">
            <v>Oi Total Fixo + Pós 50 + Banda Larga0.0934Template desconto % Playboy nível conta</v>
          </cell>
          <cell r="B152" t="str">
            <v>Plano Oi Completo XSmall</v>
          </cell>
          <cell r="C152" t="str">
            <v>Template desconto % Playboy nível conta</v>
          </cell>
          <cell r="D152">
            <v>9.3399999999999997E-2</v>
          </cell>
          <cell r="E152" t="str">
            <v>MKT-1-10624289671</v>
          </cell>
          <cell r="F152" t="str">
            <v>0T3T_PAI18_Oi-36221_ALACARTE_PLAYBOY_09.34%</v>
          </cell>
        </row>
        <row r="153">
          <cell r="A153" t="str">
            <v>Oi Total Fixo + TV 30.0934Template desconto % Playboy nível conta</v>
          </cell>
          <cell r="B153" t="str">
            <v>Plano Oi Internet Total High</v>
          </cell>
          <cell r="C153" t="str">
            <v>Template desconto % Playboy nível conta</v>
          </cell>
          <cell r="D153">
            <v>9.3399999999999997E-2</v>
          </cell>
          <cell r="E153" t="str">
            <v>MKT-1-10624289671</v>
          </cell>
          <cell r="F153" t="str">
            <v>0T3T_PAI18_Oi-36221_ALACARTE_PLAYBOY_09.34%</v>
          </cell>
        </row>
        <row r="154">
          <cell r="A154" t="str">
            <v>Oi Total Fixo + Pós Conectado 500 + Banda Larga0.0934Template desconto % Playboy nível conta</v>
          </cell>
          <cell r="B154" t="str">
            <v>Plano Oi Completo 500</v>
          </cell>
          <cell r="C154" t="str">
            <v>Template desconto % Playboy nível conta</v>
          </cell>
          <cell r="D154">
            <v>9.3399999999999997E-2</v>
          </cell>
          <cell r="E154" t="str">
            <v>MKT-1-10624289671</v>
          </cell>
          <cell r="F154" t="str">
            <v>0T3T_PAI18_Oi-36221_ALACARTE_PLAYBOY_09.34%</v>
          </cell>
        </row>
        <row r="155">
          <cell r="A155" t="str">
            <v>Oi Total Fixo + Pós Conectado 1.000 + Banda Larga0.0934Template desconto % Playboy nível conta</v>
          </cell>
          <cell r="B155" t="str">
            <v>Plano Oi Completo 1.000</v>
          </cell>
          <cell r="C155" t="str">
            <v>Template desconto % Playboy nível conta</v>
          </cell>
          <cell r="D155">
            <v>9.3399999999999997E-2</v>
          </cell>
          <cell r="E155" t="str">
            <v>MKT-1-10624289671</v>
          </cell>
          <cell r="F155" t="str">
            <v>0T3T_PAI18_Oi-36221_ALACARTE_PLAYBOY_09.34%</v>
          </cell>
        </row>
        <row r="156">
          <cell r="A156" t="str">
            <v>Oi Total Fixo + Banda Larga + TV 30.0934Template desconto % Playboy nível conta</v>
          </cell>
          <cell r="B156" t="str">
            <v>Plano Oi Convergente High</v>
          </cell>
          <cell r="C156" t="str">
            <v>Template desconto % Playboy nível conta</v>
          </cell>
          <cell r="D156">
            <v>9.3399999999999997E-2</v>
          </cell>
          <cell r="E156" t="str">
            <v>MKT-1-10624289671</v>
          </cell>
          <cell r="F156" t="str">
            <v>0T3T_PAI18_Oi-36221_ALACARTE_PLAYBOY_09.34%</v>
          </cell>
        </row>
        <row r="157">
          <cell r="A157" t="str">
            <v>Oi Total Fixo + Oi Mais 14GB + Banda Larga0.0934Template desconto % Playboy nível conta</v>
          </cell>
          <cell r="B157" t="str">
            <v>Oi Total Completo 14GB</v>
          </cell>
          <cell r="C157" t="str">
            <v>Template desconto % Playboy nível conta</v>
          </cell>
          <cell r="D157">
            <v>9.3399999999999997E-2</v>
          </cell>
          <cell r="E157" t="str">
            <v>MKT-1-10624289671</v>
          </cell>
          <cell r="F157" t="str">
            <v>0T3T_PAI18_Oi-36221_ALACARTE_PLAYBOY_09.34%</v>
          </cell>
        </row>
        <row r="158">
          <cell r="A158" t="str">
            <v>Oi Total Fixo + Pós 100 + Banda Larga0.0934Template desconto % Sexy Hot nível conta</v>
          </cell>
          <cell r="B158" t="str">
            <v>Plano Oi Completo Small</v>
          </cell>
          <cell r="C158" t="str">
            <v>Template desconto % Sexy Hot nível conta</v>
          </cell>
          <cell r="D158">
            <v>9.3399999999999997E-2</v>
          </cell>
          <cell r="E158" t="str">
            <v>MKT-1-10624227381</v>
          </cell>
          <cell r="F158" t="str">
            <v>0T3T_PAI18_Oi-36221_ALACARTE_SEXHOT_09.34%</v>
          </cell>
        </row>
        <row r="159">
          <cell r="A159" t="str">
            <v>Oi Total Fixo + Pós Conectado 250 + Banda Larga0.0934Template desconto % Sexy Hot nível conta</v>
          </cell>
          <cell r="B159" t="str">
            <v>Plano Oi Completo 250</v>
          </cell>
          <cell r="C159" t="str">
            <v>Template desconto % Sexy Hot nível conta</v>
          </cell>
          <cell r="D159">
            <v>9.3399999999999997E-2</v>
          </cell>
          <cell r="E159" t="str">
            <v>MKT-1-10624227381</v>
          </cell>
          <cell r="F159" t="str">
            <v>0T3T_PAI18_Oi-36221_ALACARTE_SEXHOT_09.34%</v>
          </cell>
        </row>
        <row r="160">
          <cell r="A160" t="str">
            <v>Oi Total Fixo + Oi Mais 7GB + Banda Larga0.0934Template desconto % Sexy Hot nível conta</v>
          </cell>
          <cell r="B160" t="str">
            <v>Oi Total Completo 7GB</v>
          </cell>
          <cell r="C160" t="str">
            <v>Template desconto % Sexy Hot nível conta</v>
          </cell>
          <cell r="D160">
            <v>9.3399999999999997E-2</v>
          </cell>
          <cell r="E160" t="str">
            <v>MKT-1-10624227381</v>
          </cell>
          <cell r="F160" t="str">
            <v>0T3T_PAI18_Oi-36221_ALACARTE_SEXHOT_09.34%</v>
          </cell>
        </row>
        <row r="161">
          <cell r="A161" t="str">
            <v>Oi Total Fixo + TV 10.0934Template desconto % Sexy Hot nível conta</v>
          </cell>
          <cell r="B161" t="str">
            <v>Plano Oi Internet Total Low</v>
          </cell>
          <cell r="C161" t="str">
            <v>Template desconto % Sexy Hot nível conta</v>
          </cell>
          <cell r="D161">
            <v>9.3399999999999997E-2</v>
          </cell>
          <cell r="E161" t="str">
            <v>MKT-1-10624227381</v>
          </cell>
          <cell r="F161" t="str">
            <v>0T3T_PAI18_Oi-36221_ALACARTE_SEXHOT_09.34%</v>
          </cell>
        </row>
        <row r="162">
          <cell r="A162" t="str">
            <v>Oi Total Fixo + Pós 500 + Banda Larga0.0934Template desconto % Sexy Hot nível conta</v>
          </cell>
          <cell r="B162" t="str">
            <v>Plano Oi Completo Large</v>
          </cell>
          <cell r="C162" t="str">
            <v>Template desconto % Sexy Hot nível conta</v>
          </cell>
          <cell r="D162">
            <v>9.3399999999999997E-2</v>
          </cell>
          <cell r="E162" t="str">
            <v>MKT-1-10624227381</v>
          </cell>
          <cell r="F162" t="str">
            <v>0T3T_PAI18_Oi-36221_ALACARTE_SEXHOT_09.34%</v>
          </cell>
        </row>
        <row r="163">
          <cell r="A163" t="str">
            <v>Oi Total Fixo + Pós 800 + Banda Larga0.0934Template desconto % Sexy Hot nível conta</v>
          </cell>
          <cell r="B163" t="str">
            <v>Plano Oi Completo XLarge</v>
          </cell>
          <cell r="C163" t="str">
            <v>Template desconto % Sexy Hot nível conta</v>
          </cell>
          <cell r="D163">
            <v>9.3399999999999997E-2</v>
          </cell>
          <cell r="E163" t="str">
            <v>MKT-1-10624227381</v>
          </cell>
          <cell r="F163" t="str">
            <v>0T3T_PAI18_Oi-36221_ALACARTE_SEXHOT_09.34%</v>
          </cell>
        </row>
        <row r="164">
          <cell r="A164" t="str">
            <v>Oi Total Fixo + Oi Mais 40GB + Banda Larga0.0934Template desconto % Sexy Hot nível conta</v>
          </cell>
          <cell r="B164" t="str">
            <v>Oi Total Completo 40GB</v>
          </cell>
          <cell r="C164" t="str">
            <v>Template desconto % Sexy Hot nível conta</v>
          </cell>
          <cell r="D164">
            <v>9.3399999999999997E-2</v>
          </cell>
          <cell r="E164" t="str">
            <v>MKT-1-10624227381</v>
          </cell>
          <cell r="F164" t="str">
            <v>0T3T_PAI18_Oi-36221_ALACARTE_SEXHOT_09.34%</v>
          </cell>
        </row>
        <row r="165">
          <cell r="A165" t="str">
            <v>Oi Total Fixo + TV 20.0934Template desconto % Sexy Hot nível conta</v>
          </cell>
          <cell r="B165" t="str">
            <v>Plano Oi Internet Total Medium</v>
          </cell>
          <cell r="C165" t="str">
            <v>Template desconto % Sexy Hot nível conta</v>
          </cell>
          <cell r="D165">
            <v>9.3399999999999997E-2</v>
          </cell>
          <cell r="E165" t="str">
            <v>MKT-1-10624227381</v>
          </cell>
          <cell r="F165" t="str">
            <v>0T3T_PAI18_Oi-36221_ALACARTE_SEXHOT_09.34%</v>
          </cell>
        </row>
        <row r="166">
          <cell r="A166" t="str">
            <v>Oi Total Fixo + Pós Conectado Mais + Banda Larga0.0934Template desconto % Sexy Hot nível conta</v>
          </cell>
          <cell r="B166" t="str">
            <v>Plano Oi Completo Mais</v>
          </cell>
          <cell r="C166" t="str">
            <v>Template desconto % Sexy Hot nível conta</v>
          </cell>
          <cell r="D166">
            <v>9.3399999999999997E-2</v>
          </cell>
          <cell r="E166" t="str">
            <v>MKT-1-10624227381</v>
          </cell>
          <cell r="F166" t="str">
            <v>0T3T_PAI18_Oi-36221_ALACARTE_SEXHOT_09.34%</v>
          </cell>
        </row>
        <row r="167">
          <cell r="A167" t="str">
            <v>Oi Total Fixo + Banda Larga + TV 10.0934Template desconto % Sexy Hot nível conta</v>
          </cell>
          <cell r="B167" t="str">
            <v>Plano Oi Convergente Low</v>
          </cell>
          <cell r="C167" t="str">
            <v>Template desconto % Sexy Hot nível conta</v>
          </cell>
          <cell r="D167">
            <v>9.3399999999999997E-2</v>
          </cell>
          <cell r="E167" t="str">
            <v>MKT-1-10624227381</v>
          </cell>
          <cell r="F167" t="str">
            <v>0T3T_PAI18_Oi-36221_ALACARTE_SEXHOT_09.34%</v>
          </cell>
        </row>
        <row r="168">
          <cell r="A168" t="str">
            <v>Oi Total Fixo + Oi Mais 4GB + Banda Larga0.0934Template desconto % Sexy Hot nível conta</v>
          </cell>
          <cell r="B168" t="str">
            <v>Oi Total Completo 4GB</v>
          </cell>
          <cell r="C168" t="str">
            <v>Template desconto % Sexy Hot nível conta</v>
          </cell>
          <cell r="D168">
            <v>9.3399999999999997E-2</v>
          </cell>
          <cell r="E168" t="str">
            <v>MKT-1-10624227381</v>
          </cell>
          <cell r="F168" t="str">
            <v>0T3T_PAI18_Oi-36221_ALACARTE_SEXHOT_09.34%</v>
          </cell>
        </row>
        <row r="169">
          <cell r="A169" t="str">
            <v>Oi Total Fixo + Oi Mais 10GB + Banda Larga0.0934Template desconto % Sexy Hot nível conta</v>
          </cell>
          <cell r="B169" t="str">
            <v>Oi Total Completo 10GB</v>
          </cell>
          <cell r="C169" t="str">
            <v>Template desconto % Sexy Hot nível conta</v>
          </cell>
          <cell r="D169">
            <v>9.3399999999999997E-2</v>
          </cell>
          <cell r="E169" t="str">
            <v>MKT-1-10624227381</v>
          </cell>
          <cell r="F169" t="str">
            <v>0T3T_PAI18_Oi-36221_ALACARTE_SEXHOT_09.34%</v>
          </cell>
        </row>
        <row r="170">
          <cell r="A170" t="str">
            <v>Oi Total Fixo + Pós + Banda Larga0.0934Template desconto % Sexy Hot nível conta</v>
          </cell>
          <cell r="B170" t="str">
            <v>Plano Oi Completo Mini</v>
          </cell>
          <cell r="C170" t="str">
            <v>Template desconto % Sexy Hot nível conta</v>
          </cell>
          <cell r="D170">
            <v>9.3399999999999997E-2</v>
          </cell>
          <cell r="E170" t="str">
            <v>MKT-1-10624227381</v>
          </cell>
          <cell r="F170" t="str">
            <v>0T3T_PAI18_Oi-36221_ALACARTE_SEXHOT_09.34%</v>
          </cell>
        </row>
        <row r="171">
          <cell r="A171" t="str">
            <v>Oi Total Fixo + Pós 50 + Banda Larga0.0934Template desconto % Sexy Hot nível conta</v>
          </cell>
          <cell r="B171" t="str">
            <v>Plano Oi Completo XSmall</v>
          </cell>
          <cell r="C171" t="str">
            <v>Template desconto % Sexy Hot nível conta</v>
          </cell>
          <cell r="D171">
            <v>9.3399999999999997E-2</v>
          </cell>
          <cell r="E171" t="str">
            <v>MKT-1-10624227381</v>
          </cell>
          <cell r="F171" t="str">
            <v>0T3T_PAI18_Oi-36221_ALACARTE_SEXHOT_09.34%</v>
          </cell>
        </row>
        <row r="172">
          <cell r="A172" t="str">
            <v>Oi Total Fixo + TV 30.0934Template desconto % Sexy Hot nível conta</v>
          </cell>
          <cell r="B172" t="str">
            <v>Plano Oi Internet Total High</v>
          </cell>
          <cell r="C172" t="str">
            <v>Template desconto % Sexy Hot nível conta</v>
          </cell>
          <cell r="D172">
            <v>9.3399999999999997E-2</v>
          </cell>
          <cell r="E172" t="str">
            <v>MKT-1-10624227381</v>
          </cell>
          <cell r="F172" t="str">
            <v>0T3T_PAI18_Oi-36221_ALACARTE_SEXHOT_09.34%</v>
          </cell>
        </row>
        <row r="173">
          <cell r="A173" t="str">
            <v>Oi Total Fixo + Pós Conectado 500 + Banda Larga0.0934Template desconto % Sexy Hot nível conta</v>
          </cell>
          <cell r="B173" t="str">
            <v>Plano Oi Completo 500</v>
          </cell>
          <cell r="C173" t="str">
            <v>Template desconto % Sexy Hot nível conta</v>
          </cell>
          <cell r="D173">
            <v>9.3399999999999997E-2</v>
          </cell>
          <cell r="E173" t="str">
            <v>MKT-1-10624227381</v>
          </cell>
          <cell r="F173" t="str">
            <v>0T3T_PAI18_Oi-36221_ALACARTE_SEXHOT_09.34%</v>
          </cell>
        </row>
        <row r="174">
          <cell r="A174" t="str">
            <v>Oi Total Fixo + Pós Conectado 1.000 + Banda Larga0.0934Template desconto % Sexy Hot nível conta</v>
          </cell>
          <cell r="B174" t="str">
            <v>Plano Oi Completo 1.000</v>
          </cell>
          <cell r="C174" t="str">
            <v>Template desconto % Sexy Hot nível conta</v>
          </cell>
          <cell r="D174">
            <v>9.3399999999999997E-2</v>
          </cell>
          <cell r="E174" t="str">
            <v>MKT-1-10624227381</v>
          </cell>
          <cell r="F174" t="str">
            <v>0T3T_PAI18_Oi-36221_ALACARTE_SEXHOT_09.34%</v>
          </cell>
        </row>
        <row r="175">
          <cell r="A175" t="str">
            <v>Oi Total Fixo + Banda Larga + TV 20.0934Template desconto % Sexy Hot nível conta</v>
          </cell>
          <cell r="B175" t="str">
            <v>Plano Oi Convergente Medium</v>
          </cell>
          <cell r="C175" t="str">
            <v>Template desconto % Sexy Hot nível conta</v>
          </cell>
          <cell r="D175">
            <v>9.3399999999999997E-2</v>
          </cell>
          <cell r="E175" t="str">
            <v>MKT-1-10624227381</v>
          </cell>
          <cell r="F175" t="str">
            <v>0T3T_PAI18_Oi-36221_ALACARTE_SEXHOT_09.34%</v>
          </cell>
        </row>
        <row r="176">
          <cell r="A176" t="str">
            <v>Oi Total Fixo + Pós 250 + Banda Larga0.0934Template desconto % Sexy Hot nível conta</v>
          </cell>
          <cell r="B176" t="str">
            <v>Plano Oi Completo Medium</v>
          </cell>
          <cell r="C176" t="str">
            <v>Template desconto % Sexy Hot nível conta</v>
          </cell>
          <cell r="D176">
            <v>9.3399999999999997E-2</v>
          </cell>
          <cell r="E176" t="str">
            <v>MKT-1-10624227381</v>
          </cell>
          <cell r="F176" t="str">
            <v>0T3T_PAI18_Oi-36221_ALACARTE_SEXHOT_09.34%</v>
          </cell>
        </row>
        <row r="177">
          <cell r="A177" t="str">
            <v>Oi Total Fixo + Banda Larga + TV 30.0934Template desconto % Sexy Hot nível conta</v>
          </cell>
          <cell r="B177" t="str">
            <v>Plano Oi Convergente High</v>
          </cell>
          <cell r="C177" t="str">
            <v>Template desconto % Sexy Hot nível conta</v>
          </cell>
          <cell r="D177">
            <v>9.3399999999999997E-2</v>
          </cell>
          <cell r="E177" t="str">
            <v>MKT-1-10624227381</v>
          </cell>
          <cell r="F177" t="str">
            <v>0T3T_PAI18_Oi-36221_ALACARTE_SEXHOT_09.34%</v>
          </cell>
        </row>
        <row r="178">
          <cell r="A178" t="str">
            <v>Oi Total Fixo + Oi Mais 14GB + Banda Larga0.0934Template desconto % Sexy Hot nível conta</v>
          </cell>
          <cell r="B178" t="str">
            <v>Oi Total Completo 14GB</v>
          </cell>
          <cell r="C178" t="str">
            <v>Template desconto % Sexy Hot nível conta</v>
          </cell>
          <cell r="D178">
            <v>9.3399999999999997E-2</v>
          </cell>
          <cell r="E178" t="str">
            <v>MKT-1-10624227381</v>
          </cell>
          <cell r="F178" t="str">
            <v>0T3T_PAI18_Oi-36221_ALACARTE_SEXHOT_09.34%</v>
          </cell>
        </row>
        <row r="179">
          <cell r="A179" t="str">
            <v>Oi Total Fixo + Oi Mais 20GB + Banda Larga0.0934Template desconto % Sexy Hot nível conta</v>
          </cell>
          <cell r="B179" t="str">
            <v>Oi Total Completo 20GB</v>
          </cell>
          <cell r="C179" t="str">
            <v>Template desconto % Sexy Hot nível conta</v>
          </cell>
          <cell r="D179">
            <v>9.3399999999999997E-2</v>
          </cell>
          <cell r="E179" t="str">
            <v>MKT-1-10624227381</v>
          </cell>
          <cell r="F179" t="str">
            <v>0T3T_PAI18_Oi-36221_ALACARTE_SEXHOT_09.34%</v>
          </cell>
        </row>
        <row r="180">
          <cell r="A180" t="str">
            <v>Oi Total Fixo + Pós 250 + Banda Larga0.0934Template desconto % Sexy Hot + Playboy nível conta</v>
          </cell>
          <cell r="B180" t="str">
            <v>Plano Oi Completo Medium</v>
          </cell>
          <cell r="C180" t="str">
            <v>Template desconto % Sexy Hot + Playboy nível conta</v>
          </cell>
          <cell r="D180">
            <v>9.3399999999999997E-2</v>
          </cell>
          <cell r="E180" t="str">
            <v>MKT-1-10624276721</v>
          </cell>
          <cell r="F180" t="str">
            <v>0T3T_PAI18_Oi-36221_ALACARTE_SEXPLAY_09.34%</v>
          </cell>
        </row>
        <row r="181">
          <cell r="A181" t="str">
            <v>Oi Total Fixo + Pós 100 + Banda Larga0.0934Template desconto % Sexy Hot + Playboy nível conta</v>
          </cell>
          <cell r="B181" t="str">
            <v>Plano Oi Completo Small</v>
          </cell>
          <cell r="C181" t="str">
            <v>Template desconto % Sexy Hot + Playboy nível conta</v>
          </cell>
          <cell r="D181">
            <v>9.3399999999999997E-2</v>
          </cell>
          <cell r="E181" t="str">
            <v>MKT-1-10624276721</v>
          </cell>
          <cell r="F181" t="str">
            <v>0T3T_PAI18_Oi-36221_ALACARTE_SEXPLAY_09.34%</v>
          </cell>
        </row>
        <row r="182">
          <cell r="A182" t="str">
            <v>Oi Total Fixo + Pós Conectado 250 + Banda Larga0.0934Template desconto % Sexy Hot + Playboy nível conta</v>
          </cell>
          <cell r="B182" t="str">
            <v>Plano Oi Completo 250</v>
          </cell>
          <cell r="C182" t="str">
            <v>Template desconto % Sexy Hot + Playboy nível conta</v>
          </cell>
          <cell r="D182">
            <v>9.3399999999999997E-2</v>
          </cell>
          <cell r="E182" t="str">
            <v>MKT-1-10624276721</v>
          </cell>
          <cell r="F182" t="str">
            <v>0T3T_PAI18_Oi-36221_ALACARTE_SEXPLAY_09.34%</v>
          </cell>
        </row>
        <row r="183">
          <cell r="A183" t="str">
            <v>Oi Total Fixo + Oi Mais 7GB + Banda Larga0.0934Template desconto % Sexy Hot + Playboy nível conta</v>
          </cell>
          <cell r="B183" t="str">
            <v>Oi Total Completo 7GB</v>
          </cell>
          <cell r="C183" t="str">
            <v>Template desconto % Sexy Hot + Playboy nível conta</v>
          </cell>
          <cell r="D183">
            <v>9.3399999999999997E-2</v>
          </cell>
          <cell r="E183" t="str">
            <v>MKT-1-10624276721</v>
          </cell>
          <cell r="F183" t="str">
            <v>0T3T_PAI18_Oi-36221_ALACARTE_SEXPLAY_09.34%</v>
          </cell>
        </row>
        <row r="184">
          <cell r="A184" t="str">
            <v>Oi Total Fixo + TV 10.0934Template desconto % Sexy Hot + Playboy nível conta</v>
          </cell>
          <cell r="B184" t="str">
            <v>Plano Oi Internet Total Low</v>
          </cell>
          <cell r="C184" t="str">
            <v>Template desconto % Sexy Hot + Playboy nível conta</v>
          </cell>
          <cell r="D184">
            <v>9.3399999999999997E-2</v>
          </cell>
          <cell r="E184" t="str">
            <v>MKT-1-10624276721</v>
          </cell>
          <cell r="F184" t="str">
            <v>0T3T_PAI18_Oi-36221_ALACARTE_SEXPLAY_09.34%</v>
          </cell>
        </row>
        <row r="185">
          <cell r="A185" t="str">
            <v>Oi Total Fixo + Pós 500 + Banda Larga0.0934Template desconto % Sexy Hot + Playboy nível conta</v>
          </cell>
          <cell r="B185" t="str">
            <v>Plano Oi Completo Large</v>
          </cell>
          <cell r="C185" t="str">
            <v>Template desconto % Sexy Hot + Playboy nível conta</v>
          </cell>
          <cell r="D185">
            <v>9.3399999999999997E-2</v>
          </cell>
          <cell r="E185" t="str">
            <v>MKT-1-10624276721</v>
          </cell>
          <cell r="F185" t="str">
            <v>0T3T_PAI18_Oi-36221_ALACARTE_SEXPLAY_09.34%</v>
          </cell>
        </row>
        <row r="186">
          <cell r="A186" t="str">
            <v>Oi Total Fixo + Pós 800 + Banda Larga0.0934Template desconto % Sexy Hot + Playboy nível conta</v>
          </cell>
          <cell r="B186" t="str">
            <v>Plano Oi Completo XLarge</v>
          </cell>
          <cell r="C186" t="str">
            <v>Template desconto % Sexy Hot + Playboy nível conta</v>
          </cell>
          <cell r="D186">
            <v>9.3399999999999997E-2</v>
          </cell>
          <cell r="E186" t="str">
            <v>MKT-1-10624276721</v>
          </cell>
          <cell r="F186" t="str">
            <v>0T3T_PAI18_Oi-36221_ALACARTE_SEXPLAY_09.34%</v>
          </cell>
        </row>
        <row r="187">
          <cell r="A187" t="str">
            <v>Oi Total Fixo + Oi Mais 40GB + Banda Larga0.0934Template desconto % Sexy Hot + Playboy nível conta</v>
          </cell>
          <cell r="B187" t="str">
            <v>Oi Total Completo 40GB</v>
          </cell>
          <cell r="C187" t="str">
            <v>Template desconto % Sexy Hot + Playboy nível conta</v>
          </cell>
          <cell r="D187">
            <v>9.3399999999999997E-2</v>
          </cell>
          <cell r="E187" t="str">
            <v>MKT-1-10624276721</v>
          </cell>
          <cell r="F187" t="str">
            <v>0T3T_PAI18_Oi-36221_ALACARTE_SEXPLAY_09.34%</v>
          </cell>
        </row>
        <row r="188">
          <cell r="A188" t="str">
            <v>Oi Total Fixo + TV 20.0934Template desconto % Sexy Hot + Playboy nível conta</v>
          </cell>
          <cell r="B188" t="str">
            <v>Plano Oi Internet Total Medium</v>
          </cell>
          <cell r="C188" t="str">
            <v>Template desconto % Sexy Hot + Playboy nível conta</v>
          </cell>
          <cell r="D188">
            <v>9.3399999999999997E-2</v>
          </cell>
          <cell r="E188" t="str">
            <v>MKT-1-10624276721</v>
          </cell>
          <cell r="F188" t="str">
            <v>0T3T_PAI18_Oi-36221_ALACARTE_SEXPLAY_09.34%</v>
          </cell>
        </row>
        <row r="189">
          <cell r="A189" t="str">
            <v>Oi Total Fixo + Oi Mais 4GB + Banda Larga0.0934Template desconto % Sexy Hot + Playboy nível conta</v>
          </cell>
          <cell r="B189" t="str">
            <v>Oi Total Completo 4GB</v>
          </cell>
          <cell r="C189" t="str">
            <v>Template desconto % Sexy Hot + Playboy nível conta</v>
          </cell>
          <cell r="D189">
            <v>9.3399999999999997E-2</v>
          </cell>
          <cell r="E189" t="str">
            <v>MKT-1-10624276721</v>
          </cell>
          <cell r="F189" t="str">
            <v>0T3T_PAI18_Oi-36221_ALACARTE_SEXPLAY_09.34%</v>
          </cell>
        </row>
        <row r="190">
          <cell r="A190" t="str">
            <v>Oi Total Fixo + Oi Mais 10GB + Banda Larga0.0934Template desconto % Sexy Hot + Playboy nível conta</v>
          </cell>
          <cell r="B190" t="str">
            <v>Oi Total Completo 10GB</v>
          </cell>
          <cell r="C190" t="str">
            <v>Template desconto % Sexy Hot + Playboy nível conta</v>
          </cell>
          <cell r="D190">
            <v>9.3399999999999997E-2</v>
          </cell>
          <cell r="E190" t="str">
            <v>MKT-1-10624276721</v>
          </cell>
          <cell r="F190" t="str">
            <v>0T3T_PAI18_Oi-36221_ALACARTE_SEXPLAY_09.34%</v>
          </cell>
        </row>
        <row r="191">
          <cell r="A191" t="str">
            <v>Oi Total Fixo + Banda Larga + TV 10.0934Template desconto % Sexy Hot + Playboy nível conta</v>
          </cell>
          <cell r="B191" t="str">
            <v>Plano Oi Convergente Low</v>
          </cell>
          <cell r="C191" t="str">
            <v>Template desconto % Sexy Hot + Playboy nível conta</v>
          </cell>
          <cell r="D191">
            <v>9.3399999999999997E-2</v>
          </cell>
          <cell r="E191" t="str">
            <v>MKT-1-10624276721</v>
          </cell>
          <cell r="F191" t="str">
            <v>0T3T_PAI18_Oi-36221_ALACARTE_SEXPLAY_09.34%</v>
          </cell>
        </row>
        <row r="192">
          <cell r="A192" t="str">
            <v>Oi Total Fixo + Pós Conectado Mais + Banda Larga0.0934Template desconto % Sexy Hot + Playboy nível conta</v>
          </cell>
          <cell r="B192" t="str">
            <v>Plano Oi Completo Mais</v>
          </cell>
          <cell r="C192" t="str">
            <v>Template desconto % Sexy Hot + Playboy nível conta</v>
          </cell>
          <cell r="D192">
            <v>9.3399999999999997E-2</v>
          </cell>
          <cell r="E192" t="str">
            <v>MKT-1-10624276721</v>
          </cell>
          <cell r="F192" t="str">
            <v>0T3T_PAI18_Oi-36221_ALACARTE_SEXPLAY_09.34%</v>
          </cell>
        </row>
        <row r="193">
          <cell r="A193" t="str">
            <v>Oi Total Fixo + Pós + Banda Larga0.0934Template desconto % Sexy Hot + Playboy nível conta</v>
          </cell>
          <cell r="B193" t="str">
            <v>Plano Oi Completo Mini</v>
          </cell>
          <cell r="C193" t="str">
            <v>Template desconto % Sexy Hot + Playboy nível conta</v>
          </cell>
          <cell r="D193">
            <v>9.3399999999999997E-2</v>
          </cell>
          <cell r="E193" t="str">
            <v>MKT-1-10624276721</v>
          </cell>
          <cell r="F193" t="str">
            <v>0T3T_PAI18_Oi-36221_ALACARTE_SEXPLAY_09.34%</v>
          </cell>
        </row>
        <row r="194">
          <cell r="A194" t="str">
            <v>Oi Total Fixo + Pós 50 + Banda Larga0.0934Template desconto % Sexy Hot + Playboy nível conta</v>
          </cell>
          <cell r="B194" t="str">
            <v>Plano Oi Completo XSmall</v>
          </cell>
          <cell r="C194" t="str">
            <v>Template desconto % Sexy Hot + Playboy nível conta</v>
          </cell>
          <cell r="D194">
            <v>9.3399999999999997E-2</v>
          </cell>
          <cell r="E194" t="str">
            <v>MKT-1-10624276721</v>
          </cell>
          <cell r="F194" t="str">
            <v>0T3T_PAI18_Oi-36221_ALACARTE_SEXPLAY_09.34%</v>
          </cell>
        </row>
        <row r="195">
          <cell r="A195" t="str">
            <v>Oi Total Fixo + TV 30.0934Template desconto % Sexy Hot + Playboy nível conta</v>
          </cell>
          <cell r="B195" t="str">
            <v>Plano Oi Internet Total High</v>
          </cell>
          <cell r="C195" t="str">
            <v>Template desconto % Sexy Hot + Playboy nível conta</v>
          </cell>
          <cell r="D195">
            <v>9.3399999999999997E-2</v>
          </cell>
          <cell r="E195" t="str">
            <v>MKT-1-10624276721</v>
          </cell>
          <cell r="F195" t="str">
            <v>0T3T_PAI18_Oi-36221_ALACARTE_SEXPLAY_09.34%</v>
          </cell>
        </row>
        <row r="196">
          <cell r="A196" t="str">
            <v>Oi Total Fixo + Pós Conectado 500 + Banda Larga0.0934Template desconto % Sexy Hot + Playboy nível conta</v>
          </cell>
          <cell r="B196" t="str">
            <v>Plano Oi Completo 500</v>
          </cell>
          <cell r="C196" t="str">
            <v>Template desconto % Sexy Hot + Playboy nível conta</v>
          </cell>
          <cell r="D196">
            <v>9.3399999999999997E-2</v>
          </cell>
          <cell r="E196" t="str">
            <v>MKT-1-10624276721</v>
          </cell>
          <cell r="F196" t="str">
            <v>0T3T_PAI18_Oi-36221_ALACARTE_SEXPLAY_09.34%</v>
          </cell>
        </row>
        <row r="197">
          <cell r="A197" t="str">
            <v>Oi Total Fixo + Pós Conectado 1.000 + Banda Larga0.0934Template desconto % Sexy Hot + Playboy nível conta</v>
          </cell>
          <cell r="B197" t="str">
            <v>Plano Oi Completo 1.000</v>
          </cell>
          <cell r="C197" t="str">
            <v>Template desconto % Sexy Hot + Playboy nível conta</v>
          </cell>
          <cell r="D197">
            <v>9.3399999999999997E-2</v>
          </cell>
          <cell r="E197" t="str">
            <v>MKT-1-10624276721</v>
          </cell>
          <cell r="F197" t="str">
            <v>0T3T_PAI18_Oi-36221_ALACARTE_SEXPLAY_09.34%</v>
          </cell>
        </row>
        <row r="198">
          <cell r="A198" t="str">
            <v>Oi Total Fixo + Banda Larga + TV 20.0934Template desconto % Sexy Hot + Playboy nível conta</v>
          </cell>
          <cell r="B198" t="str">
            <v>Plano Oi Convergente Medium</v>
          </cell>
          <cell r="C198" t="str">
            <v>Template desconto % Sexy Hot + Playboy nível conta</v>
          </cell>
          <cell r="D198">
            <v>9.3399999999999997E-2</v>
          </cell>
          <cell r="E198" t="str">
            <v>MKT-1-10624276721</v>
          </cell>
          <cell r="F198" t="str">
            <v>0T3T_PAI18_Oi-36221_ALACARTE_SEXPLAY_09.34%</v>
          </cell>
        </row>
        <row r="199">
          <cell r="A199" t="str">
            <v>Oi Total Fixo + Banda Larga + TV 30.0934Template desconto % Sexy Hot + Playboy nível conta</v>
          </cell>
          <cell r="B199" t="str">
            <v>Plano Oi Convergente High</v>
          </cell>
          <cell r="C199" t="str">
            <v>Template desconto % Sexy Hot + Playboy nível conta</v>
          </cell>
          <cell r="D199">
            <v>9.3399999999999997E-2</v>
          </cell>
          <cell r="E199" t="str">
            <v>MKT-1-10624276721</v>
          </cell>
          <cell r="F199" t="str">
            <v>0T3T_PAI18_Oi-36221_ALACARTE_SEXPLAY_09.34%</v>
          </cell>
        </row>
        <row r="200">
          <cell r="A200" t="str">
            <v>Oi Total Fixo + Oi Mais 14GB + Banda Larga0.0934Template desconto % Sexy Hot + Playboy nível conta</v>
          </cell>
          <cell r="B200" t="str">
            <v>Oi Total Completo 14GB</v>
          </cell>
          <cell r="C200" t="str">
            <v>Template desconto % Sexy Hot + Playboy nível conta</v>
          </cell>
          <cell r="D200">
            <v>9.3399999999999997E-2</v>
          </cell>
          <cell r="E200" t="str">
            <v>MKT-1-10624276721</v>
          </cell>
          <cell r="F200" t="str">
            <v>0T3T_PAI18_Oi-36221_ALACARTE_SEXPLAY_09.34%</v>
          </cell>
        </row>
        <row r="201">
          <cell r="A201" t="str">
            <v>Oi Total Fixo + Oi Mais 20GB + Banda Larga0.0934Template desconto % Sexy Hot + Playboy nível conta</v>
          </cell>
          <cell r="B201" t="str">
            <v>Oi Total Completo 20GB</v>
          </cell>
          <cell r="C201" t="str">
            <v>Template desconto % Sexy Hot + Playboy nível conta</v>
          </cell>
          <cell r="D201">
            <v>9.3399999999999997E-2</v>
          </cell>
          <cell r="E201" t="str">
            <v>MKT-1-10624276721</v>
          </cell>
          <cell r="F201" t="str">
            <v>0T3T_PAI18_Oi-36221_ALACARTE_SEXPLAY_09.34%</v>
          </cell>
        </row>
        <row r="202">
          <cell r="A202" t="str">
            <v>Oi Total Fixo + Banda Larga + TV 30.0932Template desconto % SexPrivê nível conta</v>
          </cell>
          <cell r="B202" t="str">
            <v>Plano Oi Convergente High</v>
          </cell>
          <cell r="C202" t="str">
            <v>Template desconto % SexPrivê nível conta</v>
          </cell>
          <cell r="D202">
            <v>9.3200000000000005E-2</v>
          </cell>
          <cell r="E202" t="str">
            <v>MKT-1-10624289961</v>
          </cell>
          <cell r="F202" t="str">
            <v>0T3T_PAI18_Oi-36221_ALACARTE_SEXPRIVE_09.32%</v>
          </cell>
        </row>
        <row r="203">
          <cell r="A203" t="str">
            <v>Oi Total Fixo + Oi Mais 14GB + Banda Larga0.0932Template desconto % SexPrivê nível conta</v>
          </cell>
          <cell r="B203" t="str">
            <v>Oi Total Completo 14GB</v>
          </cell>
          <cell r="C203" t="str">
            <v>Template desconto % SexPrivê nível conta</v>
          </cell>
          <cell r="D203">
            <v>9.3200000000000005E-2</v>
          </cell>
          <cell r="E203" t="str">
            <v>MKT-1-10624289961</v>
          </cell>
          <cell r="F203" t="str">
            <v>0T3T_PAI18_Oi-36221_ALACARTE_SEXPRIVE_09.32%</v>
          </cell>
        </row>
        <row r="204">
          <cell r="A204" t="str">
            <v>Oi Total Fixo + Oi Mais 20GB + Banda Larga0.0932Template desconto % SexPrivê nível conta</v>
          </cell>
          <cell r="B204" t="str">
            <v>Oi Total Completo 20GB</v>
          </cell>
          <cell r="C204" t="str">
            <v>Template desconto % SexPrivê nível conta</v>
          </cell>
          <cell r="D204">
            <v>9.3200000000000005E-2</v>
          </cell>
          <cell r="E204" t="str">
            <v>MKT-1-10624289961</v>
          </cell>
          <cell r="F204" t="str">
            <v>0T3T_PAI18_Oi-36221_ALACARTE_SEXPRIVE_09.32%</v>
          </cell>
        </row>
        <row r="205">
          <cell r="A205" t="str">
            <v>Oi Total Fixo + Pós 250 + Banda Larga0.0932Template desconto % SexPrivê nível conta</v>
          </cell>
          <cell r="B205" t="str">
            <v>Plano Oi Completo Medium</v>
          </cell>
          <cell r="C205" t="str">
            <v>Template desconto % SexPrivê nível conta</v>
          </cell>
          <cell r="D205">
            <v>9.3200000000000005E-2</v>
          </cell>
          <cell r="E205" t="str">
            <v>MKT-1-10624289961</v>
          </cell>
          <cell r="F205" t="str">
            <v>0T3T_PAI18_Oi-36221_ALACARTE_SEXPRIVE_09.32%</v>
          </cell>
        </row>
        <row r="206">
          <cell r="A206" t="str">
            <v>Oi Total Fixo + Pós 100 + Banda Larga0.0932Template desconto % SexPrivê nível conta</v>
          </cell>
          <cell r="B206" t="str">
            <v>Plano Oi Completo Small</v>
          </cell>
          <cell r="C206" t="str">
            <v>Template desconto % SexPrivê nível conta</v>
          </cell>
          <cell r="D206">
            <v>9.3200000000000005E-2</v>
          </cell>
          <cell r="E206" t="str">
            <v>MKT-1-10624289961</v>
          </cell>
          <cell r="F206" t="str">
            <v>0T3T_PAI18_Oi-36221_ALACARTE_SEXPRIVE_09.32%</v>
          </cell>
        </row>
        <row r="207">
          <cell r="A207" t="str">
            <v>Oi Total Fixo + Oi Mais 7GB + Banda Larga0.0932Template desconto % SexPrivê nível conta</v>
          </cell>
          <cell r="B207" t="str">
            <v>Oi Total Completo 7GB</v>
          </cell>
          <cell r="C207" t="str">
            <v>Template desconto % SexPrivê nível conta</v>
          </cell>
          <cell r="D207">
            <v>9.3200000000000005E-2</v>
          </cell>
          <cell r="E207" t="str">
            <v>MKT-1-10624289961</v>
          </cell>
          <cell r="F207" t="str">
            <v>0T3T_PAI18_Oi-36221_ALACARTE_SEXPRIVE_09.32%</v>
          </cell>
        </row>
        <row r="208">
          <cell r="A208" t="str">
            <v>Oi Total Fixo + Pós Conectado 250 + Banda Larga0.0932Template desconto % SexPrivê nível conta</v>
          </cell>
          <cell r="B208" t="str">
            <v>Plano Oi Completo 250</v>
          </cell>
          <cell r="C208" t="str">
            <v>Template desconto % SexPrivê nível conta</v>
          </cell>
          <cell r="D208">
            <v>9.3200000000000005E-2</v>
          </cell>
          <cell r="E208" t="str">
            <v>MKT-1-10624289961</v>
          </cell>
          <cell r="F208" t="str">
            <v>0T3T_PAI18_Oi-36221_ALACARTE_SEXPRIVE_09.32%</v>
          </cell>
        </row>
        <row r="209">
          <cell r="A209" t="str">
            <v>Oi Total Fixo + Banda Larga + TV 20.0932Template desconto % SexPrivê nível conta</v>
          </cell>
          <cell r="B209" t="str">
            <v>Plano Oi Convergente Medium</v>
          </cell>
          <cell r="C209" t="str">
            <v>Template desconto % SexPrivê nível conta</v>
          </cell>
          <cell r="D209">
            <v>9.3200000000000005E-2</v>
          </cell>
          <cell r="E209" t="str">
            <v>MKT-1-10624289961</v>
          </cell>
          <cell r="F209" t="str">
            <v>0T3T_PAI18_Oi-36221_ALACARTE_SEXPRIVE_09.32%</v>
          </cell>
        </row>
        <row r="210">
          <cell r="A210" t="str">
            <v>Oi Total Fixo + TV 10.0932Template desconto % SexPrivê nível conta</v>
          </cell>
          <cell r="B210" t="str">
            <v>Plano Oi Internet Total Low</v>
          </cell>
          <cell r="C210" t="str">
            <v>Template desconto % SexPrivê nível conta</v>
          </cell>
          <cell r="D210">
            <v>9.3200000000000005E-2</v>
          </cell>
          <cell r="E210" t="str">
            <v>MKT-1-10624289961</v>
          </cell>
          <cell r="F210" t="str">
            <v>0T3T_PAI18_Oi-36221_ALACARTE_SEXPRIVE_09.32%</v>
          </cell>
        </row>
        <row r="211">
          <cell r="A211" t="str">
            <v>Oi Total Fixo + Pós 500 + Banda Larga0.0932Template desconto % SexPrivê nível conta</v>
          </cell>
          <cell r="B211" t="str">
            <v>Plano Oi Completo Large</v>
          </cell>
          <cell r="C211" t="str">
            <v>Template desconto % SexPrivê nível conta</v>
          </cell>
          <cell r="D211">
            <v>9.3200000000000005E-2</v>
          </cell>
          <cell r="E211" t="str">
            <v>MKT-1-10624289961</v>
          </cell>
          <cell r="F211" t="str">
            <v>0T3T_PAI18_Oi-36221_ALACARTE_SEXPRIVE_09.32%</v>
          </cell>
        </row>
        <row r="212">
          <cell r="A212" t="str">
            <v>Oi Total Fixo + Oi Mais 40GB + Banda Larga0.0932Template desconto % SexPrivê nível conta</v>
          </cell>
          <cell r="B212" t="str">
            <v>Oi Total Completo 40GB</v>
          </cell>
          <cell r="C212" t="str">
            <v>Template desconto % SexPrivê nível conta</v>
          </cell>
          <cell r="D212">
            <v>9.3200000000000005E-2</v>
          </cell>
          <cell r="E212" t="str">
            <v>MKT-1-10624289961</v>
          </cell>
          <cell r="F212" t="str">
            <v>0T3T_PAI18_Oi-36221_ALACARTE_SEXPRIVE_09.32%</v>
          </cell>
        </row>
        <row r="213">
          <cell r="A213" t="str">
            <v>Oi Total Fixo + Pós 800 + Banda Larga0.0932Template desconto % SexPrivê nível conta</v>
          </cell>
          <cell r="B213" t="str">
            <v>Plano Oi Completo XLarge</v>
          </cell>
          <cell r="C213" t="str">
            <v>Template desconto % SexPrivê nível conta</v>
          </cell>
          <cell r="D213">
            <v>9.3200000000000005E-2</v>
          </cell>
          <cell r="E213" t="str">
            <v>MKT-1-10624289961</v>
          </cell>
          <cell r="F213" t="str">
            <v>0T3T_PAI18_Oi-36221_ALACARTE_SEXPRIVE_09.32%</v>
          </cell>
        </row>
        <row r="214">
          <cell r="A214" t="str">
            <v>Oi Total Fixo + Oi Mais 4GB + Banda Larga0.0932Template desconto % SexPrivê nível conta</v>
          </cell>
          <cell r="B214" t="str">
            <v>Oi Total Completo 4GB</v>
          </cell>
          <cell r="C214" t="str">
            <v>Template desconto % SexPrivê nível conta</v>
          </cell>
          <cell r="D214">
            <v>9.3200000000000005E-2</v>
          </cell>
          <cell r="E214" t="str">
            <v>MKT-1-10624289961</v>
          </cell>
          <cell r="F214" t="str">
            <v>0T3T_PAI18_Oi-36221_ALACARTE_SEXPRIVE_09.32%</v>
          </cell>
        </row>
        <row r="215">
          <cell r="A215" t="str">
            <v>Oi Total Fixo + Oi Mais 10GB + Banda Larga0.0932Template desconto % SexPrivê nível conta</v>
          </cell>
          <cell r="B215" t="str">
            <v>Oi Total Completo 10GB</v>
          </cell>
          <cell r="C215" t="str">
            <v>Template desconto % SexPrivê nível conta</v>
          </cell>
          <cell r="D215">
            <v>9.3200000000000005E-2</v>
          </cell>
          <cell r="E215" t="str">
            <v>MKT-1-10624289961</v>
          </cell>
          <cell r="F215" t="str">
            <v>0T3T_PAI18_Oi-36221_ALACARTE_SEXPRIVE_09.32%</v>
          </cell>
        </row>
        <row r="216">
          <cell r="A216" t="str">
            <v>Oi Total Fixo + TV 20.0932Template desconto % SexPrivê nível conta</v>
          </cell>
          <cell r="B216" t="str">
            <v>Plano Oi Internet Total Medium</v>
          </cell>
          <cell r="C216" t="str">
            <v>Template desconto % SexPrivê nível conta</v>
          </cell>
          <cell r="D216">
            <v>9.3200000000000005E-2</v>
          </cell>
          <cell r="E216" t="str">
            <v>MKT-1-10624289961</v>
          </cell>
          <cell r="F216" t="str">
            <v>0T3T_PAI18_Oi-36221_ALACARTE_SEXPRIVE_09.32%</v>
          </cell>
        </row>
        <row r="217">
          <cell r="A217" t="str">
            <v>Oi Total Fixo + Banda Larga + TV 10.0932Template desconto % SexPrivê nível conta</v>
          </cell>
          <cell r="B217" t="str">
            <v>Plano Oi Convergente Low</v>
          </cell>
          <cell r="C217" t="str">
            <v>Template desconto % SexPrivê nível conta</v>
          </cell>
          <cell r="D217">
            <v>9.3200000000000005E-2</v>
          </cell>
          <cell r="E217" t="str">
            <v>MKT-1-10624289961</v>
          </cell>
          <cell r="F217" t="str">
            <v>0T3T_PAI18_Oi-36221_ALACARTE_SEXPRIVE_09.32%</v>
          </cell>
        </row>
        <row r="218">
          <cell r="A218" t="str">
            <v>Oi Total Fixo + Pós Conectado Mais + Banda Larga0.0932Template desconto % SexPrivê nível conta</v>
          </cell>
          <cell r="B218" t="str">
            <v>Plano Oi Completo Mais</v>
          </cell>
          <cell r="C218" t="str">
            <v>Template desconto % SexPrivê nível conta</v>
          </cell>
          <cell r="D218">
            <v>9.3200000000000005E-2</v>
          </cell>
          <cell r="E218" t="str">
            <v>MKT-1-10624289961</v>
          </cell>
          <cell r="F218" t="str">
            <v>0T3T_PAI18_Oi-36221_ALACARTE_SEXPRIVE_09.32%</v>
          </cell>
        </row>
        <row r="219">
          <cell r="A219" t="str">
            <v>Oi Total Fixo + Pós + Banda Larga0.0932Template desconto % SexPrivê nível conta</v>
          </cell>
          <cell r="B219" t="str">
            <v>Plano Oi Completo Mini</v>
          </cell>
          <cell r="C219" t="str">
            <v>Template desconto % SexPrivê nível conta</v>
          </cell>
          <cell r="D219">
            <v>9.3200000000000005E-2</v>
          </cell>
          <cell r="E219" t="str">
            <v>MKT-1-10624289961</v>
          </cell>
          <cell r="F219" t="str">
            <v>0T3T_PAI18_Oi-36221_ALACARTE_SEXPRIVE_09.32%</v>
          </cell>
        </row>
        <row r="220">
          <cell r="A220" t="str">
            <v>Oi Total Fixo + Pós 50 + Banda Larga0.0932Template desconto % SexPrivê nível conta</v>
          </cell>
          <cell r="B220" t="str">
            <v>Plano Oi Completo XSmall</v>
          </cell>
          <cell r="C220" t="str">
            <v>Template desconto % SexPrivê nível conta</v>
          </cell>
          <cell r="D220">
            <v>9.3200000000000005E-2</v>
          </cell>
          <cell r="E220" t="str">
            <v>MKT-1-10624289961</v>
          </cell>
          <cell r="F220" t="str">
            <v>0T3T_PAI18_Oi-36221_ALACARTE_SEXPRIVE_09.32%</v>
          </cell>
        </row>
        <row r="221">
          <cell r="A221" t="str">
            <v>Oi Total Fixo + TV 30.0932Template desconto % SexPrivê nível conta</v>
          </cell>
          <cell r="B221" t="str">
            <v>Plano Oi Internet Total High</v>
          </cell>
          <cell r="C221" t="str">
            <v>Template desconto % SexPrivê nível conta</v>
          </cell>
          <cell r="D221">
            <v>9.3200000000000005E-2</v>
          </cell>
          <cell r="E221" t="str">
            <v>MKT-1-10624289961</v>
          </cell>
          <cell r="F221" t="str">
            <v>0T3T_PAI18_Oi-36221_ALACARTE_SEXPRIVE_09.32%</v>
          </cell>
        </row>
        <row r="222">
          <cell r="A222" t="str">
            <v>Oi Total Fixo + Pós Conectado 500 + Banda Larga0.0932Template desconto % SexPrivê nível conta</v>
          </cell>
          <cell r="B222" t="str">
            <v>Plano Oi Completo 500</v>
          </cell>
          <cell r="C222" t="str">
            <v>Template desconto % SexPrivê nível conta</v>
          </cell>
          <cell r="D222">
            <v>9.3200000000000005E-2</v>
          </cell>
          <cell r="E222" t="str">
            <v>MKT-1-10624289961</v>
          </cell>
          <cell r="F222" t="str">
            <v>0T3T_PAI18_Oi-36221_ALACARTE_SEXPRIVE_09.32%</v>
          </cell>
        </row>
        <row r="223">
          <cell r="A223" t="str">
            <v>Oi Total Fixo + Pós Conectado 1.000 + Banda Larga0.0932Template desconto % SexPrivê nível conta</v>
          </cell>
          <cell r="B223" t="str">
            <v>Plano Oi Completo 1.000</v>
          </cell>
          <cell r="C223" t="str">
            <v>Template desconto % SexPrivê nível conta</v>
          </cell>
          <cell r="D223">
            <v>9.3200000000000005E-2</v>
          </cell>
          <cell r="E223" t="str">
            <v>MKT-1-10624289961</v>
          </cell>
          <cell r="F223" t="str">
            <v>0T3T_PAI18_Oi-36221_ALACARTE_SEXPRIVE_09.32%</v>
          </cell>
        </row>
        <row r="224">
          <cell r="A224" t="str">
            <v>Oi Total Fixo + Oi Mais 4GB + Banda Larga0.0693Template de desconto percentual Bundle - Fixo - Varejo - Ganho Tributário</v>
          </cell>
          <cell r="B224" t="str">
            <v>Oi Total Completo 4GB</v>
          </cell>
          <cell r="C224" t="str">
            <v>Template de desconto percentual Bundle - Fixo - Varejo - Ganho Tributário</v>
          </cell>
          <cell r="D224">
            <v>6.93E-2</v>
          </cell>
          <cell r="E224" t="str">
            <v>MKT-1-10624277301</v>
          </cell>
          <cell r="F224" t="str">
            <v>0T3T_PAI18_Oi-36221_DET_FIXO_FR_06.93%</v>
          </cell>
        </row>
        <row r="225">
          <cell r="A225" t="str">
            <v>Oi Total Fixo + Pós Conectado 250 + Banda Larga1Template Desc. % sobre Serviço SVA B2C</v>
          </cell>
          <cell r="B225" t="str">
            <v>Plano Oi Completo 250</v>
          </cell>
          <cell r="C225" t="str">
            <v>Template Desc. % sobre Serviço SVA B2C</v>
          </cell>
          <cell r="D225">
            <v>1</v>
          </cell>
          <cell r="E225" t="str">
            <v>MKT-1-10621741261</v>
          </cell>
          <cell r="F225" t="str">
            <v>0T3T_PAI18_Oi-36221_DET_SVA_BL_100.00%</v>
          </cell>
        </row>
        <row r="226">
          <cell r="A226" t="str">
            <v>Oi Total Fixo + Banda Larga 21Template Desc. % sobre Serviço SVA B2C</v>
          </cell>
          <cell r="B226" t="str">
            <v>Oi Total Fixo + Banda Larga 2</v>
          </cell>
          <cell r="C226" t="str">
            <v>Template Desc. % sobre Serviço SVA B2C</v>
          </cell>
          <cell r="D226">
            <v>1</v>
          </cell>
          <cell r="E226" t="str">
            <v>MKT-1-10621741261</v>
          </cell>
          <cell r="F226" t="str">
            <v>0T3T_PAI18_Oi-36221_DET_SVA_BL_100.00%</v>
          </cell>
        </row>
        <row r="227">
          <cell r="A227" t="str">
            <v>Oi Total Fixo + Pós 500 + Banda Larga1Template Desc. % sobre Serviço SVA B2C</v>
          </cell>
          <cell r="B227" t="str">
            <v>Plano Oi Completo Large</v>
          </cell>
          <cell r="C227" t="str">
            <v>Template Desc. % sobre Serviço SVA B2C</v>
          </cell>
          <cell r="D227">
            <v>1</v>
          </cell>
          <cell r="E227" t="str">
            <v>MKT-1-10621741261</v>
          </cell>
          <cell r="F227" t="str">
            <v>0T3T_PAI18_Oi-36221_DET_SVA_BL_100.00%</v>
          </cell>
        </row>
        <row r="228">
          <cell r="A228" t="str">
            <v>Oi Total Fixo + Pós 800 + Banda Larga1Template Desc. % sobre Serviço SVA B2C</v>
          </cell>
          <cell r="B228" t="str">
            <v>Plano Oi Completo XLarge</v>
          </cell>
          <cell r="C228" t="str">
            <v>Template Desc. % sobre Serviço SVA B2C</v>
          </cell>
          <cell r="D228">
            <v>1</v>
          </cell>
          <cell r="E228" t="str">
            <v>MKT-1-10621741261</v>
          </cell>
          <cell r="F228" t="str">
            <v>0T3T_PAI18_Oi-36221_DET_SVA_BL_100.00%</v>
          </cell>
        </row>
        <row r="229">
          <cell r="A229" t="str">
            <v>Oi Total Fixo + Oi Mais 40GB + Banda Larga1Template Desc. % sobre Serviço SVA B2C</v>
          </cell>
          <cell r="B229" t="str">
            <v>Oi Total Completo 40GB</v>
          </cell>
          <cell r="C229" t="str">
            <v>Template Desc. % sobre Serviço SVA B2C</v>
          </cell>
          <cell r="D229">
            <v>1</v>
          </cell>
          <cell r="E229" t="str">
            <v>MKT-1-10621741261</v>
          </cell>
          <cell r="F229" t="str">
            <v>0T3T_PAI18_Oi-36221_DET_SVA_BL_100.00%</v>
          </cell>
        </row>
        <row r="230">
          <cell r="A230" t="str">
            <v>Oi Total Fixo + Banda Larga + TV 11Template Desc. % sobre Serviço SVA B2C</v>
          </cell>
          <cell r="B230" t="str">
            <v>Plano Oi Convergente Low</v>
          </cell>
          <cell r="C230" t="str">
            <v>Template Desc. % sobre Serviço SVA B2C</v>
          </cell>
          <cell r="D230">
            <v>1</v>
          </cell>
          <cell r="E230" t="str">
            <v>MKT-1-10621741261</v>
          </cell>
          <cell r="F230" t="str">
            <v>0T3T_PAI18_Oi-36221_DET_SVA_BL_100.00%</v>
          </cell>
        </row>
        <row r="231">
          <cell r="A231" t="str">
            <v>Oi Total Fixo + Pós Conectado Mais + Banda Larga1Template Desc. % sobre Serviço SVA B2C</v>
          </cell>
          <cell r="B231" t="str">
            <v>Plano Oi Completo Mais</v>
          </cell>
          <cell r="C231" t="str">
            <v>Template Desc. % sobre Serviço SVA B2C</v>
          </cell>
          <cell r="D231">
            <v>1</v>
          </cell>
          <cell r="E231" t="str">
            <v>MKT-1-10621741261</v>
          </cell>
          <cell r="F231" t="str">
            <v>0T3T_PAI18_Oi-36221_DET_SVA_BL_100.00%</v>
          </cell>
        </row>
        <row r="232">
          <cell r="A232" t="str">
            <v>Oi Total Fixo + Oi Mais 4GB + Banda Larga1Template Desc. % sobre Serviço SVA B2C</v>
          </cell>
          <cell r="B232" t="str">
            <v>Oi Total Completo 4GB</v>
          </cell>
          <cell r="C232" t="str">
            <v>Template Desc. % sobre Serviço SVA B2C</v>
          </cell>
          <cell r="D232">
            <v>1</v>
          </cell>
          <cell r="E232" t="str">
            <v>MKT-1-10621741261</v>
          </cell>
          <cell r="F232" t="str">
            <v>0T3T_PAI18_Oi-36221_DET_SVA_BL_100.00%</v>
          </cell>
        </row>
        <row r="233">
          <cell r="A233" t="str">
            <v>Oi Total Fixo + Banda Larga 11Template Desc. % sobre Serviço SVA B2C</v>
          </cell>
          <cell r="B233" t="str">
            <v>Oi Total Fixo + Banda Larga 1</v>
          </cell>
          <cell r="C233" t="str">
            <v>Template Desc. % sobre Serviço SVA B2C</v>
          </cell>
          <cell r="D233">
            <v>1</v>
          </cell>
          <cell r="E233" t="str">
            <v>MKT-1-10621741261</v>
          </cell>
          <cell r="F233" t="str">
            <v>0T3T_PAI18_Oi-36221_DET_SVA_BL_100.00%</v>
          </cell>
        </row>
        <row r="234">
          <cell r="A234" t="str">
            <v>Oi Total Fixo + Oi Mais 20GB + Banda Larga1Template Desc. % sobre Serviço SVA B2C</v>
          </cell>
          <cell r="B234" t="str">
            <v>Oi Total Completo 20GB</v>
          </cell>
          <cell r="C234" t="str">
            <v>Template Desc. % sobre Serviço SVA B2C</v>
          </cell>
          <cell r="D234">
            <v>1</v>
          </cell>
          <cell r="E234" t="str">
            <v>MKT-1-10621741261</v>
          </cell>
          <cell r="F234" t="str">
            <v>0T3T_PAI18_Oi-36221_DET_SVA_BL_100.00%</v>
          </cell>
        </row>
        <row r="235">
          <cell r="A235" t="str">
            <v>Oi Total Fixo + Pós + Banda Larga1Template Desc. % sobre Serviço SVA B2C</v>
          </cell>
          <cell r="B235" t="str">
            <v>Plano Oi Completo Mini</v>
          </cell>
          <cell r="C235" t="str">
            <v>Template Desc. % sobre Serviço SVA B2C</v>
          </cell>
          <cell r="D235">
            <v>1</v>
          </cell>
          <cell r="E235" t="str">
            <v>MKT-1-10621741261</v>
          </cell>
          <cell r="F235" t="str">
            <v>0T3T_PAI18_Oi-36221_DET_SVA_BL_100.00%</v>
          </cell>
        </row>
        <row r="236">
          <cell r="A236" t="str">
            <v>Oi Total Fixo + Pós 50 + Banda Larga1Template Desc. % sobre Serviço SVA B2C</v>
          </cell>
          <cell r="B236" t="str">
            <v>Plano Oi Completo XSmall</v>
          </cell>
          <cell r="C236" t="str">
            <v>Template Desc. % sobre Serviço SVA B2C</v>
          </cell>
          <cell r="D236">
            <v>1</v>
          </cell>
          <cell r="E236" t="str">
            <v>MKT-1-10621741261</v>
          </cell>
          <cell r="F236" t="str">
            <v>0T3T_PAI18_Oi-36221_DET_SVA_BL_100.00%</v>
          </cell>
        </row>
        <row r="237">
          <cell r="A237" t="str">
            <v>Oi Total Fixo + Banda Larga 31Template Desc. % sobre Serviço SVA B2C</v>
          </cell>
          <cell r="B237" t="str">
            <v>Oi Total Fixo + Banda Larga 3</v>
          </cell>
          <cell r="C237" t="str">
            <v>Template Desc. % sobre Serviço SVA B2C</v>
          </cell>
          <cell r="D237">
            <v>1</v>
          </cell>
          <cell r="E237" t="str">
            <v>MKT-1-10621741261</v>
          </cell>
          <cell r="F237" t="str">
            <v>0T3T_PAI18_Oi-36221_DET_SVA_BL_100.00%</v>
          </cell>
        </row>
        <row r="238">
          <cell r="A238" t="str">
            <v>Oi Total Fixo + Pós Conectado 500 + Banda Larga1Template Desc. % sobre Serviço SVA B2C</v>
          </cell>
          <cell r="B238" t="str">
            <v>Plano Oi Completo 500</v>
          </cell>
          <cell r="C238" t="str">
            <v>Template Desc. % sobre Serviço SVA B2C</v>
          </cell>
          <cell r="D238">
            <v>1</v>
          </cell>
          <cell r="E238" t="str">
            <v>MKT-1-10621741261</v>
          </cell>
          <cell r="F238" t="str">
            <v>0T3T_PAI18_Oi-36221_DET_SVA_BL_100.00%</v>
          </cell>
        </row>
        <row r="239">
          <cell r="A239" t="str">
            <v>Oi Total Fixo + Pós Conectado 1.000 + Banda Larga1Template Desc. % sobre Serviço SVA B2C</v>
          </cell>
          <cell r="B239" t="str">
            <v>Plano Oi Completo 1.000</v>
          </cell>
          <cell r="C239" t="str">
            <v>Template Desc. % sobre Serviço SVA B2C</v>
          </cell>
          <cell r="D239">
            <v>1</v>
          </cell>
          <cell r="E239" t="str">
            <v>MKT-1-10621741261</v>
          </cell>
          <cell r="F239" t="str">
            <v>0T3T_PAI18_Oi-36221_DET_SVA_BL_100.00%</v>
          </cell>
        </row>
        <row r="240">
          <cell r="A240" t="str">
            <v>Oi Total Fixo + Banda Larga + TV 21Template Desc. % sobre Serviço SVA B2C</v>
          </cell>
          <cell r="B240" t="str">
            <v>Plano Oi Convergente Medium</v>
          </cell>
          <cell r="C240" t="str">
            <v>Template Desc. % sobre Serviço SVA B2C</v>
          </cell>
          <cell r="D240">
            <v>1</v>
          </cell>
          <cell r="E240" t="str">
            <v>MKT-1-10621741261</v>
          </cell>
          <cell r="F240" t="str">
            <v>0T3T_PAI18_Oi-36221_DET_SVA_BL_100.00%</v>
          </cell>
        </row>
        <row r="241">
          <cell r="A241" t="str">
            <v>Oi Total Fixo + Pós 250 + Banda Larga1Template Desc. % sobre Serviço SVA B2C</v>
          </cell>
          <cell r="B241" t="str">
            <v>Plano Oi Completo Medium</v>
          </cell>
          <cell r="C241" t="str">
            <v>Template Desc. % sobre Serviço SVA B2C</v>
          </cell>
          <cell r="D241">
            <v>1</v>
          </cell>
          <cell r="E241" t="str">
            <v>MKT-1-10621741261</v>
          </cell>
          <cell r="F241" t="str">
            <v>0T3T_PAI18_Oi-36221_DET_SVA_BL_100.00%</v>
          </cell>
        </row>
        <row r="242">
          <cell r="A242" t="str">
            <v>Oi Total Fixo + Oi Mais 10GB + Banda Larga1Template Desc. % sobre Serviço SVA B2C</v>
          </cell>
          <cell r="B242" t="str">
            <v>Oi Total Completo 10GB</v>
          </cell>
          <cell r="C242" t="str">
            <v>Template Desc. % sobre Serviço SVA B2C</v>
          </cell>
          <cell r="D242">
            <v>1</v>
          </cell>
          <cell r="E242" t="str">
            <v>MKT-1-10621741261</v>
          </cell>
          <cell r="F242" t="str">
            <v>0T3T_PAI18_Oi-36221_DET_SVA_BL_100.00%</v>
          </cell>
        </row>
        <row r="243">
          <cell r="A243" t="str">
            <v>Oi Total Fixo + Banda Larga + TV 31Template Desc. % sobre Serviço SVA B2C</v>
          </cell>
          <cell r="B243" t="str">
            <v>Plano Oi Convergente High</v>
          </cell>
          <cell r="C243" t="str">
            <v>Template Desc. % sobre Serviço SVA B2C</v>
          </cell>
          <cell r="D243">
            <v>1</v>
          </cell>
          <cell r="E243" t="str">
            <v>MKT-1-10621741261</v>
          </cell>
          <cell r="F243" t="str">
            <v>0T3T_PAI18_Oi-36221_DET_SVA_BL_100.00%</v>
          </cell>
        </row>
        <row r="244">
          <cell r="A244" t="str">
            <v>Oi Total Fixo + Pós 100 + Banda Larga1Template Desc. % sobre Serviço SVA B2C</v>
          </cell>
          <cell r="B244" t="str">
            <v>Plano Oi Completo Small</v>
          </cell>
          <cell r="C244" t="str">
            <v>Template Desc. % sobre Serviço SVA B2C</v>
          </cell>
          <cell r="D244">
            <v>1</v>
          </cell>
          <cell r="E244" t="str">
            <v>MKT-1-10621741261</v>
          </cell>
          <cell r="F244" t="str">
            <v>0T3T_PAI18_Oi-36221_DET_SVA_BL_100.00%</v>
          </cell>
        </row>
        <row r="245">
          <cell r="A245" t="str">
            <v>Oi Total Fixo + Oi Mais 14GB + Banda Larga1Template Desc. % sobre Serviço SVA B2C</v>
          </cell>
          <cell r="B245" t="str">
            <v>Oi Total Completo 14GB</v>
          </cell>
          <cell r="C245" t="str">
            <v>Template Desc. % sobre Serviço SVA B2C</v>
          </cell>
          <cell r="D245">
            <v>1</v>
          </cell>
          <cell r="E245" t="str">
            <v>MKT-1-10621741261</v>
          </cell>
          <cell r="F245" t="str">
            <v>0T3T_PAI18_Oi-36221_DET_SVA_BL_100.00%</v>
          </cell>
        </row>
        <row r="246">
          <cell r="A246" t="str">
            <v>Oi Total Fixo + Oi Mais 7GB + Banda Larga1Template Desc. % sobre Serviço SVA B2C</v>
          </cell>
          <cell r="B246" t="str">
            <v>Oi Total Completo 7GB</v>
          </cell>
          <cell r="C246" t="str">
            <v>Template Desc. % sobre Serviço SVA B2C</v>
          </cell>
          <cell r="D246">
            <v>1</v>
          </cell>
          <cell r="E246" t="str">
            <v>MKT-1-10621741261</v>
          </cell>
          <cell r="F246" t="str">
            <v>0T3T_PAI18_Oi-36221_DET_SVA_BL_100.00%</v>
          </cell>
        </row>
        <row r="247">
          <cell r="A247" t="str">
            <v>Oi Total Fixo + Oi Mais 4GB + Banda Larga0.2444Template de desconto FLAT bundle - Fixo - Varejo - Ganho Tributário</v>
          </cell>
          <cell r="B247" t="str">
            <v>Oi Total Completo 4GB</v>
          </cell>
          <cell r="C247" t="str">
            <v>Template de desconto FLAT bundle - Fixo - Varejo - Ganho Tributário</v>
          </cell>
          <cell r="D247">
            <v>0.24440000000000001</v>
          </cell>
          <cell r="E247" t="str">
            <v>MKT-1-10624358231</v>
          </cell>
          <cell r="F247" t="str">
            <v>0T3T_PAI18_Oi-36221_FLAT_FIXO_FR_24.44%</v>
          </cell>
        </row>
        <row r="248">
          <cell r="A248" t="str">
            <v>Oi Total Fixo + Oi Mais 4GB + Banda Larga0.4507Template de desconto FLAT bundle - Fixo - Varejo - Ganho Tributário</v>
          </cell>
          <cell r="B248" t="str">
            <v>Oi Total Completo 4GB</v>
          </cell>
          <cell r="C248" t="str">
            <v>Template de desconto FLAT bundle - Fixo - Varejo - Ganho Tributário</v>
          </cell>
          <cell r="D248">
            <v>0.45069999999999999</v>
          </cell>
          <cell r="E248" t="str">
            <v>MKT-1-10624357941</v>
          </cell>
          <cell r="F248" t="str">
            <v>0T3T_PAI18_Oi-36221_FLAT_FIXO_FR_45.07%</v>
          </cell>
        </row>
        <row r="249">
          <cell r="A249" t="str">
            <v>Oi Total Fixo + Oi Mais 4GB + Banda Larga0.9243Template de desconto FLAT bundle - Fixo - Varejo - Ganho Tributário</v>
          </cell>
          <cell r="B249" t="str">
            <v>Oi Total Completo 4GB</v>
          </cell>
          <cell r="C249" t="str">
            <v>Template de desconto FLAT bundle - Fixo - Varejo - Ganho Tributário</v>
          </cell>
          <cell r="D249">
            <v>0.92430000000000001</v>
          </cell>
          <cell r="E249" t="str">
            <v>MKT-1-10624089911</v>
          </cell>
          <cell r="F249" t="str">
            <v>0T3T_PAI18_Oi-36221_FLAT_FIXO_FR_92.43%</v>
          </cell>
        </row>
        <row r="250">
          <cell r="A250" t="str">
            <v>Oi Total Fixo + Oi Mais 4GB + Banda Larga0.6696Template de desconto percentual FLAT Móvel - Conta Total - Varejo - Ganho Tributário Cross</v>
          </cell>
          <cell r="B250" t="str">
            <v>Oi Total Completo 4GB</v>
          </cell>
          <cell r="C250" t="str">
            <v>Template de desconto percentual FLAT Móvel - Conta Total - Varejo - Ganho Tributário Cross</v>
          </cell>
          <cell r="D250">
            <v>0.66959999999999997</v>
          </cell>
          <cell r="E250" t="str">
            <v>MKT-1-10624916611</v>
          </cell>
          <cell r="F250" t="str">
            <v>0T3T_PAI18_Oi-36221_FLAT_MÓVEL_GT_66.96%</v>
          </cell>
        </row>
        <row r="251">
          <cell r="A251" t="str">
            <v>Oi Total Fixo + Oi Mais 4GB + Banda Larga0.7686Template de desconto percentual FLAT Móvel - Conta Total - Varejo - Ganho Tributário Cross</v>
          </cell>
          <cell r="B251" t="str">
            <v>Oi Total Completo 4GB</v>
          </cell>
          <cell r="C251" t="str">
            <v>Template de desconto percentual FLAT Móvel - Conta Total - Varejo - Ganho Tributário Cross</v>
          </cell>
          <cell r="D251">
            <v>0.76859999999999995</v>
          </cell>
          <cell r="E251" t="str">
            <v>MKT-1-10624910181</v>
          </cell>
          <cell r="F251" t="str">
            <v>0T3T_PAI18_Oi-36221_FLAT_MÓVEL_GT_76.86%</v>
          </cell>
        </row>
        <row r="252">
          <cell r="A252" t="str">
            <v>Oi Total Fixo + Oi Mais 4GB + Banda Larga0.7737Template de desconto percentual FLAT Móvel - Conta Total - Varejo - Ganho Tributário Cross</v>
          </cell>
          <cell r="B252" t="str">
            <v>Oi Total Completo 4GB</v>
          </cell>
          <cell r="C252" t="str">
            <v>Template de desconto percentual FLAT Móvel - Conta Total - Varejo - Ganho Tributário Cross</v>
          </cell>
          <cell r="D252">
            <v>0.77370000000000005</v>
          </cell>
          <cell r="E252" t="str">
            <v>MKT-1-10624946691</v>
          </cell>
          <cell r="F252" t="str">
            <v>0T3T_PAI18_Oi-36221_FLAT_MÓVEL_GT_77.37%</v>
          </cell>
        </row>
        <row r="253">
          <cell r="A253" t="str">
            <v>Oi Total Fixo + Banda Larga 20.0725Template Desc. % sobre Serviço SVA B2C</v>
          </cell>
          <cell r="B253" t="str">
            <v>Oi Total Fixo + Banda Larga 2</v>
          </cell>
          <cell r="C253" t="str">
            <v>Template Desc. % sobre Serviço SVA B2C</v>
          </cell>
          <cell r="D253">
            <v>7.2499999999999995E-2</v>
          </cell>
          <cell r="E253" t="str">
            <v>MKT-1-10621728221</v>
          </cell>
          <cell r="F253" t="str">
            <v>0T3T_PAI18_Oi-36221_IND_SVA_BL_07.25%</v>
          </cell>
        </row>
        <row r="254">
          <cell r="A254" t="str">
            <v>Oi Total Fixo + Pós 500 + Banda Larga0.0725Template Desc. % sobre Serviço SVA B2C</v>
          </cell>
          <cell r="B254" t="str">
            <v>Plano Oi Completo Large</v>
          </cell>
          <cell r="C254" t="str">
            <v>Template Desc. % sobre Serviço SVA B2C</v>
          </cell>
          <cell r="D254">
            <v>7.2499999999999995E-2</v>
          </cell>
          <cell r="E254" t="str">
            <v>MKT-1-10621728221</v>
          </cell>
          <cell r="F254" t="str">
            <v>0T3T_PAI18_Oi-36221_IND_SVA_BL_07.25%</v>
          </cell>
        </row>
        <row r="255">
          <cell r="A255" t="str">
            <v>Oi Total Fixo + Oi Mais 40GB + Banda Larga0.0725Template Desc. % sobre Serviço SVA B2C</v>
          </cell>
          <cell r="B255" t="str">
            <v>Oi Total Completo 40GB</v>
          </cell>
          <cell r="C255" t="str">
            <v>Template Desc. % sobre Serviço SVA B2C</v>
          </cell>
          <cell r="D255">
            <v>7.2499999999999995E-2</v>
          </cell>
          <cell r="E255" t="str">
            <v>MKT-1-10621728221</v>
          </cell>
          <cell r="F255" t="str">
            <v>0T3T_PAI18_Oi-36221_IND_SVA_BL_07.25%</v>
          </cell>
        </row>
        <row r="256">
          <cell r="A256" t="str">
            <v>Oi Total Fixo + Pós 800 + Banda Larga0.0725Template Desc. % sobre Serviço SVA B2C</v>
          </cell>
          <cell r="B256" t="str">
            <v>Plano Oi Completo XLarge</v>
          </cell>
          <cell r="C256" t="str">
            <v>Template Desc. % sobre Serviço SVA B2C</v>
          </cell>
          <cell r="D256">
            <v>7.2499999999999995E-2</v>
          </cell>
          <cell r="E256" t="str">
            <v>MKT-1-10621728221</v>
          </cell>
          <cell r="F256" t="str">
            <v>0T3T_PAI18_Oi-36221_IND_SVA_BL_07.25%</v>
          </cell>
        </row>
        <row r="257">
          <cell r="A257" t="str">
            <v>Oi Total Fixo + Banda Larga + TV 10.0725Template Desc. % sobre Serviço SVA B2C</v>
          </cell>
          <cell r="B257" t="str">
            <v>Plano Oi Convergente Low</v>
          </cell>
          <cell r="C257" t="str">
            <v>Template Desc. % sobre Serviço SVA B2C</v>
          </cell>
          <cell r="D257">
            <v>7.2499999999999995E-2</v>
          </cell>
          <cell r="E257" t="str">
            <v>MKT-1-10621728221</v>
          </cell>
          <cell r="F257" t="str">
            <v>0T3T_PAI18_Oi-36221_IND_SVA_BL_07.25%</v>
          </cell>
        </row>
        <row r="258">
          <cell r="A258" t="str">
            <v>Oi Total Fixo + Pós Conectado Mais + Banda Larga0.0725Template Desc. % sobre Serviço SVA B2C</v>
          </cell>
          <cell r="B258" t="str">
            <v>Plano Oi Completo Mais</v>
          </cell>
          <cell r="C258" t="str">
            <v>Template Desc. % sobre Serviço SVA B2C</v>
          </cell>
          <cell r="D258">
            <v>7.2499999999999995E-2</v>
          </cell>
          <cell r="E258" t="str">
            <v>MKT-1-10621728221</v>
          </cell>
          <cell r="F258" t="str">
            <v>0T3T_PAI18_Oi-36221_IND_SVA_BL_07.25%</v>
          </cell>
        </row>
        <row r="259">
          <cell r="A259" t="str">
            <v>Oi Total Fixo + Oi Mais 4GB + Banda Larga0.0725Template Desc. % sobre Serviço SVA B2C</v>
          </cell>
          <cell r="B259" t="str">
            <v>Oi Total Completo 4GB</v>
          </cell>
          <cell r="C259" t="str">
            <v>Template Desc. % sobre Serviço SVA B2C</v>
          </cell>
          <cell r="D259">
            <v>7.2499999999999995E-2</v>
          </cell>
          <cell r="E259" t="str">
            <v>MKT-1-10621728221</v>
          </cell>
          <cell r="F259" t="str">
            <v>0T3T_PAI18_Oi-36221_IND_SVA_BL_07.25%</v>
          </cell>
        </row>
        <row r="260">
          <cell r="A260" t="str">
            <v>Oi Total Fixo + Banda Larga 10.0725Template Desc. % sobre Serviço SVA B2C</v>
          </cell>
          <cell r="B260" t="str">
            <v>Oi Total Fixo + Banda Larga 1</v>
          </cell>
          <cell r="C260" t="str">
            <v>Template Desc. % sobre Serviço SVA B2C</v>
          </cell>
          <cell r="D260">
            <v>7.2499999999999995E-2</v>
          </cell>
          <cell r="E260" t="str">
            <v>MKT-1-10621728221</v>
          </cell>
          <cell r="F260" t="str">
            <v>0T3T_PAI18_Oi-36221_IND_SVA_BL_07.25%</v>
          </cell>
        </row>
        <row r="261">
          <cell r="A261" t="str">
            <v>Oi Total Fixo + Pós + Banda Larga0.0725Template Desc. % sobre Serviço SVA B2C</v>
          </cell>
          <cell r="B261" t="str">
            <v>Plano Oi Completo Mini</v>
          </cell>
          <cell r="C261" t="str">
            <v>Template Desc. % sobre Serviço SVA B2C</v>
          </cell>
          <cell r="D261">
            <v>7.2499999999999995E-2</v>
          </cell>
          <cell r="E261" t="str">
            <v>MKT-1-10621728221</v>
          </cell>
          <cell r="F261" t="str">
            <v>0T3T_PAI18_Oi-36221_IND_SVA_BL_07.25%</v>
          </cell>
        </row>
        <row r="262">
          <cell r="A262" t="str">
            <v>Oi Total Fixo + Oi Mais 20GB + Banda Larga0.0725Template Desc. % sobre Serviço SVA B2C</v>
          </cell>
          <cell r="B262" t="str">
            <v>Oi Total Completo 20GB</v>
          </cell>
          <cell r="C262" t="str">
            <v>Template Desc. % sobre Serviço SVA B2C</v>
          </cell>
          <cell r="D262">
            <v>7.2499999999999995E-2</v>
          </cell>
          <cell r="E262" t="str">
            <v>MKT-1-10621728221</v>
          </cell>
          <cell r="F262" t="str">
            <v>0T3T_PAI18_Oi-36221_IND_SVA_BL_07.25%</v>
          </cell>
        </row>
        <row r="263">
          <cell r="A263" t="str">
            <v>Oi Total Fixo + Pós 50 + Banda Larga0.0725Template Desc. % sobre Serviço SVA B2C</v>
          </cell>
          <cell r="B263" t="str">
            <v>Plano Oi Completo XSmall</v>
          </cell>
          <cell r="C263" t="str">
            <v>Template Desc. % sobre Serviço SVA B2C</v>
          </cell>
          <cell r="D263">
            <v>7.2499999999999995E-2</v>
          </cell>
          <cell r="E263" t="str">
            <v>MKT-1-10621728221</v>
          </cell>
          <cell r="F263" t="str">
            <v>0T3T_PAI18_Oi-36221_IND_SVA_BL_07.25%</v>
          </cell>
        </row>
        <row r="264">
          <cell r="A264" t="str">
            <v>Oi Total Fixo + Banda Larga 30.0725Template Desc. % sobre Serviço SVA B2C</v>
          </cell>
          <cell r="B264" t="str">
            <v>Oi Total Fixo + Banda Larga 3</v>
          </cell>
          <cell r="C264" t="str">
            <v>Template Desc. % sobre Serviço SVA B2C</v>
          </cell>
          <cell r="D264">
            <v>7.2499999999999995E-2</v>
          </cell>
          <cell r="E264" t="str">
            <v>MKT-1-10621728221</v>
          </cell>
          <cell r="F264" t="str">
            <v>0T3T_PAI18_Oi-36221_IND_SVA_BL_07.25%</v>
          </cell>
        </row>
        <row r="265">
          <cell r="A265" t="str">
            <v>Oi Total Fixo + Oi Mais 10GB + Banda Larga0.0725Template Desc. % sobre Serviço SVA B2C</v>
          </cell>
          <cell r="B265" t="str">
            <v>Oi Total Completo 10GB</v>
          </cell>
          <cell r="C265" t="str">
            <v>Template Desc. % sobre Serviço SVA B2C</v>
          </cell>
          <cell r="D265">
            <v>7.2499999999999995E-2</v>
          </cell>
          <cell r="E265" t="str">
            <v>MKT-1-10621728221</v>
          </cell>
          <cell r="F265" t="str">
            <v>0T3T_PAI18_Oi-36221_IND_SVA_BL_07.25%</v>
          </cell>
        </row>
        <row r="266">
          <cell r="A266" t="str">
            <v>Oi Total Fixo + Pós Conectado 500 + Banda Larga0.0725Template Desc. % sobre Serviço SVA B2C</v>
          </cell>
          <cell r="B266" t="str">
            <v>Plano Oi Completo 500</v>
          </cell>
          <cell r="C266" t="str">
            <v>Template Desc. % sobre Serviço SVA B2C</v>
          </cell>
          <cell r="D266">
            <v>7.2499999999999995E-2</v>
          </cell>
          <cell r="E266" t="str">
            <v>MKT-1-10621728221</v>
          </cell>
          <cell r="F266" t="str">
            <v>0T3T_PAI18_Oi-36221_IND_SVA_BL_07.25%</v>
          </cell>
        </row>
        <row r="267">
          <cell r="A267" t="str">
            <v>Oi Total Fixo + Pós Conectado 1.000 + Banda Larga0.0725Template Desc. % sobre Serviço SVA B2C</v>
          </cell>
          <cell r="B267" t="str">
            <v>Plano Oi Completo 1.000</v>
          </cell>
          <cell r="C267" t="str">
            <v>Template Desc. % sobre Serviço SVA B2C</v>
          </cell>
          <cell r="D267">
            <v>7.2499999999999995E-2</v>
          </cell>
          <cell r="E267" t="str">
            <v>MKT-1-10621728221</v>
          </cell>
          <cell r="F267" t="str">
            <v>0T3T_PAI18_Oi-36221_IND_SVA_BL_07.25%</v>
          </cell>
        </row>
        <row r="268">
          <cell r="A268" t="str">
            <v>Oi Total Fixo + Banda Larga + TV 20.0725Template Desc. % sobre Serviço SVA B2C</v>
          </cell>
          <cell r="B268" t="str">
            <v>Plano Oi Convergente Medium</v>
          </cell>
          <cell r="C268" t="str">
            <v>Template Desc. % sobre Serviço SVA B2C</v>
          </cell>
          <cell r="D268">
            <v>7.2499999999999995E-2</v>
          </cell>
          <cell r="E268" t="str">
            <v>MKT-1-10621728221</v>
          </cell>
          <cell r="F268" t="str">
            <v>0T3T_PAI18_Oi-36221_IND_SVA_BL_07.25%</v>
          </cell>
        </row>
        <row r="269">
          <cell r="A269" t="str">
            <v>Oi Total Fixo + Pós 250 + Banda Larga0.0725Template Desc. % sobre Serviço SVA B2C</v>
          </cell>
          <cell r="B269" t="str">
            <v>Plano Oi Completo Medium</v>
          </cell>
          <cell r="C269" t="str">
            <v>Template Desc. % sobre Serviço SVA B2C</v>
          </cell>
          <cell r="D269">
            <v>7.2499999999999995E-2</v>
          </cell>
          <cell r="E269" t="str">
            <v>MKT-1-10621728221</v>
          </cell>
          <cell r="F269" t="str">
            <v>0T3T_PAI18_Oi-36221_IND_SVA_BL_07.25%</v>
          </cell>
        </row>
        <row r="270">
          <cell r="A270" t="str">
            <v>Oi Total Fixo + Banda Larga + TV 30.0725Template Desc. % sobre Serviço SVA B2C</v>
          </cell>
          <cell r="B270" t="str">
            <v>Plano Oi Convergente High</v>
          </cell>
          <cell r="C270" t="str">
            <v>Template Desc. % sobre Serviço SVA B2C</v>
          </cell>
          <cell r="D270">
            <v>7.2499999999999995E-2</v>
          </cell>
          <cell r="E270" t="str">
            <v>MKT-1-10621728221</v>
          </cell>
          <cell r="F270" t="str">
            <v>0T3T_PAI18_Oi-36221_IND_SVA_BL_07.25%</v>
          </cell>
        </row>
        <row r="271">
          <cell r="A271" t="str">
            <v>Oi Total Fixo + Pós 100 + Banda Larga0.0725Template Desc. % sobre Serviço SVA B2C</v>
          </cell>
          <cell r="B271" t="str">
            <v>Plano Oi Completo Small</v>
          </cell>
          <cell r="C271" t="str">
            <v>Template Desc. % sobre Serviço SVA B2C</v>
          </cell>
          <cell r="D271">
            <v>7.2499999999999995E-2</v>
          </cell>
          <cell r="E271" t="str">
            <v>MKT-1-10621728221</v>
          </cell>
          <cell r="F271" t="str">
            <v>0T3T_PAI18_Oi-36221_IND_SVA_BL_07.25%</v>
          </cell>
        </row>
        <row r="272">
          <cell r="A272" t="str">
            <v>Oi Total Fixo + Oi Mais 14GB + Banda Larga0.0725Template Desc. % sobre Serviço SVA B2C</v>
          </cell>
          <cell r="B272" t="str">
            <v>Oi Total Completo 14GB</v>
          </cell>
          <cell r="C272" t="str">
            <v>Template Desc. % sobre Serviço SVA B2C</v>
          </cell>
          <cell r="D272">
            <v>7.2499999999999995E-2</v>
          </cell>
          <cell r="E272" t="str">
            <v>MKT-1-10621728221</v>
          </cell>
          <cell r="F272" t="str">
            <v>0T3T_PAI18_Oi-36221_IND_SVA_BL_07.25%</v>
          </cell>
        </row>
        <row r="273">
          <cell r="A273" t="str">
            <v>Oi Total Fixo + Oi Mais 7GB + Banda Larga0.0725Template Desc. % sobre Serviço SVA B2C</v>
          </cell>
          <cell r="B273" t="str">
            <v>Oi Total Completo 7GB</v>
          </cell>
          <cell r="C273" t="str">
            <v>Template Desc. % sobre Serviço SVA B2C</v>
          </cell>
          <cell r="D273">
            <v>7.2499999999999995E-2</v>
          </cell>
          <cell r="E273" t="str">
            <v>MKT-1-10621728221</v>
          </cell>
          <cell r="F273" t="str">
            <v>0T3T_PAI18_Oi-36221_IND_SVA_BL_07.25%</v>
          </cell>
        </row>
        <row r="274">
          <cell r="A274" t="str">
            <v>Oi Total Fixo + Pós Conectado 250 + Banda Larga0.0725Template Desc. % sobre Serviço SVA B2C</v>
          </cell>
          <cell r="B274" t="str">
            <v>Plano Oi Completo 250</v>
          </cell>
          <cell r="C274" t="str">
            <v>Template Desc. % sobre Serviço SVA B2C</v>
          </cell>
          <cell r="D274">
            <v>7.2499999999999995E-2</v>
          </cell>
          <cell r="E274" t="str">
            <v>MKT-1-10621728221</v>
          </cell>
          <cell r="F274" t="str">
            <v>0T3T_PAI18_Oi-36221_IND_SVA_BL_07.25%</v>
          </cell>
        </row>
        <row r="275">
          <cell r="A275" t="str">
            <v>Oi Total Fixo + Pós 500 + Banda Larga0.2301Template Desc. % sobre Serviço SVA B2C</v>
          </cell>
          <cell r="B275" t="str">
            <v>Plano Oi Completo Large</v>
          </cell>
          <cell r="C275" t="str">
            <v>Template Desc. % sobre Serviço SVA B2C</v>
          </cell>
          <cell r="D275">
            <v>0.2301</v>
          </cell>
          <cell r="E275" t="str">
            <v>MKT-1-10621709711</v>
          </cell>
          <cell r="F275" t="str">
            <v>0T3T_PAI18_Oi-36221_IND_SVA_BL_23.01%</v>
          </cell>
        </row>
        <row r="276">
          <cell r="A276" t="str">
            <v>Oi Total Fixo + Pós 800 + Banda Larga0.2301Template Desc. % sobre Serviço SVA B2C</v>
          </cell>
          <cell r="B276" t="str">
            <v>Plano Oi Completo XLarge</v>
          </cell>
          <cell r="C276" t="str">
            <v>Template Desc. % sobre Serviço SVA B2C</v>
          </cell>
          <cell r="D276">
            <v>0.2301</v>
          </cell>
          <cell r="E276" t="str">
            <v>MKT-1-10621709711</v>
          </cell>
          <cell r="F276" t="str">
            <v>0T3T_PAI18_Oi-36221_IND_SVA_BL_23.01%</v>
          </cell>
        </row>
        <row r="277">
          <cell r="A277" t="str">
            <v>Oi Total Fixo + Banda Larga + TV 10.2301Template Desc. % sobre Serviço SVA B2C</v>
          </cell>
          <cell r="B277" t="str">
            <v>Plano Oi Convergente Low</v>
          </cell>
          <cell r="C277" t="str">
            <v>Template Desc. % sobre Serviço SVA B2C</v>
          </cell>
          <cell r="D277">
            <v>0.2301</v>
          </cell>
          <cell r="E277" t="str">
            <v>MKT-1-10621709711</v>
          </cell>
          <cell r="F277" t="str">
            <v>0T3T_PAI18_Oi-36221_IND_SVA_BL_23.01%</v>
          </cell>
        </row>
        <row r="278">
          <cell r="A278" t="str">
            <v>Oi Total Fixo + Pós Conectado Mais + Banda Larga0.2301Template Desc. % sobre Serviço SVA B2C</v>
          </cell>
          <cell r="B278" t="str">
            <v>Plano Oi Completo Mais</v>
          </cell>
          <cell r="C278" t="str">
            <v>Template Desc. % sobre Serviço SVA B2C</v>
          </cell>
          <cell r="D278">
            <v>0.2301</v>
          </cell>
          <cell r="E278" t="str">
            <v>MKT-1-10621709711</v>
          </cell>
          <cell r="F278" t="str">
            <v>0T3T_PAI18_Oi-36221_IND_SVA_BL_23.01%</v>
          </cell>
        </row>
        <row r="279">
          <cell r="A279" t="str">
            <v>Oi Total Fixo + Banda Larga 10.2301Template Desc. % sobre Serviço SVA B2C</v>
          </cell>
          <cell r="B279" t="str">
            <v>Oi Total Fixo + Banda Larga 1</v>
          </cell>
          <cell r="C279" t="str">
            <v>Template Desc. % sobre Serviço SVA B2C</v>
          </cell>
          <cell r="D279">
            <v>0.2301</v>
          </cell>
          <cell r="E279" t="str">
            <v>MKT-1-10621709711</v>
          </cell>
          <cell r="F279" t="str">
            <v>0T3T_PAI18_Oi-36221_IND_SVA_BL_23.01%</v>
          </cell>
        </row>
        <row r="280">
          <cell r="A280" t="str">
            <v>Oi Total Fixo + Oi Mais 4GB + Banda Larga0.2301Template Desc. % sobre Serviço SVA B2C</v>
          </cell>
          <cell r="B280" t="str">
            <v>Oi Total Completo 4GB</v>
          </cell>
          <cell r="C280" t="str">
            <v>Template Desc. % sobre Serviço SVA B2C</v>
          </cell>
          <cell r="D280">
            <v>0.2301</v>
          </cell>
          <cell r="E280" t="str">
            <v>MKT-1-10621709711</v>
          </cell>
          <cell r="F280" t="str">
            <v>0T3T_PAI18_Oi-36221_IND_SVA_BL_23.01%</v>
          </cell>
        </row>
        <row r="281">
          <cell r="A281" t="str">
            <v>Oi Total Fixo + Pós + Banda Larga0.2301Template Desc. % sobre Serviço SVA B2C</v>
          </cell>
          <cell r="B281" t="str">
            <v>Plano Oi Completo Mini</v>
          </cell>
          <cell r="C281" t="str">
            <v>Template Desc. % sobre Serviço SVA B2C</v>
          </cell>
          <cell r="D281">
            <v>0.2301</v>
          </cell>
          <cell r="E281" t="str">
            <v>MKT-1-10621709711</v>
          </cell>
          <cell r="F281" t="str">
            <v>0T3T_PAI18_Oi-36221_IND_SVA_BL_23.01%</v>
          </cell>
        </row>
        <row r="282">
          <cell r="A282" t="str">
            <v>Oi Total Fixo + Pós 50 + Banda Larga0.2301Template Desc. % sobre Serviço SVA B2C</v>
          </cell>
          <cell r="B282" t="str">
            <v>Plano Oi Completo XSmall</v>
          </cell>
          <cell r="C282" t="str">
            <v>Template Desc. % sobre Serviço SVA B2C</v>
          </cell>
          <cell r="D282">
            <v>0.2301</v>
          </cell>
          <cell r="E282" t="str">
            <v>MKT-1-10621709711</v>
          </cell>
          <cell r="F282" t="str">
            <v>0T3T_PAI18_Oi-36221_IND_SVA_BL_23.01%</v>
          </cell>
        </row>
        <row r="283">
          <cell r="A283" t="str">
            <v>Oi Total Fixo + Oi Mais 20GB + Banda Larga0.2301Template Desc. % sobre Serviço SVA B2C</v>
          </cell>
          <cell r="B283" t="str">
            <v>Oi Total Completo 20GB</v>
          </cell>
          <cell r="C283" t="str">
            <v>Template Desc. % sobre Serviço SVA B2C</v>
          </cell>
          <cell r="D283">
            <v>0.2301</v>
          </cell>
          <cell r="E283" t="str">
            <v>MKT-1-10621709711</v>
          </cell>
          <cell r="F283" t="str">
            <v>0T3T_PAI18_Oi-36221_IND_SVA_BL_23.01%</v>
          </cell>
        </row>
        <row r="284">
          <cell r="A284" t="str">
            <v>Oi Total Fixo + Banda Larga 30.2301Template Desc. % sobre Serviço SVA B2C</v>
          </cell>
          <cell r="B284" t="str">
            <v>Oi Total Fixo + Banda Larga 3</v>
          </cell>
          <cell r="C284" t="str">
            <v>Template Desc. % sobre Serviço SVA B2C</v>
          </cell>
          <cell r="D284">
            <v>0.2301</v>
          </cell>
          <cell r="E284" t="str">
            <v>MKT-1-10621709711</v>
          </cell>
          <cell r="F284" t="str">
            <v>0T3T_PAI18_Oi-36221_IND_SVA_BL_23.01%</v>
          </cell>
        </row>
        <row r="285">
          <cell r="A285" t="str">
            <v>Oi Total Fixo + Oi Mais 10GB + Banda Larga0.2301Template Desc. % sobre Serviço SVA B2C</v>
          </cell>
          <cell r="B285" t="str">
            <v>Oi Total Completo 10GB</v>
          </cell>
          <cell r="C285" t="str">
            <v>Template Desc. % sobre Serviço SVA B2C</v>
          </cell>
          <cell r="D285">
            <v>0.2301</v>
          </cell>
          <cell r="E285" t="str">
            <v>MKT-1-10621709711</v>
          </cell>
          <cell r="F285" t="str">
            <v>0T3T_PAI18_Oi-36221_IND_SVA_BL_23.01%</v>
          </cell>
        </row>
        <row r="286">
          <cell r="A286" t="str">
            <v>Oi Total Fixo + Pós Conectado 500 + Banda Larga0.2301Template Desc. % sobre Serviço SVA B2C</v>
          </cell>
          <cell r="B286" t="str">
            <v>Plano Oi Completo 500</v>
          </cell>
          <cell r="C286" t="str">
            <v>Template Desc. % sobre Serviço SVA B2C</v>
          </cell>
          <cell r="D286">
            <v>0.2301</v>
          </cell>
          <cell r="E286" t="str">
            <v>MKT-1-10621709711</v>
          </cell>
          <cell r="F286" t="str">
            <v>0T3T_PAI18_Oi-36221_IND_SVA_BL_23.01%</v>
          </cell>
        </row>
        <row r="287">
          <cell r="A287" t="str">
            <v>Oi Total Fixo + Pós Conectado 1.000 + Banda Larga0.2301Template Desc. % sobre Serviço SVA B2C</v>
          </cell>
          <cell r="B287" t="str">
            <v>Plano Oi Completo 1.000</v>
          </cell>
          <cell r="C287" t="str">
            <v>Template Desc. % sobre Serviço SVA B2C</v>
          </cell>
          <cell r="D287">
            <v>0.2301</v>
          </cell>
          <cell r="E287" t="str">
            <v>MKT-1-10621709711</v>
          </cell>
          <cell r="F287" t="str">
            <v>0T3T_PAI18_Oi-36221_IND_SVA_BL_23.01%</v>
          </cell>
        </row>
        <row r="288">
          <cell r="A288" t="str">
            <v>Oi Total Fixo + Banda Larga + TV 20.2301Template Desc. % sobre Serviço SVA B2C</v>
          </cell>
          <cell r="B288" t="str">
            <v>Plano Oi Convergente Medium</v>
          </cell>
          <cell r="C288" t="str">
            <v>Template Desc. % sobre Serviço SVA B2C</v>
          </cell>
          <cell r="D288">
            <v>0.2301</v>
          </cell>
          <cell r="E288" t="str">
            <v>MKT-1-10621709711</v>
          </cell>
          <cell r="F288" t="str">
            <v>0T3T_PAI18_Oi-36221_IND_SVA_BL_23.01%</v>
          </cell>
        </row>
        <row r="289">
          <cell r="A289" t="str">
            <v>Oi Total Fixo + Pós 250 + Banda Larga0.2301Template Desc. % sobre Serviço SVA B2C</v>
          </cell>
          <cell r="B289" t="str">
            <v>Plano Oi Completo Medium</v>
          </cell>
          <cell r="C289" t="str">
            <v>Template Desc. % sobre Serviço SVA B2C</v>
          </cell>
          <cell r="D289">
            <v>0.2301</v>
          </cell>
          <cell r="E289" t="str">
            <v>MKT-1-10621709711</v>
          </cell>
          <cell r="F289" t="str">
            <v>0T3T_PAI18_Oi-36221_IND_SVA_BL_23.01%</v>
          </cell>
        </row>
        <row r="290">
          <cell r="A290" t="str">
            <v>Oi Total Fixo + Banda Larga + TV 30.2301Template Desc. % sobre Serviço SVA B2C</v>
          </cell>
          <cell r="B290" t="str">
            <v>Plano Oi Convergente High</v>
          </cell>
          <cell r="C290" t="str">
            <v>Template Desc. % sobre Serviço SVA B2C</v>
          </cell>
          <cell r="D290">
            <v>0.2301</v>
          </cell>
          <cell r="E290" t="str">
            <v>MKT-1-10621709711</v>
          </cell>
          <cell r="F290" t="str">
            <v>0T3T_PAI18_Oi-36221_IND_SVA_BL_23.01%</v>
          </cell>
        </row>
        <row r="291">
          <cell r="A291" t="str">
            <v>Oi Total Fixo + Pós 100 + Banda Larga0.2301Template Desc. % sobre Serviço SVA B2C</v>
          </cell>
          <cell r="B291" t="str">
            <v>Plano Oi Completo Small</v>
          </cell>
          <cell r="C291" t="str">
            <v>Template Desc. % sobre Serviço SVA B2C</v>
          </cell>
          <cell r="D291">
            <v>0.2301</v>
          </cell>
          <cell r="E291" t="str">
            <v>MKT-1-10621709711</v>
          </cell>
          <cell r="F291" t="str">
            <v>0T3T_PAI18_Oi-36221_IND_SVA_BL_23.01%</v>
          </cell>
        </row>
        <row r="292">
          <cell r="A292" t="str">
            <v>Oi Total Fixo + Oi Mais 14GB + Banda Larga0.2301Template Desc. % sobre Serviço SVA B2C</v>
          </cell>
          <cell r="B292" t="str">
            <v>Oi Total Completo 14GB</v>
          </cell>
          <cell r="C292" t="str">
            <v>Template Desc. % sobre Serviço SVA B2C</v>
          </cell>
          <cell r="D292">
            <v>0.2301</v>
          </cell>
          <cell r="E292" t="str">
            <v>MKT-1-10621709711</v>
          </cell>
          <cell r="F292" t="str">
            <v>0T3T_PAI18_Oi-36221_IND_SVA_BL_23.01%</v>
          </cell>
        </row>
        <row r="293">
          <cell r="A293" t="str">
            <v>Oi Total Fixo + Oi Mais 40GB + Banda Larga0.2301Template Desc. % sobre Serviço SVA B2C</v>
          </cell>
          <cell r="B293" t="str">
            <v>Oi Total Completo 40GB</v>
          </cell>
          <cell r="C293" t="str">
            <v>Template Desc. % sobre Serviço SVA B2C</v>
          </cell>
          <cell r="D293">
            <v>0.2301</v>
          </cell>
          <cell r="E293" t="str">
            <v>MKT-1-10621709711</v>
          </cell>
          <cell r="F293" t="str">
            <v>0T3T_PAI18_Oi-36221_IND_SVA_BL_23.01%</v>
          </cell>
        </row>
        <row r="294">
          <cell r="A294" t="str">
            <v>Oi Total Fixo + Oi Mais 7GB + Banda Larga0.2301Template Desc. % sobre Serviço SVA B2C</v>
          </cell>
          <cell r="B294" t="str">
            <v>Oi Total Completo 7GB</v>
          </cell>
          <cell r="C294" t="str">
            <v>Template Desc. % sobre Serviço SVA B2C</v>
          </cell>
          <cell r="D294">
            <v>0.2301</v>
          </cell>
          <cell r="E294" t="str">
            <v>MKT-1-10621709711</v>
          </cell>
          <cell r="F294" t="str">
            <v>0T3T_PAI18_Oi-36221_IND_SVA_BL_23.01%</v>
          </cell>
        </row>
        <row r="295">
          <cell r="A295" t="str">
            <v>Oi Total Fixo + Pós Conectado 250 + Banda Larga0.2301Template Desc. % sobre Serviço SVA B2C</v>
          </cell>
          <cell r="B295" t="str">
            <v>Plano Oi Completo 250</v>
          </cell>
          <cell r="C295" t="str">
            <v>Template Desc. % sobre Serviço SVA B2C</v>
          </cell>
          <cell r="D295">
            <v>0.2301</v>
          </cell>
          <cell r="E295" t="str">
            <v>MKT-1-10621709711</v>
          </cell>
          <cell r="F295" t="str">
            <v>0T3T_PAI18_Oi-36221_IND_SVA_BL_23.01%</v>
          </cell>
        </row>
        <row r="296">
          <cell r="A296" t="str">
            <v>Oi Total Fixo + Banda Larga 20.2301Template Desc. % sobre Serviço SVA B2C</v>
          </cell>
          <cell r="B296" t="str">
            <v>Oi Total Fixo + Banda Larga 2</v>
          </cell>
          <cell r="C296" t="str">
            <v>Template Desc. % sobre Serviço SVA B2C</v>
          </cell>
          <cell r="D296">
            <v>0.2301</v>
          </cell>
          <cell r="E296" t="str">
            <v>MKT-1-10621709711</v>
          </cell>
          <cell r="F296" t="str">
            <v>0T3T_PAI18_Oi-36221_IND_SVA_BL_23.01%</v>
          </cell>
        </row>
        <row r="297">
          <cell r="A297" t="str">
            <v>Oi Total Fixo + Oi Mais 20GB + Banda Larga0.1673Template desconto % Ponto adicional nível conta</v>
          </cell>
          <cell r="B297" t="str">
            <v>Oi Total Completo 20GB</v>
          </cell>
          <cell r="C297" t="str">
            <v>Template desconto % Ponto adicional nível conta</v>
          </cell>
          <cell r="D297">
            <v>0.1673</v>
          </cell>
          <cell r="E297" t="str">
            <v>MKT-1-10624277011</v>
          </cell>
          <cell r="F297" t="str">
            <v>0T3T_PAI18_Oi-36221_TV_PONTO_ADICIONAL_16.73%</v>
          </cell>
        </row>
        <row r="298">
          <cell r="A298" t="str">
            <v>Oi Total Fixo + Pós 250 + Banda Larga0.1673Template desconto % Ponto adicional nível conta</v>
          </cell>
          <cell r="B298" t="str">
            <v>Plano Oi Completo Medium</v>
          </cell>
          <cell r="C298" t="str">
            <v>Template desconto % Ponto adicional nível conta</v>
          </cell>
          <cell r="D298">
            <v>0.1673</v>
          </cell>
          <cell r="E298" t="str">
            <v>MKT-1-10624277011</v>
          </cell>
          <cell r="F298" t="str">
            <v>0T3T_PAI18_Oi-36221_TV_PONTO_ADICIONAL_16.73%</v>
          </cell>
        </row>
        <row r="299">
          <cell r="A299" t="str">
            <v>Oi Total Fixo + Pós 100 + Banda Larga0.1673Template desconto % Ponto adicional nível conta</v>
          </cell>
          <cell r="B299" t="str">
            <v>Plano Oi Completo Small</v>
          </cell>
          <cell r="C299" t="str">
            <v>Template desconto % Ponto adicional nível conta</v>
          </cell>
          <cell r="D299">
            <v>0.1673</v>
          </cell>
          <cell r="E299" t="str">
            <v>MKT-1-10624277011</v>
          </cell>
          <cell r="F299" t="str">
            <v>0T3T_PAI18_Oi-36221_TV_PONTO_ADICIONAL_16.73%</v>
          </cell>
        </row>
        <row r="300">
          <cell r="A300" t="str">
            <v>Oi Total Fixo + Pós Conectado 250 + Banda Larga0.1673Template desconto % Ponto adicional nível conta</v>
          </cell>
          <cell r="B300" t="str">
            <v>Plano Oi Completo 250</v>
          </cell>
          <cell r="C300" t="str">
            <v>Template desconto % Ponto adicional nível conta</v>
          </cell>
          <cell r="D300">
            <v>0.1673</v>
          </cell>
          <cell r="E300" t="str">
            <v>MKT-1-10624277011</v>
          </cell>
          <cell r="F300" t="str">
            <v>0T3T_PAI18_Oi-36221_TV_PONTO_ADICIONAL_16.73%</v>
          </cell>
        </row>
        <row r="301">
          <cell r="A301" t="str">
            <v>Oi Total Fixo + Oi Mais 7GB + Banda Larga0.1673Template desconto % Ponto adicional nível conta</v>
          </cell>
          <cell r="B301" t="str">
            <v>Oi Total Completo 7GB</v>
          </cell>
          <cell r="C301" t="str">
            <v>Template desconto % Ponto adicional nível conta</v>
          </cell>
          <cell r="D301">
            <v>0.1673</v>
          </cell>
          <cell r="E301" t="str">
            <v>MKT-1-10624277011</v>
          </cell>
          <cell r="F301" t="str">
            <v>0T3T_PAI18_Oi-36221_TV_PONTO_ADICIONAL_16.73%</v>
          </cell>
        </row>
        <row r="302">
          <cell r="A302" t="str">
            <v>Oi Total Fixo + TV 10.1673Template desconto % Ponto adicional nível conta</v>
          </cell>
          <cell r="B302" t="str">
            <v>Plano Oi Internet Total Low</v>
          </cell>
          <cell r="C302" t="str">
            <v>Template desconto % Ponto adicional nível conta</v>
          </cell>
          <cell r="D302">
            <v>0.1673</v>
          </cell>
          <cell r="E302" t="str">
            <v>MKT-1-10624277011</v>
          </cell>
          <cell r="F302" t="str">
            <v>0T3T_PAI18_Oi-36221_TV_PONTO_ADICIONAL_16.73%</v>
          </cell>
        </row>
        <row r="303">
          <cell r="A303" t="str">
            <v>Oi Total Fixo + Pós 500 + Banda Larga0.1673Template desconto % Ponto adicional nível conta</v>
          </cell>
          <cell r="B303" t="str">
            <v>Plano Oi Completo Large</v>
          </cell>
          <cell r="C303" t="str">
            <v>Template desconto % Ponto adicional nível conta</v>
          </cell>
          <cell r="D303">
            <v>0.1673</v>
          </cell>
          <cell r="E303" t="str">
            <v>MKT-1-10624277011</v>
          </cell>
          <cell r="F303" t="str">
            <v>0T3T_PAI18_Oi-36221_TV_PONTO_ADICIONAL_16.73%</v>
          </cell>
        </row>
        <row r="304">
          <cell r="A304" t="str">
            <v>Oi Total Fixo + Pós 800 + Banda Larga0.1673Template desconto % Ponto adicional nível conta</v>
          </cell>
          <cell r="B304" t="str">
            <v>Plano Oi Completo XLarge</v>
          </cell>
          <cell r="C304" t="str">
            <v>Template desconto % Ponto adicional nível conta</v>
          </cell>
          <cell r="D304">
            <v>0.1673</v>
          </cell>
          <cell r="E304" t="str">
            <v>MKT-1-10624277011</v>
          </cell>
          <cell r="F304" t="str">
            <v>0T3T_PAI18_Oi-36221_TV_PONTO_ADICIONAL_16.73%</v>
          </cell>
        </row>
        <row r="305">
          <cell r="A305" t="str">
            <v>Oi Total Fixo + Oi Mais 40GB + Banda Larga0.1673Template desconto % Ponto adicional nível conta</v>
          </cell>
          <cell r="B305" t="str">
            <v>Oi Total Completo 40GB</v>
          </cell>
          <cell r="C305" t="str">
            <v>Template desconto % Ponto adicional nível conta</v>
          </cell>
          <cell r="D305">
            <v>0.1673</v>
          </cell>
          <cell r="E305" t="str">
            <v>MKT-1-10624277011</v>
          </cell>
          <cell r="F305" t="str">
            <v>0T3T_PAI18_Oi-36221_TV_PONTO_ADICIONAL_16.73%</v>
          </cell>
        </row>
        <row r="306">
          <cell r="A306" t="str">
            <v>Oi Total Fixo + Oi Mais 4GB + Banda Larga0.1673Template desconto % Ponto adicional nível conta</v>
          </cell>
          <cell r="B306" t="str">
            <v>Oi Total Completo 4GB</v>
          </cell>
          <cell r="C306" t="str">
            <v>Template desconto % Ponto adicional nível conta</v>
          </cell>
          <cell r="D306">
            <v>0.1673</v>
          </cell>
          <cell r="E306" t="str">
            <v>MKT-1-10624277011</v>
          </cell>
          <cell r="F306" t="str">
            <v>0T3T_PAI18_Oi-36221_TV_PONTO_ADICIONAL_16.73%</v>
          </cell>
        </row>
        <row r="307">
          <cell r="A307" t="str">
            <v>Oi Total Fixo + Oi Mais 10GB + Banda Larga0.1673Template desconto % Ponto adicional nível conta</v>
          </cell>
          <cell r="B307" t="str">
            <v>Oi Total Completo 10GB</v>
          </cell>
          <cell r="C307" t="str">
            <v>Template desconto % Ponto adicional nível conta</v>
          </cell>
          <cell r="D307">
            <v>0.1673</v>
          </cell>
          <cell r="E307" t="str">
            <v>MKT-1-10624277011</v>
          </cell>
          <cell r="F307" t="str">
            <v>0T3T_PAI18_Oi-36221_TV_PONTO_ADICIONAL_16.73%</v>
          </cell>
        </row>
        <row r="308">
          <cell r="A308" t="str">
            <v>Oi Total Fixo + TV 20.1673Template desconto % Ponto adicional nível conta</v>
          </cell>
          <cell r="B308" t="str">
            <v>Plano Oi Internet Total Medium</v>
          </cell>
          <cell r="C308" t="str">
            <v>Template desconto % Ponto adicional nível conta</v>
          </cell>
          <cell r="D308">
            <v>0.1673</v>
          </cell>
          <cell r="E308" t="str">
            <v>MKT-1-10624277011</v>
          </cell>
          <cell r="F308" t="str">
            <v>0T3T_PAI18_Oi-36221_TV_PONTO_ADICIONAL_16.73%</v>
          </cell>
        </row>
        <row r="309">
          <cell r="A309" t="str">
            <v>Oi Total Fixo + Banda Larga + TV 10.1673Template desconto % Ponto adicional nível conta</v>
          </cell>
          <cell r="B309" t="str">
            <v>Plano Oi Convergente Low</v>
          </cell>
          <cell r="C309" t="str">
            <v>Template desconto % Ponto adicional nível conta</v>
          </cell>
          <cell r="D309">
            <v>0.1673</v>
          </cell>
          <cell r="E309" t="str">
            <v>MKT-1-10624277011</v>
          </cell>
          <cell r="F309" t="str">
            <v>0T3T_PAI18_Oi-36221_TV_PONTO_ADICIONAL_16.73%</v>
          </cell>
        </row>
        <row r="310">
          <cell r="A310" t="str">
            <v>Oi Total Fixo + Pós Conectado Mais + Banda Larga0.1673Template desconto % Ponto adicional nível conta</v>
          </cell>
          <cell r="B310" t="str">
            <v>Plano Oi Completo Mais</v>
          </cell>
          <cell r="C310" t="str">
            <v>Template desconto % Ponto adicional nível conta</v>
          </cell>
          <cell r="D310">
            <v>0.1673</v>
          </cell>
          <cell r="E310" t="str">
            <v>MKT-1-10624277011</v>
          </cell>
          <cell r="F310" t="str">
            <v>0T3T_PAI18_Oi-36221_TV_PONTO_ADICIONAL_16.73%</v>
          </cell>
        </row>
        <row r="311">
          <cell r="A311" t="str">
            <v>Oi Total Fixo + Pós + Banda Larga0.1673Template desconto % Ponto adicional nível conta</v>
          </cell>
          <cell r="B311" t="str">
            <v>Plano Oi Completo Mini</v>
          </cell>
          <cell r="C311" t="str">
            <v>Template desconto % Ponto adicional nível conta</v>
          </cell>
          <cell r="D311">
            <v>0.1673</v>
          </cell>
          <cell r="E311" t="str">
            <v>MKT-1-10624277011</v>
          </cell>
          <cell r="F311" t="str">
            <v>0T3T_PAI18_Oi-36221_TV_PONTO_ADICIONAL_16.73%</v>
          </cell>
        </row>
        <row r="312">
          <cell r="A312" t="str">
            <v>Oi Total Fixo + Pós 50 + Banda Larga0.1673Template desconto % Ponto adicional nível conta</v>
          </cell>
          <cell r="B312" t="str">
            <v>Plano Oi Completo XSmall</v>
          </cell>
          <cell r="C312" t="str">
            <v>Template desconto % Ponto adicional nível conta</v>
          </cell>
          <cell r="D312">
            <v>0.1673</v>
          </cell>
          <cell r="E312" t="str">
            <v>MKT-1-10624277011</v>
          </cell>
          <cell r="F312" t="str">
            <v>0T3T_PAI18_Oi-36221_TV_PONTO_ADICIONAL_16.73%</v>
          </cell>
        </row>
        <row r="313">
          <cell r="A313" t="str">
            <v>Oi Total Fixo + TV 30.1673Template desconto % Ponto adicional nível conta</v>
          </cell>
          <cell r="B313" t="str">
            <v>Plano Oi Internet Total High</v>
          </cell>
          <cell r="C313" t="str">
            <v>Template desconto % Ponto adicional nível conta</v>
          </cell>
          <cell r="D313">
            <v>0.1673</v>
          </cell>
          <cell r="E313" t="str">
            <v>MKT-1-10624277011</v>
          </cell>
          <cell r="F313" t="str">
            <v>0T3T_PAI18_Oi-36221_TV_PONTO_ADICIONAL_16.73%</v>
          </cell>
        </row>
        <row r="314">
          <cell r="A314" t="str">
            <v>Oi Total Fixo + Pós Conectado 500 + Banda Larga0.1673Template desconto % Ponto adicional nível conta</v>
          </cell>
          <cell r="B314" t="str">
            <v>Plano Oi Completo 500</v>
          </cell>
          <cell r="C314" t="str">
            <v>Template desconto % Ponto adicional nível conta</v>
          </cell>
          <cell r="D314">
            <v>0.1673</v>
          </cell>
          <cell r="E314" t="str">
            <v>MKT-1-10624277011</v>
          </cell>
          <cell r="F314" t="str">
            <v>0T3T_PAI18_Oi-36221_TV_PONTO_ADICIONAL_16.73%</v>
          </cell>
        </row>
        <row r="315">
          <cell r="A315" t="str">
            <v>Oi Total Fixo + Pós Conectado 1.000 + Banda Larga0.1673Template desconto % Ponto adicional nível conta</v>
          </cell>
          <cell r="B315" t="str">
            <v>Plano Oi Completo 1.000</v>
          </cell>
          <cell r="C315" t="str">
            <v>Template desconto % Ponto adicional nível conta</v>
          </cell>
          <cell r="D315">
            <v>0.1673</v>
          </cell>
          <cell r="E315" t="str">
            <v>MKT-1-10624277011</v>
          </cell>
          <cell r="F315" t="str">
            <v>0T3T_PAI18_Oi-36221_TV_PONTO_ADICIONAL_16.73%</v>
          </cell>
        </row>
        <row r="316">
          <cell r="A316" t="str">
            <v>Oi Total Fixo + Banda Larga + TV 20.1673Template desconto % Ponto adicional nível conta</v>
          </cell>
          <cell r="B316" t="str">
            <v>Plano Oi Convergente Medium</v>
          </cell>
          <cell r="C316" t="str">
            <v>Template desconto % Ponto adicional nível conta</v>
          </cell>
          <cell r="D316">
            <v>0.1673</v>
          </cell>
          <cell r="E316" t="str">
            <v>MKT-1-10624277011</v>
          </cell>
          <cell r="F316" t="str">
            <v>0T3T_PAI18_Oi-36221_TV_PONTO_ADICIONAL_16.73%</v>
          </cell>
        </row>
        <row r="317">
          <cell r="A317" t="str">
            <v>Oi Total Fixo + Banda Larga + TV 30.1673Template desconto % Ponto adicional nível conta</v>
          </cell>
          <cell r="B317" t="str">
            <v>Plano Oi Convergente High</v>
          </cell>
          <cell r="C317" t="str">
            <v>Template desconto % Ponto adicional nível conta</v>
          </cell>
          <cell r="D317">
            <v>0.1673</v>
          </cell>
          <cell r="E317" t="str">
            <v>MKT-1-10624277011</v>
          </cell>
          <cell r="F317" t="str">
            <v>0T3T_PAI18_Oi-36221_TV_PONTO_ADICIONAL_16.73%</v>
          </cell>
        </row>
        <row r="318">
          <cell r="A318" t="str">
            <v>Oi Total Fixo + Oi Mais 14GB + Banda Larga0.1673Template desconto % Ponto adicional nível conta</v>
          </cell>
          <cell r="B318" t="str">
            <v>Oi Total Completo 14GB</v>
          </cell>
          <cell r="C318" t="str">
            <v>Template desconto % Ponto adicional nível conta</v>
          </cell>
          <cell r="D318">
            <v>0.1673</v>
          </cell>
          <cell r="E318" t="str">
            <v>MKT-1-10624277011</v>
          </cell>
          <cell r="F318" t="str">
            <v>0T3T_PAI18_Oi-36221_TV_PONTO_ADICIONAL_16.73%</v>
          </cell>
        </row>
        <row r="319">
          <cell r="A319" t="str">
            <v>Oi Total Fixo + Oi Mais 7GB + Banda Larga0.7314Template Desc. % Dados nível conta B2C</v>
          </cell>
          <cell r="B319" t="str">
            <v>Oi Total Completo 7GB</v>
          </cell>
          <cell r="C319" t="str">
            <v>Template Desc. % Dados nível conta B2C</v>
          </cell>
          <cell r="D319">
            <v>0.73140000000000005</v>
          </cell>
          <cell r="E319" t="str">
            <v>MKT-1-10624153471</v>
          </cell>
          <cell r="F319" t="str">
            <v>0T3T_PAI18_Oi-36249_DADOS_CONTA_73.14%</v>
          </cell>
        </row>
        <row r="320">
          <cell r="A320" t="str">
            <v>Oi Total Fixo + Oi Mais 7GB + Banda Larga0.8076Template Desc. % Dados nível conta B2C</v>
          </cell>
          <cell r="B320" t="str">
            <v>Oi Total Completo 7GB</v>
          </cell>
          <cell r="C320" t="str">
            <v>Template Desc. % Dados nível conta B2C</v>
          </cell>
          <cell r="D320">
            <v>0.80759999999999998</v>
          </cell>
          <cell r="E320" t="str">
            <v>MKT-1-10624152991</v>
          </cell>
          <cell r="F320" t="str">
            <v>0T3T_PAI18_Oi-36249_DADOS_CONTA_80.76%</v>
          </cell>
        </row>
        <row r="321">
          <cell r="A321" t="str">
            <v>Oi Total Fixo + Oi Mais 7GB + Banda Larga0.0693Template de desconto percentual Bundle - Fixo - Varejo - Ganho Tributário</v>
          </cell>
          <cell r="B321" t="str">
            <v>Oi Total Completo 7GB</v>
          </cell>
          <cell r="C321" t="str">
            <v>Template de desconto percentual Bundle - Fixo - Varejo - Ganho Tributário</v>
          </cell>
          <cell r="D321">
            <v>6.93E-2</v>
          </cell>
          <cell r="E321" t="str">
            <v>MKT-1-10621078321</v>
          </cell>
          <cell r="F321" t="str">
            <v>0T3T_PAI18_Oi-36249_DET_FIXO_FR_06.93%</v>
          </cell>
        </row>
        <row r="322">
          <cell r="A322" t="str">
            <v>Oi Total Fixo + Oi Mais 7GB + Banda Larga0.1938Template de desconto FLAT bundle - Velox XDSL - Varejo</v>
          </cell>
          <cell r="B322" t="str">
            <v>Oi Total Completo 7GB</v>
          </cell>
          <cell r="C322" t="str">
            <v>Template de desconto FLAT bundle - Velox XDSL - Varejo</v>
          </cell>
          <cell r="D322">
            <v>0.1938</v>
          </cell>
          <cell r="E322" t="str">
            <v>MKT-1-10621257061</v>
          </cell>
          <cell r="F322" t="str">
            <v>0T3T_PAI18_Oi-36249_FLAT_BL_19.38%</v>
          </cell>
        </row>
        <row r="323">
          <cell r="A323" t="str">
            <v>Oi Total Fixo + Oi Mais 7GB + Banda Larga0.195Template de desconto FLAT bundle - Velox XDSL - Varejo</v>
          </cell>
          <cell r="B323" t="str">
            <v>Oi Total Completo 7GB</v>
          </cell>
          <cell r="C323" t="str">
            <v>Template de desconto FLAT bundle - Velox XDSL - Varejo</v>
          </cell>
          <cell r="D323">
            <v>0.19500000000000001</v>
          </cell>
          <cell r="E323" t="str">
            <v>MKT-1-10621350311</v>
          </cell>
          <cell r="F323" t="str">
            <v>0T3T_PAI18_Oi-36249_FLAT_BL_19.50%</v>
          </cell>
        </row>
        <row r="324">
          <cell r="A324" t="str">
            <v>Oi Total Fixo + Oi Mais 7GB + Banda Larga0.309Template de desconto FLAT bundle - Velox XDSL - Varejo</v>
          </cell>
          <cell r="B324" t="str">
            <v>Oi Total Completo 7GB</v>
          </cell>
          <cell r="C324" t="str">
            <v>Template de desconto FLAT bundle - Velox XDSL - Varejo</v>
          </cell>
          <cell r="D324">
            <v>0.309</v>
          </cell>
          <cell r="E324" t="str">
            <v>MKT-1-10621362421</v>
          </cell>
          <cell r="F324" t="str">
            <v>0T3T_PAI18_Oi-36249_FLAT_BL_30.90%</v>
          </cell>
        </row>
        <row r="325">
          <cell r="A325" t="str">
            <v>Oi Total Fixo + Oi Mais 7GB + Banda Larga0.31Template de desconto FLAT bundle - Velox XDSL - Varejo</v>
          </cell>
          <cell r="B325" t="str">
            <v>Oi Total Completo 7GB</v>
          </cell>
          <cell r="C325" t="str">
            <v>Template de desconto FLAT bundle - Velox XDSL - Varejo</v>
          </cell>
          <cell r="D325">
            <v>0.31</v>
          </cell>
          <cell r="E325" t="str">
            <v>MKT-1-10621406041</v>
          </cell>
          <cell r="F325" t="str">
            <v>0T3T_PAI18_Oi-36249_FLAT_BL_31.00%</v>
          </cell>
        </row>
        <row r="326">
          <cell r="A326" t="str">
            <v>Oi Total Fixo + Oi Mais 7GB + Banda Larga0.3508Template de desconto FLAT bundle - Velox XDSL - Varejo</v>
          </cell>
          <cell r="B326" t="str">
            <v>Oi Total Completo 7GB</v>
          </cell>
          <cell r="C326" t="str">
            <v>Template de desconto FLAT bundle - Velox XDSL - Varejo</v>
          </cell>
          <cell r="D326">
            <v>0.3508</v>
          </cell>
          <cell r="E326" t="str">
            <v>MKT-1-10621429781</v>
          </cell>
          <cell r="F326" t="str">
            <v>0T3T_PAI18_Oi-36249_FLAT_BL_35.08%</v>
          </cell>
        </row>
        <row r="327">
          <cell r="A327" t="str">
            <v>Oi Total Fixo + Oi Mais 7GB + Banda Larga0.4229Template de desconto FLAT bundle - Velox XDSL - Varejo</v>
          </cell>
          <cell r="B327" t="str">
            <v>Oi Total Completo 7GB</v>
          </cell>
          <cell r="C327" t="str">
            <v>Template de desconto FLAT bundle - Velox XDSL - Varejo</v>
          </cell>
          <cell r="D327">
            <v>0.4229</v>
          </cell>
          <cell r="E327" t="str">
            <v>MKT-1-10621563271</v>
          </cell>
          <cell r="F327" t="str">
            <v>0T3T_PAI18_Oi-36249_FLAT_BL_42.29%</v>
          </cell>
        </row>
        <row r="328">
          <cell r="A328" t="str">
            <v>Oi Total Fixo + Oi Mais 7GB + Banda Larga0.4807Template de desconto FLAT bundle - Velox XDSL - Varejo</v>
          </cell>
          <cell r="B328" t="str">
            <v>Oi Total Completo 7GB</v>
          </cell>
          <cell r="C328" t="str">
            <v>Template de desconto FLAT bundle - Velox XDSL - Varejo</v>
          </cell>
          <cell r="D328">
            <v>0.48070000000000002</v>
          </cell>
          <cell r="E328" t="str">
            <v>MKT-1-10621596571</v>
          </cell>
          <cell r="F328" t="str">
            <v>0T3T_PAI18_Oi-36249_FLAT_BL_48.07%</v>
          </cell>
        </row>
        <row r="329">
          <cell r="A329" t="str">
            <v>Oi Total Fixo + Oi Mais 7GB + Banda Larga0.5443Template de desconto FLAT bundle - Velox XDSL - Varejo</v>
          </cell>
          <cell r="B329" t="str">
            <v>Oi Total Completo 7GB</v>
          </cell>
          <cell r="C329" t="str">
            <v>Template de desconto FLAT bundle - Velox XDSL - Varejo</v>
          </cell>
          <cell r="D329">
            <v>0.54430000000000001</v>
          </cell>
          <cell r="E329" t="str">
            <v>MKT-1-10621118991</v>
          </cell>
          <cell r="F329" t="str">
            <v>0T3T_PAI18_Oi-36249_FLAT_BL_54.43%</v>
          </cell>
        </row>
        <row r="330">
          <cell r="A330" t="str">
            <v>Oi Total Fixo + Oi Mais 7GB + Banda Larga0.5455Template de desconto FLAT bundle - Velox XDSL - Varejo</v>
          </cell>
          <cell r="B330" t="str">
            <v>Oi Total Completo 7GB</v>
          </cell>
          <cell r="C330" t="str">
            <v>Template de desconto FLAT bundle - Velox XDSL - Varejo</v>
          </cell>
          <cell r="D330">
            <v>0.54549999999999998</v>
          </cell>
          <cell r="E330" t="str">
            <v>MKT-1-10621173501</v>
          </cell>
          <cell r="F330" t="str">
            <v>0T3T_PAI18_Oi-36249_FLAT_BL_54.55%</v>
          </cell>
        </row>
        <row r="331">
          <cell r="A331" t="str">
            <v>Oi Total Fixo + Oi Mais 7GB + Banda Larga0.6094Template de desconto FLAT bundle - Velox XDSL - Varejo</v>
          </cell>
          <cell r="B331" t="str">
            <v>Oi Total Completo 7GB</v>
          </cell>
          <cell r="C331" t="str">
            <v>Template de desconto FLAT bundle - Velox XDSL - Varejo</v>
          </cell>
          <cell r="D331">
            <v>0.60940000000000005</v>
          </cell>
          <cell r="E331" t="str">
            <v>MKT-1-10621173891</v>
          </cell>
          <cell r="F331" t="str">
            <v>0T3T_PAI18_Oi-36249_FLAT_BL_60.94%</v>
          </cell>
        </row>
        <row r="332">
          <cell r="A332" t="str">
            <v>Oi Total Fixo + Oi Mais 7GB + Banda Larga0.6104Template de desconto FLAT bundle - Velox XDSL - Varejo</v>
          </cell>
          <cell r="B332" t="str">
            <v>Oi Total Completo 7GB</v>
          </cell>
          <cell r="C332" t="str">
            <v>Template de desconto FLAT bundle - Velox XDSL - Varejo</v>
          </cell>
          <cell r="D332">
            <v>0.61040000000000005</v>
          </cell>
          <cell r="E332" t="str">
            <v>MKT-1-10621177991</v>
          </cell>
          <cell r="F332" t="str">
            <v>0T3T_PAI18_Oi-36249_FLAT_BL_61.04%</v>
          </cell>
        </row>
        <row r="333">
          <cell r="A333" t="str">
            <v>Oi Total Fixo + Oi Mais 7GB + Banda Larga0.6206Template de desconto FLAT bundle - Velox XDSL - Varejo</v>
          </cell>
          <cell r="B333" t="str">
            <v>Oi Total Completo 7GB</v>
          </cell>
          <cell r="C333" t="str">
            <v>Template de desconto FLAT bundle - Velox XDSL - Varejo</v>
          </cell>
          <cell r="D333">
            <v>0.62060000000000004</v>
          </cell>
          <cell r="E333" t="str">
            <v>MKT-1-10620994291</v>
          </cell>
          <cell r="F333" t="str">
            <v>0T3T_PAI18_Oi-36249_FLAT_BL_62.06%</v>
          </cell>
        </row>
        <row r="334">
          <cell r="A334" t="str">
            <v>Oi Total Fixo + Oi Mais 7GB + Banda Larga0.6628Template de desconto FLAT bundle - Velox XDSL - Varejo</v>
          </cell>
          <cell r="B334" t="str">
            <v>Oi Total Completo 7GB</v>
          </cell>
          <cell r="C334" t="str">
            <v>Template de desconto FLAT bundle - Velox XDSL - Varejo</v>
          </cell>
          <cell r="D334">
            <v>0.66279999999999994</v>
          </cell>
          <cell r="E334" t="str">
            <v>MKT-1-10621256491</v>
          </cell>
          <cell r="F334" t="str">
            <v>0T3T_PAI18_Oi-36249_FLAT_BL_66.28%</v>
          </cell>
        </row>
        <row r="335">
          <cell r="A335" t="str">
            <v>Oi Total Fixo + Oi Mais 7GB + Banda Larga0.6965Template de desconto FLAT bundle - Velox XDSL - Varejo</v>
          </cell>
          <cell r="B335" t="str">
            <v>Oi Total Completo 7GB</v>
          </cell>
          <cell r="C335" t="str">
            <v>Template de desconto FLAT bundle - Velox XDSL - Varejo</v>
          </cell>
          <cell r="D335">
            <v>0.69650000000000001</v>
          </cell>
          <cell r="E335" t="str">
            <v>MKT-1-10621243141</v>
          </cell>
          <cell r="F335" t="str">
            <v>0T3T_PAI18_Oi-36249_FLAT_BL_69.65%</v>
          </cell>
        </row>
        <row r="336">
          <cell r="A336" t="str">
            <v>Oi Total Fixo + Oi Mais 7GB + Banda Larga0.2444Template de desconto FLAT bundle - Fixo - Varejo - Ganho Tributário</v>
          </cell>
          <cell r="B336" t="str">
            <v>Oi Total Completo 7GB</v>
          </cell>
          <cell r="C336" t="str">
            <v>Template de desconto FLAT bundle - Fixo - Varejo - Ganho Tributário</v>
          </cell>
          <cell r="D336">
            <v>0.24440000000000001</v>
          </cell>
          <cell r="E336" t="str">
            <v>MKT-1-10621019201</v>
          </cell>
          <cell r="F336" t="str">
            <v>0T3T_PAI18_Oi-36249_FLAT_FIXO_FR_24.44%</v>
          </cell>
        </row>
        <row r="337">
          <cell r="A337" t="str">
            <v>Oi Total Fixo + Oi Mais 7GB + Banda Larga0.4507Template de desconto FLAT bundle - Fixo - Varejo - Ganho Tributário</v>
          </cell>
          <cell r="B337" t="str">
            <v>Oi Total Completo 7GB</v>
          </cell>
          <cell r="C337" t="str">
            <v>Template de desconto FLAT bundle - Fixo - Varejo - Ganho Tributário</v>
          </cell>
          <cell r="D337">
            <v>0.45069999999999999</v>
          </cell>
          <cell r="E337" t="str">
            <v>MKT-1-10620701491</v>
          </cell>
          <cell r="F337" t="str">
            <v>0T3T_PAI18_Oi-36249_FLAT_FIXO_FR_45.07%</v>
          </cell>
        </row>
        <row r="338">
          <cell r="A338" t="str">
            <v>Oi Total Fixo + Oi Mais 7GB + Banda Larga0.9243Template de desconto FLAT bundle - Fixo - Varejo - Ganho Tributário</v>
          </cell>
          <cell r="B338" t="str">
            <v>Oi Total Completo 7GB</v>
          </cell>
          <cell r="C338" t="str">
            <v>Template de desconto FLAT bundle - Fixo - Varejo - Ganho Tributário</v>
          </cell>
          <cell r="D338">
            <v>0.92430000000000001</v>
          </cell>
          <cell r="E338" t="str">
            <v>MKT-1-10624710001</v>
          </cell>
          <cell r="F338" t="str">
            <v>0T3T_PAI18_Oi-36249_FLAT_FIXO_FR_92.43%</v>
          </cell>
        </row>
        <row r="339">
          <cell r="A339" t="str">
            <v>Oi Total Fixo + Oi Mais 7GB + Banda Larga0.6683Template de desconto percentual FLAT Móvel - Conta Total - Varejo - Ganho Tributário Cross</v>
          </cell>
          <cell r="B339" t="str">
            <v>Oi Total Completo 7GB</v>
          </cell>
          <cell r="C339" t="str">
            <v>Template de desconto percentual FLAT Móvel - Conta Total - Varejo - Ganho Tributário Cross</v>
          </cell>
          <cell r="D339">
            <v>0.66830000000000001</v>
          </cell>
          <cell r="E339" t="str">
            <v>MKT-1-10624144991</v>
          </cell>
          <cell r="F339" t="str">
            <v>0T3T_PAI18_Oi-36249_FLAT_MÓVEL_GT_66.83%</v>
          </cell>
        </row>
        <row r="340">
          <cell r="A340" t="str">
            <v>Oi Total Fixo + Oi Mais 7GB + Banda Larga0.7673Template de desconto percentual FLAT Móvel - Conta Total - Varejo - Ganho Tributário Cross</v>
          </cell>
          <cell r="B340" t="str">
            <v>Oi Total Completo 7GB</v>
          </cell>
          <cell r="C340" t="str">
            <v>Template de desconto percentual FLAT Móvel - Conta Total - Varejo - Ganho Tributário Cross</v>
          </cell>
          <cell r="D340">
            <v>0.76729999999999998</v>
          </cell>
          <cell r="E340" t="str">
            <v>MKT-1-10624069971</v>
          </cell>
          <cell r="F340" t="str">
            <v>0T3T_PAI18_Oi-36249_FLAT_MÓVEL_GT_76.73%</v>
          </cell>
        </row>
        <row r="341">
          <cell r="A341" t="str">
            <v>Oi Total Fixo + Oi Mais 7GB + Banda Larga0.0937Template desconto FLAT Plano Principal Oi TV nível conta</v>
          </cell>
          <cell r="B341" t="str">
            <v>Oi Total Completo 7GB</v>
          </cell>
          <cell r="C341" t="str">
            <v>Template desconto FLAT Plano Principal Oi TV nível conta</v>
          </cell>
          <cell r="D341">
            <v>9.3700000000000006E-2</v>
          </cell>
          <cell r="E341" t="str">
            <v>MKT-1-10621863251</v>
          </cell>
          <cell r="F341" t="str">
            <v>0T3T_PAI18_Oi-36249_FLAT_TV_09.37%</v>
          </cell>
        </row>
        <row r="342">
          <cell r="A342" t="str">
            <v>Oi Total Fixo + Oi Mais 7GB + Banda Larga0.2953Template desconto FLAT Plano Principal Oi TV nível conta</v>
          </cell>
          <cell r="B342" t="str">
            <v>Oi Total Completo 7GB</v>
          </cell>
          <cell r="C342" t="str">
            <v>Template desconto FLAT Plano Principal Oi TV nível conta</v>
          </cell>
          <cell r="D342">
            <v>0.29530000000000001</v>
          </cell>
          <cell r="E342" t="str">
            <v>MKT-1-10621690771</v>
          </cell>
          <cell r="F342" t="str">
            <v>0T3T_PAI18_Oi-36249_FLAT_TV_29.53%</v>
          </cell>
        </row>
        <row r="343">
          <cell r="A343" t="str">
            <v>Oi Total Fixo + Oi Mais 14GB + Banda Larga0.0692Template de desconto percentual Bundle - Fixo - Varejo - Ganho Tributário</v>
          </cell>
          <cell r="B343" t="str">
            <v>Oi Total Completo 14GB</v>
          </cell>
          <cell r="C343" t="str">
            <v>Template de desconto percentual Bundle - Fixo - Varejo - Ganho Tributário</v>
          </cell>
          <cell r="D343">
            <v>6.9199999999999998E-2</v>
          </cell>
          <cell r="E343" t="str">
            <v>MKT-1-10624759171</v>
          </cell>
          <cell r="F343" t="str">
            <v>0T3T_PAI18_Oi-36277_DET_FIXO_FR_06.92%</v>
          </cell>
        </row>
        <row r="344">
          <cell r="A344" t="str">
            <v>Oi Total Fixo + Oi Mais 14GB + Banda Larga0.7859Template de desconto FLAT bundle - Fixo - Varejo - Ganho Tributário</v>
          </cell>
          <cell r="B344" t="str">
            <v>Oi Total Completo 14GB</v>
          </cell>
          <cell r="C344" t="str">
            <v>Template de desconto FLAT bundle - Fixo - Varejo - Ganho Tributário</v>
          </cell>
          <cell r="D344">
            <v>0.78590000000000004</v>
          </cell>
          <cell r="E344" t="str">
            <v>MKT-1-10624696881</v>
          </cell>
          <cell r="F344" t="str">
            <v>0T3T_PAI18_Oi-36277_FLAT_FIXO_FR_78.59%</v>
          </cell>
        </row>
        <row r="345">
          <cell r="A345" t="str">
            <v>Oi Total Fixo + Banda Larga 10.0692Template de desconto percentual Bundle - Fixo - Varejo - Ganho Tributário</v>
          </cell>
          <cell r="B345" t="str">
            <v>Oi Total Fixo + Banda Larga 1</v>
          </cell>
          <cell r="C345" t="str">
            <v>Template de desconto percentual Bundle - Fixo - Varejo - Ganho Tributário</v>
          </cell>
          <cell r="D345">
            <v>6.9199999999999998E-2</v>
          </cell>
          <cell r="E345" t="str">
            <v>MKT-1-10624759491</v>
          </cell>
          <cell r="F345" t="str">
            <v>0T3T_PAI18_PCS-2PFBL1_DET_FIXO_FR_06.92%</v>
          </cell>
        </row>
        <row r="346">
          <cell r="A346" t="str">
            <v>Oi Total Fixo + Banda Larga + TV 30.0903Template de desconto percentual Bundle - Velox XDSL - Varejo</v>
          </cell>
          <cell r="B346" t="str">
            <v>Plano Oi Convergente High</v>
          </cell>
          <cell r="C346" t="str">
            <v>Template de desconto percentual Bundle - Velox XDSL - Varejo</v>
          </cell>
          <cell r="D346">
            <v>9.0300000000000005E-2</v>
          </cell>
          <cell r="E346" t="str">
            <v>MKT-1-10624429401</v>
          </cell>
          <cell r="F346" t="str">
            <v>0T3T_PAI18_PCS-3PHipi_DET_BL_09.03%</v>
          </cell>
        </row>
        <row r="347">
          <cell r="A347" t="str">
            <v>Oi Total Fixo + Banda Larga + TV 30.1057Template de desconto percentual Bundle - Velox XDSL - Varejo</v>
          </cell>
          <cell r="B347" t="str">
            <v>Plano Oi Convergente High</v>
          </cell>
          <cell r="C347" t="str">
            <v>Template de desconto percentual Bundle - Velox XDSL - Varejo</v>
          </cell>
          <cell r="D347">
            <v>0.1057</v>
          </cell>
          <cell r="E347" t="str">
            <v>MKT-1-10624596781</v>
          </cell>
          <cell r="F347" t="str">
            <v>0T3T_PAI18_PCS-3PHipi_DET_BL_10.57%</v>
          </cell>
        </row>
        <row r="348">
          <cell r="A348" t="str">
            <v>Oi Total Fixo + Banda Larga + TV 30.1203Template de desconto percentual Bundle - Velox XDSL - Varejo</v>
          </cell>
          <cell r="B348" t="str">
            <v>Plano Oi Convergente High</v>
          </cell>
          <cell r="C348" t="str">
            <v>Template de desconto percentual Bundle - Velox XDSL - Varejo</v>
          </cell>
          <cell r="D348">
            <v>0.1203</v>
          </cell>
          <cell r="E348" t="str">
            <v>MKT-1-10624429101</v>
          </cell>
          <cell r="F348" t="str">
            <v>0T3T_PAI18_PCS-3PHipi_DET_BL_12.03%</v>
          </cell>
        </row>
        <row r="349">
          <cell r="A349" t="str">
            <v>Oi Total Fixo + Banda Larga + TV 30.0692Template de desconto percentual Bundle - Fixo - Varejo - Ganho Tributário</v>
          </cell>
          <cell r="B349" t="str">
            <v>Plano Oi Convergente High</v>
          </cell>
          <cell r="C349" t="str">
            <v>Template de desconto percentual Bundle - Fixo - Varejo - Ganho Tributário</v>
          </cell>
          <cell r="D349">
            <v>6.9199999999999998E-2</v>
          </cell>
          <cell r="E349" t="str">
            <v>MKT-1-10624357621</v>
          </cell>
          <cell r="F349" t="str">
            <v>0T3T_PAI18_PCS-3PHipi_DET_FIXO_FR_06.92%</v>
          </cell>
        </row>
        <row r="350">
          <cell r="A350" t="str">
            <v>Oi Total Fixo + Banda Larga + TV 30.2444Template de desconto FLAT bundle - Fixo - Varejo - Ganho Tributário</v>
          </cell>
          <cell r="B350" t="str">
            <v>Plano Oi Convergente High</v>
          </cell>
          <cell r="C350" t="str">
            <v>Template de desconto FLAT bundle - Fixo - Varejo - Ganho Tributário</v>
          </cell>
          <cell r="D350">
            <v>0.24440000000000001</v>
          </cell>
          <cell r="E350" t="str">
            <v>MKT-1-10624620301</v>
          </cell>
          <cell r="F350" t="str">
            <v>0T3T_PAI18_PCS-3PHipi_FLAT_FIXO_FR_24.44%</v>
          </cell>
        </row>
        <row r="351">
          <cell r="A351" t="str">
            <v>Oi Total Fixo + Banda Larga + TV 30.4507Template de desconto FLAT bundle - Fixo - Varejo - Ganho Tributário</v>
          </cell>
          <cell r="B351" t="str">
            <v>Plano Oi Convergente High</v>
          </cell>
          <cell r="C351" t="str">
            <v>Template de desconto FLAT bundle - Fixo - Varejo - Ganho Tributário</v>
          </cell>
          <cell r="D351">
            <v>0.45069999999999999</v>
          </cell>
          <cell r="E351" t="str">
            <v>MKT-1-10624428811</v>
          </cell>
          <cell r="F351" t="str">
            <v>0T3T_PAI18_PCS-3PHipi_FLAT_FIXO_FR_45.07%</v>
          </cell>
        </row>
        <row r="352">
          <cell r="A352" t="str">
            <v>Oi Total Fixo + Banda Larga + TV 30.7291Template de desconto FLAT bundle - Fixo - Varejo - Ganho Tributário</v>
          </cell>
          <cell r="B352" t="str">
            <v>Plano Oi Convergente High</v>
          </cell>
          <cell r="C352" t="str">
            <v>Template de desconto FLAT bundle - Fixo - Varejo - Ganho Tributário</v>
          </cell>
          <cell r="D352">
            <v>0.72909999999999997</v>
          </cell>
          <cell r="E352" t="str">
            <v>MKT-1-10624697461</v>
          </cell>
          <cell r="F352" t="str">
            <v>0T3T_PAI18_PCS-3PHipi_FLAT_FIXO_FR_72.91%</v>
          </cell>
        </row>
        <row r="353">
          <cell r="A353" t="str">
            <v>Oi Total Fixo + Banda Larga + TV 10.0692Template de desconto percentual Bundle - Fixo - Varejo - Ganho Tributário</v>
          </cell>
          <cell r="B353" t="str">
            <v>Plano Oi Convergente Low</v>
          </cell>
          <cell r="C353" t="str">
            <v>Template de desconto percentual Bundle - Fixo - Varejo - Ganho Tributário</v>
          </cell>
          <cell r="D353">
            <v>6.9199999999999998E-2</v>
          </cell>
          <cell r="E353" t="str">
            <v>MKT-1-10624290251</v>
          </cell>
          <cell r="F353" t="str">
            <v>0T3T_PAI18_PCS-3PLowpi_DET_FIXO_FR_06.92%</v>
          </cell>
        </row>
        <row r="354">
          <cell r="A354" t="str">
            <v>Oi Total Fixo + Banda Larga + TV 10.2444Template de desconto FLAT bundle - Fixo - Varejo - Ganho Tributário</v>
          </cell>
          <cell r="B354" t="str">
            <v>Plano Oi Convergente Low</v>
          </cell>
          <cell r="C354" t="str">
            <v>Template de desconto FLAT bundle - Fixo - Varejo - Ganho Tributário</v>
          </cell>
          <cell r="D354">
            <v>0.24440000000000001</v>
          </cell>
          <cell r="E354" t="str">
            <v>MKT-1-10624620011</v>
          </cell>
          <cell r="F354" t="str">
            <v>0T3T_PAI18_PCS-3PLowpi_FLAT_FIXO_FR_24.44%</v>
          </cell>
        </row>
        <row r="355">
          <cell r="A355" t="str">
            <v>Oi Total Fixo + Banda Larga + TV 10.4507Template de desconto FLAT bundle - Fixo - Varejo - Ganho Tributário</v>
          </cell>
          <cell r="B355" t="str">
            <v>Plano Oi Convergente Low</v>
          </cell>
          <cell r="C355" t="str">
            <v>Template de desconto FLAT bundle - Fixo - Varejo - Ganho Tributário</v>
          </cell>
          <cell r="D355">
            <v>0.45069999999999999</v>
          </cell>
          <cell r="E355" t="str">
            <v>MKT-1-10624428521</v>
          </cell>
          <cell r="F355" t="str">
            <v>0T3T_PAI18_PCS-3PLowpi_FLAT_FIXO_FR_45.07%</v>
          </cell>
        </row>
        <row r="356">
          <cell r="A356" t="str">
            <v>Oi Total Fixo + Banda Larga + TV 10.4522Template de desconto FLAT bundle - Fixo - Varejo - Ganho Tributário</v>
          </cell>
          <cell r="B356" t="str">
            <v>Plano Oi Convergente Low</v>
          </cell>
          <cell r="C356" t="str">
            <v>Template de desconto FLAT bundle - Fixo - Varejo - Ganho Tributário</v>
          </cell>
          <cell r="D356">
            <v>0.45219999999999999</v>
          </cell>
          <cell r="E356" t="str">
            <v>MKT-1-10624709711</v>
          </cell>
          <cell r="F356" t="str">
            <v>0T3T_PAI18_PCS-3PLowpi_FLAT_FIXO_FR_45.22%</v>
          </cell>
        </row>
        <row r="357">
          <cell r="A357" t="str">
            <v>Oi Total Fixo + Banda Larga + TV 10.6184Template de desconto FLAT bundle - Fixo - Varejo - Ganho Tributário</v>
          </cell>
          <cell r="B357" t="str">
            <v>Plano Oi Convergente Low</v>
          </cell>
          <cell r="C357" t="str">
            <v>Template de desconto FLAT bundle - Fixo - Varejo - Ganho Tributário</v>
          </cell>
          <cell r="D357">
            <v>0.61839999999999995</v>
          </cell>
          <cell r="E357" t="str">
            <v>MKT-1-10624696591</v>
          </cell>
          <cell r="F357" t="str">
            <v>0T3T_PAI18_PCS-3PLowpi_FLAT_FIXO_FR_61.84%</v>
          </cell>
        </row>
        <row r="358">
          <cell r="A358" t="str">
            <v>Oi Total Fixo + Banda Larga + TV 10.6474Template de desconto FLAT bundle - Fixo - Varejo - Ganho Tributário</v>
          </cell>
          <cell r="B358" t="str">
            <v>Plano Oi Convergente Low</v>
          </cell>
          <cell r="C358" t="str">
            <v>Template de desconto FLAT bundle - Fixo - Varejo - Ganho Tributário</v>
          </cell>
          <cell r="D358">
            <v>0.64739999999999998</v>
          </cell>
          <cell r="E358" t="str">
            <v>MKT-1-10624652421</v>
          </cell>
          <cell r="F358" t="str">
            <v>0T3T_PAI18_PCS-3PLowpi_FLAT_FIXO_FR_64.74%</v>
          </cell>
        </row>
        <row r="359">
          <cell r="A359" t="str">
            <v>Oi Total Fixo + Banda Larga + TV 10.7291Template de desconto FLAT bundle - Fixo - Varejo - Ganho Tributário</v>
          </cell>
          <cell r="B359" t="str">
            <v>Plano Oi Convergente Low</v>
          </cell>
          <cell r="C359" t="str">
            <v>Template de desconto FLAT bundle - Fixo - Varejo - Ganho Tributário</v>
          </cell>
          <cell r="D359">
            <v>0.72909999999999997</v>
          </cell>
          <cell r="E359" t="str">
            <v>MKT-1-10624697171</v>
          </cell>
          <cell r="F359" t="str">
            <v>0T3T_PAI18_PCS-3PLowpi_FLAT_FIXO_FR_72.91%</v>
          </cell>
        </row>
        <row r="360">
          <cell r="A360" t="str">
            <v>Oi Total Fixo + Banda Larga + TV 10.7859Template de desconto FLAT bundle - Fixo - Varejo - Ganho Tributário</v>
          </cell>
          <cell r="B360" t="str">
            <v>Plano Oi Convergente Low</v>
          </cell>
          <cell r="C360" t="str">
            <v>Template de desconto FLAT bundle - Fixo - Varejo - Ganho Tributário</v>
          </cell>
          <cell r="D360">
            <v>0.78590000000000004</v>
          </cell>
          <cell r="E360" t="str">
            <v>MKT-1-10624089621</v>
          </cell>
          <cell r="F360" t="str">
            <v>0T3T_PAI18_PCS-3PLowpi_FLAT_FIXO_FR_78.59%</v>
          </cell>
        </row>
        <row r="361">
          <cell r="A361" t="str">
            <v>Oi Total Fixo + Banda Larga + TV 10.9243Template de desconto FLAT bundle - Fixo - Varejo - Ganho Tributário</v>
          </cell>
          <cell r="B361" t="str">
            <v>Plano Oi Convergente Low</v>
          </cell>
          <cell r="C361" t="str">
            <v>Template de desconto FLAT bundle - Fixo - Varejo - Ganho Tributário</v>
          </cell>
          <cell r="D361">
            <v>0.92430000000000001</v>
          </cell>
          <cell r="E361" t="str">
            <v>MKT-1-10624652131</v>
          </cell>
          <cell r="F361" t="str">
            <v>0T3T_PAI18_PCS-3PLowpi_FLAT_FIXO_FR_92.43%</v>
          </cell>
        </row>
        <row r="362">
          <cell r="A362" t="str">
            <v>Oi Total Fixo + Banda Larga + TV 10.0937Template desconto FLAT Plano Principal Oi TV nível conta</v>
          </cell>
          <cell r="B362" t="str">
            <v>Plano Oi Convergente Low</v>
          </cell>
          <cell r="C362" t="str">
            <v>Template desconto FLAT Plano Principal Oi TV nível conta</v>
          </cell>
          <cell r="D362">
            <v>9.3700000000000006E-2</v>
          </cell>
          <cell r="E362" t="str">
            <v>MKT-1-10624597081</v>
          </cell>
          <cell r="F362" t="str">
            <v>0T3T_PAI18_PCS-3PLowpi_FLAT_TV_09.37%</v>
          </cell>
        </row>
        <row r="363">
          <cell r="A363" t="str">
            <v>Oi Total Fixo + Banda Larga + TV 20.0903Template de desconto percentual Bundle - Velox XDSL - Varejo</v>
          </cell>
          <cell r="B363" t="str">
            <v>Plano Oi Convergente Medium</v>
          </cell>
          <cell r="C363" t="str">
            <v>Template de desconto percentual Bundle - Velox XDSL - Varejo</v>
          </cell>
          <cell r="D363">
            <v>9.0300000000000005E-2</v>
          </cell>
          <cell r="E363" t="str">
            <v>MKT-1-10624372481</v>
          </cell>
          <cell r="F363" t="str">
            <v>0T3T_PAI18_PCS-3PMepi_DET_BL_09.03%</v>
          </cell>
        </row>
        <row r="364">
          <cell r="A364" t="str">
            <v>Oi Total Fixo + Banda Larga + TV 20.1057Template de desconto percentual Bundle - Velox XDSL - Varejo</v>
          </cell>
          <cell r="B364" t="str">
            <v>Plano Oi Convergente Medium</v>
          </cell>
          <cell r="C364" t="str">
            <v>Template de desconto percentual Bundle - Velox XDSL - Varejo</v>
          </cell>
          <cell r="D364">
            <v>0.1057</v>
          </cell>
          <cell r="E364" t="str">
            <v>MKT-1-10624587701</v>
          </cell>
          <cell r="F364" t="str">
            <v>0T3T_PAI18_PCS-3PMepi_DET_BL_10.57%</v>
          </cell>
        </row>
        <row r="365">
          <cell r="A365" t="str">
            <v>Oi Total Fixo + Banda Larga + TV 20.1203Template de desconto percentual Bundle - Velox XDSL - Varejo</v>
          </cell>
          <cell r="B365" t="str">
            <v>Plano Oi Convergente Medium</v>
          </cell>
          <cell r="C365" t="str">
            <v>Template de desconto percentual Bundle - Velox XDSL - Varejo</v>
          </cell>
          <cell r="D365">
            <v>0.1203</v>
          </cell>
          <cell r="E365" t="str">
            <v>MKT-1-10624372181</v>
          </cell>
          <cell r="F365" t="str">
            <v>0T3T_PAI18_PCS-3PMepi_DET_BL_12.03%</v>
          </cell>
        </row>
        <row r="366">
          <cell r="A366" t="str">
            <v>Oi Total Fixo + Banda Larga + TV 20.0692Template de desconto percentual Bundle - Fixo - Varejo - Ganho Tributário</v>
          </cell>
          <cell r="B366" t="str">
            <v>Plano Oi Convergente Medium</v>
          </cell>
          <cell r="C366" t="str">
            <v>Template de desconto percentual Bundle - Fixo - Varejo - Ganho Tributário</v>
          </cell>
          <cell r="D366">
            <v>6.9199999999999998E-2</v>
          </cell>
          <cell r="E366" t="str">
            <v>MKT-1-10624371571</v>
          </cell>
          <cell r="F366" t="str">
            <v>0T3T_PAI18_PCS-3PMepi_DET_FIXO_FR_06.92%</v>
          </cell>
        </row>
        <row r="367">
          <cell r="A367" t="str">
            <v>Oi Total Fixo + Banda Larga + TV 20.2444Template de desconto FLAT bundle - Fixo - Varejo - Ganho Tributário</v>
          </cell>
          <cell r="B367" t="str">
            <v>Plano Oi Convergente Medium</v>
          </cell>
          <cell r="C367" t="str">
            <v>Template de desconto FLAT bundle - Fixo - Varejo - Ganho Tributário</v>
          </cell>
          <cell r="D367">
            <v>0.24440000000000001</v>
          </cell>
          <cell r="E367" t="str">
            <v>MKT-1-10624651841</v>
          </cell>
          <cell r="F367" t="str">
            <v>0T3T_PAI18_PCS-3PMepi_FLAT_FIXO_FR_24.44%</v>
          </cell>
        </row>
        <row r="368">
          <cell r="A368" t="str">
            <v>Oi Total Fixo + Banda Larga + TV 20.4507Template de desconto FLAT bundle - Fixo - Varejo - Ganho Tributário</v>
          </cell>
          <cell r="B368" t="str">
            <v>Plano Oi Convergente Medium</v>
          </cell>
          <cell r="C368" t="str">
            <v>Template de desconto FLAT bundle - Fixo - Varejo - Ganho Tributário</v>
          </cell>
          <cell r="D368">
            <v>0.45069999999999999</v>
          </cell>
          <cell r="E368" t="str">
            <v>MKT-1-10624371891</v>
          </cell>
          <cell r="F368" t="str">
            <v>0T3T_PAI18_PCS-3PMepi_FLAT_FIXO_FR_45.07%</v>
          </cell>
        </row>
        <row r="369">
          <cell r="A369" t="str">
            <v>Oi Total Fixo + Banda Larga + TV 20.7291Template de desconto FLAT bundle - Fixo - Varejo - Ganho Tributário</v>
          </cell>
          <cell r="B369" t="str">
            <v>Plano Oi Convergente Medium</v>
          </cell>
          <cell r="C369" t="str">
            <v>Template de desconto FLAT bundle - Fixo - Varejo - Ganho Tributário</v>
          </cell>
          <cell r="D369">
            <v>0.72909999999999997</v>
          </cell>
          <cell r="E369" t="str">
            <v>MKT-1-10624758871</v>
          </cell>
          <cell r="F369" t="str">
            <v>0T3T_PAI18_PCS-3PMepi_FLAT_FIXO_FR_72.91%</v>
          </cell>
        </row>
        <row r="370">
          <cell r="A370" t="str">
            <v>Oi Total Fixo + Banda Larga + TV 20.1415Template desconto FLAT Plano Principal Oi TV nível conta</v>
          </cell>
          <cell r="B370" t="str">
            <v>Plano Oi Convergente Medium</v>
          </cell>
          <cell r="C370" t="str">
            <v>Template desconto FLAT Plano Principal Oi TV nível conta</v>
          </cell>
          <cell r="D370">
            <v>0.14149999999999999</v>
          </cell>
          <cell r="E370" t="str">
            <v>MKT-1-10624629921</v>
          </cell>
          <cell r="F370" t="str">
            <v>0T3T_PAI18_PCS-3PMepi_FLAT_TV_14.15%</v>
          </cell>
        </row>
        <row r="371">
          <cell r="A371" t="str">
            <v>Oi Total Fixo + Banda Larga + TV 20.1763Template desconto FLAT Plano Principal Oi TV nível conta</v>
          </cell>
          <cell r="B371" t="str">
            <v>Plano Oi Convergente Medium</v>
          </cell>
          <cell r="C371" t="str">
            <v>Template desconto FLAT Plano Principal Oi TV nível conta</v>
          </cell>
          <cell r="D371">
            <v>0.17630000000000001</v>
          </cell>
          <cell r="E371" t="str">
            <v>MKT-1-10624588001</v>
          </cell>
          <cell r="F371" t="str">
            <v>0T3T_PAI18_PCS-3PMepi_FLAT_TV_17.63%</v>
          </cell>
        </row>
        <row r="372">
          <cell r="A372" t="str">
            <v>Oi Total Fixo + Banda Larga + TV 20.1892Template desconto FLAT Plano Principal Oi TV nível conta</v>
          </cell>
          <cell r="B372" t="str">
            <v>Plano Oi Convergente Medium</v>
          </cell>
          <cell r="C372" t="str">
            <v>Template desconto FLAT Plano Principal Oi TV nível conta</v>
          </cell>
          <cell r="D372">
            <v>0.18920000000000001</v>
          </cell>
          <cell r="E372" t="str">
            <v>MKT-1-10624630381</v>
          </cell>
          <cell r="F372" t="str">
            <v>0T3T_PAI18_PCS-3PMepi_FLAT_TV_18.92%</v>
          </cell>
        </row>
        <row r="373">
          <cell r="A373" t="str">
            <v>Oi Total Fixo + Banda Larga + TV 20.2899Template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0.28989999999999999</v>
          </cell>
          <cell r="E373" t="str">
            <v>MKT-1-10624619551</v>
          </cell>
          <cell r="F373" t="str">
            <v>0T3T_PAI18_PCS-3PMepi_FLAT_TV_28.99%</v>
          </cell>
        </row>
        <row r="374">
          <cell r="A374" t="str">
            <v>Oi Total Fixo + Banda Larga + TV 20.3011Template desconto FLAT Plano Principal Oi TV nível conta</v>
          </cell>
          <cell r="B374" t="str">
            <v>Plano Oi Convergente Medium</v>
          </cell>
          <cell r="C374" t="str">
            <v>Template desconto FLAT Plano Principal Oi TV nível conta</v>
          </cell>
          <cell r="D374">
            <v>0.30109999999999998</v>
          </cell>
          <cell r="E374" t="str">
            <v>MKT-1-10624588461</v>
          </cell>
          <cell r="F374" t="str">
            <v>0T3T_PAI18_PCS-3PMepi_FLAT_TV_30.11%</v>
          </cell>
        </row>
        <row r="375">
          <cell r="A375" t="str">
            <v>Oi Total Fixo + Oi Mais 10GB + Banda Larga0.0692Template de desconto percentual Bundle - Fixo - Varejo - Ganho Tributário</v>
          </cell>
          <cell r="B375" t="str">
            <v>Oi Total Completo 10GB</v>
          </cell>
          <cell r="C375" t="str">
            <v>Template de desconto percentual Bundle - Fixo - Varejo - Ganho Tributário</v>
          </cell>
          <cell r="D375">
            <v>6.9199999999999998E-2</v>
          </cell>
          <cell r="E375" t="str">
            <v>MKT-1-10621066771</v>
          </cell>
          <cell r="F375" t="str">
            <v>0T3T_PAI18_Oi-35559_DET_FIXO_FR_06.93%</v>
          </cell>
        </row>
        <row r="376">
          <cell r="A376" t="str">
            <v>Oi Total Fixo + Oi Mais 20GB + Banda Larga0.0692Template de desconto percentual Bundle - Fixo - Varejo - Ganho Tributário</v>
          </cell>
          <cell r="B376" t="str">
            <v>Oi Total Completo 20GB</v>
          </cell>
          <cell r="C376" t="str">
            <v>Template de desconto percentual Bundle - Fixo - Varejo - Ganho Tributário</v>
          </cell>
          <cell r="D376">
            <v>6.9199999999999998E-2</v>
          </cell>
          <cell r="E376" t="str">
            <v>MKT-1-10621119001</v>
          </cell>
          <cell r="F376" t="str">
            <v>0T3T_PAI18_Oi-35587_DET_FIXO_FR_06.93%</v>
          </cell>
        </row>
        <row r="377">
          <cell r="A377" t="str">
            <v>Oi Total Fixo + Oi Mais 4GB + Banda Larga0.0692Template de desconto percentual Bundle - Fixo - Varejo - Ganho Tributário</v>
          </cell>
          <cell r="B377" t="str">
            <v>Oi Total Completo 4GB</v>
          </cell>
          <cell r="C377" t="str">
            <v>Template de desconto percentual Bundle - Fixo - Varejo - Ganho Tributário</v>
          </cell>
          <cell r="D377">
            <v>6.9199999999999998E-2</v>
          </cell>
          <cell r="E377" t="str">
            <v>MKT-1-10624277301</v>
          </cell>
          <cell r="F377" t="str">
            <v>0T3T_PAI18_Oi-36221_DET_FIXO_FR_06.93%</v>
          </cell>
        </row>
        <row r="378">
          <cell r="A378" t="str">
            <v>Oi Total Fixo + Oi Mais 7GB + Banda Larga0.0692Template de desconto percentual Bundle - Fixo - Varejo - Ganho Tributário</v>
          </cell>
          <cell r="B378" t="str">
            <v>Oi Total Completo 7GB</v>
          </cell>
          <cell r="C378" t="str">
            <v>Template de desconto percentual Bundle - Fixo - Varejo - Ganho Tributário</v>
          </cell>
          <cell r="D378">
            <v>6.9199999999999998E-2</v>
          </cell>
          <cell r="E378" t="str">
            <v>MKT-1-10621078321</v>
          </cell>
          <cell r="F378" t="str">
            <v>0T3T_PAI18_Oi-36249_DET_FIXO_FR_06.93%</v>
          </cell>
        </row>
        <row r="379">
          <cell r="A379" t="str">
            <v>Oi Total Fixo + Oi Mais 14GB + Banda Larga0.0693Template de desconto percentual Bundle - Fixo - Varejo - Ganho Tributário</v>
          </cell>
          <cell r="B379" t="str">
            <v>Oi Total Completo 14GB</v>
          </cell>
          <cell r="C379" t="str">
            <v>Template de desconto percentual Bundle - Fixo - Varejo - Ganho Tributário</v>
          </cell>
          <cell r="D379">
            <v>6.93E-2</v>
          </cell>
          <cell r="E379" t="str">
            <v>MKT-1-10624759171</v>
          </cell>
          <cell r="F379" t="str">
            <v>0T3T_PAI18_Oi-36277_DET_FIXO_FR_06.92%</v>
          </cell>
        </row>
        <row r="380">
          <cell r="A380" t="str">
            <v>Oi Total Fixo + Banda Larga 10.0693Template de desconto percentual Bundle - Fixo - Varejo - Ganho Tributário</v>
          </cell>
          <cell r="B380" t="str">
            <v>Oi Total Fixo + Banda Larga 1</v>
          </cell>
          <cell r="C380" t="str">
            <v>Template de desconto percentual Bundle - Fixo - Varejo - Ganho Tributário</v>
          </cell>
          <cell r="D380">
            <v>6.93E-2</v>
          </cell>
          <cell r="E380" t="str">
            <v>MKT-1-10624759491</v>
          </cell>
          <cell r="F380" t="str">
            <v>0T3T_PAI18_PCS-2PFBL1_DET_FIXO_FR_06.92%</v>
          </cell>
        </row>
        <row r="381">
          <cell r="A381" t="str">
            <v>Oi Total Fixo + Banda Larga + TV 30.0693Template de desconto percentual Bundle - Fixo - Varejo - Ganho Tributário</v>
          </cell>
          <cell r="B381" t="str">
            <v>Plano Oi Convergente High</v>
          </cell>
          <cell r="C381" t="str">
            <v>Template de desconto percentual Bundle - Fixo - Varejo - Ganho Tributário</v>
          </cell>
          <cell r="D381">
            <v>6.93E-2</v>
          </cell>
          <cell r="E381" t="str">
            <v>MKT-1-10624357621</v>
          </cell>
          <cell r="F381" t="str">
            <v>0T3T_PAI18_PCS-3PHipi_DET_FIXO_FR_06.92%</v>
          </cell>
        </row>
        <row r="382">
          <cell r="A382" t="str">
            <v>Oi Total Fixo + Banda Larga + TV 10.0693Template de desconto percentual Bundle - Fixo - Varejo - Ganho Tributário</v>
          </cell>
          <cell r="B382" t="str">
            <v>Plano Oi Convergente Low</v>
          </cell>
          <cell r="C382" t="str">
            <v>Template de desconto percentual Bundle - Fixo - Varejo - Ganho Tributário</v>
          </cell>
          <cell r="D382">
            <v>6.93E-2</v>
          </cell>
          <cell r="E382" t="str">
            <v>MKT-1-10624290251</v>
          </cell>
          <cell r="F382" t="str">
            <v>0T3T_PAI18_PCS-3PLowpi_DET_FIXO_FR_06.92%</v>
          </cell>
        </row>
        <row r="383">
          <cell r="A383" t="str">
            <v>Oi Total Fixo + Banda Larga + TV 20.0693Template de desconto percentual Bundle - Fixo - Varejo - Ganho Tributário</v>
          </cell>
          <cell r="B383" t="str">
            <v>Plano Oi Convergente Medium</v>
          </cell>
          <cell r="C383" t="str">
            <v>Template de desconto percentual Bundle - Fixo - Varejo - Ganho Tributário</v>
          </cell>
          <cell r="D383">
            <v>6.93E-2</v>
          </cell>
          <cell r="E383" t="str">
            <v>MKT-1-10624371571</v>
          </cell>
          <cell r="F383" t="str">
            <v>0T3T_PAI18_PCS-3PMepi_DET_FIXO_FR_06.92%</v>
          </cell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ing_FID"/>
      <sheetName val="LocalidadesTotal (43.539)"/>
      <sheetName val="BENEFICIOS"/>
      <sheetName val="PLANOS"/>
      <sheetName val="ARBOR - 20-02-2018"/>
      <sheetName val="Valores Possíveis"/>
      <sheetName val="Legenda"/>
      <sheetName val="PickLis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ing_FID"/>
      <sheetName val="h_racional"/>
      <sheetName val="h_nomes"/>
      <sheetName val="ARBOR_REAJUSTE18"/>
      <sheetName val="Valores Possíveis"/>
      <sheetName val="Legenda"/>
      <sheetName val="PickList"/>
      <sheetName val="BENEFICIOS"/>
      <sheetName val="PLANOS"/>
      <sheetName val="ARBOR"/>
      <sheetName val="h_racional_bas"/>
      <sheetName val="h_racional_int"/>
      <sheetName val="h_racional_to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W88"/>
  <sheetViews>
    <sheetView tabSelected="1" topLeftCell="F52" workbookViewId="0">
      <selection activeCell="H9" sqref="H9"/>
    </sheetView>
  </sheetViews>
  <sheetFormatPr defaultRowHeight="15" x14ac:dyDescent="0.25"/>
  <cols>
    <col min="1" max="1" width="8.7109375" bestFit="1" customWidth="1"/>
    <col min="2" max="2" width="14.42578125" bestFit="1" customWidth="1"/>
    <col min="3" max="3" width="15" bestFit="1" customWidth="1"/>
    <col min="4" max="4" width="27.140625" bestFit="1" customWidth="1"/>
    <col min="5" max="5" width="25.28515625" bestFit="1" customWidth="1"/>
    <col min="6" max="6" width="12.5703125" bestFit="1" customWidth="1"/>
    <col min="7" max="7" width="16.7109375" bestFit="1" customWidth="1"/>
    <col min="8" max="8" width="27.85546875" bestFit="1" customWidth="1"/>
    <col min="9" max="9" width="10.28515625" bestFit="1" customWidth="1"/>
    <col min="10" max="10" width="13.28515625" bestFit="1" customWidth="1"/>
    <col min="11" max="11" width="20.28515625" bestFit="1" customWidth="1"/>
    <col min="12" max="12" width="32.140625" bestFit="1" customWidth="1"/>
    <col min="13" max="13" width="16.28515625" bestFit="1" customWidth="1"/>
    <col min="14" max="14" width="24.140625" bestFit="1" customWidth="1"/>
    <col min="15" max="15" width="22.140625" customWidth="1"/>
    <col min="16" max="16" width="28.85546875" bestFit="1" customWidth="1"/>
    <col min="17" max="17" width="24.28515625" bestFit="1" customWidth="1"/>
    <col min="18" max="18" width="32.42578125" bestFit="1" customWidth="1"/>
    <col min="19" max="19" width="24.28515625" bestFit="1" customWidth="1"/>
    <col min="20" max="20" width="32.42578125" bestFit="1" customWidth="1"/>
    <col min="21" max="21" width="21.5703125" bestFit="1" customWidth="1"/>
    <col min="22" max="22" width="21.140625" bestFit="1" customWidth="1"/>
    <col min="23" max="23" width="29.140625" bestFit="1" customWidth="1"/>
    <col min="24" max="24" width="29.28515625" bestFit="1" customWidth="1"/>
    <col min="25" max="25" width="29.140625" bestFit="1" customWidth="1"/>
    <col min="26" max="26" width="27.7109375" bestFit="1" customWidth="1"/>
    <col min="27" max="27" width="26.28515625" bestFit="1" customWidth="1"/>
    <col min="28" max="28" width="30.28515625" bestFit="1" customWidth="1"/>
    <col min="29" max="29" width="28" bestFit="1" customWidth="1"/>
    <col min="30" max="30" width="41" bestFit="1" customWidth="1"/>
    <col min="31" max="31" width="44.42578125" bestFit="1" customWidth="1"/>
    <col min="32" max="32" width="48" bestFit="1" customWidth="1"/>
    <col min="33" max="33" width="44.5703125" bestFit="1" customWidth="1"/>
    <col min="34" max="34" width="41" bestFit="1" customWidth="1"/>
    <col min="35" max="35" width="44.5703125" bestFit="1" customWidth="1"/>
    <col min="36" max="36" width="41" bestFit="1" customWidth="1"/>
    <col min="37" max="37" width="44.5703125" bestFit="1" customWidth="1"/>
    <col min="38" max="38" width="44.7109375" bestFit="1" customWidth="1"/>
    <col min="39" max="39" width="12.85546875" bestFit="1" customWidth="1"/>
    <col min="40" max="40" width="16.7109375" bestFit="1" customWidth="1"/>
    <col min="41" max="41" width="16" bestFit="1" customWidth="1"/>
    <col min="42" max="42" width="11.2851562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1" hidden="1" customWidth="1"/>
    <col min="47" max="47" width="14.42578125" bestFit="1" customWidth="1"/>
    <col min="48" max="48" width="11.7109375" bestFit="1" customWidth="1"/>
    <col min="49" max="49" width="3" hidden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W2">
        <v>49</v>
      </c>
    </row>
    <row r="3" spans="1:49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122</v>
      </c>
      <c r="P3" s="4" t="s">
        <v>15</v>
      </c>
      <c r="Q3" s="5" t="s">
        <v>123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16</v>
      </c>
      <c r="AD3" s="5" t="s">
        <v>17</v>
      </c>
      <c r="AE3" s="5" t="s">
        <v>69</v>
      </c>
      <c r="AF3" s="5" t="s">
        <v>124</v>
      </c>
      <c r="AG3" s="5" t="s">
        <v>125</v>
      </c>
      <c r="AH3" s="5" t="s">
        <v>70</v>
      </c>
      <c r="AI3" s="5" t="s">
        <v>20</v>
      </c>
      <c r="AJ3" s="5" t="s">
        <v>21</v>
      </c>
      <c r="AK3" s="5" t="s">
        <v>22</v>
      </c>
      <c r="AL3" s="5" t="s">
        <v>71</v>
      </c>
      <c r="AM3" s="5" t="s">
        <v>72</v>
      </c>
      <c r="AN3" s="5" t="s">
        <v>73</v>
      </c>
      <c r="AO3" s="5" t="s">
        <v>74</v>
      </c>
      <c r="AP3" s="5" t="s">
        <v>27</v>
      </c>
      <c r="AQ3" s="5" t="s">
        <v>75</v>
      </c>
      <c r="AR3" s="5" t="s">
        <v>76</v>
      </c>
    </row>
    <row r="4" spans="1:49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126</v>
      </c>
      <c r="P4" s="10"/>
      <c r="Q4" s="5" t="s">
        <v>127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128</v>
      </c>
      <c r="AG4" s="5" t="s">
        <v>129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29</v>
      </c>
    </row>
    <row r="5" spans="1:49" x14ac:dyDescent="0.25">
      <c r="C5" t="s">
        <v>77</v>
      </c>
      <c r="D5">
        <v>99999</v>
      </c>
      <c r="G5" t="b">
        <v>0</v>
      </c>
      <c r="H5" t="s">
        <v>362</v>
      </c>
      <c r="M5" t="s">
        <v>332</v>
      </c>
      <c r="N5" t="s">
        <v>78</v>
      </c>
      <c r="R5">
        <v>74.900000000000006</v>
      </c>
      <c r="U5">
        <v>43</v>
      </c>
      <c r="V5">
        <v>0</v>
      </c>
      <c r="W5">
        <v>5</v>
      </c>
      <c r="X5">
        <v>31.900000000000006</v>
      </c>
      <c r="AA5">
        <v>0</v>
      </c>
      <c r="AF5" t="s">
        <v>367</v>
      </c>
      <c r="AG5" t="s">
        <v>367</v>
      </c>
      <c r="AH5" t="s">
        <v>318</v>
      </c>
      <c r="AI5">
        <v>99999</v>
      </c>
      <c r="AJ5">
        <v>99999</v>
      </c>
      <c r="AK5">
        <v>399</v>
      </c>
      <c r="AM5" t="b">
        <v>1</v>
      </c>
      <c r="AN5" t="b">
        <v>0</v>
      </c>
      <c r="AP5" t="s">
        <v>319</v>
      </c>
      <c r="AR5">
        <v>12</v>
      </c>
      <c r="AT5" t="s">
        <v>368</v>
      </c>
      <c r="AW5" t="s">
        <v>98</v>
      </c>
    </row>
    <row r="6" spans="1:49" x14ac:dyDescent="0.25">
      <c r="C6" t="s">
        <v>77</v>
      </c>
      <c r="D6">
        <v>99999</v>
      </c>
      <c r="G6" t="b">
        <v>0</v>
      </c>
      <c r="H6" t="s">
        <v>362</v>
      </c>
      <c r="M6" t="s">
        <v>332</v>
      </c>
      <c r="N6" t="s">
        <v>78</v>
      </c>
      <c r="R6">
        <v>94.9</v>
      </c>
      <c r="U6">
        <v>43</v>
      </c>
      <c r="V6">
        <v>0</v>
      </c>
      <c r="W6">
        <v>5</v>
      </c>
      <c r="X6">
        <v>51.900000000000006</v>
      </c>
      <c r="AA6">
        <v>0</v>
      </c>
      <c r="AF6" t="s">
        <v>372</v>
      </c>
      <c r="AG6" t="s">
        <v>372</v>
      </c>
      <c r="AH6" t="s">
        <v>318</v>
      </c>
      <c r="AI6">
        <v>99999</v>
      </c>
      <c r="AJ6">
        <v>99999</v>
      </c>
      <c r="AK6">
        <v>399</v>
      </c>
      <c r="AM6" t="b">
        <v>1</v>
      </c>
      <c r="AN6" t="b">
        <v>0</v>
      </c>
      <c r="AP6" t="s">
        <v>319</v>
      </c>
      <c r="AR6">
        <v>12</v>
      </c>
      <c r="AT6" t="s">
        <v>368</v>
      </c>
      <c r="AW6" t="s">
        <v>98</v>
      </c>
    </row>
    <row r="7" spans="1:49" x14ac:dyDescent="0.25">
      <c r="C7" t="s">
        <v>77</v>
      </c>
      <c r="D7">
        <v>99999</v>
      </c>
      <c r="G7" t="b">
        <v>0</v>
      </c>
      <c r="H7" t="s">
        <v>362</v>
      </c>
      <c r="M7" t="s">
        <v>332</v>
      </c>
      <c r="N7" t="s">
        <v>78</v>
      </c>
      <c r="R7">
        <v>114.9</v>
      </c>
      <c r="U7">
        <v>43</v>
      </c>
      <c r="V7">
        <v>0</v>
      </c>
      <c r="W7">
        <v>5</v>
      </c>
      <c r="X7">
        <v>71.900000000000006</v>
      </c>
      <c r="AA7">
        <v>0</v>
      </c>
      <c r="AF7" t="s">
        <v>374</v>
      </c>
      <c r="AG7" t="s">
        <v>374</v>
      </c>
      <c r="AH7" t="s">
        <v>318</v>
      </c>
      <c r="AI7">
        <v>99999</v>
      </c>
      <c r="AJ7">
        <v>99999</v>
      </c>
      <c r="AK7">
        <v>399</v>
      </c>
      <c r="AM7" t="b">
        <v>1</v>
      </c>
      <c r="AN7" t="b">
        <v>0</v>
      </c>
      <c r="AP7" t="s">
        <v>319</v>
      </c>
      <c r="AR7">
        <v>12</v>
      </c>
      <c r="AT7" t="s">
        <v>368</v>
      </c>
      <c r="AW7" t="s">
        <v>97</v>
      </c>
    </row>
    <row r="8" spans="1:49" x14ac:dyDescent="0.25">
      <c r="C8" t="s">
        <v>77</v>
      </c>
      <c r="D8">
        <v>99999</v>
      </c>
      <c r="G8" t="b">
        <v>0</v>
      </c>
      <c r="H8" t="s">
        <v>362</v>
      </c>
      <c r="M8" t="s">
        <v>346</v>
      </c>
      <c r="N8" t="s">
        <v>78</v>
      </c>
      <c r="R8">
        <v>64.900000000000006</v>
      </c>
      <c r="U8">
        <v>35</v>
      </c>
      <c r="V8">
        <v>0</v>
      </c>
      <c r="W8">
        <v>5</v>
      </c>
      <c r="X8">
        <v>29.9</v>
      </c>
      <c r="AA8">
        <v>0</v>
      </c>
      <c r="AF8" t="s">
        <v>361</v>
      </c>
      <c r="AG8" t="s">
        <v>361</v>
      </c>
      <c r="AH8" t="s">
        <v>318</v>
      </c>
      <c r="AI8">
        <v>99999</v>
      </c>
      <c r="AJ8">
        <v>99999</v>
      </c>
      <c r="AK8">
        <v>399</v>
      </c>
      <c r="AM8" t="b">
        <v>1</v>
      </c>
      <c r="AN8" t="b">
        <v>0</v>
      </c>
      <c r="AP8" t="s">
        <v>319</v>
      </c>
      <c r="AR8">
        <v>12</v>
      </c>
      <c r="AT8" t="s">
        <v>363</v>
      </c>
      <c r="AW8" t="s">
        <v>97</v>
      </c>
    </row>
    <row r="9" spans="1:49" x14ac:dyDescent="0.25">
      <c r="C9" t="s">
        <v>77</v>
      </c>
      <c r="D9">
        <v>99999</v>
      </c>
      <c r="G9" t="b">
        <v>0</v>
      </c>
      <c r="H9" t="s">
        <v>96</v>
      </c>
      <c r="M9" s="84" t="s">
        <v>332</v>
      </c>
      <c r="N9" t="s">
        <v>78</v>
      </c>
      <c r="R9">
        <v>204.89999999999998</v>
      </c>
      <c r="U9">
        <v>43</v>
      </c>
      <c r="V9">
        <v>0</v>
      </c>
      <c r="W9">
        <v>5</v>
      </c>
      <c r="X9">
        <v>161.89999999999998</v>
      </c>
      <c r="AA9">
        <v>0</v>
      </c>
      <c r="AF9" t="s">
        <v>366</v>
      </c>
      <c r="AG9" t="s">
        <v>366</v>
      </c>
      <c r="AH9" t="s">
        <v>323</v>
      </c>
      <c r="AI9">
        <v>99999</v>
      </c>
      <c r="AJ9">
        <v>99999</v>
      </c>
      <c r="AK9">
        <v>399</v>
      </c>
      <c r="AM9" t="b">
        <v>1</v>
      </c>
      <c r="AN9" t="b">
        <v>0</v>
      </c>
      <c r="AP9" t="s">
        <v>319</v>
      </c>
      <c r="AR9">
        <v>12</v>
      </c>
      <c r="AT9" t="s">
        <v>339</v>
      </c>
      <c r="AW9" t="s">
        <v>92</v>
      </c>
    </row>
    <row r="10" spans="1:49" x14ac:dyDescent="0.25">
      <c r="C10" t="s">
        <v>77</v>
      </c>
      <c r="D10">
        <v>99999</v>
      </c>
      <c r="G10" t="b">
        <v>0</v>
      </c>
      <c r="H10" t="s">
        <v>96</v>
      </c>
      <c r="M10" t="s">
        <v>332</v>
      </c>
      <c r="N10" t="s">
        <v>78</v>
      </c>
      <c r="R10">
        <v>224.89999999999998</v>
      </c>
      <c r="U10">
        <v>43</v>
      </c>
      <c r="V10">
        <v>0</v>
      </c>
      <c r="W10">
        <v>5</v>
      </c>
      <c r="X10">
        <v>181.89999999999998</v>
      </c>
      <c r="AA10">
        <v>0</v>
      </c>
      <c r="AF10" t="s">
        <v>371</v>
      </c>
      <c r="AG10" t="s">
        <v>371</v>
      </c>
      <c r="AH10" t="s">
        <v>323</v>
      </c>
      <c r="AI10">
        <v>99999</v>
      </c>
      <c r="AJ10">
        <v>99999</v>
      </c>
      <c r="AK10">
        <v>399</v>
      </c>
      <c r="AM10" t="b">
        <v>1</v>
      </c>
      <c r="AN10" t="b">
        <v>0</v>
      </c>
      <c r="AP10" t="s">
        <v>319</v>
      </c>
      <c r="AR10">
        <v>12</v>
      </c>
      <c r="AT10" t="s">
        <v>339</v>
      </c>
      <c r="AW10" t="s">
        <v>92</v>
      </c>
    </row>
    <row r="11" spans="1:49" x14ac:dyDescent="0.25">
      <c r="C11" t="s">
        <v>77</v>
      </c>
      <c r="D11">
        <v>99999</v>
      </c>
      <c r="G11" t="b">
        <v>0</v>
      </c>
      <c r="H11" t="s">
        <v>96</v>
      </c>
      <c r="M11" t="s">
        <v>332</v>
      </c>
      <c r="N11" t="s">
        <v>78</v>
      </c>
      <c r="R11">
        <v>244.89999999999998</v>
      </c>
      <c r="U11">
        <v>43</v>
      </c>
      <c r="V11">
        <v>0</v>
      </c>
      <c r="W11">
        <v>5</v>
      </c>
      <c r="X11">
        <v>201.89999999999998</v>
      </c>
      <c r="AA11">
        <v>0</v>
      </c>
      <c r="AF11" t="s">
        <v>373</v>
      </c>
      <c r="AG11" t="s">
        <v>373</v>
      </c>
      <c r="AH11" t="s">
        <v>323</v>
      </c>
      <c r="AI11">
        <v>99999</v>
      </c>
      <c r="AJ11">
        <v>99999</v>
      </c>
      <c r="AK11">
        <v>399</v>
      </c>
      <c r="AM11" t="b">
        <v>1</v>
      </c>
      <c r="AN11" t="b">
        <v>0</v>
      </c>
      <c r="AP11" t="s">
        <v>319</v>
      </c>
      <c r="AR11">
        <v>12</v>
      </c>
      <c r="AT11" t="s">
        <v>339</v>
      </c>
      <c r="AW11" t="s">
        <v>91</v>
      </c>
    </row>
    <row r="12" spans="1:49" x14ac:dyDescent="0.25">
      <c r="C12" t="s">
        <v>77</v>
      </c>
      <c r="D12">
        <v>99999</v>
      </c>
      <c r="G12" t="b">
        <v>0</v>
      </c>
      <c r="H12" t="s">
        <v>96</v>
      </c>
      <c r="M12" s="84" t="s">
        <v>346</v>
      </c>
      <c r="N12" t="s">
        <v>78</v>
      </c>
      <c r="R12">
        <v>179.79999999999998</v>
      </c>
      <c r="U12">
        <v>35</v>
      </c>
      <c r="V12">
        <v>0</v>
      </c>
      <c r="W12">
        <v>5</v>
      </c>
      <c r="X12">
        <v>144.79999999999998</v>
      </c>
      <c r="AA12">
        <v>0</v>
      </c>
      <c r="AF12" t="s">
        <v>352</v>
      </c>
      <c r="AG12" t="s">
        <v>352</v>
      </c>
      <c r="AH12" t="s">
        <v>323</v>
      </c>
      <c r="AI12">
        <v>99999</v>
      </c>
      <c r="AJ12">
        <v>99999</v>
      </c>
      <c r="AK12">
        <v>399</v>
      </c>
      <c r="AM12" t="b">
        <v>1</v>
      </c>
      <c r="AN12" t="b">
        <v>0</v>
      </c>
      <c r="AP12" t="s">
        <v>319</v>
      </c>
      <c r="AR12">
        <v>12</v>
      </c>
      <c r="AT12" t="s">
        <v>355</v>
      </c>
      <c r="AW12" t="s">
        <v>91</v>
      </c>
    </row>
    <row r="13" spans="1:49" x14ac:dyDescent="0.25">
      <c r="C13" t="s">
        <v>77</v>
      </c>
      <c r="D13">
        <v>99999</v>
      </c>
      <c r="G13" t="b">
        <v>0</v>
      </c>
      <c r="H13" t="s">
        <v>90</v>
      </c>
      <c r="M13" s="84" t="s">
        <v>332</v>
      </c>
      <c r="N13" t="s">
        <v>78</v>
      </c>
      <c r="R13">
        <v>159.9</v>
      </c>
      <c r="U13">
        <v>43</v>
      </c>
      <c r="V13">
        <v>0</v>
      </c>
      <c r="W13">
        <v>5</v>
      </c>
      <c r="X13">
        <v>116.9</v>
      </c>
      <c r="AA13">
        <v>0</v>
      </c>
      <c r="AF13" t="s">
        <v>366</v>
      </c>
      <c r="AG13" t="s">
        <v>366</v>
      </c>
      <c r="AH13" t="s">
        <v>323</v>
      </c>
      <c r="AI13">
        <v>99999</v>
      </c>
      <c r="AJ13">
        <v>99999</v>
      </c>
      <c r="AK13">
        <v>399</v>
      </c>
      <c r="AM13" t="b">
        <v>1</v>
      </c>
      <c r="AN13" t="b">
        <v>0</v>
      </c>
      <c r="AP13" t="s">
        <v>319</v>
      </c>
      <c r="AR13">
        <v>12</v>
      </c>
      <c r="AT13" t="s">
        <v>337</v>
      </c>
      <c r="AW13" t="s">
        <v>84</v>
      </c>
    </row>
    <row r="14" spans="1:49" x14ac:dyDescent="0.25">
      <c r="C14" t="s">
        <v>77</v>
      </c>
      <c r="D14">
        <v>99999</v>
      </c>
      <c r="G14" t="b">
        <v>0</v>
      </c>
      <c r="H14" t="s">
        <v>90</v>
      </c>
      <c r="M14" t="s">
        <v>332</v>
      </c>
      <c r="N14" t="s">
        <v>78</v>
      </c>
      <c r="R14">
        <v>179.9</v>
      </c>
      <c r="U14">
        <v>43</v>
      </c>
      <c r="V14">
        <v>0</v>
      </c>
      <c r="W14">
        <v>5</v>
      </c>
      <c r="X14">
        <v>136.9</v>
      </c>
      <c r="AA14">
        <v>0</v>
      </c>
      <c r="AF14" t="s">
        <v>371</v>
      </c>
      <c r="AG14" t="s">
        <v>371</v>
      </c>
      <c r="AH14" t="s">
        <v>323</v>
      </c>
      <c r="AI14">
        <v>99999</v>
      </c>
      <c r="AJ14">
        <v>99999</v>
      </c>
      <c r="AK14">
        <v>399</v>
      </c>
      <c r="AM14" t="b">
        <v>1</v>
      </c>
      <c r="AN14" t="b">
        <v>0</v>
      </c>
      <c r="AP14" t="s">
        <v>319</v>
      </c>
      <c r="AR14">
        <v>12</v>
      </c>
      <c r="AT14" t="s">
        <v>337</v>
      </c>
      <c r="AW14" t="s">
        <v>84</v>
      </c>
    </row>
    <row r="15" spans="1:49" x14ac:dyDescent="0.25">
      <c r="C15" t="s">
        <v>77</v>
      </c>
      <c r="D15">
        <v>99999</v>
      </c>
      <c r="G15" t="b">
        <v>0</v>
      </c>
      <c r="H15" t="s">
        <v>90</v>
      </c>
      <c r="M15" t="s">
        <v>332</v>
      </c>
      <c r="N15" t="s">
        <v>78</v>
      </c>
      <c r="R15">
        <v>199.9</v>
      </c>
      <c r="U15">
        <v>43</v>
      </c>
      <c r="V15">
        <v>0</v>
      </c>
      <c r="W15">
        <v>5</v>
      </c>
      <c r="X15">
        <v>156.9</v>
      </c>
      <c r="AA15">
        <v>0</v>
      </c>
      <c r="AF15" t="s">
        <v>373</v>
      </c>
      <c r="AG15" t="s">
        <v>373</v>
      </c>
      <c r="AH15" t="s">
        <v>323</v>
      </c>
      <c r="AI15">
        <v>99999</v>
      </c>
      <c r="AJ15">
        <v>99999</v>
      </c>
      <c r="AK15">
        <v>399</v>
      </c>
      <c r="AM15" t="b">
        <v>1</v>
      </c>
      <c r="AN15" t="b">
        <v>0</v>
      </c>
      <c r="AP15" t="s">
        <v>319</v>
      </c>
      <c r="AR15">
        <v>12</v>
      </c>
      <c r="AT15" t="s">
        <v>337</v>
      </c>
      <c r="AW15" t="s">
        <v>83</v>
      </c>
    </row>
    <row r="16" spans="1:49" x14ac:dyDescent="0.25">
      <c r="C16" t="s">
        <v>77</v>
      </c>
      <c r="D16">
        <v>99999</v>
      </c>
      <c r="G16" t="b">
        <v>0</v>
      </c>
      <c r="H16" t="s">
        <v>90</v>
      </c>
      <c r="M16" s="84" t="s">
        <v>346</v>
      </c>
      <c r="N16" t="s">
        <v>78</v>
      </c>
      <c r="R16">
        <v>134.80000000000001</v>
      </c>
      <c r="U16">
        <v>35</v>
      </c>
      <c r="V16">
        <v>0</v>
      </c>
      <c r="W16">
        <v>5</v>
      </c>
      <c r="X16">
        <v>99.800000000000011</v>
      </c>
      <c r="AA16">
        <v>0</v>
      </c>
      <c r="AF16" t="s">
        <v>352</v>
      </c>
      <c r="AG16" t="s">
        <v>352</v>
      </c>
      <c r="AH16" t="s">
        <v>323</v>
      </c>
      <c r="AI16">
        <v>99999</v>
      </c>
      <c r="AJ16">
        <v>99999</v>
      </c>
      <c r="AK16">
        <v>399</v>
      </c>
      <c r="AM16" t="b">
        <v>1</v>
      </c>
      <c r="AN16" t="b">
        <v>0</v>
      </c>
      <c r="AP16" t="s">
        <v>319</v>
      </c>
      <c r="AR16">
        <v>12</v>
      </c>
      <c r="AT16" t="s">
        <v>353</v>
      </c>
      <c r="AW16" t="s">
        <v>83</v>
      </c>
    </row>
    <row r="17" spans="3:49" x14ac:dyDescent="0.25">
      <c r="C17" t="s">
        <v>77</v>
      </c>
      <c r="D17">
        <v>99999</v>
      </c>
      <c r="G17" t="b">
        <v>0</v>
      </c>
      <c r="H17" t="s">
        <v>82</v>
      </c>
      <c r="M17" t="s">
        <v>332</v>
      </c>
      <c r="N17" t="s">
        <v>78</v>
      </c>
      <c r="R17">
        <v>124.9</v>
      </c>
      <c r="U17">
        <v>43</v>
      </c>
      <c r="V17">
        <v>0</v>
      </c>
      <c r="W17">
        <v>5</v>
      </c>
      <c r="X17">
        <v>81.900000000000006</v>
      </c>
      <c r="AA17">
        <v>0</v>
      </c>
      <c r="AF17" t="s">
        <v>365</v>
      </c>
      <c r="AG17" t="s">
        <v>365</v>
      </c>
      <c r="AH17" t="s">
        <v>321</v>
      </c>
      <c r="AI17">
        <v>99999</v>
      </c>
      <c r="AJ17">
        <v>99999</v>
      </c>
      <c r="AK17">
        <v>399</v>
      </c>
      <c r="AM17" t="b">
        <v>1</v>
      </c>
      <c r="AN17" t="b">
        <v>0</v>
      </c>
      <c r="AP17" t="s">
        <v>319</v>
      </c>
      <c r="AR17">
        <v>12</v>
      </c>
      <c r="AT17" t="s">
        <v>334</v>
      </c>
      <c r="AW17" t="s">
        <v>95</v>
      </c>
    </row>
    <row r="18" spans="3:49" x14ac:dyDescent="0.25">
      <c r="C18" t="s">
        <v>77</v>
      </c>
      <c r="D18">
        <v>99999</v>
      </c>
      <c r="G18" t="b">
        <v>0</v>
      </c>
      <c r="H18" t="s">
        <v>82</v>
      </c>
      <c r="M18" t="s">
        <v>332</v>
      </c>
      <c r="N18" t="s">
        <v>78</v>
      </c>
      <c r="R18">
        <v>144.9</v>
      </c>
      <c r="U18">
        <v>43</v>
      </c>
      <c r="V18">
        <v>0</v>
      </c>
      <c r="W18">
        <v>5</v>
      </c>
      <c r="X18">
        <v>101.9</v>
      </c>
      <c r="AA18">
        <v>0</v>
      </c>
      <c r="AF18" t="s">
        <v>370</v>
      </c>
      <c r="AG18" t="s">
        <v>370</v>
      </c>
      <c r="AH18" t="s">
        <v>321</v>
      </c>
      <c r="AI18">
        <v>99999</v>
      </c>
      <c r="AJ18">
        <v>99999</v>
      </c>
      <c r="AK18">
        <v>399</v>
      </c>
      <c r="AM18" t="b">
        <v>1</v>
      </c>
      <c r="AN18" t="b">
        <v>0</v>
      </c>
      <c r="AP18" t="s">
        <v>319</v>
      </c>
      <c r="AR18">
        <v>12</v>
      </c>
      <c r="AT18" t="s">
        <v>334</v>
      </c>
      <c r="AW18" t="s">
        <v>95</v>
      </c>
    </row>
    <row r="19" spans="3:49" x14ac:dyDescent="0.25">
      <c r="C19" t="s">
        <v>77</v>
      </c>
      <c r="D19">
        <v>99999</v>
      </c>
      <c r="G19" t="b">
        <v>0</v>
      </c>
      <c r="H19" t="s">
        <v>82</v>
      </c>
      <c r="M19" t="s">
        <v>332</v>
      </c>
      <c r="N19" t="s">
        <v>78</v>
      </c>
      <c r="R19">
        <v>164.9</v>
      </c>
      <c r="U19">
        <v>45</v>
      </c>
      <c r="V19">
        <v>0</v>
      </c>
      <c r="W19">
        <v>5</v>
      </c>
      <c r="X19">
        <v>119.9</v>
      </c>
      <c r="AA19">
        <v>0</v>
      </c>
      <c r="AF19" t="s">
        <v>376</v>
      </c>
      <c r="AG19" t="s">
        <v>376</v>
      </c>
      <c r="AH19" t="s">
        <v>321</v>
      </c>
      <c r="AI19">
        <v>99999</v>
      </c>
      <c r="AJ19">
        <v>99999</v>
      </c>
      <c r="AK19">
        <v>399</v>
      </c>
      <c r="AM19" t="b">
        <v>1</v>
      </c>
      <c r="AN19" t="b">
        <v>0</v>
      </c>
      <c r="AP19" t="s">
        <v>319</v>
      </c>
      <c r="AR19">
        <v>12</v>
      </c>
      <c r="AT19" t="s">
        <v>334</v>
      </c>
      <c r="AW19" t="s">
        <v>94</v>
      </c>
    </row>
    <row r="20" spans="3:49" x14ac:dyDescent="0.25">
      <c r="C20" t="s">
        <v>77</v>
      </c>
      <c r="D20">
        <v>99999</v>
      </c>
      <c r="G20" t="b">
        <v>0</v>
      </c>
      <c r="H20" t="s">
        <v>82</v>
      </c>
      <c r="M20" t="s">
        <v>346</v>
      </c>
      <c r="N20" t="s">
        <v>78</v>
      </c>
      <c r="R20">
        <v>99.800000000000011</v>
      </c>
      <c r="U20">
        <v>35</v>
      </c>
      <c r="V20">
        <v>0</v>
      </c>
      <c r="W20">
        <v>5</v>
      </c>
      <c r="X20">
        <v>64.800000000000011</v>
      </c>
      <c r="AA20">
        <v>0</v>
      </c>
      <c r="AF20" t="s">
        <v>349</v>
      </c>
      <c r="AG20" t="s">
        <v>349</v>
      </c>
      <c r="AH20" t="s">
        <v>321</v>
      </c>
      <c r="AI20">
        <v>99999</v>
      </c>
      <c r="AJ20">
        <v>99999</v>
      </c>
      <c r="AK20">
        <v>399</v>
      </c>
      <c r="AM20" t="b">
        <v>1</v>
      </c>
      <c r="AN20" t="b">
        <v>0</v>
      </c>
      <c r="AP20" t="s">
        <v>319</v>
      </c>
      <c r="AR20">
        <v>12</v>
      </c>
      <c r="AT20" t="s">
        <v>350</v>
      </c>
      <c r="AW20" t="s">
        <v>94</v>
      </c>
    </row>
    <row r="21" spans="3:49" x14ac:dyDescent="0.25">
      <c r="C21" t="s">
        <v>77</v>
      </c>
      <c r="D21">
        <v>99999</v>
      </c>
      <c r="G21" t="b">
        <v>0</v>
      </c>
      <c r="H21" t="s">
        <v>93</v>
      </c>
      <c r="M21" t="s">
        <v>332</v>
      </c>
      <c r="N21" t="s">
        <v>78</v>
      </c>
      <c r="R21">
        <v>169.9</v>
      </c>
      <c r="U21">
        <v>43</v>
      </c>
      <c r="V21">
        <v>0</v>
      </c>
      <c r="W21">
        <v>5</v>
      </c>
      <c r="X21">
        <v>126.9</v>
      </c>
      <c r="AA21">
        <v>0</v>
      </c>
      <c r="AF21" t="s">
        <v>366</v>
      </c>
      <c r="AG21" t="s">
        <v>366</v>
      </c>
      <c r="AH21" t="s">
        <v>323</v>
      </c>
      <c r="AI21">
        <v>99999</v>
      </c>
      <c r="AJ21">
        <v>99999</v>
      </c>
      <c r="AK21">
        <v>399</v>
      </c>
      <c r="AM21" t="b">
        <v>1</v>
      </c>
      <c r="AN21" t="b">
        <v>0</v>
      </c>
      <c r="AP21" t="s">
        <v>319</v>
      </c>
      <c r="AR21">
        <v>12</v>
      </c>
      <c r="AT21" t="s">
        <v>338</v>
      </c>
      <c r="AW21" t="s">
        <v>81</v>
      </c>
    </row>
    <row r="22" spans="3:49" x14ac:dyDescent="0.25">
      <c r="C22" t="s">
        <v>77</v>
      </c>
      <c r="D22">
        <v>99999</v>
      </c>
      <c r="G22" t="b">
        <v>0</v>
      </c>
      <c r="H22" t="s">
        <v>93</v>
      </c>
      <c r="M22" t="s">
        <v>332</v>
      </c>
      <c r="N22" t="s">
        <v>78</v>
      </c>
      <c r="R22">
        <v>189.9</v>
      </c>
      <c r="U22">
        <v>43</v>
      </c>
      <c r="V22">
        <v>0</v>
      </c>
      <c r="W22">
        <v>5</v>
      </c>
      <c r="X22">
        <v>146.9</v>
      </c>
      <c r="AA22">
        <v>0</v>
      </c>
      <c r="AF22" t="s">
        <v>371</v>
      </c>
      <c r="AG22" t="s">
        <v>371</v>
      </c>
      <c r="AH22" t="s">
        <v>323</v>
      </c>
      <c r="AI22">
        <v>99999</v>
      </c>
      <c r="AJ22">
        <v>99999</v>
      </c>
      <c r="AK22">
        <v>399</v>
      </c>
      <c r="AM22" t="b">
        <v>1</v>
      </c>
      <c r="AN22" t="b">
        <v>0</v>
      </c>
      <c r="AP22" t="s">
        <v>319</v>
      </c>
      <c r="AR22">
        <v>12</v>
      </c>
      <c r="AT22" t="s">
        <v>338</v>
      </c>
      <c r="AW22" t="s">
        <v>81</v>
      </c>
    </row>
    <row r="23" spans="3:49" x14ac:dyDescent="0.25">
      <c r="C23" t="s">
        <v>77</v>
      </c>
      <c r="D23">
        <v>99999</v>
      </c>
      <c r="G23" t="b">
        <v>0</v>
      </c>
      <c r="H23" t="s">
        <v>93</v>
      </c>
      <c r="M23" t="s">
        <v>332</v>
      </c>
      <c r="N23" t="s">
        <v>78</v>
      </c>
      <c r="R23">
        <v>209.9</v>
      </c>
      <c r="U23">
        <v>43</v>
      </c>
      <c r="V23">
        <v>0</v>
      </c>
      <c r="W23">
        <v>5</v>
      </c>
      <c r="X23">
        <v>166.9</v>
      </c>
      <c r="AA23">
        <v>0</v>
      </c>
      <c r="AF23" t="s">
        <v>373</v>
      </c>
      <c r="AG23" t="s">
        <v>373</v>
      </c>
      <c r="AH23" t="s">
        <v>323</v>
      </c>
      <c r="AI23">
        <v>99999</v>
      </c>
      <c r="AJ23">
        <v>99999</v>
      </c>
      <c r="AK23">
        <v>399</v>
      </c>
      <c r="AM23" t="b">
        <v>1</v>
      </c>
      <c r="AN23" t="b">
        <v>0</v>
      </c>
      <c r="AP23" t="s">
        <v>319</v>
      </c>
      <c r="AR23">
        <v>12</v>
      </c>
      <c r="AT23" t="s">
        <v>338</v>
      </c>
      <c r="AW23" t="s">
        <v>80</v>
      </c>
    </row>
    <row r="24" spans="3:49" x14ac:dyDescent="0.25">
      <c r="C24" t="s">
        <v>77</v>
      </c>
      <c r="D24">
        <v>99999</v>
      </c>
      <c r="G24" t="b">
        <v>0</v>
      </c>
      <c r="H24" t="s">
        <v>93</v>
      </c>
      <c r="M24" t="s">
        <v>346</v>
      </c>
      <c r="N24" t="s">
        <v>78</v>
      </c>
      <c r="R24">
        <v>144.80000000000001</v>
      </c>
      <c r="U24">
        <v>35</v>
      </c>
      <c r="V24">
        <v>0</v>
      </c>
      <c r="W24">
        <v>5</v>
      </c>
      <c r="X24">
        <v>109.80000000000001</v>
      </c>
      <c r="AA24">
        <v>0</v>
      </c>
      <c r="AF24" t="s">
        <v>352</v>
      </c>
      <c r="AG24" t="s">
        <v>352</v>
      </c>
      <c r="AH24" t="s">
        <v>323</v>
      </c>
      <c r="AI24">
        <v>99999</v>
      </c>
      <c r="AJ24">
        <v>99999</v>
      </c>
      <c r="AK24">
        <v>399</v>
      </c>
      <c r="AM24" t="b">
        <v>1</v>
      </c>
      <c r="AN24" t="b">
        <v>0</v>
      </c>
      <c r="AP24" t="s">
        <v>319</v>
      </c>
      <c r="AR24">
        <v>12</v>
      </c>
      <c r="AT24" t="s">
        <v>354</v>
      </c>
      <c r="AW24" t="s">
        <v>80</v>
      </c>
    </row>
    <row r="25" spans="3:49" x14ac:dyDescent="0.25">
      <c r="C25" t="s">
        <v>77</v>
      </c>
      <c r="D25">
        <v>99999</v>
      </c>
      <c r="G25" t="b">
        <v>0</v>
      </c>
      <c r="H25" t="s">
        <v>79</v>
      </c>
      <c r="M25" s="84" t="s">
        <v>332</v>
      </c>
      <c r="N25" t="s">
        <v>78</v>
      </c>
      <c r="R25">
        <v>114.9</v>
      </c>
      <c r="U25">
        <v>43</v>
      </c>
      <c r="V25">
        <v>0</v>
      </c>
      <c r="W25">
        <v>5</v>
      </c>
      <c r="X25">
        <v>71.900000000000006</v>
      </c>
      <c r="AA25">
        <v>0</v>
      </c>
      <c r="AF25" t="s">
        <v>364</v>
      </c>
      <c r="AG25" t="s">
        <v>364</v>
      </c>
      <c r="AH25" t="s">
        <v>318</v>
      </c>
      <c r="AI25">
        <v>99999</v>
      </c>
      <c r="AJ25">
        <v>99999</v>
      </c>
      <c r="AK25">
        <v>399</v>
      </c>
      <c r="AM25" t="b">
        <v>1</v>
      </c>
      <c r="AN25" t="b">
        <v>0</v>
      </c>
      <c r="AP25" t="s">
        <v>319</v>
      </c>
      <c r="AR25">
        <v>12</v>
      </c>
      <c r="AT25" t="s">
        <v>333</v>
      </c>
      <c r="AW25" t="s">
        <v>107</v>
      </c>
    </row>
    <row r="26" spans="3:49" x14ac:dyDescent="0.25">
      <c r="C26" t="s">
        <v>77</v>
      </c>
      <c r="D26">
        <v>99999</v>
      </c>
      <c r="G26" t="b">
        <v>0</v>
      </c>
      <c r="H26" t="s">
        <v>79</v>
      </c>
      <c r="M26" t="s">
        <v>332</v>
      </c>
      <c r="N26" t="s">
        <v>78</v>
      </c>
      <c r="R26">
        <v>134.9</v>
      </c>
      <c r="U26">
        <v>43</v>
      </c>
      <c r="V26">
        <v>0</v>
      </c>
      <c r="W26">
        <v>5</v>
      </c>
      <c r="X26">
        <v>91.9</v>
      </c>
      <c r="AA26">
        <v>0</v>
      </c>
      <c r="AF26" t="s">
        <v>369</v>
      </c>
      <c r="AG26" t="s">
        <v>369</v>
      </c>
      <c r="AH26" t="s">
        <v>318</v>
      </c>
      <c r="AI26">
        <v>99999</v>
      </c>
      <c r="AJ26">
        <v>99999</v>
      </c>
      <c r="AK26">
        <v>399</v>
      </c>
      <c r="AM26" t="b">
        <v>1</v>
      </c>
      <c r="AN26" t="b">
        <v>0</v>
      </c>
      <c r="AP26" t="s">
        <v>319</v>
      </c>
      <c r="AR26">
        <v>12</v>
      </c>
      <c r="AT26" t="s">
        <v>333</v>
      </c>
      <c r="AW26" t="s">
        <v>107</v>
      </c>
    </row>
    <row r="27" spans="3:49" x14ac:dyDescent="0.25">
      <c r="C27" t="s">
        <v>77</v>
      </c>
      <c r="D27">
        <v>99999</v>
      </c>
      <c r="G27" t="b">
        <v>0</v>
      </c>
      <c r="H27" t="s">
        <v>79</v>
      </c>
      <c r="M27" t="s">
        <v>332</v>
      </c>
      <c r="N27" t="s">
        <v>78</v>
      </c>
      <c r="R27">
        <v>154.9</v>
      </c>
      <c r="U27">
        <v>55.9</v>
      </c>
      <c r="V27">
        <v>0</v>
      </c>
      <c r="W27">
        <v>5</v>
      </c>
      <c r="X27">
        <v>99</v>
      </c>
      <c r="AA27">
        <v>0</v>
      </c>
      <c r="AF27" t="s">
        <v>375</v>
      </c>
      <c r="AG27" t="s">
        <v>375</v>
      </c>
      <c r="AH27" t="s">
        <v>318</v>
      </c>
      <c r="AI27">
        <v>99999</v>
      </c>
      <c r="AJ27">
        <v>99999</v>
      </c>
      <c r="AK27">
        <v>399</v>
      </c>
      <c r="AM27" t="b">
        <v>1</v>
      </c>
      <c r="AN27" t="b">
        <v>0</v>
      </c>
      <c r="AP27" t="s">
        <v>319</v>
      </c>
      <c r="AR27">
        <v>12</v>
      </c>
      <c r="AT27" t="s">
        <v>333</v>
      </c>
      <c r="AW27" t="s">
        <v>106</v>
      </c>
    </row>
    <row r="28" spans="3:49" x14ac:dyDescent="0.25">
      <c r="C28" t="s">
        <v>77</v>
      </c>
      <c r="D28">
        <v>99999</v>
      </c>
      <c r="G28" t="b">
        <v>0</v>
      </c>
      <c r="H28" t="s">
        <v>79</v>
      </c>
      <c r="M28" s="84" t="s">
        <v>346</v>
      </c>
      <c r="N28" t="s">
        <v>78</v>
      </c>
      <c r="R28">
        <v>89.800000000000011</v>
      </c>
      <c r="U28">
        <v>35</v>
      </c>
      <c r="V28">
        <v>0</v>
      </c>
      <c r="W28">
        <v>5</v>
      </c>
      <c r="X28">
        <v>54.800000000000011</v>
      </c>
      <c r="AA28">
        <v>0</v>
      </c>
      <c r="AF28" t="s">
        <v>347</v>
      </c>
      <c r="AG28" t="s">
        <v>347</v>
      </c>
      <c r="AH28" t="s">
        <v>318</v>
      </c>
      <c r="AI28">
        <v>99999</v>
      </c>
      <c r="AJ28">
        <v>99999</v>
      </c>
      <c r="AK28">
        <v>399</v>
      </c>
      <c r="AM28" t="b">
        <v>1</v>
      </c>
      <c r="AN28" t="b">
        <v>0</v>
      </c>
      <c r="AP28" t="s">
        <v>319</v>
      </c>
      <c r="AR28">
        <v>12</v>
      </c>
      <c r="AT28" t="s">
        <v>348</v>
      </c>
      <c r="AW28" t="s">
        <v>106</v>
      </c>
    </row>
    <row r="29" spans="3:49" x14ac:dyDescent="0.25">
      <c r="C29" t="s">
        <v>77</v>
      </c>
      <c r="D29">
        <v>99999</v>
      </c>
      <c r="G29" t="b">
        <v>0</v>
      </c>
      <c r="H29" t="s">
        <v>105</v>
      </c>
      <c r="M29" t="s">
        <v>332</v>
      </c>
      <c r="N29" t="s">
        <v>78</v>
      </c>
      <c r="R29">
        <v>224.9</v>
      </c>
      <c r="U29">
        <v>43</v>
      </c>
      <c r="V29">
        <v>0</v>
      </c>
      <c r="W29">
        <v>5</v>
      </c>
      <c r="X29">
        <v>181.9</v>
      </c>
      <c r="AA29">
        <v>0</v>
      </c>
      <c r="AF29" t="s">
        <v>366</v>
      </c>
      <c r="AG29" t="s">
        <v>366</v>
      </c>
      <c r="AH29" t="s">
        <v>323</v>
      </c>
      <c r="AI29">
        <v>99999</v>
      </c>
      <c r="AJ29">
        <v>99999</v>
      </c>
      <c r="AK29">
        <v>399</v>
      </c>
      <c r="AM29" t="b">
        <v>1</v>
      </c>
      <c r="AN29" t="b">
        <v>0</v>
      </c>
      <c r="AP29" t="s">
        <v>319</v>
      </c>
      <c r="AR29">
        <v>12</v>
      </c>
      <c r="AT29" t="s">
        <v>342</v>
      </c>
      <c r="AW29" t="s">
        <v>101</v>
      </c>
    </row>
    <row r="30" spans="3:49" x14ac:dyDescent="0.25">
      <c r="C30" t="s">
        <v>77</v>
      </c>
      <c r="D30">
        <v>99999</v>
      </c>
      <c r="G30" t="b">
        <v>0</v>
      </c>
      <c r="H30" t="s">
        <v>105</v>
      </c>
      <c r="M30" t="s">
        <v>332</v>
      </c>
      <c r="N30" t="s">
        <v>78</v>
      </c>
      <c r="R30">
        <v>244.9</v>
      </c>
      <c r="U30">
        <v>43</v>
      </c>
      <c r="V30">
        <v>0</v>
      </c>
      <c r="W30">
        <v>5</v>
      </c>
      <c r="X30">
        <v>201.9</v>
      </c>
      <c r="AA30">
        <v>0</v>
      </c>
      <c r="AF30" t="s">
        <v>371</v>
      </c>
      <c r="AG30" t="s">
        <v>371</v>
      </c>
      <c r="AH30" t="s">
        <v>323</v>
      </c>
      <c r="AI30">
        <v>99999</v>
      </c>
      <c r="AJ30">
        <v>99999</v>
      </c>
      <c r="AK30">
        <v>399</v>
      </c>
      <c r="AM30" t="b">
        <v>1</v>
      </c>
      <c r="AN30" t="b">
        <v>0</v>
      </c>
      <c r="AP30" t="s">
        <v>319</v>
      </c>
      <c r="AR30">
        <v>12</v>
      </c>
      <c r="AT30" t="s">
        <v>342</v>
      </c>
      <c r="AW30" t="s">
        <v>101</v>
      </c>
    </row>
    <row r="31" spans="3:49" x14ac:dyDescent="0.25">
      <c r="C31" t="s">
        <v>77</v>
      </c>
      <c r="D31">
        <v>99999</v>
      </c>
      <c r="G31" t="b">
        <v>0</v>
      </c>
      <c r="H31" t="s">
        <v>105</v>
      </c>
      <c r="M31" t="s">
        <v>332</v>
      </c>
      <c r="N31" t="s">
        <v>78</v>
      </c>
      <c r="R31">
        <v>264.89999999999998</v>
      </c>
      <c r="U31">
        <v>43</v>
      </c>
      <c r="V31">
        <v>0</v>
      </c>
      <c r="W31">
        <v>5</v>
      </c>
      <c r="X31">
        <v>221.9</v>
      </c>
      <c r="AA31">
        <v>0</v>
      </c>
      <c r="AF31" t="s">
        <v>373</v>
      </c>
      <c r="AG31" t="s">
        <v>373</v>
      </c>
      <c r="AH31" t="s">
        <v>323</v>
      </c>
      <c r="AI31">
        <v>99999</v>
      </c>
      <c r="AJ31">
        <v>99999</v>
      </c>
      <c r="AK31">
        <v>399</v>
      </c>
      <c r="AM31" t="b">
        <v>1</v>
      </c>
      <c r="AN31" t="b">
        <v>0</v>
      </c>
      <c r="AP31" t="s">
        <v>319</v>
      </c>
      <c r="AR31">
        <v>12</v>
      </c>
      <c r="AT31" t="s">
        <v>342</v>
      </c>
      <c r="AW31" t="s">
        <v>100</v>
      </c>
    </row>
    <row r="32" spans="3:49" x14ac:dyDescent="0.25">
      <c r="C32" t="s">
        <v>77</v>
      </c>
      <c r="D32">
        <v>99999</v>
      </c>
      <c r="G32" t="b">
        <v>0</v>
      </c>
      <c r="H32" t="s">
        <v>105</v>
      </c>
      <c r="M32" t="s">
        <v>346</v>
      </c>
      <c r="N32" t="s">
        <v>78</v>
      </c>
      <c r="R32">
        <v>199.8</v>
      </c>
      <c r="U32">
        <v>35</v>
      </c>
      <c r="V32">
        <v>0</v>
      </c>
      <c r="W32">
        <v>5</v>
      </c>
      <c r="X32">
        <v>164.8</v>
      </c>
      <c r="AA32">
        <v>0</v>
      </c>
      <c r="AF32" t="s">
        <v>352</v>
      </c>
      <c r="AG32" t="s">
        <v>352</v>
      </c>
      <c r="AH32" t="s">
        <v>323</v>
      </c>
      <c r="AI32">
        <v>99999</v>
      </c>
      <c r="AJ32">
        <v>99999</v>
      </c>
      <c r="AK32">
        <v>399</v>
      </c>
      <c r="AM32" t="b">
        <v>1</v>
      </c>
      <c r="AN32" t="b">
        <v>0</v>
      </c>
      <c r="AP32" t="s">
        <v>319</v>
      </c>
      <c r="AR32">
        <v>12</v>
      </c>
      <c r="AT32" t="s">
        <v>358</v>
      </c>
      <c r="AW32" t="s">
        <v>100</v>
      </c>
    </row>
    <row r="33" spans="3:49" x14ac:dyDescent="0.25">
      <c r="C33" t="s">
        <v>77</v>
      </c>
      <c r="D33">
        <v>99999</v>
      </c>
      <c r="G33" t="b">
        <v>0</v>
      </c>
      <c r="H33" t="s">
        <v>99</v>
      </c>
      <c r="M33" t="s">
        <v>332</v>
      </c>
      <c r="N33" t="s">
        <v>78</v>
      </c>
      <c r="R33">
        <v>179.9</v>
      </c>
      <c r="U33">
        <v>43</v>
      </c>
      <c r="V33">
        <v>0</v>
      </c>
      <c r="W33">
        <v>5</v>
      </c>
      <c r="X33">
        <v>136.9</v>
      </c>
      <c r="AA33">
        <v>0</v>
      </c>
      <c r="AF33" t="s">
        <v>366</v>
      </c>
      <c r="AG33" t="s">
        <v>366</v>
      </c>
      <c r="AH33" t="s">
        <v>323</v>
      </c>
      <c r="AI33">
        <v>99999</v>
      </c>
      <c r="AJ33">
        <v>99999</v>
      </c>
      <c r="AK33">
        <v>399</v>
      </c>
      <c r="AM33" t="b">
        <v>1</v>
      </c>
      <c r="AN33" t="b">
        <v>0</v>
      </c>
      <c r="AP33" t="s">
        <v>319</v>
      </c>
      <c r="AR33">
        <v>12</v>
      </c>
      <c r="AT33" t="s">
        <v>340</v>
      </c>
      <c r="AW33" t="s">
        <v>87</v>
      </c>
    </row>
    <row r="34" spans="3:49" x14ac:dyDescent="0.25">
      <c r="C34" t="s">
        <v>77</v>
      </c>
      <c r="D34">
        <v>99999</v>
      </c>
      <c r="G34" t="b">
        <v>0</v>
      </c>
      <c r="H34" t="s">
        <v>99</v>
      </c>
      <c r="M34" t="s">
        <v>332</v>
      </c>
      <c r="N34" t="s">
        <v>78</v>
      </c>
      <c r="R34">
        <v>199.9</v>
      </c>
      <c r="U34">
        <v>43</v>
      </c>
      <c r="V34">
        <v>0</v>
      </c>
      <c r="W34">
        <v>5</v>
      </c>
      <c r="X34">
        <v>156.9</v>
      </c>
      <c r="AA34">
        <v>0</v>
      </c>
      <c r="AF34" t="s">
        <v>371</v>
      </c>
      <c r="AG34" t="s">
        <v>371</v>
      </c>
      <c r="AH34" t="s">
        <v>323</v>
      </c>
      <c r="AI34">
        <v>99999</v>
      </c>
      <c r="AJ34">
        <v>99999</v>
      </c>
      <c r="AK34">
        <v>399</v>
      </c>
      <c r="AM34" t="b">
        <v>1</v>
      </c>
      <c r="AN34" t="b">
        <v>0</v>
      </c>
      <c r="AP34" t="s">
        <v>319</v>
      </c>
      <c r="AR34">
        <v>12</v>
      </c>
      <c r="AT34" t="s">
        <v>340</v>
      </c>
      <c r="AW34" t="s">
        <v>87</v>
      </c>
    </row>
    <row r="35" spans="3:49" x14ac:dyDescent="0.25">
      <c r="C35" t="s">
        <v>77</v>
      </c>
      <c r="D35">
        <v>99999</v>
      </c>
      <c r="G35" t="b">
        <v>0</v>
      </c>
      <c r="H35" t="s">
        <v>99</v>
      </c>
      <c r="M35" t="s">
        <v>332</v>
      </c>
      <c r="N35" t="s">
        <v>78</v>
      </c>
      <c r="R35">
        <v>219.9</v>
      </c>
      <c r="U35">
        <v>43</v>
      </c>
      <c r="V35">
        <v>0</v>
      </c>
      <c r="W35">
        <v>5</v>
      </c>
      <c r="X35">
        <v>176.9</v>
      </c>
      <c r="AA35">
        <v>0</v>
      </c>
      <c r="AF35" t="s">
        <v>373</v>
      </c>
      <c r="AG35" t="s">
        <v>373</v>
      </c>
      <c r="AH35" t="s">
        <v>323</v>
      </c>
      <c r="AI35">
        <v>99999</v>
      </c>
      <c r="AJ35">
        <v>99999</v>
      </c>
      <c r="AK35">
        <v>399</v>
      </c>
      <c r="AM35" t="b">
        <v>1</v>
      </c>
      <c r="AN35" t="b">
        <v>0</v>
      </c>
      <c r="AP35" t="s">
        <v>319</v>
      </c>
      <c r="AR35">
        <v>12</v>
      </c>
      <c r="AT35" t="s">
        <v>340</v>
      </c>
      <c r="AW35" t="s">
        <v>86</v>
      </c>
    </row>
    <row r="36" spans="3:49" x14ac:dyDescent="0.25">
      <c r="C36" t="s">
        <v>77</v>
      </c>
      <c r="D36">
        <v>99999</v>
      </c>
      <c r="G36" t="b">
        <v>0</v>
      </c>
      <c r="H36" t="s">
        <v>99</v>
      </c>
      <c r="M36" t="s">
        <v>346</v>
      </c>
      <c r="N36" t="s">
        <v>78</v>
      </c>
      <c r="R36">
        <v>154.80000000000001</v>
      </c>
      <c r="U36">
        <v>35</v>
      </c>
      <c r="V36">
        <v>0</v>
      </c>
      <c r="W36">
        <v>5</v>
      </c>
      <c r="X36">
        <v>119.80000000000001</v>
      </c>
      <c r="AA36">
        <v>0</v>
      </c>
      <c r="AF36" t="s">
        <v>352</v>
      </c>
      <c r="AG36" t="s">
        <v>352</v>
      </c>
      <c r="AH36" t="s">
        <v>323</v>
      </c>
      <c r="AI36">
        <v>99999</v>
      </c>
      <c r="AJ36">
        <v>99999</v>
      </c>
      <c r="AK36">
        <v>399</v>
      </c>
      <c r="AM36" t="b">
        <v>1</v>
      </c>
      <c r="AN36" t="b">
        <v>0</v>
      </c>
      <c r="AP36" t="s">
        <v>319</v>
      </c>
      <c r="AR36">
        <v>12</v>
      </c>
      <c r="AT36" t="s">
        <v>356</v>
      </c>
      <c r="AW36" t="s">
        <v>86</v>
      </c>
    </row>
    <row r="37" spans="3:49" x14ac:dyDescent="0.25">
      <c r="C37" t="s">
        <v>77</v>
      </c>
      <c r="D37">
        <v>99999</v>
      </c>
      <c r="G37" t="b">
        <v>0</v>
      </c>
      <c r="H37" t="s">
        <v>85</v>
      </c>
      <c r="M37" s="84" t="s">
        <v>332</v>
      </c>
      <c r="N37" t="s">
        <v>78</v>
      </c>
      <c r="R37">
        <v>144.9</v>
      </c>
      <c r="U37">
        <v>43</v>
      </c>
      <c r="V37">
        <v>0</v>
      </c>
      <c r="W37">
        <v>5</v>
      </c>
      <c r="X37">
        <v>101.9</v>
      </c>
      <c r="AA37">
        <v>0</v>
      </c>
      <c r="AF37" t="s">
        <v>365</v>
      </c>
      <c r="AG37" t="s">
        <v>365</v>
      </c>
      <c r="AH37" t="s">
        <v>321</v>
      </c>
      <c r="AI37">
        <v>99999</v>
      </c>
      <c r="AJ37">
        <v>99999</v>
      </c>
      <c r="AK37">
        <v>399</v>
      </c>
      <c r="AM37" t="b">
        <v>1</v>
      </c>
      <c r="AN37" t="b">
        <v>0</v>
      </c>
      <c r="AP37" t="s">
        <v>319</v>
      </c>
      <c r="AR37">
        <v>12</v>
      </c>
      <c r="AT37" t="s">
        <v>335</v>
      </c>
      <c r="AW37" t="s">
        <v>104</v>
      </c>
    </row>
    <row r="38" spans="3:49" x14ac:dyDescent="0.25">
      <c r="C38" t="s">
        <v>77</v>
      </c>
      <c r="D38">
        <v>99999</v>
      </c>
      <c r="G38" t="b">
        <v>0</v>
      </c>
      <c r="H38" t="s">
        <v>85</v>
      </c>
      <c r="M38" t="s">
        <v>332</v>
      </c>
      <c r="N38" t="s">
        <v>78</v>
      </c>
      <c r="R38">
        <v>164.9</v>
      </c>
      <c r="U38">
        <v>43</v>
      </c>
      <c r="V38">
        <v>0</v>
      </c>
      <c r="W38">
        <v>5</v>
      </c>
      <c r="X38">
        <v>121.9</v>
      </c>
      <c r="AA38">
        <v>0</v>
      </c>
      <c r="AF38" t="s">
        <v>370</v>
      </c>
      <c r="AG38" t="s">
        <v>370</v>
      </c>
      <c r="AH38" t="s">
        <v>321</v>
      </c>
      <c r="AI38">
        <v>99999</v>
      </c>
      <c r="AJ38">
        <v>99999</v>
      </c>
      <c r="AK38">
        <v>399</v>
      </c>
      <c r="AM38" t="b">
        <v>1</v>
      </c>
      <c r="AN38" t="b">
        <v>0</v>
      </c>
      <c r="AP38" t="s">
        <v>319</v>
      </c>
      <c r="AR38">
        <v>12</v>
      </c>
      <c r="AT38" t="s">
        <v>335</v>
      </c>
      <c r="AW38" t="s">
        <v>104</v>
      </c>
    </row>
    <row r="39" spans="3:49" x14ac:dyDescent="0.25">
      <c r="C39" t="s">
        <v>77</v>
      </c>
      <c r="D39">
        <v>99999</v>
      </c>
      <c r="G39" t="b">
        <v>0</v>
      </c>
      <c r="H39" t="s">
        <v>85</v>
      </c>
      <c r="M39" t="s">
        <v>332</v>
      </c>
      <c r="N39" t="s">
        <v>78</v>
      </c>
      <c r="R39">
        <v>184.9</v>
      </c>
      <c r="U39">
        <v>45</v>
      </c>
      <c r="V39">
        <v>0</v>
      </c>
      <c r="W39">
        <v>5</v>
      </c>
      <c r="X39">
        <v>139.9</v>
      </c>
      <c r="AA39">
        <v>0</v>
      </c>
      <c r="AF39" t="s">
        <v>376</v>
      </c>
      <c r="AG39" t="s">
        <v>376</v>
      </c>
      <c r="AH39" t="s">
        <v>321</v>
      </c>
      <c r="AI39">
        <v>99999</v>
      </c>
      <c r="AJ39">
        <v>99999</v>
      </c>
      <c r="AK39">
        <v>399</v>
      </c>
      <c r="AM39" t="b">
        <v>1</v>
      </c>
      <c r="AN39" t="b">
        <v>0</v>
      </c>
      <c r="AP39" t="s">
        <v>319</v>
      </c>
      <c r="AR39">
        <v>12</v>
      </c>
      <c r="AT39" t="s">
        <v>335</v>
      </c>
      <c r="AW39" t="s">
        <v>103</v>
      </c>
    </row>
    <row r="40" spans="3:49" x14ac:dyDescent="0.25">
      <c r="C40" t="s">
        <v>77</v>
      </c>
      <c r="D40">
        <v>99999</v>
      </c>
      <c r="G40" t="b">
        <v>0</v>
      </c>
      <c r="H40" t="s">
        <v>85</v>
      </c>
      <c r="M40" s="84" t="s">
        <v>346</v>
      </c>
      <c r="N40" t="s">
        <v>78</v>
      </c>
      <c r="R40">
        <v>119.80000000000001</v>
      </c>
      <c r="U40">
        <v>35</v>
      </c>
      <c r="V40">
        <v>0</v>
      </c>
      <c r="W40">
        <v>5</v>
      </c>
      <c r="X40">
        <v>84.800000000000011</v>
      </c>
      <c r="AA40">
        <v>0</v>
      </c>
      <c r="AF40" t="s">
        <v>349</v>
      </c>
      <c r="AG40" t="s">
        <v>349</v>
      </c>
      <c r="AH40" t="s">
        <v>321</v>
      </c>
      <c r="AI40">
        <v>99999</v>
      </c>
      <c r="AJ40">
        <v>99999</v>
      </c>
      <c r="AK40">
        <v>399</v>
      </c>
      <c r="AM40" t="b">
        <v>1</v>
      </c>
      <c r="AN40" t="b">
        <v>0</v>
      </c>
      <c r="AP40" t="s">
        <v>319</v>
      </c>
      <c r="AR40">
        <v>12</v>
      </c>
      <c r="AT40" t="s">
        <v>351</v>
      </c>
      <c r="AW40" t="s">
        <v>103</v>
      </c>
    </row>
    <row r="41" spans="3:49" x14ac:dyDescent="0.25">
      <c r="C41" t="s">
        <v>77</v>
      </c>
      <c r="D41">
        <v>99999</v>
      </c>
      <c r="G41" t="b">
        <v>0</v>
      </c>
      <c r="H41" t="s">
        <v>102</v>
      </c>
      <c r="M41" s="84" t="s">
        <v>332</v>
      </c>
      <c r="N41" t="s">
        <v>78</v>
      </c>
      <c r="R41">
        <v>189.9</v>
      </c>
      <c r="U41">
        <v>43</v>
      </c>
      <c r="V41">
        <v>0</v>
      </c>
      <c r="W41">
        <v>5</v>
      </c>
      <c r="X41">
        <v>146.9</v>
      </c>
      <c r="AA41">
        <v>0</v>
      </c>
      <c r="AF41" t="s">
        <v>366</v>
      </c>
      <c r="AG41" t="s">
        <v>366</v>
      </c>
      <c r="AH41" t="s">
        <v>323</v>
      </c>
      <c r="AI41">
        <v>99999</v>
      </c>
      <c r="AJ41">
        <v>99999</v>
      </c>
      <c r="AK41">
        <v>399</v>
      </c>
      <c r="AM41" t="b">
        <v>1</v>
      </c>
      <c r="AN41" t="b">
        <v>0</v>
      </c>
      <c r="AP41" t="s">
        <v>319</v>
      </c>
      <c r="AR41">
        <v>12</v>
      </c>
      <c r="AT41" t="s">
        <v>341</v>
      </c>
      <c r="AW41" t="s">
        <v>113</v>
      </c>
    </row>
    <row r="42" spans="3:49" x14ac:dyDescent="0.25">
      <c r="C42" t="s">
        <v>77</v>
      </c>
      <c r="D42">
        <v>99999</v>
      </c>
      <c r="G42" t="b">
        <v>0</v>
      </c>
      <c r="H42" t="s">
        <v>102</v>
      </c>
      <c r="M42" t="s">
        <v>332</v>
      </c>
      <c r="N42" t="s">
        <v>78</v>
      </c>
      <c r="R42">
        <v>209.9</v>
      </c>
      <c r="U42">
        <v>43</v>
      </c>
      <c r="V42">
        <v>0</v>
      </c>
      <c r="W42">
        <v>5</v>
      </c>
      <c r="X42">
        <v>166.9</v>
      </c>
      <c r="AA42">
        <v>0</v>
      </c>
      <c r="AF42" t="s">
        <v>371</v>
      </c>
      <c r="AG42" t="s">
        <v>371</v>
      </c>
      <c r="AH42" t="s">
        <v>323</v>
      </c>
      <c r="AI42">
        <v>99999</v>
      </c>
      <c r="AJ42">
        <v>99999</v>
      </c>
      <c r="AK42">
        <v>399</v>
      </c>
      <c r="AM42" t="b">
        <v>1</v>
      </c>
      <c r="AN42" t="b">
        <v>0</v>
      </c>
      <c r="AP42" t="s">
        <v>319</v>
      </c>
      <c r="AR42">
        <v>12</v>
      </c>
      <c r="AT42" t="s">
        <v>341</v>
      </c>
      <c r="AW42" t="s">
        <v>113</v>
      </c>
    </row>
    <row r="43" spans="3:49" x14ac:dyDescent="0.25">
      <c r="C43" t="s">
        <v>77</v>
      </c>
      <c r="D43">
        <v>99999</v>
      </c>
      <c r="G43" t="b">
        <v>0</v>
      </c>
      <c r="H43" t="s">
        <v>102</v>
      </c>
      <c r="M43" t="s">
        <v>332</v>
      </c>
      <c r="N43" t="s">
        <v>78</v>
      </c>
      <c r="R43">
        <v>229.9</v>
      </c>
      <c r="U43">
        <v>43</v>
      </c>
      <c r="V43">
        <v>0</v>
      </c>
      <c r="W43">
        <v>5</v>
      </c>
      <c r="X43">
        <v>186.9</v>
      </c>
      <c r="AA43">
        <v>0</v>
      </c>
      <c r="AF43" t="s">
        <v>373</v>
      </c>
      <c r="AG43" t="s">
        <v>373</v>
      </c>
      <c r="AH43" t="s">
        <v>323</v>
      </c>
      <c r="AI43">
        <v>99999</v>
      </c>
      <c r="AJ43">
        <v>99999</v>
      </c>
      <c r="AK43">
        <v>399</v>
      </c>
      <c r="AM43" t="b">
        <v>1</v>
      </c>
      <c r="AN43" t="b">
        <v>0</v>
      </c>
      <c r="AP43" t="s">
        <v>319</v>
      </c>
      <c r="AR43">
        <v>12</v>
      </c>
      <c r="AT43" t="s">
        <v>341</v>
      </c>
      <c r="AW43" t="s">
        <v>112</v>
      </c>
    </row>
    <row r="44" spans="3:49" x14ac:dyDescent="0.25">
      <c r="C44" t="s">
        <v>77</v>
      </c>
      <c r="D44">
        <v>99999</v>
      </c>
      <c r="G44" t="b">
        <v>0</v>
      </c>
      <c r="H44" t="s">
        <v>102</v>
      </c>
      <c r="M44" s="84" t="s">
        <v>346</v>
      </c>
      <c r="N44" t="s">
        <v>78</v>
      </c>
      <c r="R44">
        <v>164.8</v>
      </c>
      <c r="U44">
        <v>35</v>
      </c>
      <c r="V44">
        <v>0</v>
      </c>
      <c r="W44">
        <v>5</v>
      </c>
      <c r="X44">
        <v>129.80000000000001</v>
      </c>
      <c r="AA44">
        <v>0</v>
      </c>
      <c r="AF44" t="s">
        <v>352</v>
      </c>
      <c r="AG44" t="s">
        <v>352</v>
      </c>
      <c r="AH44" t="s">
        <v>323</v>
      </c>
      <c r="AI44">
        <v>99999</v>
      </c>
      <c r="AJ44">
        <v>99999</v>
      </c>
      <c r="AK44">
        <v>399</v>
      </c>
      <c r="AM44" t="b">
        <v>1</v>
      </c>
      <c r="AN44" t="b">
        <v>0</v>
      </c>
      <c r="AP44" t="s">
        <v>319</v>
      </c>
      <c r="AR44">
        <v>12</v>
      </c>
      <c r="AT44" t="s">
        <v>357</v>
      </c>
      <c r="AW44" t="s">
        <v>112</v>
      </c>
    </row>
    <row r="45" spans="3:49" x14ac:dyDescent="0.25">
      <c r="C45" t="s">
        <v>77</v>
      </c>
      <c r="D45">
        <v>99999</v>
      </c>
      <c r="G45" t="b">
        <v>1</v>
      </c>
      <c r="H45" t="s">
        <v>105</v>
      </c>
      <c r="M45" t="s">
        <v>332</v>
      </c>
      <c r="N45" t="s">
        <v>78</v>
      </c>
      <c r="R45">
        <v>224.89999999999998</v>
      </c>
      <c r="U45">
        <v>43</v>
      </c>
      <c r="V45">
        <v>0</v>
      </c>
      <c r="W45">
        <v>5</v>
      </c>
      <c r="X45">
        <v>181.89999999999998</v>
      </c>
      <c r="AA45">
        <v>0</v>
      </c>
      <c r="AF45" t="s">
        <v>366</v>
      </c>
      <c r="AG45" t="s">
        <v>366</v>
      </c>
      <c r="AH45" t="s">
        <v>323</v>
      </c>
      <c r="AI45">
        <v>99999</v>
      </c>
      <c r="AJ45">
        <v>99999</v>
      </c>
      <c r="AK45">
        <v>399</v>
      </c>
      <c r="AM45" t="b">
        <v>1</v>
      </c>
      <c r="AN45" t="b">
        <v>1</v>
      </c>
      <c r="AP45" t="s">
        <v>319</v>
      </c>
      <c r="AR45">
        <v>12</v>
      </c>
      <c r="AT45" t="s">
        <v>345</v>
      </c>
      <c r="AW45" t="s">
        <v>109</v>
      </c>
    </row>
    <row r="46" spans="3:49" x14ac:dyDescent="0.25">
      <c r="C46" t="s">
        <v>77</v>
      </c>
      <c r="D46">
        <v>99999</v>
      </c>
      <c r="G46" t="b">
        <v>1</v>
      </c>
      <c r="H46" t="s">
        <v>105</v>
      </c>
      <c r="M46" t="s">
        <v>332</v>
      </c>
      <c r="N46" t="s">
        <v>78</v>
      </c>
      <c r="R46">
        <v>244.89999999999998</v>
      </c>
      <c r="U46">
        <v>43</v>
      </c>
      <c r="V46">
        <v>0</v>
      </c>
      <c r="W46">
        <v>5</v>
      </c>
      <c r="X46">
        <v>201.89999999999998</v>
      </c>
      <c r="AA46">
        <v>0</v>
      </c>
      <c r="AF46" t="s">
        <v>371</v>
      </c>
      <c r="AG46" t="s">
        <v>371</v>
      </c>
      <c r="AH46" t="s">
        <v>323</v>
      </c>
      <c r="AI46">
        <v>99999</v>
      </c>
      <c r="AJ46">
        <v>99999</v>
      </c>
      <c r="AK46">
        <v>399</v>
      </c>
      <c r="AM46" t="b">
        <v>1</v>
      </c>
      <c r="AN46" t="b">
        <v>1</v>
      </c>
      <c r="AP46" t="s">
        <v>319</v>
      </c>
      <c r="AR46">
        <v>12</v>
      </c>
      <c r="AT46" t="s">
        <v>345</v>
      </c>
      <c r="AW46" t="s">
        <v>109</v>
      </c>
    </row>
    <row r="47" spans="3:49" x14ac:dyDescent="0.25">
      <c r="C47" t="s">
        <v>77</v>
      </c>
      <c r="D47">
        <v>99999</v>
      </c>
      <c r="G47" t="b">
        <v>1</v>
      </c>
      <c r="H47" t="s">
        <v>105</v>
      </c>
      <c r="M47" t="s">
        <v>332</v>
      </c>
      <c r="N47" t="s">
        <v>78</v>
      </c>
      <c r="R47">
        <v>264.89999999999998</v>
      </c>
      <c r="U47">
        <v>43</v>
      </c>
      <c r="V47">
        <v>0</v>
      </c>
      <c r="W47">
        <v>5</v>
      </c>
      <c r="X47">
        <v>221.89999999999998</v>
      </c>
      <c r="AA47">
        <v>0</v>
      </c>
      <c r="AF47" t="s">
        <v>373</v>
      </c>
      <c r="AG47" t="s">
        <v>373</v>
      </c>
      <c r="AH47" t="s">
        <v>323</v>
      </c>
      <c r="AI47">
        <v>99999</v>
      </c>
      <c r="AJ47">
        <v>99999</v>
      </c>
      <c r="AK47">
        <v>399</v>
      </c>
      <c r="AM47" t="b">
        <v>1</v>
      </c>
      <c r="AN47" t="b">
        <v>1</v>
      </c>
      <c r="AP47" t="s">
        <v>319</v>
      </c>
      <c r="AR47">
        <v>12</v>
      </c>
      <c r="AT47" t="s">
        <v>345</v>
      </c>
      <c r="AW47" t="s">
        <v>108</v>
      </c>
    </row>
    <row r="48" spans="3:49" x14ac:dyDescent="0.25">
      <c r="C48" t="s">
        <v>77</v>
      </c>
      <c r="D48">
        <v>99999</v>
      </c>
      <c r="G48" t="b">
        <v>1</v>
      </c>
      <c r="H48" t="s">
        <v>105</v>
      </c>
      <c r="M48" s="84" t="s">
        <v>346</v>
      </c>
      <c r="N48" t="s">
        <v>78</v>
      </c>
      <c r="R48">
        <v>199.79999999999998</v>
      </c>
      <c r="U48">
        <v>35</v>
      </c>
      <c r="V48">
        <v>0</v>
      </c>
      <c r="W48">
        <v>5</v>
      </c>
      <c r="X48">
        <v>164.79999999999998</v>
      </c>
      <c r="AA48">
        <v>0</v>
      </c>
      <c r="AF48" t="s">
        <v>352</v>
      </c>
      <c r="AG48" t="s">
        <v>352</v>
      </c>
      <c r="AH48" t="s">
        <v>323</v>
      </c>
      <c r="AI48">
        <v>99999</v>
      </c>
      <c r="AJ48">
        <v>99999</v>
      </c>
      <c r="AK48">
        <v>399</v>
      </c>
      <c r="AM48" t="b">
        <v>1</v>
      </c>
      <c r="AN48" t="b">
        <v>1</v>
      </c>
      <c r="AP48" t="s">
        <v>319</v>
      </c>
      <c r="AR48">
        <v>12</v>
      </c>
      <c r="AT48" t="s">
        <v>360</v>
      </c>
      <c r="AW48" t="s">
        <v>108</v>
      </c>
    </row>
    <row r="49" spans="3:49" x14ac:dyDescent="0.25">
      <c r="C49" t="s">
        <v>77</v>
      </c>
      <c r="D49">
        <v>99999</v>
      </c>
      <c r="G49" t="b">
        <v>1</v>
      </c>
      <c r="H49" t="s">
        <v>99</v>
      </c>
      <c r="M49" s="84" t="s">
        <v>332</v>
      </c>
      <c r="N49" t="s">
        <v>78</v>
      </c>
      <c r="R49">
        <v>189.89999999999998</v>
      </c>
      <c r="U49">
        <v>43</v>
      </c>
      <c r="V49">
        <v>0</v>
      </c>
      <c r="W49">
        <v>5</v>
      </c>
      <c r="X49">
        <v>146.89999999999998</v>
      </c>
      <c r="AA49">
        <v>0</v>
      </c>
      <c r="AF49" t="s">
        <v>366</v>
      </c>
      <c r="AG49" t="s">
        <v>366</v>
      </c>
      <c r="AH49" t="s">
        <v>323</v>
      </c>
      <c r="AI49">
        <v>99999</v>
      </c>
      <c r="AJ49">
        <v>99999</v>
      </c>
      <c r="AK49">
        <v>399</v>
      </c>
      <c r="AM49" t="b">
        <v>1</v>
      </c>
      <c r="AN49" t="b">
        <v>1</v>
      </c>
      <c r="AP49" t="s">
        <v>319</v>
      </c>
      <c r="AR49">
        <v>12</v>
      </c>
      <c r="AT49" t="s">
        <v>343</v>
      </c>
      <c r="AW49" t="s">
        <v>89</v>
      </c>
    </row>
    <row r="50" spans="3:49" x14ac:dyDescent="0.25">
      <c r="C50" t="s">
        <v>77</v>
      </c>
      <c r="D50">
        <v>99999</v>
      </c>
      <c r="G50" t="b">
        <v>1</v>
      </c>
      <c r="H50" t="s">
        <v>99</v>
      </c>
      <c r="M50" t="s">
        <v>332</v>
      </c>
      <c r="N50" t="s">
        <v>78</v>
      </c>
      <c r="R50">
        <v>209.89999999999998</v>
      </c>
      <c r="U50">
        <v>43</v>
      </c>
      <c r="V50">
        <v>0</v>
      </c>
      <c r="W50">
        <v>5</v>
      </c>
      <c r="X50">
        <v>166.89999999999998</v>
      </c>
      <c r="AA50">
        <v>0</v>
      </c>
      <c r="AF50" t="s">
        <v>371</v>
      </c>
      <c r="AG50" t="s">
        <v>371</v>
      </c>
      <c r="AH50" t="s">
        <v>323</v>
      </c>
      <c r="AI50">
        <v>99999</v>
      </c>
      <c r="AJ50">
        <v>99999</v>
      </c>
      <c r="AK50">
        <v>399</v>
      </c>
      <c r="AM50" t="b">
        <v>1</v>
      </c>
      <c r="AN50" t="b">
        <v>1</v>
      </c>
      <c r="AP50" t="s">
        <v>319</v>
      </c>
      <c r="AR50">
        <v>12</v>
      </c>
      <c r="AT50" t="s">
        <v>343</v>
      </c>
      <c r="AW50" t="s">
        <v>89</v>
      </c>
    </row>
    <row r="51" spans="3:49" x14ac:dyDescent="0.25">
      <c r="C51" t="s">
        <v>77</v>
      </c>
      <c r="D51">
        <v>99999</v>
      </c>
      <c r="G51" t="b">
        <v>1</v>
      </c>
      <c r="H51" t="s">
        <v>99</v>
      </c>
      <c r="M51" t="s">
        <v>332</v>
      </c>
      <c r="N51" t="s">
        <v>78</v>
      </c>
      <c r="R51">
        <v>229.89999999999998</v>
      </c>
      <c r="U51">
        <v>43</v>
      </c>
      <c r="V51">
        <v>0</v>
      </c>
      <c r="W51">
        <v>5</v>
      </c>
      <c r="X51">
        <v>186.89999999999998</v>
      </c>
      <c r="AA51">
        <v>0</v>
      </c>
      <c r="AF51" t="s">
        <v>373</v>
      </c>
      <c r="AG51" t="s">
        <v>373</v>
      </c>
      <c r="AH51" t="s">
        <v>323</v>
      </c>
      <c r="AI51">
        <v>99999</v>
      </c>
      <c r="AJ51">
        <v>99999</v>
      </c>
      <c r="AK51">
        <v>399</v>
      </c>
      <c r="AM51" t="b">
        <v>1</v>
      </c>
      <c r="AN51" t="b">
        <v>1</v>
      </c>
      <c r="AP51" t="s">
        <v>319</v>
      </c>
      <c r="AR51">
        <v>12</v>
      </c>
      <c r="AT51" t="s">
        <v>343</v>
      </c>
      <c r="AW51" t="s">
        <v>88</v>
      </c>
    </row>
    <row r="52" spans="3:49" x14ac:dyDescent="0.25">
      <c r="C52" t="s">
        <v>77</v>
      </c>
      <c r="D52">
        <v>99999</v>
      </c>
      <c r="G52" t="b">
        <v>1</v>
      </c>
      <c r="H52" t="s">
        <v>99</v>
      </c>
      <c r="M52" s="84" t="s">
        <v>346</v>
      </c>
      <c r="N52" t="s">
        <v>78</v>
      </c>
      <c r="R52">
        <v>164.79999999999998</v>
      </c>
      <c r="U52">
        <v>35</v>
      </c>
      <c r="V52">
        <v>0</v>
      </c>
      <c r="W52">
        <v>5</v>
      </c>
      <c r="X52">
        <v>129.79999999999998</v>
      </c>
      <c r="AA52">
        <v>0</v>
      </c>
      <c r="AF52" t="s">
        <v>352</v>
      </c>
      <c r="AG52" t="s">
        <v>352</v>
      </c>
      <c r="AH52" t="s">
        <v>323</v>
      </c>
      <c r="AI52">
        <v>99999</v>
      </c>
      <c r="AJ52">
        <v>99999</v>
      </c>
      <c r="AK52">
        <v>399</v>
      </c>
      <c r="AM52" t="b">
        <v>1</v>
      </c>
      <c r="AN52" t="b">
        <v>1</v>
      </c>
      <c r="AP52" t="s">
        <v>319</v>
      </c>
      <c r="AR52">
        <v>12</v>
      </c>
      <c r="AT52" t="s">
        <v>359</v>
      </c>
      <c r="AW52" t="s">
        <v>88</v>
      </c>
    </row>
    <row r="53" spans="3:49" x14ac:dyDescent="0.25">
      <c r="C53" t="s">
        <v>77</v>
      </c>
      <c r="D53">
        <v>99999</v>
      </c>
      <c r="G53" t="b">
        <v>1</v>
      </c>
      <c r="H53" t="s">
        <v>85</v>
      </c>
      <c r="M53" t="s">
        <v>332</v>
      </c>
      <c r="N53" t="s">
        <v>78</v>
      </c>
      <c r="R53">
        <v>164.9</v>
      </c>
      <c r="U53">
        <v>43</v>
      </c>
      <c r="V53">
        <v>0</v>
      </c>
      <c r="W53">
        <v>5</v>
      </c>
      <c r="X53">
        <v>121.9</v>
      </c>
      <c r="AA53">
        <v>0</v>
      </c>
      <c r="AF53" t="s">
        <v>365</v>
      </c>
      <c r="AG53" t="s">
        <v>365</v>
      </c>
      <c r="AH53" t="s">
        <v>321</v>
      </c>
      <c r="AI53">
        <v>99999</v>
      </c>
      <c r="AJ53">
        <v>99999</v>
      </c>
      <c r="AK53">
        <v>399</v>
      </c>
      <c r="AM53" t="b">
        <v>1</v>
      </c>
      <c r="AN53" t="b">
        <v>1</v>
      </c>
      <c r="AP53" t="s">
        <v>319</v>
      </c>
      <c r="AR53">
        <v>12</v>
      </c>
      <c r="AT53" t="s">
        <v>336</v>
      </c>
      <c r="AW53" t="s">
        <v>111</v>
      </c>
    </row>
    <row r="54" spans="3:49" x14ac:dyDescent="0.25">
      <c r="C54" t="s">
        <v>77</v>
      </c>
      <c r="D54">
        <v>99999</v>
      </c>
      <c r="G54" t="b">
        <v>1</v>
      </c>
      <c r="H54" t="s">
        <v>85</v>
      </c>
      <c r="M54" t="s">
        <v>332</v>
      </c>
      <c r="N54" t="s">
        <v>78</v>
      </c>
      <c r="R54">
        <v>184.9</v>
      </c>
      <c r="U54">
        <v>43</v>
      </c>
      <c r="V54">
        <v>0</v>
      </c>
      <c r="W54">
        <v>5</v>
      </c>
      <c r="X54">
        <v>141.9</v>
      </c>
      <c r="AA54">
        <v>0</v>
      </c>
      <c r="AF54" t="s">
        <v>370</v>
      </c>
      <c r="AG54" t="s">
        <v>370</v>
      </c>
      <c r="AH54" t="s">
        <v>321</v>
      </c>
      <c r="AI54">
        <v>99999</v>
      </c>
      <c r="AJ54">
        <v>99999</v>
      </c>
      <c r="AK54">
        <v>399</v>
      </c>
      <c r="AM54" t="b">
        <v>1</v>
      </c>
      <c r="AN54" t="b">
        <v>1</v>
      </c>
      <c r="AP54" t="s">
        <v>319</v>
      </c>
      <c r="AR54">
        <v>12</v>
      </c>
      <c r="AT54" t="s">
        <v>336</v>
      </c>
      <c r="AW54" t="s">
        <v>111</v>
      </c>
    </row>
    <row r="55" spans="3:49" x14ac:dyDescent="0.25">
      <c r="C55" t="s">
        <v>77</v>
      </c>
      <c r="D55">
        <v>99999</v>
      </c>
      <c r="G55" t="b">
        <v>1</v>
      </c>
      <c r="H55" t="s">
        <v>85</v>
      </c>
      <c r="M55" t="s">
        <v>332</v>
      </c>
      <c r="N55" t="s">
        <v>78</v>
      </c>
      <c r="R55">
        <v>204.9</v>
      </c>
      <c r="U55">
        <v>45</v>
      </c>
      <c r="V55">
        <v>0</v>
      </c>
      <c r="W55">
        <v>5</v>
      </c>
      <c r="X55">
        <v>159.9</v>
      </c>
      <c r="AA55">
        <v>0</v>
      </c>
      <c r="AF55" t="s">
        <v>376</v>
      </c>
      <c r="AG55" t="s">
        <v>376</v>
      </c>
      <c r="AH55" t="s">
        <v>321</v>
      </c>
      <c r="AI55">
        <v>99999</v>
      </c>
      <c r="AJ55">
        <v>99999</v>
      </c>
      <c r="AK55">
        <v>399</v>
      </c>
      <c r="AM55" t="b">
        <v>1</v>
      </c>
      <c r="AN55" t="b">
        <v>1</v>
      </c>
      <c r="AP55" t="s">
        <v>319</v>
      </c>
      <c r="AR55">
        <v>12</v>
      </c>
      <c r="AT55" t="s">
        <v>336</v>
      </c>
      <c r="AW55" t="s">
        <v>110</v>
      </c>
    </row>
    <row r="56" spans="3:49" x14ac:dyDescent="0.25">
      <c r="C56" t="s">
        <v>77</v>
      </c>
      <c r="D56">
        <v>99999</v>
      </c>
      <c r="G56" t="b">
        <v>1</v>
      </c>
      <c r="H56" t="s">
        <v>85</v>
      </c>
      <c r="M56" t="s">
        <v>346</v>
      </c>
      <c r="N56" t="s">
        <v>78</v>
      </c>
      <c r="R56">
        <v>139.80000000000001</v>
      </c>
      <c r="U56">
        <v>35</v>
      </c>
      <c r="V56">
        <v>0</v>
      </c>
      <c r="W56">
        <v>5</v>
      </c>
      <c r="X56">
        <v>104.80000000000001</v>
      </c>
      <c r="AA56">
        <v>0</v>
      </c>
      <c r="AF56" t="s">
        <v>349</v>
      </c>
      <c r="AG56" t="s">
        <v>349</v>
      </c>
      <c r="AH56" t="s">
        <v>321</v>
      </c>
      <c r="AI56">
        <v>99999</v>
      </c>
      <c r="AJ56">
        <v>99999</v>
      </c>
      <c r="AK56">
        <v>399</v>
      </c>
      <c r="AM56" t="b">
        <v>1</v>
      </c>
      <c r="AN56" t="b">
        <v>1</v>
      </c>
      <c r="AP56" t="s">
        <v>319</v>
      </c>
      <c r="AR56">
        <v>12</v>
      </c>
      <c r="AT56" t="s">
        <v>327</v>
      </c>
      <c r="AW56" t="s">
        <v>110</v>
      </c>
    </row>
    <row r="57" spans="3:49" x14ac:dyDescent="0.25">
      <c r="C57" t="s">
        <v>77</v>
      </c>
      <c r="D57">
        <v>99999</v>
      </c>
      <c r="G57" t="b">
        <v>1</v>
      </c>
      <c r="H57" t="s">
        <v>102</v>
      </c>
      <c r="M57" t="s">
        <v>332</v>
      </c>
      <c r="N57" t="s">
        <v>78</v>
      </c>
      <c r="R57">
        <v>189.89999999999998</v>
      </c>
      <c r="U57">
        <v>43</v>
      </c>
      <c r="V57">
        <v>0</v>
      </c>
      <c r="W57">
        <v>5</v>
      </c>
      <c r="X57">
        <v>146.89999999999998</v>
      </c>
      <c r="AA57">
        <v>0</v>
      </c>
      <c r="AF57" t="s">
        <v>366</v>
      </c>
      <c r="AG57" t="s">
        <v>366</v>
      </c>
      <c r="AH57" t="s">
        <v>323</v>
      </c>
      <c r="AI57">
        <v>99999</v>
      </c>
      <c r="AJ57">
        <v>99999</v>
      </c>
      <c r="AK57">
        <v>399</v>
      </c>
      <c r="AM57" t="b">
        <v>1</v>
      </c>
      <c r="AN57" t="b">
        <v>1</v>
      </c>
      <c r="AP57" t="s">
        <v>319</v>
      </c>
      <c r="AR57">
        <v>12</v>
      </c>
      <c r="AT57" t="s">
        <v>344</v>
      </c>
      <c r="AW57" t="s">
        <v>117</v>
      </c>
    </row>
    <row r="58" spans="3:49" x14ac:dyDescent="0.25">
      <c r="C58" t="s">
        <v>77</v>
      </c>
      <c r="D58">
        <v>99999</v>
      </c>
      <c r="G58" t="b">
        <v>1</v>
      </c>
      <c r="H58" t="s">
        <v>102</v>
      </c>
      <c r="M58" t="s">
        <v>332</v>
      </c>
      <c r="N58" t="s">
        <v>78</v>
      </c>
      <c r="R58">
        <v>209.89999999999998</v>
      </c>
      <c r="U58">
        <v>43</v>
      </c>
      <c r="V58">
        <v>0</v>
      </c>
      <c r="W58">
        <v>5</v>
      </c>
      <c r="X58">
        <v>166.89999999999998</v>
      </c>
      <c r="AA58">
        <v>0</v>
      </c>
      <c r="AF58" t="s">
        <v>371</v>
      </c>
      <c r="AG58" t="s">
        <v>371</v>
      </c>
      <c r="AH58" t="s">
        <v>323</v>
      </c>
      <c r="AI58">
        <v>99999</v>
      </c>
      <c r="AJ58">
        <v>99999</v>
      </c>
      <c r="AK58">
        <v>399</v>
      </c>
      <c r="AM58" t="b">
        <v>1</v>
      </c>
      <c r="AN58" t="b">
        <v>1</v>
      </c>
      <c r="AP58" t="s">
        <v>319</v>
      </c>
      <c r="AR58">
        <v>12</v>
      </c>
      <c r="AT58" t="s">
        <v>344</v>
      </c>
      <c r="AW58" t="s">
        <v>117</v>
      </c>
    </row>
    <row r="59" spans="3:49" x14ac:dyDescent="0.25">
      <c r="C59" t="s">
        <v>77</v>
      </c>
      <c r="D59">
        <v>99999</v>
      </c>
      <c r="G59" t="b">
        <v>1</v>
      </c>
      <c r="H59" t="s">
        <v>102</v>
      </c>
      <c r="M59" t="s">
        <v>332</v>
      </c>
      <c r="N59" t="s">
        <v>78</v>
      </c>
      <c r="R59">
        <v>229.89999999999998</v>
      </c>
      <c r="U59">
        <v>43</v>
      </c>
      <c r="V59">
        <v>0</v>
      </c>
      <c r="W59">
        <v>5</v>
      </c>
      <c r="X59">
        <v>186.89999999999998</v>
      </c>
      <c r="AA59">
        <v>0</v>
      </c>
      <c r="AF59" t="s">
        <v>373</v>
      </c>
      <c r="AG59" t="s">
        <v>373</v>
      </c>
      <c r="AH59" t="s">
        <v>323</v>
      </c>
      <c r="AI59">
        <v>99999</v>
      </c>
      <c r="AJ59">
        <v>99999</v>
      </c>
      <c r="AK59">
        <v>399</v>
      </c>
      <c r="AM59" t="b">
        <v>1</v>
      </c>
      <c r="AN59" t="b">
        <v>1</v>
      </c>
      <c r="AP59" t="s">
        <v>319</v>
      </c>
      <c r="AR59">
        <v>12</v>
      </c>
      <c r="AT59" t="s">
        <v>344</v>
      </c>
      <c r="AW59" t="s">
        <v>116</v>
      </c>
    </row>
    <row r="60" spans="3:49" x14ac:dyDescent="0.25">
      <c r="C60" t="s">
        <v>77</v>
      </c>
      <c r="D60">
        <v>99999</v>
      </c>
      <c r="G60" t="b">
        <v>1</v>
      </c>
      <c r="H60" t="s">
        <v>102</v>
      </c>
      <c r="M60" t="s">
        <v>346</v>
      </c>
      <c r="N60" t="s">
        <v>78</v>
      </c>
      <c r="R60">
        <v>164.79999999999998</v>
      </c>
      <c r="U60">
        <v>35</v>
      </c>
      <c r="V60">
        <v>0</v>
      </c>
      <c r="W60">
        <v>5</v>
      </c>
      <c r="X60">
        <v>129.79999999999998</v>
      </c>
      <c r="AA60">
        <v>0</v>
      </c>
      <c r="AF60" t="s">
        <v>352</v>
      </c>
      <c r="AG60" t="s">
        <v>352</v>
      </c>
      <c r="AH60" t="s">
        <v>323</v>
      </c>
      <c r="AI60">
        <v>99999</v>
      </c>
      <c r="AJ60">
        <v>99999</v>
      </c>
      <c r="AK60">
        <v>399</v>
      </c>
      <c r="AM60" t="b">
        <v>1</v>
      </c>
      <c r="AN60" t="b">
        <v>1</v>
      </c>
      <c r="AP60" t="s">
        <v>319</v>
      </c>
      <c r="AR60">
        <v>12</v>
      </c>
      <c r="AT60" t="s">
        <v>329</v>
      </c>
      <c r="AW60" t="s">
        <v>116</v>
      </c>
    </row>
    <row r="61" spans="3:49" x14ac:dyDescent="0.25">
      <c r="AW61" t="s">
        <v>115</v>
      </c>
    </row>
    <row r="62" spans="3:49" x14ac:dyDescent="0.25">
      <c r="AW62" t="s">
        <v>115</v>
      </c>
    </row>
    <row r="63" spans="3:49" x14ac:dyDescent="0.25">
      <c r="AW63" t="s">
        <v>114</v>
      </c>
    </row>
    <row r="64" spans="3:49" x14ac:dyDescent="0.25">
      <c r="AW64" t="s">
        <v>114</v>
      </c>
    </row>
    <row r="65" spans="49:49" x14ac:dyDescent="0.25">
      <c r="AW65" t="s">
        <v>121</v>
      </c>
    </row>
    <row r="66" spans="49:49" x14ac:dyDescent="0.25">
      <c r="AW66" t="s">
        <v>121</v>
      </c>
    </row>
    <row r="67" spans="49:49" x14ac:dyDescent="0.25">
      <c r="AW67" t="s">
        <v>120</v>
      </c>
    </row>
    <row r="68" spans="49:49" x14ac:dyDescent="0.25">
      <c r="AW68" t="s">
        <v>120</v>
      </c>
    </row>
    <row r="69" spans="49:49" x14ac:dyDescent="0.25">
      <c r="AW69" t="s">
        <v>113</v>
      </c>
    </row>
    <row r="70" spans="49:49" x14ac:dyDescent="0.25">
      <c r="AW70" t="s">
        <v>113</v>
      </c>
    </row>
    <row r="71" spans="49:49" x14ac:dyDescent="0.25">
      <c r="AW71" t="s">
        <v>112</v>
      </c>
    </row>
    <row r="72" spans="49:49" x14ac:dyDescent="0.25">
      <c r="AW72" t="s">
        <v>112</v>
      </c>
    </row>
    <row r="73" spans="49:49" x14ac:dyDescent="0.25">
      <c r="AW73" t="s">
        <v>119</v>
      </c>
    </row>
    <row r="74" spans="49:49" x14ac:dyDescent="0.25">
      <c r="AW74" t="s">
        <v>119</v>
      </c>
    </row>
    <row r="75" spans="49:49" x14ac:dyDescent="0.25">
      <c r="AW75" t="s">
        <v>118</v>
      </c>
    </row>
    <row r="76" spans="49:49" x14ac:dyDescent="0.25">
      <c r="AW76" t="s">
        <v>118</v>
      </c>
    </row>
    <row r="77" spans="49:49" x14ac:dyDescent="0.25">
      <c r="AW77" t="s">
        <v>109</v>
      </c>
    </row>
    <row r="78" spans="49:49" x14ac:dyDescent="0.25">
      <c r="AW78" t="s">
        <v>109</v>
      </c>
    </row>
    <row r="79" spans="49:49" x14ac:dyDescent="0.25">
      <c r="AW79" t="s">
        <v>108</v>
      </c>
    </row>
    <row r="80" spans="49:49" x14ac:dyDescent="0.25">
      <c r="AW80" t="s">
        <v>108</v>
      </c>
    </row>
    <row r="81" spans="49:49" x14ac:dyDescent="0.25">
      <c r="AW81" t="s">
        <v>89</v>
      </c>
    </row>
    <row r="82" spans="49:49" x14ac:dyDescent="0.25">
      <c r="AW82" t="s">
        <v>89</v>
      </c>
    </row>
    <row r="83" spans="49:49" x14ac:dyDescent="0.25">
      <c r="AW83" t="s">
        <v>88</v>
      </c>
    </row>
    <row r="84" spans="49:49" x14ac:dyDescent="0.25">
      <c r="AW84" t="s">
        <v>88</v>
      </c>
    </row>
    <row r="85" spans="49:49" x14ac:dyDescent="0.25">
      <c r="AW85" t="s">
        <v>111</v>
      </c>
    </row>
    <row r="86" spans="49:49" x14ac:dyDescent="0.25">
      <c r="AW86" t="s">
        <v>111</v>
      </c>
    </row>
    <row r="87" spans="49:49" x14ac:dyDescent="0.25">
      <c r="AW87" t="s">
        <v>110</v>
      </c>
    </row>
    <row r="88" spans="49:49" x14ac:dyDescent="0.25">
      <c r="AW88" t="s">
        <v>110</v>
      </c>
    </row>
  </sheetData>
  <autoFilter ref="A4:AW30" xr:uid="{1B8FBE69-BB74-436F-B848-49691AA30A3F}"/>
  <sortState ref="A5:AT60">
    <sortCondition ref="AT5"/>
    <sortCondition ref="R5"/>
  </sortState>
  <dataConsolidate/>
  <dataValidations count="1">
    <dataValidation type="list" showInputMessage="1" error="Please select a valid value" promptTitle="select a value" sqref="P3:P4" xr:uid="{00000000-0002-0000-0000-000000000000}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1524000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20204-2C13-44AA-8AF6-F06AEEACB0FA}">
  <sheetPr codeName="Sheet4"/>
  <dimension ref="A1:D6"/>
  <sheetViews>
    <sheetView workbookViewId="0">
      <selection activeCell="D7" sqref="D7"/>
    </sheetView>
  </sheetViews>
  <sheetFormatPr defaultRowHeight="15" x14ac:dyDescent="0.25"/>
  <cols>
    <col min="1" max="1" width="46" bestFit="1" customWidth="1"/>
    <col min="4" max="4" width="47.85546875" bestFit="1" customWidth="1"/>
  </cols>
  <sheetData>
    <row r="1" spans="1:4" x14ac:dyDescent="0.25">
      <c r="A1" s="83" t="s">
        <v>286</v>
      </c>
      <c r="D1" t="s">
        <v>324</v>
      </c>
    </row>
    <row r="2" spans="1:4" x14ac:dyDescent="0.25">
      <c r="A2" s="83" t="s">
        <v>303</v>
      </c>
      <c r="D2" t="s">
        <v>328</v>
      </c>
    </row>
    <row r="3" spans="1:4" x14ac:dyDescent="0.25">
      <c r="A3" s="83" t="s">
        <v>307</v>
      </c>
      <c r="D3" t="s">
        <v>322</v>
      </c>
    </row>
    <row r="4" spans="1:4" x14ac:dyDescent="0.25">
      <c r="A4" s="29" t="s">
        <v>311</v>
      </c>
      <c r="D4" t="s">
        <v>326</v>
      </c>
    </row>
    <row r="5" spans="1:4" x14ac:dyDescent="0.25">
      <c r="A5" s="29" t="s">
        <v>330</v>
      </c>
      <c r="D5" t="s">
        <v>320</v>
      </c>
    </row>
    <row r="6" spans="1:4" x14ac:dyDescent="0.25">
      <c r="A6" s="29" t="s">
        <v>331</v>
      </c>
      <c r="D6" t="s">
        <v>325</v>
      </c>
    </row>
  </sheetData>
  <conditionalFormatting sqref="A1:A4">
    <cfRule type="duplicateValues" dxfId="716" priority="1"/>
  </conditionalFormatting>
  <conditionalFormatting sqref="A1:A6">
    <cfRule type="duplicateValues" dxfId="715" priority="2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V4"/>
  <sheetViews>
    <sheetView workbookViewId="0">
      <selection activeCell="C15" sqref="C15"/>
    </sheetView>
  </sheetViews>
  <sheetFormatPr defaultRowHeight="15" x14ac:dyDescent="0.25"/>
  <cols>
    <col min="3" max="3" width="15" bestFit="1" customWidth="1"/>
    <col min="8" max="8" width="21.7109375" bestFit="1" customWidth="1"/>
    <col min="13" max="13" width="16.28515625" bestFit="1" customWidth="1"/>
    <col min="14" max="14" width="24.140625" bestFit="1" customWidth="1"/>
    <col min="15" max="15" width="15.7109375" customWidth="1"/>
    <col min="30" max="30" width="42.42578125" bestFit="1" customWidth="1"/>
    <col min="31" max="31" width="45.85546875" bestFit="1" customWidth="1"/>
    <col min="46" max="46" width="0" hidden="1" customWidth="1"/>
    <col min="48" max="48" width="11.7109375" bestFit="1" customWidth="1"/>
    <col min="49" max="49" width="69.28515625" bestFit="1" customWidth="1"/>
  </cols>
  <sheetData>
    <row r="3" spans="1:48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122</v>
      </c>
      <c r="P3" s="4" t="s">
        <v>15</v>
      </c>
      <c r="Q3" s="5" t="s">
        <v>123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16</v>
      </c>
      <c r="AD3" s="5" t="s">
        <v>17</v>
      </c>
      <c r="AE3" s="5" t="s">
        <v>69</v>
      </c>
      <c r="AF3" s="5" t="s">
        <v>124</v>
      </c>
      <c r="AG3" s="5" t="s">
        <v>125</v>
      </c>
      <c r="AH3" s="5" t="s">
        <v>70</v>
      </c>
      <c r="AI3" s="5" t="s">
        <v>20</v>
      </c>
      <c r="AJ3" s="5" t="s">
        <v>21</v>
      </c>
      <c r="AK3" s="5" t="s">
        <v>22</v>
      </c>
      <c r="AL3" s="5" t="s">
        <v>71</v>
      </c>
      <c r="AM3" s="5" t="s">
        <v>72</v>
      </c>
      <c r="AN3" s="5" t="s">
        <v>73</v>
      </c>
      <c r="AO3" s="5" t="s">
        <v>74</v>
      </c>
      <c r="AP3" s="5" t="s">
        <v>27</v>
      </c>
      <c r="AQ3" s="5" t="s">
        <v>75</v>
      </c>
      <c r="AR3" s="5" t="s">
        <v>76</v>
      </c>
      <c r="AS3" s="5" t="s">
        <v>26</v>
      </c>
      <c r="AT3" s="5" t="s">
        <v>27</v>
      </c>
      <c r="AU3" s="5" t="s">
        <v>28</v>
      </c>
      <c r="AV3" s="5" t="s">
        <v>76</v>
      </c>
    </row>
    <row r="4" spans="1:48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126</v>
      </c>
      <c r="P4" s="10"/>
      <c r="Q4" s="5" t="s">
        <v>127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128</v>
      </c>
      <c r="AG4" s="5" t="s">
        <v>129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29</v>
      </c>
      <c r="AS4" s="5" t="s">
        <v>26</v>
      </c>
      <c r="AT4" s="5" t="s">
        <v>56</v>
      </c>
      <c r="AU4" s="5" t="s">
        <v>57</v>
      </c>
      <c r="AV4" s="5" t="s">
        <v>29</v>
      </c>
    </row>
  </sheetData>
  <sortState ref="A5:AT21">
    <sortCondition ref="AT5"/>
    <sortCondition ref="R5"/>
  </sortState>
  <dataValidations count="1">
    <dataValidation type="list" showInputMessage="1" error="Please select a valid value" promptTitle="select a value" sqref="P3:P4" xr:uid="{00000000-0002-0000-0100-000000000000}">
      <formula1>validValues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A510-DA14-47F4-B423-BB962A4AD3D1}">
  <sheetPr codeName="Sheet3"/>
  <dimension ref="A1:CSS6"/>
  <sheetViews>
    <sheetView workbookViewId="0">
      <selection activeCell="CHS1" sqref="CHS1:CML2"/>
    </sheetView>
  </sheetViews>
  <sheetFormatPr defaultRowHeight="15" x14ac:dyDescent="0.25"/>
  <sheetData>
    <row r="1" spans="1:2541" ht="30.75" customHeight="1" thickTop="1" thickBot="1" x14ac:dyDescent="0.3">
      <c r="A1" s="135" t="s">
        <v>130</v>
      </c>
      <c r="B1" s="136" t="s">
        <v>131</v>
      </c>
      <c r="C1" s="135" t="s">
        <v>132</v>
      </c>
      <c r="D1" s="135" t="s">
        <v>133</v>
      </c>
      <c r="E1" s="135" t="s">
        <v>134</v>
      </c>
      <c r="F1" s="128" t="s">
        <v>135</v>
      </c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 t="s">
        <v>136</v>
      </c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9" t="s">
        <v>137</v>
      </c>
      <c r="AG1" s="130"/>
      <c r="AH1" s="131"/>
      <c r="AI1" s="135" t="s">
        <v>138</v>
      </c>
      <c r="AJ1" s="135"/>
      <c r="AK1" s="135" t="s">
        <v>139</v>
      </c>
      <c r="AL1" s="135"/>
      <c r="AM1" s="135"/>
      <c r="AN1" s="135"/>
      <c r="AO1" s="135"/>
      <c r="AP1" s="135"/>
      <c r="AQ1" s="135"/>
      <c r="AR1" s="128" t="s">
        <v>140</v>
      </c>
      <c r="AS1" s="128"/>
      <c r="AT1" s="128"/>
      <c r="AU1" s="128" t="s">
        <v>141</v>
      </c>
      <c r="AV1" s="128"/>
      <c r="AW1" s="128"/>
      <c r="AX1" s="117" t="s">
        <v>142</v>
      </c>
      <c r="AY1" s="117"/>
      <c r="AZ1" s="117"/>
      <c r="BA1" s="117"/>
      <c r="BB1" s="118" t="s">
        <v>143</v>
      </c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20"/>
      <c r="DM1" s="121" t="s">
        <v>144</v>
      </c>
      <c r="DN1" s="121"/>
      <c r="DO1" s="121"/>
      <c r="DP1" s="122" t="s">
        <v>145</v>
      </c>
      <c r="DQ1" s="122"/>
      <c r="DR1" s="122"/>
      <c r="DS1" s="122"/>
      <c r="DT1" s="122"/>
      <c r="DU1" s="122"/>
      <c r="DV1" s="122"/>
      <c r="DW1" s="122"/>
      <c r="DX1" s="122"/>
      <c r="DY1" s="122"/>
      <c r="DZ1" s="123"/>
      <c r="EA1" s="124" t="s">
        <v>146</v>
      </c>
      <c r="EB1" s="124"/>
      <c r="EC1" s="124"/>
      <c r="ED1" s="124"/>
      <c r="EE1" s="95" t="s">
        <v>147</v>
      </c>
      <c r="EF1" s="96"/>
      <c r="EG1" s="96"/>
      <c r="EH1" s="96"/>
      <c r="EI1" s="96"/>
      <c r="EJ1" s="96"/>
      <c r="EK1" s="96"/>
      <c r="EL1" s="96"/>
      <c r="EM1" s="96"/>
      <c r="EN1" s="96"/>
      <c r="EO1" s="96"/>
      <c r="EP1" s="96"/>
      <c r="EQ1" s="96"/>
      <c r="ER1" s="96"/>
      <c r="ES1" s="96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7"/>
      <c r="FI1" s="95" t="s">
        <v>148</v>
      </c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96"/>
      <c r="GA1" s="96"/>
      <c r="GB1" s="96"/>
      <c r="GC1" s="96"/>
      <c r="GD1" s="96"/>
      <c r="GE1" s="96"/>
      <c r="GF1" s="96"/>
      <c r="GG1" s="96"/>
      <c r="GH1" s="96"/>
      <c r="GI1" s="96"/>
      <c r="GJ1" s="96"/>
      <c r="GK1" s="96"/>
      <c r="GL1" s="97"/>
      <c r="GM1" s="95" t="s">
        <v>149</v>
      </c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7"/>
      <c r="HQ1" s="95" t="s">
        <v>150</v>
      </c>
      <c r="HR1" s="96"/>
      <c r="HS1" s="96"/>
      <c r="HT1" s="96"/>
      <c r="HU1" s="96"/>
      <c r="HV1" s="96"/>
      <c r="HW1" s="96"/>
      <c r="HX1" s="96"/>
      <c r="HY1" s="96"/>
      <c r="HZ1" s="96"/>
      <c r="IA1" s="96"/>
      <c r="IB1" s="96"/>
      <c r="IC1" s="96"/>
      <c r="ID1" s="96"/>
      <c r="IE1" s="96"/>
      <c r="IF1" s="96"/>
      <c r="IG1" s="96"/>
      <c r="IH1" s="96"/>
      <c r="II1" s="96"/>
      <c r="IJ1" s="96"/>
      <c r="IK1" s="96"/>
      <c r="IL1" s="96"/>
      <c r="IM1" s="96"/>
      <c r="IN1" s="96"/>
      <c r="IO1" s="96"/>
      <c r="IP1" s="96"/>
      <c r="IQ1" s="96"/>
      <c r="IR1" s="96"/>
      <c r="IS1" s="96"/>
      <c r="IT1" s="97"/>
      <c r="IU1" s="95" t="s">
        <v>151</v>
      </c>
      <c r="IV1" s="96"/>
      <c r="IW1" s="96"/>
      <c r="IX1" s="96"/>
      <c r="IY1" s="96"/>
      <c r="IZ1" s="96"/>
      <c r="JA1" s="96"/>
      <c r="JB1" s="96"/>
      <c r="JC1" s="96"/>
      <c r="JD1" s="96"/>
      <c r="JE1" s="96"/>
      <c r="JF1" s="96"/>
      <c r="JG1" s="96"/>
      <c r="JH1" s="96"/>
      <c r="JI1" s="96"/>
      <c r="JJ1" s="96"/>
      <c r="JK1" s="96"/>
      <c r="JL1" s="96"/>
      <c r="JM1" s="96"/>
      <c r="JN1" s="96"/>
      <c r="JO1" s="96"/>
      <c r="JP1" s="96"/>
      <c r="JQ1" s="96"/>
      <c r="JR1" s="96"/>
      <c r="JS1" s="96"/>
      <c r="JT1" s="96"/>
      <c r="JU1" s="96"/>
      <c r="JV1" s="96"/>
      <c r="JW1" s="96"/>
      <c r="JX1" s="97"/>
      <c r="JY1" s="95" t="s">
        <v>152</v>
      </c>
      <c r="JZ1" s="96"/>
      <c r="KA1" s="96"/>
      <c r="KB1" s="96"/>
      <c r="KC1" s="96"/>
      <c r="KD1" s="96"/>
      <c r="KE1" s="96"/>
      <c r="KF1" s="96"/>
      <c r="KG1" s="96"/>
      <c r="KH1" s="96"/>
      <c r="KI1" s="96"/>
      <c r="KJ1" s="96"/>
      <c r="KK1" s="96"/>
      <c r="KL1" s="96"/>
      <c r="KM1" s="96"/>
      <c r="KN1" s="96"/>
      <c r="KO1" s="96"/>
      <c r="KP1" s="96"/>
      <c r="KQ1" s="96"/>
      <c r="KR1" s="96"/>
      <c r="KS1" s="96"/>
      <c r="KT1" s="96"/>
      <c r="KU1" s="96"/>
      <c r="KV1" s="96"/>
      <c r="KW1" s="96"/>
      <c r="KX1" s="96"/>
      <c r="KY1" s="96"/>
      <c r="KZ1" s="96"/>
      <c r="LA1" s="96"/>
      <c r="LB1" s="97"/>
      <c r="LC1" s="95" t="s">
        <v>153</v>
      </c>
      <c r="LD1" s="96"/>
      <c r="LE1" s="96"/>
      <c r="LF1" s="96"/>
      <c r="LG1" s="96"/>
      <c r="LH1" s="96"/>
      <c r="LI1" s="96"/>
      <c r="LJ1" s="96"/>
      <c r="LK1" s="96"/>
      <c r="LL1" s="96"/>
      <c r="LM1" s="96"/>
      <c r="LN1" s="96"/>
      <c r="LO1" s="96"/>
      <c r="LP1" s="96"/>
      <c r="LQ1" s="96"/>
      <c r="LR1" s="96"/>
      <c r="LS1" s="96"/>
      <c r="LT1" s="96"/>
      <c r="LU1" s="96"/>
      <c r="LV1" s="96"/>
      <c r="LW1" s="96"/>
      <c r="LX1" s="96"/>
      <c r="LY1" s="96"/>
      <c r="LZ1" s="96"/>
      <c r="MA1" s="96"/>
      <c r="MB1" s="96"/>
      <c r="MC1" s="96"/>
      <c r="MD1" s="96"/>
      <c r="ME1" s="96"/>
      <c r="MF1" s="97"/>
      <c r="MG1" s="95" t="s">
        <v>154</v>
      </c>
      <c r="MH1" s="96"/>
      <c r="MI1" s="96"/>
      <c r="MJ1" s="96"/>
      <c r="MK1" s="96"/>
      <c r="ML1" s="96"/>
      <c r="MM1" s="96"/>
      <c r="MN1" s="96"/>
      <c r="MO1" s="96"/>
      <c r="MP1" s="96"/>
      <c r="MQ1" s="96"/>
      <c r="MR1" s="96"/>
      <c r="MS1" s="96"/>
      <c r="MT1" s="96"/>
      <c r="MU1" s="96"/>
      <c r="MV1" s="96"/>
      <c r="MW1" s="96"/>
      <c r="MX1" s="96"/>
      <c r="MY1" s="96"/>
      <c r="MZ1" s="96"/>
      <c r="NA1" s="96"/>
      <c r="NB1" s="96"/>
      <c r="NC1" s="96"/>
      <c r="ND1" s="96"/>
      <c r="NE1" s="96"/>
      <c r="NF1" s="96"/>
      <c r="NG1" s="96"/>
      <c r="NH1" s="96"/>
      <c r="NI1" s="96"/>
      <c r="NJ1" s="96"/>
      <c r="NK1" s="96"/>
      <c r="NL1" s="96"/>
      <c r="NM1" s="96"/>
      <c r="NN1" s="96"/>
      <c r="NO1" s="96"/>
      <c r="NP1" s="96"/>
      <c r="NQ1" s="96"/>
      <c r="NR1" s="96"/>
      <c r="NS1" s="96"/>
      <c r="NT1" s="96"/>
      <c r="NU1" s="96"/>
      <c r="NV1" s="96"/>
      <c r="NW1" s="96"/>
      <c r="NX1" s="96"/>
      <c r="NY1" s="96"/>
      <c r="NZ1" s="96"/>
      <c r="OA1" s="96"/>
      <c r="OB1" s="96"/>
      <c r="OC1" s="96"/>
      <c r="OD1" s="96"/>
      <c r="OE1" s="96"/>
      <c r="OF1" s="96"/>
      <c r="OG1" s="96"/>
      <c r="OH1" s="96"/>
      <c r="OI1" s="96"/>
      <c r="OJ1" s="96"/>
      <c r="OK1" s="96"/>
      <c r="OL1" s="96"/>
      <c r="OM1" s="96"/>
      <c r="ON1" s="96"/>
      <c r="OO1" s="97"/>
      <c r="OP1" s="95" t="s">
        <v>155</v>
      </c>
      <c r="OQ1" s="96"/>
      <c r="OR1" s="96"/>
      <c r="OS1" s="96"/>
      <c r="OT1" s="96"/>
      <c r="OU1" s="96"/>
      <c r="OV1" s="96"/>
      <c r="OW1" s="96"/>
      <c r="OX1" s="96"/>
      <c r="OY1" s="96"/>
      <c r="OZ1" s="96"/>
      <c r="PA1" s="96"/>
      <c r="PB1" s="96"/>
      <c r="PC1" s="96"/>
      <c r="PD1" s="96"/>
      <c r="PE1" s="96"/>
      <c r="PF1" s="96"/>
      <c r="PG1" s="96"/>
      <c r="PH1" s="96"/>
      <c r="PI1" s="96"/>
      <c r="PJ1" s="96"/>
      <c r="PK1" s="96"/>
      <c r="PL1" s="96"/>
      <c r="PM1" s="96"/>
      <c r="PN1" s="96"/>
      <c r="PO1" s="96"/>
      <c r="PP1" s="96"/>
      <c r="PQ1" s="96"/>
      <c r="PR1" s="96"/>
      <c r="PS1" s="96"/>
      <c r="PT1" s="96"/>
      <c r="PU1" s="96"/>
      <c r="PV1" s="96"/>
      <c r="PW1" s="96"/>
      <c r="PX1" s="96"/>
      <c r="PY1" s="96"/>
      <c r="PZ1" s="96"/>
      <c r="QA1" s="96"/>
      <c r="QB1" s="96"/>
      <c r="QC1" s="96"/>
      <c r="QD1" s="96"/>
      <c r="QE1" s="96"/>
      <c r="QF1" s="96"/>
      <c r="QG1" s="96"/>
      <c r="QH1" s="96"/>
      <c r="QI1" s="96"/>
      <c r="QJ1" s="96"/>
      <c r="QK1" s="96"/>
      <c r="QL1" s="96"/>
      <c r="QM1" s="96"/>
      <c r="QN1" s="96"/>
      <c r="QO1" s="96"/>
      <c r="QP1" s="96"/>
      <c r="QQ1" s="96"/>
      <c r="QR1" s="96"/>
      <c r="QS1" s="96"/>
      <c r="QT1" s="96"/>
      <c r="QU1" s="96"/>
      <c r="QV1" s="96"/>
      <c r="QW1" s="96"/>
      <c r="QX1" s="97"/>
      <c r="QY1" s="95" t="s">
        <v>156</v>
      </c>
      <c r="QZ1" s="96"/>
      <c r="RA1" s="96"/>
      <c r="RB1" s="96"/>
      <c r="RC1" s="96"/>
      <c r="RD1" s="96"/>
      <c r="RE1" s="96"/>
      <c r="RF1" s="96"/>
      <c r="RG1" s="96"/>
      <c r="RH1" s="96"/>
      <c r="RI1" s="96"/>
      <c r="RJ1" s="96"/>
      <c r="RK1" s="96"/>
      <c r="RL1" s="96"/>
      <c r="RM1" s="96"/>
      <c r="RN1" s="96"/>
      <c r="RO1" s="96"/>
      <c r="RP1" s="96"/>
      <c r="RQ1" s="96"/>
      <c r="RR1" s="96"/>
      <c r="RS1" s="96"/>
      <c r="RT1" s="96"/>
      <c r="RU1" s="96"/>
      <c r="RV1" s="96"/>
      <c r="RW1" s="96"/>
      <c r="RX1" s="96"/>
      <c r="RY1" s="96"/>
      <c r="RZ1" s="96"/>
      <c r="SA1" s="96"/>
      <c r="SB1" s="96"/>
      <c r="SC1" s="96"/>
      <c r="SD1" s="96"/>
      <c r="SE1" s="96"/>
      <c r="SF1" s="96"/>
      <c r="SG1" s="96"/>
      <c r="SH1" s="96"/>
      <c r="SI1" s="96"/>
      <c r="SJ1" s="96"/>
      <c r="SK1" s="96"/>
      <c r="SL1" s="96"/>
      <c r="SM1" s="96"/>
      <c r="SN1" s="96"/>
      <c r="SO1" s="96"/>
      <c r="SP1" s="96"/>
      <c r="SQ1" s="96"/>
      <c r="SR1" s="96"/>
      <c r="SS1" s="96"/>
      <c r="ST1" s="96"/>
      <c r="SU1" s="96"/>
      <c r="SV1" s="96"/>
      <c r="SW1" s="96"/>
      <c r="SX1" s="96"/>
      <c r="SY1" s="96"/>
      <c r="SZ1" s="96"/>
      <c r="TA1" s="96"/>
      <c r="TB1" s="96"/>
      <c r="TC1" s="96"/>
      <c r="TD1" s="96"/>
      <c r="TE1" s="96"/>
      <c r="TF1" s="96"/>
      <c r="TG1" s="97"/>
      <c r="TH1" s="95" t="s">
        <v>157</v>
      </c>
      <c r="TI1" s="96"/>
      <c r="TJ1" s="96"/>
      <c r="TK1" s="96"/>
      <c r="TL1" s="96"/>
      <c r="TM1" s="96"/>
      <c r="TN1" s="96"/>
      <c r="TO1" s="96"/>
      <c r="TP1" s="96"/>
      <c r="TQ1" s="96"/>
      <c r="TR1" s="96"/>
      <c r="TS1" s="96"/>
      <c r="TT1" s="96"/>
      <c r="TU1" s="96"/>
      <c r="TV1" s="96"/>
      <c r="TW1" s="96"/>
      <c r="TX1" s="96"/>
      <c r="TY1" s="96"/>
      <c r="TZ1" s="96"/>
      <c r="UA1" s="96"/>
      <c r="UB1" s="96"/>
      <c r="UC1" s="96"/>
      <c r="UD1" s="96"/>
      <c r="UE1" s="96"/>
      <c r="UF1" s="96"/>
      <c r="UG1" s="96"/>
      <c r="UH1" s="96"/>
      <c r="UI1" s="96"/>
      <c r="UJ1" s="96"/>
      <c r="UK1" s="96"/>
      <c r="UL1" s="96"/>
      <c r="UM1" s="96"/>
      <c r="UN1" s="96"/>
      <c r="UO1" s="96"/>
      <c r="UP1" s="96"/>
      <c r="UQ1" s="96"/>
      <c r="UR1" s="96"/>
      <c r="US1" s="96"/>
      <c r="UT1" s="96"/>
      <c r="UU1" s="96"/>
      <c r="UV1" s="96"/>
      <c r="UW1" s="96"/>
      <c r="UX1" s="96"/>
      <c r="UY1" s="96"/>
      <c r="UZ1" s="96"/>
      <c r="VA1" s="96"/>
      <c r="VB1" s="96"/>
      <c r="VC1" s="96"/>
      <c r="VD1" s="96"/>
      <c r="VE1" s="96"/>
      <c r="VF1" s="96"/>
      <c r="VG1" s="96"/>
      <c r="VH1" s="96"/>
      <c r="VI1" s="96"/>
      <c r="VJ1" s="96"/>
      <c r="VK1" s="96"/>
      <c r="VL1" s="96"/>
      <c r="VM1" s="96"/>
      <c r="VN1" s="96"/>
      <c r="VO1" s="96"/>
      <c r="VP1" s="97"/>
      <c r="VQ1" s="98" t="s">
        <v>158</v>
      </c>
      <c r="VR1" s="99"/>
      <c r="VS1" s="99"/>
      <c r="VT1" s="99"/>
      <c r="VU1" s="99"/>
      <c r="VV1" s="99"/>
      <c r="VW1" s="99"/>
      <c r="VX1" s="99"/>
      <c r="VY1" s="99"/>
      <c r="VZ1" s="99"/>
      <c r="WA1" s="99"/>
      <c r="WB1" s="99"/>
      <c r="WC1" s="99"/>
      <c r="WD1" s="99"/>
      <c r="WE1" s="99"/>
      <c r="WF1" s="99"/>
      <c r="WG1" s="99"/>
      <c r="WH1" s="99"/>
      <c r="WI1" s="99"/>
      <c r="WJ1" s="99"/>
      <c r="WK1" s="99"/>
      <c r="WL1" s="99"/>
      <c r="WM1" s="99"/>
      <c r="WN1" s="99"/>
      <c r="WO1" s="99"/>
      <c r="WP1" s="99"/>
      <c r="WQ1" s="99"/>
      <c r="WR1" s="99"/>
      <c r="WS1" s="99"/>
      <c r="WT1" s="99"/>
      <c r="WU1" s="99"/>
      <c r="WV1" s="99"/>
      <c r="WW1" s="99"/>
      <c r="WX1" s="99"/>
      <c r="WY1" s="99"/>
      <c r="WZ1" s="99"/>
      <c r="XA1" s="99"/>
      <c r="XB1" s="99"/>
      <c r="XC1" s="99"/>
      <c r="XD1" s="99"/>
      <c r="XE1" s="99"/>
      <c r="XF1" s="99"/>
      <c r="XG1" s="99"/>
      <c r="XH1" s="99"/>
      <c r="XI1" s="99"/>
      <c r="XJ1" s="99"/>
      <c r="XK1" s="99"/>
      <c r="XL1" s="99"/>
      <c r="XM1" s="99"/>
      <c r="XN1" s="99"/>
      <c r="XO1" s="99"/>
      <c r="XP1" s="99"/>
      <c r="XQ1" s="99"/>
      <c r="XR1" s="99"/>
      <c r="XS1" s="99"/>
      <c r="XT1" s="99"/>
      <c r="XU1" s="99"/>
      <c r="XV1" s="99"/>
      <c r="XW1" s="99"/>
      <c r="XX1" s="99"/>
      <c r="XY1" s="100"/>
      <c r="XZ1" s="98" t="s">
        <v>159</v>
      </c>
      <c r="YA1" s="99"/>
      <c r="YB1" s="99"/>
      <c r="YC1" s="99"/>
      <c r="YD1" s="99"/>
      <c r="YE1" s="99"/>
      <c r="YF1" s="99"/>
      <c r="YG1" s="99"/>
      <c r="YH1" s="99"/>
      <c r="YI1" s="99"/>
      <c r="YJ1" s="99"/>
      <c r="YK1" s="99"/>
      <c r="YL1" s="99"/>
      <c r="YM1" s="99"/>
      <c r="YN1" s="99"/>
      <c r="YO1" s="99"/>
      <c r="YP1" s="99"/>
      <c r="YQ1" s="99"/>
      <c r="YR1" s="99"/>
      <c r="YS1" s="99"/>
      <c r="YT1" s="99"/>
      <c r="YU1" s="99"/>
      <c r="YV1" s="99"/>
      <c r="YW1" s="99"/>
      <c r="YX1" s="99"/>
      <c r="YY1" s="99"/>
      <c r="YZ1" s="99"/>
      <c r="ZA1" s="99"/>
      <c r="ZB1" s="99"/>
      <c r="ZC1" s="99"/>
      <c r="ZD1" s="99"/>
      <c r="ZE1" s="99"/>
      <c r="ZF1" s="99"/>
      <c r="ZG1" s="99"/>
      <c r="ZH1" s="99"/>
      <c r="ZI1" s="99"/>
      <c r="ZJ1" s="99"/>
      <c r="ZK1" s="99"/>
      <c r="ZL1" s="99"/>
      <c r="ZM1" s="99"/>
      <c r="ZN1" s="99"/>
      <c r="ZO1" s="99"/>
      <c r="ZP1" s="99"/>
      <c r="ZQ1" s="99"/>
      <c r="ZR1" s="99"/>
      <c r="ZS1" s="99"/>
      <c r="ZT1" s="99"/>
      <c r="ZU1" s="99"/>
      <c r="ZV1" s="99"/>
      <c r="ZW1" s="99"/>
      <c r="ZX1" s="99"/>
      <c r="ZY1" s="99"/>
      <c r="ZZ1" s="99"/>
      <c r="AAA1" s="99"/>
      <c r="AAB1" s="99"/>
      <c r="AAC1" s="99"/>
      <c r="AAD1" s="99"/>
      <c r="AAE1" s="99"/>
      <c r="AAF1" s="99"/>
      <c r="AAG1" s="99"/>
      <c r="AAH1" s="100"/>
      <c r="AAI1" s="98" t="s">
        <v>160</v>
      </c>
      <c r="AAJ1" s="99"/>
      <c r="AAK1" s="99"/>
      <c r="AAL1" s="99"/>
      <c r="AAM1" s="99"/>
      <c r="AAN1" s="99"/>
      <c r="AAO1" s="99"/>
      <c r="AAP1" s="99"/>
      <c r="AAQ1" s="99"/>
      <c r="AAR1" s="99"/>
      <c r="AAS1" s="99"/>
      <c r="AAT1" s="99"/>
      <c r="AAU1" s="99"/>
      <c r="AAV1" s="99"/>
      <c r="AAW1" s="99"/>
      <c r="AAX1" s="99"/>
      <c r="AAY1" s="99"/>
      <c r="AAZ1" s="99"/>
      <c r="ABA1" s="99"/>
      <c r="ABB1" s="99"/>
      <c r="ABC1" s="99"/>
      <c r="ABD1" s="99"/>
      <c r="ABE1" s="99"/>
      <c r="ABF1" s="99"/>
      <c r="ABG1" s="99"/>
      <c r="ABH1" s="99"/>
      <c r="ABI1" s="99"/>
      <c r="ABJ1" s="99"/>
      <c r="ABK1" s="99"/>
      <c r="ABL1" s="99"/>
      <c r="ABM1" s="99"/>
      <c r="ABN1" s="99"/>
      <c r="ABO1" s="99"/>
      <c r="ABP1" s="99"/>
      <c r="ABQ1" s="99"/>
      <c r="ABR1" s="99"/>
      <c r="ABS1" s="99"/>
      <c r="ABT1" s="99"/>
      <c r="ABU1" s="99"/>
      <c r="ABV1" s="99"/>
      <c r="ABW1" s="99"/>
      <c r="ABX1" s="99"/>
      <c r="ABY1" s="99"/>
      <c r="ABZ1" s="99"/>
      <c r="ACA1" s="99"/>
      <c r="ACB1" s="99"/>
      <c r="ACC1" s="99"/>
      <c r="ACD1" s="99"/>
      <c r="ACE1" s="99"/>
      <c r="ACF1" s="99"/>
      <c r="ACG1" s="99"/>
      <c r="ACH1" s="99"/>
      <c r="ACI1" s="99"/>
      <c r="ACJ1" s="99"/>
      <c r="ACK1" s="99"/>
      <c r="ACL1" s="99"/>
      <c r="ACM1" s="99"/>
      <c r="ACN1" s="99"/>
      <c r="ACO1" s="99"/>
      <c r="ACP1" s="99"/>
      <c r="ACQ1" s="100"/>
      <c r="ACR1" s="95" t="s">
        <v>161</v>
      </c>
      <c r="ACS1" s="96"/>
      <c r="ACT1" s="96"/>
      <c r="ACU1" s="96"/>
      <c r="ACV1" s="96"/>
      <c r="ACW1" s="96"/>
      <c r="ACX1" s="96"/>
      <c r="ACY1" s="96"/>
      <c r="ACZ1" s="96"/>
      <c r="ADA1" s="96"/>
      <c r="ADB1" s="96"/>
      <c r="ADC1" s="96"/>
      <c r="ADD1" s="96"/>
      <c r="ADE1" s="96"/>
      <c r="ADF1" s="96"/>
      <c r="ADG1" s="96"/>
      <c r="ADH1" s="96"/>
      <c r="ADI1" s="96"/>
      <c r="ADJ1" s="96"/>
      <c r="ADK1" s="96"/>
      <c r="ADL1" s="96"/>
      <c r="ADM1" s="96"/>
      <c r="ADN1" s="96"/>
      <c r="ADO1" s="96"/>
      <c r="ADP1" s="96"/>
      <c r="ADQ1" s="96"/>
      <c r="ADR1" s="96"/>
      <c r="ADS1" s="96"/>
      <c r="ADT1" s="97"/>
      <c r="ADU1" s="101" t="s">
        <v>162</v>
      </c>
      <c r="ADV1" s="102"/>
      <c r="ADW1" s="102"/>
      <c r="ADX1" s="102"/>
      <c r="ADY1" s="102"/>
      <c r="ADZ1" s="102"/>
      <c r="AEA1" s="102"/>
      <c r="AEB1" s="102"/>
      <c r="AEC1" s="102"/>
      <c r="AED1" s="102"/>
      <c r="AEE1" s="102"/>
      <c r="AEF1" s="102"/>
      <c r="AEG1" s="102"/>
      <c r="AEH1" s="102"/>
      <c r="AEI1" s="102"/>
      <c r="AEJ1" s="102"/>
      <c r="AEK1" s="102"/>
      <c r="AEL1" s="102"/>
      <c r="AEM1" s="102"/>
      <c r="AEN1" s="102"/>
      <c r="AEO1" s="102"/>
      <c r="AEP1" s="102"/>
      <c r="AEQ1" s="102"/>
      <c r="AER1" s="102"/>
      <c r="AES1" s="102"/>
      <c r="AET1" s="102"/>
      <c r="AEU1" s="102"/>
      <c r="AEV1" s="102"/>
      <c r="AEW1" s="102"/>
      <c r="AEX1" s="102"/>
      <c r="AEY1" s="102"/>
      <c r="AEZ1" s="102"/>
      <c r="AFA1" s="102"/>
      <c r="AFB1" s="102"/>
      <c r="AFC1" s="102"/>
      <c r="AFD1" s="102"/>
      <c r="AFE1" s="102"/>
      <c r="AFF1" s="102"/>
      <c r="AFG1" s="102"/>
      <c r="AFH1" s="102"/>
      <c r="AFI1" s="102"/>
      <c r="AFJ1" s="102"/>
      <c r="AFK1" s="102"/>
      <c r="AFL1" s="102"/>
      <c r="AFM1" s="102"/>
      <c r="AFN1" s="102"/>
      <c r="AFO1" s="102"/>
      <c r="AFP1" s="102"/>
      <c r="AFQ1" s="102"/>
      <c r="AFR1" s="102"/>
      <c r="AFS1" s="102"/>
      <c r="AFT1" s="102"/>
      <c r="AFU1" s="102"/>
      <c r="AFV1" s="102"/>
      <c r="AFW1" s="102"/>
      <c r="AFX1" s="102"/>
      <c r="AFY1" s="102"/>
      <c r="AFZ1" s="102"/>
      <c r="AGA1" s="103"/>
      <c r="AGB1" s="116" t="s">
        <v>163</v>
      </c>
      <c r="AGC1" s="116"/>
      <c r="AGD1" s="116"/>
      <c r="AGE1" s="113" t="s">
        <v>164</v>
      </c>
      <c r="AGF1" s="114"/>
      <c r="AGG1" s="114"/>
      <c r="AGH1" s="114"/>
      <c r="AGI1" s="114"/>
      <c r="AGJ1" s="114"/>
      <c r="AGK1" s="114"/>
      <c r="AGL1" s="114"/>
      <c r="AGM1" s="114"/>
      <c r="AGN1" s="114"/>
      <c r="AGO1" s="114"/>
      <c r="AGP1" s="114"/>
      <c r="AGQ1" s="114"/>
      <c r="AGR1" s="114"/>
      <c r="AGS1" s="114"/>
      <c r="AGT1" s="114"/>
      <c r="AGU1" s="114"/>
      <c r="AGV1" s="114"/>
      <c r="AGW1" s="114"/>
      <c r="AGX1" s="114"/>
      <c r="AGY1" s="114"/>
      <c r="AGZ1" s="114"/>
      <c r="AHA1" s="114"/>
      <c r="AHB1" s="114"/>
      <c r="AHC1" s="114"/>
      <c r="AHD1" s="114"/>
      <c r="AHE1" s="114"/>
      <c r="AHF1" s="114"/>
      <c r="AHG1" s="115"/>
      <c r="AHH1" s="94" t="s">
        <v>165</v>
      </c>
      <c r="AHI1" s="94"/>
      <c r="AHJ1" s="94"/>
      <c r="AHK1" s="94"/>
      <c r="AHL1" s="94"/>
      <c r="AHM1" s="94"/>
      <c r="AHN1" s="94"/>
      <c r="AHO1" s="94"/>
      <c r="AHP1" s="94"/>
      <c r="AHQ1" s="94"/>
      <c r="AHR1" s="94"/>
      <c r="AHS1" s="94"/>
      <c r="AHT1" s="94"/>
      <c r="AHU1" s="94"/>
      <c r="AHV1" s="94"/>
      <c r="AHW1" s="94"/>
      <c r="AHX1" s="94"/>
      <c r="AHY1" s="94"/>
      <c r="AHZ1" s="94"/>
      <c r="AIA1" s="94"/>
      <c r="AIB1" s="94"/>
      <c r="AIC1" s="94"/>
      <c r="AID1" s="94"/>
      <c r="AIE1" s="94"/>
      <c r="AIF1" s="94"/>
      <c r="AIG1" s="94"/>
      <c r="AIH1" s="94"/>
      <c r="AII1" s="94"/>
      <c r="AIJ1" s="94"/>
      <c r="AIK1" s="94" t="s">
        <v>166</v>
      </c>
      <c r="AIL1" s="94"/>
      <c r="AIM1" s="94"/>
      <c r="AIN1" s="94"/>
      <c r="AIO1" s="94"/>
      <c r="AIP1" s="94"/>
      <c r="AIQ1" s="94"/>
      <c r="AIR1" s="94"/>
      <c r="AIS1" s="94"/>
      <c r="AIT1" s="94"/>
      <c r="AIU1" s="94"/>
      <c r="AIV1" s="94"/>
      <c r="AIW1" s="94"/>
      <c r="AIX1" s="94"/>
      <c r="AIY1" s="94"/>
      <c r="AIZ1" s="94"/>
      <c r="AJA1" s="94"/>
      <c r="AJB1" s="94"/>
      <c r="AJC1" s="94"/>
      <c r="AJD1" s="94"/>
      <c r="AJE1" s="94"/>
      <c r="AJF1" s="94"/>
      <c r="AJG1" s="94"/>
      <c r="AJH1" s="94"/>
      <c r="AJI1" s="94"/>
      <c r="AJJ1" s="94"/>
      <c r="AJK1" s="94"/>
      <c r="AJL1" s="94"/>
      <c r="AJM1" s="94"/>
      <c r="AJN1" s="94" t="s">
        <v>167</v>
      </c>
      <c r="AJO1" s="94"/>
      <c r="AJP1" s="94"/>
      <c r="AJQ1" s="94"/>
      <c r="AJR1" s="94"/>
      <c r="AJS1" s="94"/>
      <c r="AJT1" s="94"/>
      <c r="AJU1" s="94"/>
      <c r="AJV1" s="94"/>
      <c r="AJW1" s="94"/>
      <c r="AJX1" s="94"/>
      <c r="AJY1" s="94"/>
      <c r="AJZ1" s="94"/>
      <c r="AKA1" s="94"/>
      <c r="AKB1" s="94"/>
      <c r="AKC1" s="94"/>
      <c r="AKD1" s="94"/>
      <c r="AKE1" s="94"/>
      <c r="AKF1" s="94"/>
      <c r="AKG1" s="94"/>
      <c r="AKH1" s="94"/>
      <c r="AKI1" s="94"/>
      <c r="AKJ1" s="94"/>
      <c r="AKK1" s="94"/>
      <c r="AKL1" s="94"/>
      <c r="AKM1" s="94"/>
      <c r="AKN1" s="94"/>
      <c r="AKO1" s="94"/>
      <c r="AKP1" s="94"/>
      <c r="AKQ1" s="94" t="s">
        <v>168</v>
      </c>
      <c r="AKR1" s="94"/>
      <c r="AKS1" s="94"/>
      <c r="AKT1" s="94"/>
      <c r="AKU1" s="94"/>
      <c r="AKV1" s="94"/>
      <c r="AKW1" s="94"/>
      <c r="AKX1" s="94"/>
      <c r="AKY1" s="94"/>
      <c r="AKZ1" s="94"/>
      <c r="ALA1" s="94"/>
      <c r="ALB1" s="94"/>
      <c r="ALC1" s="94"/>
      <c r="ALD1" s="94"/>
      <c r="ALE1" s="94"/>
      <c r="ALF1" s="94"/>
      <c r="ALG1" s="94"/>
      <c r="ALH1" s="94"/>
      <c r="ALI1" s="94"/>
      <c r="ALJ1" s="94"/>
      <c r="ALK1" s="94"/>
      <c r="ALL1" s="94"/>
      <c r="ALM1" s="94"/>
      <c r="ALN1" s="94"/>
      <c r="ALO1" s="94"/>
      <c r="ALP1" s="94"/>
      <c r="ALQ1" s="94"/>
      <c r="ALR1" s="94"/>
      <c r="ALS1" s="94"/>
      <c r="ALT1" s="94" t="s">
        <v>169</v>
      </c>
      <c r="ALU1" s="94"/>
      <c r="ALV1" s="94"/>
      <c r="ALW1" s="94"/>
      <c r="ALX1" s="94"/>
      <c r="ALY1" s="94"/>
      <c r="ALZ1" s="94"/>
      <c r="AMA1" s="94"/>
      <c r="AMB1" s="94"/>
      <c r="AMC1" s="94"/>
      <c r="AMD1" s="94"/>
      <c r="AME1" s="94"/>
      <c r="AMF1" s="94"/>
      <c r="AMG1" s="94"/>
      <c r="AMH1" s="94"/>
      <c r="AMI1" s="94"/>
      <c r="AMJ1" s="94"/>
      <c r="AMK1" s="94"/>
      <c r="AML1" s="94"/>
      <c r="AMM1" s="94"/>
      <c r="AMN1" s="94"/>
      <c r="AMO1" s="94"/>
      <c r="AMP1" s="94"/>
      <c r="AMQ1" s="94"/>
      <c r="AMR1" s="94"/>
      <c r="AMS1" s="94"/>
      <c r="AMT1" s="94"/>
      <c r="AMU1" s="94"/>
      <c r="AMV1" s="94"/>
      <c r="AMW1" s="94" t="s">
        <v>170</v>
      </c>
      <c r="AMX1" s="94"/>
      <c r="AMY1" s="94"/>
      <c r="AMZ1" s="94"/>
      <c r="ANA1" s="94"/>
      <c r="ANB1" s="94"/>
      <c r="ANC1" s="94"/>
      <c r="AND1" s="94"/>
      <c r="ANE1" s="94"/>
      <c r="ANF1" s="94"/>
      <c r="ANG1" s="94"/>
      <c r="ANH1" s="94"/>
      <c r="ANI1" s="94"/>
      <c r="ANJ1" s="94"/>
      <c r="ANK1" s="94"/>
      <c r="ANL1" s="94"/>
      <c r="ANM1" s="94"/>
      <c r="ANN1" s="94"/>
      <c r="ANO1" s="94"/>
      <c r="ANP1" s="94"/>
      <c r="ANQ1" s="94"/>
      <c r="ANR1" s="94"/>
      <c r="ANS1" s="94"/>
      <c r="ANT1" s="94"/>
      <c r="ANU1" s="94"/>
      <c r="ANV1" s="94"/>
      <c r="ANW1" s="94"/>
      <c r="ANX1" s="94"/>
      <c r="ANY1" s="94"/>
      <c r="ANZ1" s="94" t="s">
        <v>171</v>
      </c>
      <c r="AOA1" s="94"/>
      <c r="AOB1" s="94"/>
      <c r="AOC1" s="94"/>
      <c r="AOD1" s="94"/>
      <c r="AOE1" s="94"/>
      <c r="AOF1" s="94"/>
      <c r="AOG1" s="94"/>
      <c r="AOH1" s="94"/>
      <c r="AOI1" s="94"/>
      <c r="AOJ1" s="94"/>
      <c r="AOK1" s="94"/>
      <c r="AOL1" s="94"/>
      <c r="AOM1" s="94"/>
      <c r="AON1" s="94"/>
      <c r="AOO1" s="94"/>
      <c r="AOP1" s="94"/>
      <c r="AOQ1" s="94"/>
      <c r="AOR1" s="94"/>
      <c r="AOS1" s="94"/>
      <c r="AOT1" s="94"/>
      <c r="AOU1" s="94"/>
      <c r="AOV1" s="94"/>
      <c r="AOW1" s="94"/>
      <c r="AOX1" s="94"/>
      <c r="AOY1" s="94"/>
      <c r="AOZ1" s="94"/>
      <c r="APA1" s="94"/>
      <c r="APB1" s="94"/>
      <c r="APC1" s="94" t="s">
        <v>172</v>
      </c>
      <c r="APD1" s="94"/>
      <c r="APE1" s="94"/>
      <c r="APF1" s="94"/>
      <c r="APG1" s="94"/>
      <c r="APH1" s="94"/>
      <c r="API1" s="94"/>
      <c r="APJ1" s="94"/>
      <c r="APK1" s="94"/>
      <c r="APL1" s="94"/>
      <c r="APM1" s="94"/>
      <c r="APN1" s="94"/>
      <c r="APO1" s="94"/>
      <c r="APP1" s="94"/>
      <c r="APQ1" s="94"/>
      <c r="APR1" s="94"/>
      <c r="APS1" s="94"/>
      <c r="APT1" s="94"/>
      <c r="APU1" s="94"/>
      <c r="APV1" s="94"/>
      <c r="APW1" s="94"/>
      <c r="APX1" s="94"/>
      <c r="APY1" s="94"/>
      <c r="APZ1" s="94"/>
      <c r="AQA1" s="94"/>
      <c r="AQB1" s="94"/>
      <c r="AQC1" s="94"/>
      <c r="AQD1" s="94"/>
      <c r="AQE1" s="94"/>
      <c r="AQF1" s="94" t="s">
        <v>173</v>
      </c>
      <c r="AQG1" s="94"/>
      <c r="AQH1" s="94"/>
      <c r="AQI1" s="94"/>
      <c r="AQJ1" s="94"/>
      <c r="AQK1" s="94"/>
      <c r="AQL1" s="94"/>
      <c r="AQM1" s="94"/>
      <c r="AQN1" s="94"/>
      <c r="AQO1" s="94"/>
      <c r="AQP1" s="94"/>
      <c r="AQQ1" s="94"/>
      <c r="AQR1" s="94"/>
      <c r="AQS1" s="94"/>
      <c r="AQT1" s="94"/>
      <c r="AQU1" s="94"/>
      <c r="AQV1" s="94"/>
      <c r="AQW1" s="94"/>
      <c r="AQX1" s="94"/>
      <c r="AQY1" s="94"/>
      <c r="AQZ1" s="94"/>
      <c r="ARA1" s="94"/>
      <c r="ARB1" s="94"/>
      <c r="ARC1" s="94"/>
      <c r="ARD1" s="94"/>
      <c r="ARE1" s="94"/>
      <c r="ARF1" s="94"/>
      <c r="ARG1" s="94"/>
      <c r="ARH1" s="94"/>
      <c r="ARI1" s="94" t="s">
        <v>174</v>
      </c>
      <c r="ARJ1" s="94"/>
      <c r="ARK1" s="94"/>
      <c r="ARL1" s="94"/>
      <c r="ARM1" s="94"/>
      <c r="ARN1" s="94"/>
      <c r="ARO1" s="94"/>
      <c r="ARP1" s="94"/>
      <c r="ARQ1" s="94"/>
      <c r="ARR1" s="94"/>
      <c r="ARS1" s="94"/>
      <c r="ART1" s="94"/>
      <c r="ARU1" s="94"/>
      <c r="ARV1" s="94"/>
      <c r="ARW1" s="94"/>
      <c r="ARX1" s="94"/>
      <c r="ARY1" s="94"/>
      <c r="ARZ1" s="94"/>
      <c r="ASA1" s="94"/>
      <c r="ASB1" s="94"/>
      <c r="ASC1" s="94"/>
      <c r="ASD1" s="94"/>
      <c r="ASE1" s="94"/>
      <c r="ASF1" s="94"/>
      <c r="ASG1" s="94"/>
      <c r="ASH1" s="94"/>
      <c r="ASI1" s="94"/>
      <c r="ASJ1" s="94"/>
      <c r="ASK1" s="94"/>
      <c r="ASL1" s="94" t="s">
        <v>175</v>
      </c>
      <c r="ASM1" s="94"/>
      <c r="ASN1" s="94"/>
      <c r="ASO1" s="94"/>
      <c r="ASP1" s="94"/>
      <c r="ASQ1" s="94"/>
      <c r="ASR1" s="94"/>
      <c r="ASS1" s="94"/>
      <c r="AST1" s="94"/>
      <c r="ASU1" s="94"/>
      <c r="ASV1" s="94"/>
      <c r="ASW1" s="94"/>
      <c r="ASX1" s="94"/>
      <c r="ASY1" s="94"/>
      <c r="ASZ1" s="94"/>
      <c r="ATA1" s="94"/>
      <c r="ATB1" s="94"/>
      <c r="ATC1" s="94"/>
      <c r="ATD1" s="94"/>
      <c r="ATE1" s="94"/>
      <c r="ATF1" s="94"/>
      <c r="ATG1" s="94"/>
      <c r="ATH1" s="94"/>
      <c r="ATI1" s="94"/>
      <c r="ATJ1" s="94"/>
      <c r="ATK1" s="94"/>
      <c r="ATL1" s="94"/>
      <c r="ATM1" s="94"/>
      <c r="ATN1" s="94"/>
      <c r="ATO1" s="94" t="s">
        <v>176</v>
      </c>
      <c r="ATP1" s="94"/>
      <c r="ATQ1" s="94"/>
      <c r="ATR1" s="94"/>
      <c r="ATS1" s="94"/>
      <c r="ATT1" s="94"/>
      <c r="ATU1" s="94"/>
      <c r="ATV1" s="94"/>
      <c r="ATW1" s="94"/>
      <c r="ATX1" s="94"/>
      <c r="ATY1" s="94"/>
      <c r="ATZ1" s="94"/>
      <c r="AUA1" s="94"/>
      <c r="AUB1" s="94"/>
      <c r="AUC1" s="94"/>
      <c r="AUD1" s="94"/>
      <c r="AUE1" s="94"/>
      <c r="AUF1" s="94"/>
      <c r="AUG1" s="94"/>
      <c r="AUH1" s="94"/>
      <c r="AUI1" s="94"/>
      <c r="AUJ1" s="94"/>
      <c r="AUK1" s="94"/>
      <c r="AUL1" s="94"/>
      <c r="AUM1" s="94"/>
      <c r="AUN1" s="94"/>
      <c r="AUO1" s="94"/>
      <c r="AUP1" s="94"/>
      <c r="AUQ1" s="94"/>
      <c r="AUR1" s="94" t="s">
        <v>177</v>
      </c>
      <c r="AUS1" s="94"/>
      <c r="AUT1" s="94"/>
      <c r="AUU1" s="94"/>
      <c r="AUV1" s="94"/>
      <c r="AUW1" s="94"/>
      <c r="AUX1" s="94"/>
      <c r="AUY1" s="94"/>
      <c r="AUZ1" s="94"/>
      <c r="AVA1" s="94"/>
      <c r="AVB1" s="94"/>
      <c r="AVC1" s="94"/>
      <c r="AVD1" s="94"/>
      <c r="AVE1" s="94"/>
      <c r="AVF1" s="94"/>
      <c r="AVG1" s="94"/>
      <c r="AVH1" s="94"/>
      <c r="AVI1" s="94"/>
      <c r="AVJ1" s="94"/>
      <c r="AVK1" s="94"/>
      <c r="AVL1" s="94"/>
      <c r="AVM1" s="94"/>
      <c r="AVN1" s="94"/>
      <c r="AVO1" s="94"/>
      <c r="AVP1" s="94"/>
      <c r="AVQ1" s="94"/>
      <c r="AVR1" s="94"/>
      <c r="AVS1" s="94"/>
      <c r="AVT1" s="94"/>
      <c r="AVU1" s="94" t="s">
        <v>178</v>
      </c>
      <c r="AVV1" s="94"/>
      <c r="AVW1" s="94"/>
      <c r="AVX1" s="94"/>
      <c r="AVY1" s="94"/>
      <c r="AVZ1" s="94"/>
      <c r="AWA1" s="94"/>
      <c r="AWB1" s="94"/>
      <c r="AWC1" s="94"/>
      <c r="AWD1" s="94"/>
      <c r="AWE1" s="94"/>
      <c r="AWF1" s="94"/>
      <c r="AWG1" s="94"/>
      <c r="AWH1" s="94"/>
      <c r="AWI1" s="94"/>
      <c r="AWJ1" s="94"/>
      <c r="AWK1" s="94"/>
      <c r="AWL1" s="94"/>
      <c r="AWM1" s="94"/>
      <c r="AWN1" s="94"/>
      <c r="AWO1" s="94"/>
      <c r="AWP1" s="94"/>
      <c r="AWQ1" s="94"/>
      <c r="AWR1" s="94"/>
      <c r="AWS1" s="94"/>
      <c r="AWT1" s="94"/>
      <c r="AWU1" s="94"/>
      <c r="AWV1" s="94"/>
      <c r="AWW1" s="94"/>
      <c r="AWX1" s="94" t="s">
        <v>179</v>
      </c>
      <c r="AWY1" s="94"/>
      <c r="AWZ1" s="94"/>
      <c r="AXA1" s="94"/>
      <c r="AXB1" s="94"/>
      <c r="AXC1" s="94"/>
      <c r="AXD1" s="94"/>
      <c r="AXE1" s="94"/>
      <c r="AXF1" s="94"/>
      <c r="AXG1" s="94"/>
      <c r="AXH1" s="94"/>
      <c r="AXI1" s="94"/>
      <c r="AXJ1" s="94"/>
      <c r="AXK1" s="94"/>
      <c r="AXL1" s="94"/>
      <c r="AXM1" s="94"/>
      <c r="AXN1" s="94"/>
      <c r="AXO1" s="94"/>
      <c r="AXP1" s="94"/>
      <c r="AXQ1" s="94"/>
      <c r="AXR1" s="94"/>
      <c r="AXS1" s="94"/>
      <c r="AXT1" s="94"/>
      <c r="AXU1" s="94"/>
      <c r="AXV1" s="94"/>
      <c r="AXW1" s="94"/>
      <c r="AXX1" s="94"/>
      <c r="AXY1" s="94"/>
      <c r="AXZ1" s="94"/>
      <c r="AYA1" s="94" t="s">
        <v>180</v>
      </c>
      <c r="AYB1" s="94"/>
      <c r="AYC1" s="94"/>
      <c r="AYD1" s="94"/>
      <c r="AYE1" s="94"/>
      <c r="AYF1" s="94"/>
      <c r="AYG1" s="94"/>
      <c r="AYH1" s="94"/>
      <c r="AYI1" s="94"/>
      <c r="AYJ1" s="94"/>
      <c r="AYK1" s="94"/>
      <c r="AYL1" s="94"/>
      <c r="AYM1" s="94"/>
      <c r="AYN1" s="94"/>
      <c r="AYO1" s="94"/>
      <c r="AYP1" s="94"/>
      <c r="AYQ1" s="94"/>
      <c r="AYR1" s="94"/>
      <c r="AYS1" s="94"/>
      <c r="AYT1" s="94"/>
      <c r="AYU1" s="94"/>
      <c r="AYV1" s="94"/>
      <c r="AYW1" s="94"/>
      <c r="AYX1" s="94"/>
      <c r="AYY1" s="94"/>
      <c r="AYZ1" s="94"/>
      <c r="AZA1" s="94"/>
      <c r="AZB1" s="94"/>
      <c r="AZC1" s="94"/>
      <c r="AZD1" s="94" t="s">
        <v>181</v>
      </c>
      <c r="AZE1" s="94"/>
      <c r="AZF1" s="94"/>
      <c r="AZG1" s="94"/>
      <c r="AZH1" s="94"/>
      <c r="AZI1" s="94"/>
      <c r="AZJ1" s="94"/>
      <c r="AZK1" s="94"/>
      <c r="AZL1" s="94"/>
      <c r="AZM1" s="94"/>
      <c r="AZN1" s="94"/>
      <c r="AZO1" s="94"/>
      <c r="AZP1" s="94"/>
      <c r="AZQ1" s="94"/>
      <c r="AZR1" s="94"/>
      <c r="AZS1" s="94"/>
      <c r="AZT1" s="94"/>
      <c r="AZU1" s="94"/>
      <c r="AZV1" s="94"/>
      <c r="AZW1" s="94"/>
      <c r="AZX1" s="94"/>
      <c r="AZY1" s="94"/>
      <c r="AZZ1" s="94"/>
      <c r="BAA1" s="94"/>
      <c r="BAB1" s="94"/>
      <c r="BAC1" s="94"/>
      <c r="BAD1" s="94"/>
      <c r="BAE1" s="94"/>
      <c r="BAF1" s="94"/>
      <c r="BAG1" s="94" t="s">
        <v>182</v>
      </c>
      <c r="BAH1" s="94"/>
      <c r="BAI1" s="94"/>
      <c r="BAJ1" s="94"/>
      <c r="BAK1" s="94"/>
      <c r="BAL1" s="94"/>
      <c r="BAM1" s="94"/>
      <c r="BAN1" s="94"/>
      <c r="BAO1" s="94"/>
      <c r="BAP1" s="94"/>
      <c r="BAQ1" s="94"/>
      <c r="BAR1" s="94"/>
      <c r="BAS1" s="94"/>
      <c r="BAT1" s="94"/>
      <c r="BAU1" s="94"/>
      <c r="BAV1" s="94"/>
      <c r="BAW1" s="94"/>
      <c r="BAX1" s="94"/>
      <c r="BAY1" s="94"/>
      <c r="BAZ1" s="94"/>
      <c r="BBA1" s="94"/>
      <c r="BBB1" s="94"/>
      <c r="BBC1" s="94"/>
      <c r="BBD1" s="94"/>
      <c r="BBE1" s="94"/>
      <c r="BBF1" s="94"/>
      <c r="BBG1" s="94"/>
      <c r="BBH1" s="94"/>
      <c r="BBI1" s="94"/>
      <c r="BBJ1" s="94" t="s">
        <v>183</v>
      </c>
      <c r="BBK1" s="94"/>
      <c r="BBL1" s="94"/>
      <c r="BBM1" s="94"/>
      <c r="BBN1" s="94"/>
      <c r="BBO1" s="94"/>
      <c r="BBP1" s="94"/>
      <c r="BBQ1" s="94"/>
      <c r="BBR1" s="94"/>
      <c r="BBS1" s="94"/>
      <c r="BBT1" s="94"/>
      <c r="BBU1" s="94"/>
      <c r="BBV1" s="94"/>
      <c r="BBW1" s="94"/>
      <c r="BBX1" s="94"/>
      <c r="BBY1" s="94"/>
      <c r="BBZ1" s="94"/>
      <c r="BCA1" s="94"/>
      <c r="BCB1" s="94"/>
      <c r="BCC1" s="94"/>
      <c r="BCD1" s="94"/>
      <c r="BCE1" s="94"/>
      <c r="BCF1" s="94"/>
      <c r="BCG1" s="94"/>
      <c r="BCH1" s="94"/>
      <c r="BCI1" s="94"/>
      <c r="BCJ1" s="94"/>
      <c r="BCK1" s="94"/>
      <c r="BCL1" s="94"/>
      <c r="BCM1" s="94" t="s">
        <v>184</v>
      </c>
      <c r="BCN1" s="94"/>
      <c r="BCO1" s="94"/>
      <c r="BCP1" s="94"/>
      <c r="BCQ1" s="94"/>
      <c r="BCR1" s="94"/>
      <c r="BCS1" s="94"/>
      <c r="BCT1" s="94"/>
      <c r="BCU1" s="94"/>
      <c r="BCV1" s="94"/>
      <c r="BCW1" s="94"/>
      <c r="BCX1" s="94"/>
      <c r="BCY1" s="94"/>
      <c r="BCZ1" s="94"/>
      <c r="BDA1" s="94"/>
      <c r="BDB1" s="94"/>
      <c r="BDC1" s="94"/>
      <c r="BDD1" s="94"/>
      <c r="BDE1" s="94"/>
      <c r="BDF1" s="94"/>
      <c r="BDG1" s="94"/>
      <c r="BDH1" s="94"/>
      <c r="BDI1" s="94"/>
      <c r="BDJ1" s="94"/>
      <c r="BDK1" s="94"/>
      <c r="BDL1" s="94"/>
      <c r="BDM1" s="94"/>
      <c r="BDN1" s="94"/>
      <c r="BDO1" s="94"/>
      <c r="BDP1" s="94" t="s">
        <v>185</v>
      </c>
      <c r="BDQ1" s="94"/>
      <c r="BDR1" s="94"/>
      <c r="BDS1" s="94"/>
      <c r="BDT1" s="94"/>
      <c r="BDU1" s="94"/>
      <c r="BDV1" s="94"/>
      <c r="BDW1" s="94"/>
      <c r="BDX1" s="94"/>
      <c r="BDY1" s="94"/>
      <c r="BDZ1" s="94"/>
      <c r="BEA1" s="94"/>
      <c r="BEB1" s="94"/>
      <c r="BEC1" s="94"/>
      <c r="BED1" s="94"/>
      <c r="BEE1" s="94"/>
      <c r="BEF1" s="94"/>
      <c r="BEG1" s="94"/>
      <c r="BEH1" s="94"/>
      <c r="BEI1" s="94"/>
      <c r="BEJ1" s="94"/>
      <c r="BEK1" s="94"/>
      <c r="BEL1" s="94"/>
      <c r="BEM1" s="94"/>
      <c r="BEN1" s="94"/>
      <c r="BEO1" s="94"/>
      <c r="BEP1" s="94"/>
      <c r="BEQ1" s="94"/>
      <c r="BER1" s="94"/>
      <c r="BES1" s="94" t="s">
        <v>186</v>
      </c>
      <c r="BET1" s="94"/>
      <c r="BEU1" s="94"/>
      <c r="BEV1" s="94"/>
      <c r="BEW1" s="94"/>
      <c r="BEX1" s="94"/>
      <c r="BEY1" s="94"/>
      <c r="BEZ1" s="94"/>
      <c r="BFA1" s="94"/>
      <c r="BFB1" s="94"/>
      <c r="BFC1" s="94"/>
      <c r="BFD1" s="94"/>
      <c r="BFE1" s="94"/>
      <c r="BFF1" s="94"/>
      <c r="BFG1" s="94"/>
      <c r="BFH1" s="94"/>
      <c r="BFI1" s="94"/>
      <c r="BFJ1" s="94"/>
      <c r="BFK1" s="94"/>
      <c r="BFL1" s="94"/>
      <c r="BFM1" s="94"/>
      <c r="BFN1" s="94"/>
      <c r="BFO1" s="94"/>
      <c r="BFP1" s="94"/>
      <c r="BFQ1" s="94"/>
      <c r="BFR1" s="94"/>
      <c r="BFS1" s="94"/>
      <c r="BFT1" s="94"/>
      <c r="BFU1" s="94"/>
      <c r="BFV1" s="94" t="s">
        <v>187</v>
      </c>
      <c r="BFW1" s="94"/>
      <c r="BFX1" s="94"/>
      <c r="BFY1" s="94"/>
      <c r="BFZ1" s="94"/>
      <c r="BGA1" s="94"/>
      <c r="BGB1" s="94"/>
      <c r="BGC1" s="94"/>
      <c r="BGD1" s="94"/>
      <c r="BGE1" s="94"/>
      <c r="BGF1" s="94"/>
      <c r="BGG1" s="94"/>
      <c r="BGH1" s="94"/>
      <c r="BGI1" s="94"/>
      <c r="BGJ1" s="94"/>
      <c r="BGK1" s="94"/>
      <c r="BGL1" s="94"/>
      <c r="BGM1" s="94"/>
      <c r="BGN1" s="94"/>
      <c r="BGO1" s="94"/>
      <c r="BGP1" s="94"/>
      <c r="BGQ1" s="94"/>
      <c r="BGR1" s="94"/>
      <c r="BGS1" s="94"/>
      <c r="BGT1" s="94"/>
      <c r="BGU1" s="94"/>
      <c r="BGV1" s="94"/>
      <c r="BGW1" s="94"/>
      <c r="BGX1" s="94"/>
      <c r="BGY1" s="94" t="s">
        <v>188</v>
      </c>
      <c r="BGZ1" s="94"/>
      <c r="BHA1" s="94"/>
      <c r="BHB1" s="94"/>
      <c r="BHC1" s="94"/>
      <c r="BHD1" s="94"/>
      <c r="BHE1" s="94"/>
      <c r="BHF1" s="94"/>
      <c r="BHG1" s="94"/>
      <c r="BHH1" s="94"/>
      <c r="BHI1" s="94"/>
      <c r="BHJ1" s="94"/>
      <c r="BHK1" s="94"/>
      <c r="BHL1" s="94"/>
      <c r="BHM1" s="94"/>
      <c r="BHN1" s="94"/>
      <c r="BHO1" s="94"/>
      <c r="BHP1" s="94"/>
      <c r="BHQ1" s="94"/>
      <c r="BHR1" s="94"/>
      <c r="BHS1" s="94"/>
      <c r="BHT1" s="94"/>
      <c r="BHU1" s="94"/>
      <c r="BHV1" s="94"/>
      <c r="BHW1" s="94"/>
      <c r="BHX1" s="94"/>
      <c r="BHY1" s="94"/>
      <c r="BHZ1" s="94"/>
      <c r="BIA1" s="94"/>
      <c r="BIB1" s="94" t="s">
        <v>189</v>
      </c>
      <c r="BIC1" s="94"/>
      <c r="BID1" s="94"/>
      <c r="BIE1" s="94"/>
      <c r="BIF1" s="94"/>
      <c r="BIG1" s="94"/>
      <c r="BIH1" s="94"/>
      <c r="BII1" s="94"/>
      <c r="BIJ1" s="94"/>
      <c r="BIK1" s="94"/>
      <c r="BIL1" s="94"/>
      <c r="BIM1" s="94"/>
      <c r="BIN1" s="94"/>
      <c r="BIO1" s="94"/>
      <c r="BIP1" s="94"/>
      <c r="BIQ1" s="94"/>
      <c r="BIR1" s="94"/>
      <c r="BIS1" s="94"/>
      <c r="BIT1" s="94"/>
      <c r="BIU1" s="94"/>
      <c r="BIV1" s="94"/>
      <c r="BIW1" s="94"/>
      <c r="BIX1" s="94"/>
      <c r="BIY1" s="94"/>
      <c r="BIZ1" s="94"/>
      <c r="BJA1" s="94"/>
      <c r="BJB1" s="94"/>
      <c r="BJC1" s="94"/>
      <c r="BJD1" s="94"/>
      <c r="BJE1" s="88" t="s">
        <v>190</v>
      </c>
      <c r="BJF1" s="88"/>
      <c r="BJG1" s="88"/>
      <c r="BJH1" s="88"/>
      <c r="BJI1" s="88"/>
      <c r="BJJ1" s="88"/>
      <c r="BJK1" s="88"/>
      <c r="BJL1" s="88"/>
      <c r="BJM1" s="88"/>
      <c r="BJN1" s="88"/>
      <c r="BJO1" s="88"/>
      <c r="BJP1" s="88"/>
      <c r="BJQ1" s="88"/>
      <c r="BJR1" s="88"/>
      <c r="BJS1" s="88"/>
      <c r="BJT1" s="88"/>
      <c r="BJU1" s="88"/>
      <c r="BJV1" s="88"/>
      <c r="BJW1" s="88"/>
      <c r="BJX1" s="88"/>
      <c r="BJY1" s="88"/>
      <c r="BJZ1" s="88"/>
      <c r="BKA1" s="88"/>
      <c r="BKB1" s="88"/>
      <c r="BKC1" s="88"/>
      <c r="BKD1" s="88"/>
      <c r="BKE1" s="88"/>
      <c r="BKF1" s="88"/>
      <c r="BKG1" s="88"/>
      <c r="BKH1" s="88" t="s">
        <v>191</v>
      </c>
      <c r="BKI1" s="88"/>
      <c r="BKJ1" s="88"/>
      <c r="BKK1" s="88"/>
      <c r="BKL1" s="88"/>
      <c r="BKM1" s="88"/>
      <c r="BKN1" s="88"/>
      <c r="BKO1" s="88"/>
      <c r="BKP1" s="88"/>
      <c r="BKQ1" s="88"/>
      <c r="BKR1" s="88"/>
      <c r="BKS1" s="88"/>
      <c r="BKT1" s="88"/>
      <c r="BKU1" s="88"/>
      <c r="BKV1" s="88"/>
      <c r="BKW1" s="88"/>
      <c r="BKX1" s="88"/>
      <c r="BKY1" s="88"/>
      <c r="BKZ1" s="88"/>
      <c r="BLA1" s="88"/>
      <c r="BLB1" s="88"/>
      <c r="BLC1" s="88"/>
      <c r="BLD1" s="88"/>
      <c r="BLE1" s="88"/>
      <c r="BLF1" s="88"/>
      <c r="BLG1" s="88"/>
      <c r="BLH1" s="88"/>
      <c r="BLI1" s="88"/>
      <c r="BLJ1" s="88"/>
      <c r="BLK1" s="88" t="s">
        <v>192</v>
      </c>
      <c r="BLL1" s="88"/>
      <c r="BLM1" s="88"/>
      <c r="BLN1" s="88"/>
      <c r="BLO1" s="88"/>
      <c r="BLP1" s="88"/>
      <c r="BLQ1" s="88"/>
      <c r="BLR1" s="88"/>
      <c r="BLS1" s="88"/>
      <c r="BLT1" s="88"/>
      <c r="BLU1" s="88"/>
      <c r="BLV1" s="88"/>
      <c r="BLW1" s="88"/>
      <c r="BLX1" s="88"/>
      <c r="BLY1" s="88"/>
      <c r="BLZ1" s="88"/>
      <c r="BMA1" s="88"/>
      <c r="BMB1" s="88"/>
      <c r="BMC1" s="88"/>
      <c r="BMD1" s="88"/>
      <c r="BME1" s="88"/>
      <c r="BMF1" s="88"/>
      <c r="BMG1" s="88"/>
      <c r="BMH1" s="88"/>
      <c r="BMI1" s="88"/>
      <c r="BMJ1" s="88"/>
      <c r="BMK1" s="88"/>
      <c r="BML1" s="88"/>
      <c r="BMM1" s="88"/>
      <c r="BMN1" s="88" t="s">
        <v>193</v>
      </c>
      <c r="BMO1" s="88"/>
      <c r="BMP1" s="88"/>
      <c r="BMQ1" s="88"/>
      <c r="BMR1" s="88"/>
      <c r="BMS1" s="88"/>
      <c r="BMT1" s="88"/>
      <c r="BMU1" s="88"/>
      <c r="BMV1" s="88"/>
      <c r="BMW1" s="88"/>
      <c r="BMX1" s="88"/>
      <c r="BMY1" s="88"/>
      <c r="BMZ1" s="88"/>
      <c r="BNA1" s="88"/>
      <c r="BNB1" s="88"/>
      <c r="BNC1" s="88"/>
      <c r="BND1" s="88"/>
      <c r="BNE1" s="88"/>
      <c r="BNF1" s="88"/>
      <c r="BNG1" s="88"/>
      <c r="BNH1" s="88"/>
      <c r="BNI1" s="88"/>
      <c r="BNJ1" s="88"/>
      <c r="BNK1" s="88"/>
      <c r="BNL1" s="88"/>
      <c r="BNM1" s="88"/>
      <c r="BNN1" s="88"/>
      <c r="BNO1" s="88"/>
      <c r="BNP1" s="88"/>
      <c r="BNQ1" s="88" t="s">
        <v>194</v>
      </c>
      <c r="BNR1" s="88"/>
      <c r="BNS1" s="88"/>
      <c r="BNT1" s="88"/>
      <c r="BNU1" s="88"/>
      <c r="BNV1" s="88"/>
      <c r="BNW1" s="88"/>
      <c r="BNX1" s="88"/>
      <c r="BNY1" s="88"/>
      <c r="BNZ1" s="88"/>
      <c r="BOA1" s="88"/>
      <c r="BOB1" s="88"/>
      <c r="BOC1" s="88"/>
      <c r="BOD1" s="88"/>
      <c r="BOE1" s="88"/>
      <c r="BOF1" s="88"/>
      <c r="BOG1" s="88"/>
      <c r="BOH1" s="88"/>
      <c r="BOI1" s="88"/>
      <c r="BOJ1" s="88"/>
      <c r="BOK1" s="88"/>
      <c r="BOL1" s="88"/>
      <c r="BOM1" s="88"/>
      <c r="BON1" s="88"/>
      <c r="BOO1" s="88"/>
      <c r="BOP1" s="88"/>
      <c r="BOQ1" s="88"/>
      <c r="BOR1" s="88"/>
      <c r="BOS1" s="88"/>
      <c r="BOT1" s="93" t="s">
        <v>195</v>
      </c>
      <c r="BOU1" s="93"/>
      <c r="BOV1" s="93"/>
      <c r="BOW1" s="93"/>
      <c r="BOX1" s="93"/>
      <c r="BOY1" s="93"/>
      <c r="BOZ1" s="93"/>
      <c r="BPA1" s="93"/>
      <c r="BPB1" s="93"/>
      <c r="BPC1" s="93"/>
      <c r="BPD1" s="93"/>
      <c r="BPE1" s="93"/>
      <c r="BPF1" s="93"/>
      <c r="BPG1" s="93"/>
      <c r="BPH1" s="93"/>
      <c r="BPI1" s="93"/>
      <c r="BPJ1" s="93"/>
      <c r="BPK1" s="93"/>
      <c r="BPL1" s="93"/>
      <c r="BPM1" s="93"/>
      <c r="BPN1" s="93"/>
      <c r="BPO1" s="93"/>
      <c r="BPP1" s="93"/>
      <c r="BPQ1" s="93"/>
      <c r="BPR1" s="93"/>
      <c r="BPS1" s="93"/>
      <c r="BPT1" s="93"/>
      <c r="BPU1" s="93"/>
      <c r="BPV1" s="93"/>
      <c r="BPW1" s="88" t="s">
        <v>196</v>
      </c>
      <c r="BPX1" s="88"/>
      <c r="BPY1" s="88"/>
      <c r="BPZ1" s="88"/>
      <c r="BQA1" s="88"/>
      <c r="BQB1" s="88"/>
      <c r="BQC1" s="88"/>
      <c r="BQD1" s="88"/>
      <c r="BQE1" s="88"/>
      <c r="BQF1" s="88"/>
      <c r="BQG1" s="88"/>
      <c r="BQH1" s="88"/>
      <c r="BQI1" s="88"/>
      <c r="BQJ1" s="88"/>
      <c r="BQK1" s="88"/>
      <c r="BQL1" s="88"/>
      <c r="BQM1" s="88"/>
      <c r="BQN1" s="88"/>
      <c r="BQO1" s="88"/>
      <c r="BQP1" s="88"/>
      <c r="BQQ1" s="88"/>
      <c r="BQR1" s="88"/>
      <c r="BQS1" s="88"/>
      <c r="BQT1" s="88"/>
      <c r="BQU1" s="88"/>
      <c r="BQV1" s="88"/>
      <c r="BQW1" s="88"/>
      <c r="BQX1" s="88"/>
      <c r="BQY1" s="88"/>
      <c r="BQZ1" s="88" t="s">
        <v>197</v>
      </c>
      <c r="BRA1" s="88"/>
      <c r="BRB1" s="88"/>
      <c r="BRC1" s="88"/>
      <c r="BRD1" s="88"/>
      <c r="BRE1" s="88"/>
      <c r="BRF1" s="88"/>
      <c r="BRG1" s="88"/>
      <c r="BRH1" s="88"/>
      <c r="BRI1" s="88"/>
      <c r="BRJ1" s="88"/>
      <c r="BRK1" s="88"/>
      <c r="BRL1" s="88"/>
      <c r="BRM1" s="88"/>
      <c r="BRN1" s="88"/>
      <c r="BRO1" s="88"/>
      <c r="BRP1" s="88"/>
      <c r="BRQ1" s="88"/>
      <c r="BRR1" s="88"/>
      <c r="BRS1" s="88"/>
      <c r="BRT1" s="88"/>
      <c r="BRU1" s="88"/>
      <c r="BRV1" s="88"/>
      <c r="BRW1" s="88"/>
      <c r="BRX1" s="88"/>
      <c r="BRY1" s="88"/>
      <c r="BRZ1" s="88"/>
      <c r="BSA1" s="88"/>
      <c r="BSB1" s="88"/>
      <c r="BSC1" s="88" t="s">
        <v>198</v>
      </c>
      <c r="BSD1" s="88"/>
      <c r="BSE1" s="88"/>
      <c r="BSF1" s="88"/>
      <c r="BSG1" s="88"/>
      <c r="BSH1" s="88"/>
      <c r="BSI1" s="88"/>
      <c r="BSJ1" s="88"/>
      <c r="BSK1" s="88"/>
      <c r="BSL1" s="88"/>
      <c r="BSM1" s="88"/>
      <c r="BSN1" s="88"/>
      <c r="BSO1" s="88"/>
      <c r="BSP1" s="88"/>
      <c r="BSQ1" s="88"/>
      <c r="BSR1" s="88"/>
      <c r="BSS1" s="88"/>
      <c r="BST1" s="88"/>
      <c r="BSU1" s="88"/>
      <c r="BSV1" s="88"/>
      <c r="BSW1" s="88"/>
      <c r="BSX1" s="88"/>
      <c r="BSY1" s="88"/>
      <c r="BSZ1" s="88"/>
      <c r="BTA1" s="88"/>
      <c r="BTB1" s="88"/>
      <c r="BTC1" s="88"/>
      <c r="BTD1" s="88"/>
      <c r="BTE1" s="88"/>
      <c r="BTF1" s="88" t="s">
        <v>199</v>
      </c>
      <c r="BTG1" s="88"/>
      <c r="BTH1" s="88"/>
      <c r="BTI1" s="88"/>
      <c r="BTJ1" s="88"/>
      <c r="BTK1" s="88"/>
      <c r="BTL1" s="88"/>
      <c r="BTM1" s="88"/>
      <c r="BTN1" s="88"/>
      <c r="BTO1" s="88"/>
      <c r="BTP1" s="88"/>
      <c r="BTQ1" s="88"/>
      <c r="BTR1" s="88"/>
      <c r="BTS1" s="88"/>
      <c r="BTT1" s="88"/>
      <c r="BTU1" s="88"/>
      <c r="BTV1" s="88"/>
      <c r="BTW1" s="88"/>
      <c r="BTX1" s="88"/>
      <c r="BTY1" s="88"/>
      <c r="BTZ1" s="88"/>
      <c r="BUA1" s="88"/>
      <c r="BUB1" s="88"/>
      <c r="BUC1" s="88"/>
      <c r="BUD1" s="88"/>
      <c r="BUE1" s="88"/>
      <c r="BUF1" s="88"/>
      <c r="BUG1" s="88"/>
      <c r="BUH1" s="88"/>
      <c r="BUI1" s="88" t="s">
        <v>200</v>
      </c>
      <c r="BUJ1" s="88"/>
      <c r="BUK1" s="88"/>
      <c r="BUL1" s="88"/>
      <c r="BUM1" s="88"/>
      <c r="BUN1" s="88"/>
      <c r="BUO1" s="88"/>
      <c r="BUP1" s="88"/>
      <c r="BUQ1" s="88"/>
      <c r="BUR1" s="88"/>
      <c r="BUS1" s="88"/>
      <c r="BUT1" s="88"/>
      <c r="BUU1" s="88"/>
      <c r="BUV1" s="88"/>
      <c r="BUW1" s="88"/>
      <c r="BUX1" s="88"/>
      <c r="BUY1" s="88"/>
      <c r="BUZ1" s="88"/>
      <c r="BVA1" s="88"/>
      <c r="BVB1" s="88"/>
      <c r="BVC1" s="88"/>
      <c r="BVD1" s="88"/>
      <c r="BVE1" s="88"/>
      <c r="BVF1" s="88"/>
      <c r="BVG1" s="88"/>
      <c r="BVH1" s="88"/>
      <c r="BVI1" s="88"/>
      <c r="BVJ1" s="88"/>
      <c r="BVK1" s="88"/>
      <c r="BVL1" s="88" t="s">
        <v>201</v>
      </c>
      <c r="BVM1" s="88"/>
      <c r="BVN1" s="88"/>
      <c r="BVO1" s="88"/>
      <c r="BVP1" s="88"/>
      <c r="BVQ1" s="88"/>
      <c r="BVR1" s="88"/>
      <c r="BVS1" s="88"/>
      <c r="BVT1" s="88"/>
      <c r="BVU1" s="88"/>
      <c r="BVV1" s="88"/>
      <c r="BVW1" s="88"/>
      <c r="BVX1" s="88"/>
      <c r="BVY1" s="88"/>
      <c r="BVZ1" s="88"/>
      <c r="BWA1" s="88"/>
      <c r="BWB1" s="88"/>
      <c r="BWC1" s="88"/>
      <c r="BWD1" s="88"/>
      <c r="BWE1" s="88"/>
      <c r="BWF1" s="88"/>
      <c r="BWG1" s="88"/>
      <c r="BWH1" s="88"/>
      <c r="BWI1" s="88"/>
      <c r="BWJ1" s="88"/>
      <c r="BWK1" s="88"/>
      <c r="BWL1" s="88"/>
      <c r="BWM1" s="88"/>
      <c r="BWN1" s="88"/>
      <c r="BWO1" s="88" t="s">
        <v>202</v>
      </c>
      <c r="BWP1" s="88"/>
      <c r="BWQ1" s="88"/>
      <c r="BWR1" s="88"/>
      <c r="BWS1" s="88"/>
      <c r="BWT1" s="88"/>
      <c r="BWU1" s="88"/>
      <c r="BWV1" s="88"/>
      <c r="BWW1" s="88"/>
      <c r="BWX1" s="88"/>
      <c r="BWY1" s="88"/>
      <c r="BWZ1" s="88"/>
      <c r="BXA1" s="88"/>
      <c r="BXB1" s="88"/>
      <c r="BXC1" s="88"/>
      <c r="BXD1" s="88"/>
      <c r="BXE1" s="88"/>
      <c r="BXF1" s="88"/>
      <c r="BXG1" s="88"/>
      <c r="BXH1" s="88"/>
      <c r="BXI1" s="88"/>
      <c r="BXJ1" s="88"/>
      <c r="BXK1" s="88"/>
      <c r="BXL1" s="88"/>
      <c r="BXM1" s="88"/>
      <c r="BXN1" s="88"/>
      <c r="BXO1" s="88"/>
      <c r="BXP1" s="88"/>
      <c r="BXQ1" s="88"/>
      <c r="BXR1" s="88" t="s">
        <v>203</v>
      </c>
      <c r="BXS1" s="88"/>
      <c r="BXT1" s="88"/>
      <c r="BXU1" s="88"/>
      <c r="BXV1" s="88"/>
      <c r="BXW1" s="88"/>
      <c r="BXX1" s="88"/>
      <c r="BXY1" s="88"/>
      <c r="BXZ1" s="88"/>
      <c r="BYA1" s="88"/>
      <c r="BYB1" s="88"/>
      <c r="BYC1" s="88"/>
      <c r="BYD1" s="88"/>
      <c r="BYE1" s="88"/>
      <c r="BYF1" s="88"/>
      <c r="BYG1" s="88"/>
      <c r="BYH1" s="88"/>
      <c r="BYI1" s="88"/>
      <c r="BYJ1" s="88"/>
      <c r="BYK1" s="88"/>
      <c r="BYL1" s="88"/>
      <c r="BYM1" s="88"/>
      <c r="BYN1" s="88"/>
      <c r="BYO1" s="88"/>
      <c r="BYP1" s="88"/>
      <c r="BYQ1" s="88"/>
      <c r="BYR1" s="88"/>
      <c r="BYS1" s="88"/>
      <c r="BYT1" s="88"/>
      <c r="BYU1" s="89" t="s">
        <v>204</v>
      </c>
      <c r="BYV1" s="89"/>
      <c r="BYW1" s="89"/>
      <c r="BYX1" s="89"/>
      <c r="BYY1" s="89"/>
      <c r="BYZ1" s="89"/>
      <c r="BZA1" s="89"/>
      <c r="BZB1" s="89"/>
      <c r="BZC1" s="89"/>
      <c r="BZD1" s="89"/>
      <c r="BZE1" s="89"/>
      <c r="BZF1" s="89"/>
      <c r="BZG1" s="89"/>
      <c r="BZH1" s="89"/>
      <c r="BZI1" s="89"/>
      <c r="BZJ1" s="89"/>
      <c r="BZK1" s="89"/>
      <c r="BZL1" s="89"/>
      <c r="BZM1" s="89"/>
      <c r="BZN1" s="89"/>
      <c r="BZO1" s="89"/>
      <c r="BZP1" s="89"/>
      <c r="BZQ1" s="89"/>
      <c r="BZR1" s="89"/>
      <c r="BZS1" s="89"/>
      <c r="BZT1" s="89"/>
      <c r="BZU1" s="89"/>
      <c r="BZV1" s="89"/>
      <c r="BZW1" s="89"/>
      <c r="BZX1" s="89"/>
      <c r="BZY1" s="89"/>
      <c r="BZZ1" s="89"/>
      <c r="CAA1" s="89"/>
      <c r="CAB1" s="89"/>
      <c r="CAC1" s="89"/>
      <c r="CAD1" s="89"/>
      <c r="CAE1" s="89"/>
      <c r="CAF1" s="89"/>
      <c r="CAG1" s="89"/>
      <c r="CAH1" s="89"/>
      <c r="CAI1" s="89"/>
      <c r="CAJ1" s="89"/>
      <c r="CAK1" s="89"/>
      <c r="CAL1" s="89"/>
      <c r="CAM1" s="89"/>
      <c r="CAN1" s="89"/>
      <c r="CAO1" s="89"/>
      <c r="CAP1" s="89"/>
      <c r="CAQ1" s="89"/>
      <c r="CAR1" s="89"/>
      <c r="CAS1" s="89"/>
      <c r="CAT1" s="89"/>
      <c r="CAU1" s="89"/>
      <c r="CAV1" s="89"/>
      <c r="CAW1" s="89"/>
      <c r="CAX1" s="89"/>
      <c r="CAY1" s="89"/>
      <c r="CAZ1" s="89"/>
      <c r="CBA1" s="89"/>
      <c r="CBB1" s="89"/>
      <c r="CBC1" s="89"/>
      <c r="CBD1" s="89"/>
      <c r="CBE1" s="89"/>
      <c r="CBF1" s="89"/>
      <c r="CBG1" s="89"/>
      <c r="CBH1" s="89"/>
      <c r="CBI1" s="89"/>
      <c r="CBJ1" s="89"/>
      <c r="CBK1" s="89"/>
      <c r="CBL1" s="89"/>
      <c r="CBM1" s="89"/>
      <c r="CBN1" s="89"/>
      <c r="CBO1" s="89"/>
      <c r="CBP1" s="89"/>
      <c r="CBQ1" s="89"/>
      <c r="CBR1" s="89"/>
      <c r="CBS1" s="89"/>
      <c r="CBT1" s="89"/>
      <c r="CBU1" s="89"/>
      <c r="CBV1" s="89"/>
      <c r="CBW1" s="89"/>
      <c r="CBX1" s="89"/>
      <c r="CBY1" s="89"/>
      <c r="CBZ1" s="89"/>
      <c r="CCA1" s="89"/>
      <c r="CCB1" s="89"/>
      <c r="CCC1" s="89"/>
      <c r="CCD1" s="89"/>
      <c r="CCE1" s="89"/>
      <c r="CCF1" s="89"/>
      <c r="CCG1" s="89"/>
      <c r="CCH1" s="89"/>
      <c r="CCI1" s="89"/>
      <c r="CCJ1" s="89"/>
      <c r="CCK1" s="89"/>
      <c r="CCL1" s="89"/>
      <c r="CCM1" s="89"/>
      <c r="CCN1" s="89"/>
      <c r="CCO1" s="89"/>
      <c r="CCP1" s="89"/>
      <c r="CCQ1" s="89"/>
      <c r="CCR1" s="89"/>
      <c r="CCS1" s="89"/>
      <c r="CCT1" s="89"/>
      <c r="CCU1" s="89"/>
      <c r="CCV1" s="89"/>
      <c r="CCW1" s="89"/>
      <c r="CCX1" s="89"/>
      <c r="CCY1" s="89"/>
      <c r="CCZ1" s="89"/>
      <c r="CDA1" s="89"/>
      <c r="CDB1" s="89"/>
      <c r="CDC1" s="89"/>
      <c r="CDD1" s="104" t="s">
        <v>205</v>
      </c>
      <c r="CDE1" s="105"/>
      <c r="CDF1" s="105"/>
      <c r="CDG1" s="105"/>
      <c r="CDH1" s="105"/>
      <c r="CDI1" s="105"/>
      <c r="CDJ1" s="105"/>
      <c r="CDK1" s="105"/>
      <c r="CDL1" s="105"/>
      <c r="CDM1" s="105"/>
      <c r="CDN1" s="105"/>
      <c r="CDO1" s="105"/>
      <c r="CDP1" s="105"/>
      <c r="CDQ1" s="105"/>
      <c r="CDR1" s="105"/>
      <c r="CDS1" s="105"/>
      <c r="CDT1" s="105"/>
      <c r="CDU1" s="105"/>
      <c r="CDV1" s="105"/>
      <c r="CDW1" s="105"/>
      <c r="CDX1" s="105"/>
      <c r="CDY1" s="105"/>
      <c r="CDZ1" s="105"/>
      <c r="CEA1" s="105"/>
      <c r="CEB1" s="105"/>
      <c r="CEC1" s="105"/>
      <c r="CED1" s="105"/>
      <c r="CEE1" s="105"/>
      <c r="CEF1" s="105"/>
      <c r="CEG1" s="105"/>
      <c r="CEH1" s="105"/>
      <c r="CEI1" s="105"/>
      <c r="CEJ1" s="105"/>
      <c r="CEK1" s="105"/>
      <c r="CEL1" s="105"/>
      <c r="CEM1" s="105"/>
      <c r="CEN1" s="105"/>
      <c r="CEO1" s="105"/>
      <c r="CEP1" s="105"/>
      <c r="CEQ1" s="105"/>
      <c r="CER1" s="105"/>
      <c r="CES1" s="105"/>
      <c r="CET1" s="105"/>
      <c r="CEU1" s="105"/>
      <c r="CEV1" s="105"/>
      <c r="CEW1" s="105"/>
      <c r="CEX1" s="105"/>
      <c r="CEY1" s="105"/>
      <c r="CEZ1" s="105"/>
      <c r="CFA1" s="105"/>
      <c r="CFB1" s="105"/>
      <c r="CFC1" s="105"/>
      <c r="CFD1" s="105"/>
      <c r="CFE1" s="105"/>
      <c r="CFF1" s="105"/>
      <c r="CFG1" s="105"/>
      <c r="CFH1" s="105"/>
      <c r="CFI1" s="105"/>
      <c r="CFJ1" s="105"/>
      <c r="CFK1" s="105"/>
      <c r="CFL1" s="105"/>
      <c r="CFM1" s="105"/>
      <c r="CFN1" s="105"/>
      <c r="CFO1" s="105"/>
      <c r="CFP1" s="105"/>
      <c r="CFQ1" s="105"/>
      <c r="CFR1" s="105"/>
      <c r="CFS1" s="105"/>
      <c r="CFT1" s="105"/>
      <c r="CFU1" s="105"/>
      <c r="CFV1" s="105"/>
      <c r="CFW1" s="105"/>
      <c r="CFX1" s="105"/>
      <c r="CFY1" s="105"/>
      <c r="CFZ1" s="105"/>
      <c r="CGA1" s="105"/>
      <c r="CGB1" s="105"/>
      <c r="CGC1" s="105"/>
      <c r="CGD1" s="105"/>
      <c r="CGE1" s="105"/>
      <c r="CGF1" s="105"/>
      <c r="CGG1" s="105"/>
      <c r="CGH1" s="105"/>
      <c r="CGI1" s="105"/>
      <c r="CGJ1" s="105"/>
      <c r="CGK1" s="105"/>
      <c r="CGL1" s="105"/>
      <c r="CGM1" s="105"/>
      <c r="CGN1" s="105"/>
      <c r="CGO1" s="105"/>
      <c r="CGP1" s="105"/>
      <c r="CGQ1" s="105"/>
      <c r="CGR1" s="105"/>
      <c r="CGS1" s="105"/>
      <c r="CGT1" s="105"/>
      <c r="CGU1" s="105"/>
      <c r="CGV1" s="105"/>
      <c r="CGW1" s="105"/>
      <c r="CGX1" s="105"/>
      <c r="CGY1" s="105"/>
      <c r="CGZ1" s="105"/>
      <c r="CHA1" s="105"/>
      <c r="CHB1" s="105"/>
      <c r="CHC1" s="105"/>
      <c r="CHD1" s="105"/>
      <c r="CHE1" s="105"/>
      <c r="CHF1" s="105"/>
      <c r="CHG1" s="105"/>
      <c r="CHH1" s="105"/>
      <c r="CHI1" s="105"/>
      <c r="CHJ1" s="105"/>
      <c r="CHK1" s="105"/>
      <c r="CHL1" s="105"/>
      <c r="CHM1" s="105"/>
      <c r="CHN1" s="105"/>
      <c r="CHO1" s="105"/>
      <c r="CHP1" s="105"/>
      <c r="CHQ1" s="105"/>
      <c r="CHR1" s="106"/>
      <c r="CHS1" s="23" t="s">
        <v>206</v>
      </c>
      <c r="CHT1" s="23"/>
      <c r="CHU1" s="23"/>
      <c r="CHV1" s="23"/>
      <c r="CHW1" s="23"/>
      <c r="CHX1" s="23"/>
      <c r="CHY1" s="23"/>
      <c r="CHZ1" s="23"/>
      <c r="CIA1" s="23"/>
      <c r="CIB1" s="23"/>
      <c r="CIC1" s="23"/>
      <c r="CID1" s="23"/>
      <c r="CIE1" s="23"/>
      <c r="CIF1" s="23"/>
      <c r="CIG1" s="23"/>
      <c r="CIH1" s="23"/>
      <c r="CII1" s="23"/>
      <c r="CIJ1" s="23"/>
      <c r="CIK1" s="23"/>
      <c r="CIL1" s="23"/>
      <c r="CIM1" s="23"/>
      <c r="CIN1" s="23"/>
      <c r="CIO1" s="23"/>
      <c r="CIP1" s="23"/>
      <c r="CIQ1" s="23"/>
      <c r="CIR1" s="23"/>
      <c r="CIS1" s="23"/>
      <c r="CIT1" s="23"/>
      <c r="CIU1" s="23"/>
      <c r="CIV1" s="23"/>
      <c r="CIW1" s="23"/>
      <c r="CIX1" s="23"/>
      <c r="CIY1" s="23"/>
      <c r="CIZ1" s="23"/>
      <c r="CJA1" s="23"/>
      <c r="CJB1" s="23"/>
      <c r="CJC1" s="23"/>
      <c r="CJD1" s="23"/>
      <c r="CJE1" s="23"/>
      <c r="CJF1" s="23"/>
      <c r="CJG1" s="23"/>
      <c r="CJH1" s="23"/>
      <c r="CJI1" s="23"/>
      <c r="CJJ1" s="23"/>
      <c r="CJK1" s="23"/>
      <c r="CJL1" s="23"/>
      <c r="CJM1" s="23"/>
      <c r="CJN1" s="23"/>
      <c r="CJO1" s="23"/>
      <c r="CJP1" s="23"/>
      <c r="CJQ1" s="23"/>
      <c r="CJR1" s="23"/>
      <c r="CJS1" s="23"/>
      <c r="CJT1" s="23"/>
      <c r="CJU1" s="23"/>
      <c r="CJV1" s="23"/>
      <c r="CJW1" s="23"/>
      <c r="CJX1" s="23"/>
      <c r="CJY1" s="23"/>
      <c r="CJZ1" s="23"/>
      <c r="CKA1" s="23"/>
      <c r="CKB1" s="23"/>
      <c r="CKC1" s="23"/>
      <c r="CKD1" s="23"/>
      <c r="CKE1" s="23"/>
      <c r="CKF1" s="23"/>
      <c r="CKG1" s="23"/>
      <c r="CKH1" s="23"/>
      <c r="CKI1" s="23"/>
      <c r="CKJ1" s="23"/>
      <c r="CKK1" s="23"/>
      <c r="CKL1" s="23"/>
      <c r="CKM1" s="23"/>
      <c r="CKN1" s="23"/>
      <c r="CKO1" s="23"/>
      <c r="CKP1" s="23"/>
      <c r="CKQ1" s="23"/>
      <c r="CKR1" s="23"/>
      <c r="CKS1" s="23"/>
      <c r="CKT1" s="23"/>
      <c r="CKU1" s="23"/>
      <c r="CKV1" s="23"/>
      <c r="CKW1" s="23"/>
      <c r="CKX1" s="23"/>
      <c r="CKY1" s="23"/>
      <c r="CKZ1" s="23"/>
      <c r="CLA1" s="23"/>
      <c r="CLB1" s="23"/>
      <c r="CLC1" s="23"/>
      <c r="CLD1" s="23"/>
      <c r="CLE1" s="23"/>
      <c r="CLF1" s="23"/>
      <c r="CLG1" s="23"/>
      <c r="CLH1" s="23"/>
      <c r="CLI1" s="23"/>
      <c r="CLJ1" s="23"/>
      <c r="CLK1" s="23"/>
      <c r="CLL1" s="23"/>
      <c r="CLM1" s="23"/>
      <c r="CLN1" s="23"/>
      <c r="CLO1" s="23"/>
      <c r="CLP1" s="23"/>
      <c r="CLQ1" s="23"/>
      <c r="CLR1" s="23"/>
      <c r="CLS1" s="23"/>
      <c r="CLT1" s="23"/>
      <c r="CLU1" s="23"/>
      <c r="CLV1" s="23"/>
      <c r="CLW1" s="23"/>
      <c r="CLX1" s="23"/>
      <c r="CLY1" s="23"/>
      <c r="CLZ1" s="23"/>
      <c r="CMA1" s="23"/>
      <c r="CMB1" s="23"/>
      <c r="CMC1" s="23"/>
      <c r="CMD1" s="23"/>
      <c r="CME1" s="23"/>
      <c r="CMF1" s="23"/>
      <c r="CMG1" s="23"/>
      <c r="CMH1" s="23"/>
      <c r="CMI1" s="23"/>
      <c r="CMJ1" s="23"/>
      <c r="CMK1" s="23"/>
      <c r="CML1" s="23"/>
      <c r="CMM1" s="110" t="s">
        <v>207</v>
      </c>
      <c r="CMN1" s="111"/>
      <c r="CMO1" s="112"/>
      <c r="CMP1" s="104" t="s">
        <v>208</v>
      </c>
      <c r="CMQ1" s="105"/>
      <c r="CMR1" s="105"/>
      <c r="CMS1" s="105"/>
      <c r="CMT1" s="105"/>
      <c r="CMU1" s="105"/>
      <c r="CMV1" s="105"/>
      <c r="CMW1" s="105"/>
      <c r="CMX1" s="105"/>
      <c r="CMY1" s="105"/>
      <c r="CMZ1" s="105"/>
      <c r="CNA1" s="105"/>
      <c r="CNB1" s="105"/>
      <c r="CNC1" s="105"/>
      <c r="CND1" s="105"/>
      <c r="CNE1" s="105"/>
      <c r="CNF1" s="105"/>
      <c r="CNG1" s="105"/>
      <c r="CNH1" s="105"/>
      <c r="CNI1" s="105"/>
      <c r="CNJ1" s="105"/>
      <c r="CNK1" s="105"/>
      <c r="CNL1" s="105"/>
      <c r="CNM1" s="105"/>
      <c r="CNN1" s="105"/>
      <c r="CNO1" s="105"/>
      <c r="CNP1" s="105"/>
      <c r="CNQ1" s="105"/>
      <c r="CNR1" s="105"/>
      <c r="CNS1" s="105"/>
      <c r="CNT1" s="105"/>
      <c r="CNU1" s="105"/>
      <c r="CNV1" s="105"/>
      <c r="CNW1" s="105"/>
      <c r="CNX1" s="105"/>
      <c r="CNY1" s="105"/>
      <c r="CNZ1" s="105"/>
      <c r="COA1" s="105"/>
      <c r="COB1" s="105"/>
      <c r="COC1" s="105"/>
      <c r="COD1" s="105"/>
      <c r="COE1" s="105"/>
      <c r="COF1" s="105"/>
      <c r="COG1" s="105"/>
      <c r="COH1" s="105"/>
      <c r="COI1" s="105"/>
      <c r="COJ1" s="105"/>
      <c r="COK1" s="105"/>
      <c r="COL1" s="105"/>
      <c r="COM1" s="105"/>
      <c r="CON1" s="105"/>
      <c r="COO1" s="105"/>
      <c r="COP1" s="105"/>
      <c r="COQ1" s="105"/>
      <c r="COR1" s="105"/>
      <c r="COS1" s="105"/>
      <c r="COT1" s="105"/>
      <c r="COU1" s="105"/>
      <c r="COV1" s="105"/>
      <c r="COW1" s="105"/>
      <c r="COX1" s="105"/>
      <c r="COY1" s="105"/>
      <c r="COZ1" s="105"/>
      <c r="CPA1" s="105"/>
      <c r="CPB1" s="105"/>
      <c r="CPC1" s="105"/>
      <c r="CPD1" s="105"/>
      <c r="CPE1" s="105"/>
      <c r="CPF1" s="105"/>
      <c r="CPG1" s="105"/>
      <c r="CPH1" s="105"/>
      <c r="CPI1" s="105"/>
      <c r="CPJ1" s="105"/>
      <c r="CPK1" s="105"/>
      <c r="CPL1" s="105"/>
      <c r="CPM1" s="105"/>
      <c r="CPN1" s="105"/>
      <c r="CPO1" s="105"/>
      <c r="CPP1" s="105"/>
      <c r="CPQ1" s="105"/>
      <c r="CPR1" s="105"/>
      <c r="CPS1" s="105"/>
      <c r="CPT1" s="105"/>
      <c r="CPU1" s="105"/>
      <c r="CPV1" s="105"/>
      <c r="CPW1" s="105"/>
      <c r="CPX1" s="105"/>
      <c r="CPY1" s="105"/>
      <c r="CPZ1" s="105"/>
      <c r="CQA1" s="105"/>
      <c r="CQB1" s="105"/>
      <c r="CQC1" s="105"/>
      <c r="CQD1" s="105"/>
      <c r="CQE1" s="105"/>
      <c r="CQF1" s="105"/>
      <c r="CQG1" s="105"/>
      <c r="CQH1" s="105"/>
      <c r="CQI1" s="105"/>
      <c r="CQJ1" s="105"/>
      <c r="CQK1" s="105"/>
      <c r="CQL1" s="105"/>
      <c r="CQM1" s="105"/>
      <c r="CQN1" s="105"/>
      <c r="CQO1" s="105"/>
      <c r="CQP1" s="105"/>
      <c r="CQQ1" s="105"/>
      <c r="CQR1" s="105"/>
      <c r="CQS1" s="105"/>
      <c r="CQT1" s="105"/>
      <c r="CQU1" s="105"/>
      <c r="CQV1" s="105"/>
      <c r="CQW1" s="105"/>
      <c r="CQX1" s="105"/>
      <c r="CQY1" s="105"/>
      <c r="CQZ1" s="105"/>
      <c r="CRA1" s="105"/>
      <c r="CRB1" s="105"/>
      <c r="CRC1" s="105"/>
      <c r="CRD1" s="105"/>
      <c r="CRE1" s="105"/>
      <c r="CRF1" s="105"/>
      <c r="CRG1" s="105"/>
      <c r="CRH1" s="105"/>
      <c r="CRI1" s="106"/>
      <c r="CRJ1" s="107" t="s">
        <v>209</v>
      </c>
      <c r="CRK1" s="107"/>
      <c r="CRL1" s="107"/>
      <c r="CRM1" s="107"/>
      <c r="CRN1" s="107"/>
      <c r="CRO1" s="107"/>
      <c r="CRP1" s="107"/>
      <c r="CRQ1" s="11" t="s">
        <v>210</v>
      </c>
      <c r="CRR1" s="12"/>
      <c r="CRS1" s="108" t="s">
        <v>211</v>
      </c>
      <c r="CRT1" s="109"/>
      <c r="CRU1" s="109"/>
      <c r="CRV1" s="109"/>
      <c r="CRW1" s="109"/>
      <c r="CRX1" s="109"/>
      <c r="CRY1" s="109"/>
      <c r="CRZ1" s="109"/>
      <c r="CSA1" s="109"/>
      <c r="CSB1" s="109"/>
      <c r="CSC1" s="109"/>
      <c r="CSD1" s="109"/>
      <c r="CSE1" s="109"/>
      <c r="CSF1" s="109"/>
      <c r="CSG1" s="109"/>
      <c r="CSH1" s="109"/>
      <c r="CSI1" s="109"/>
      <c r="CSJ1" s="109"/>
      <c r="CSK1" s="109"/>
      <c r="CSL1" s="109"/>
      <c r="CSM1" s="109"/>
      <c r="CSN1" s="109"/>
      <c r="CSO1" s="109"/>
      <c r="CSP1" s="109"/>
      <c r="CSQ1" s="109"/>
      <c r="CSR1" s="13" t="s">
        <v>212</v>
      </c>
      <c r="CSS1" s="14"/>
    </row>
    <row r="2" spans="1:2541" ht="16.5" customHeight="1" thickTop="1" thickBot="1" x14ac:dyDescent="0.3">
      <c r="A2" s="135"/>
      <c r="B2" s="137"/>
      <c r="C2" s="135"/>
      <c r="D2" s="135"/>
      <c r="E2" s="135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32"/>
      <c r="AG2" s="133"/>
      <c r="AH2" s="134"/>
      <c r="AI2" s="135"/>
      <c r="AJ2" s="135"/>
      <c r="AK2" s="135"/>
      <c r="AL2" s="135"/>
      <c r="AM2" s="135"/>
      <c r="AN2" s="135"/>
      <c r="AO2" s="135"/>
      <c r="AP2" s="135"/>
      <c r="AQ2" s="135"/>
      <c r="AR2" s="128"/>
      <c r="AS2" s="128"/>
      <c r="AT2" s="128"/>
      <c r="AU2" s="128"/>
      <c r="AV2" s="128"/>
      <c r="AW2" s="128"/>
      <c r="AX2" s="117"/>
      <c r="AY2" s="117"/>
      <c r="AZ2" s="117"/>
      <c r="BA2" s="117"/>
      <c r="BB2" s="118" t="s">
        <v>213</v>
      </c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19"/>
      <c r="CV2" s="119"/>
      <c r="CW2" s="119"/>
      <c r="CX2" s="119"/>
      <c r="CY2" s="119"/>
      <c r="CZ2" s="119"/>
      <c r="DA2" s="119"/>
      <c r="DB2" s="119"/>
      <c r="DC2" s="119"/>
      <c r="DD2" s="119"/>
      <c r="DE2" s="119"/>
      <c r="DF2" s="119"/>
      <c r="DG2" s="119"/>
      <c r="DH2" s="119"/>
      <c r="DI2" s="119"/>
      <c r="DJ2" s="119"/>
      <c r="DK2" s="119"/>
      <c r="DL2" s="120"/>
      <c r="DM2" s="125"/>
      <c r="DN2" s="126"/>
      <c r="DO2" s="127"/>
      <c r="DP2" s="122"/>
      <c r="DQ2" s="122"/>
      <c r="DR2" s="122"/>
      <c r="DS2" s="122"/>
      <c r="DT2" s="122"/>
      <c r="DU2" s="122"/>
      <c r="DV2" s="122"/>
      <c r="DW2" s="122"/>
      <c r="DX2" s="122"/>
      <c r="DY2" s="122"/>
      <c r="DZ2" s="123"/>
      <c r="EA2" s="15"/>
      <c r="EB2" s="15"/>
      <c r="EC2" s="15"/>
      <c r="ED2" s="15"/>
      <c r="EE2" s="95" t="s">
        <v>214</v>
      </c>
      <c r="EF2" s="96"/>
      <c r="EG2" s="96"/>
      <c r="EH2" s="96"/>
      <c r="EI2" s="96"/>
      <c r="EJ2" s="96"/>
      <c r="EK2" s="96"/>
      <c r="EL2" s="96"/>
      <c r="EM2" s="96"/>
      <c r="EN2" s="96"/>
      <c r="EO2" s="96"/>
      <c r="EP2" s="96"/>
      <c r="EQ2" s="96"/>
      <c r="ER2" s="96"/>
      <c r="ES2" s="96"/>
      <c r="ET2" s="96"/>
      <c r="EU2" s="96"/>
      <c r="EV2" s="96"/>
      <c r="EW2" s="96"/>
      <c r="EX2" s="96"/>
      <c r="EY2" s="96"/>
      <c r="EZ2" s="96"/>
      <c r="FA2" s="96"/>
      <c r="FB2" s="96"/>
      <c r="FC2" s="96"/>
      <c r="FD2" s="96"/>
      <c r="FE2" s="96"/>
      <c r="FF2" s="96"/>
      <c r="FG2" s="96"/>
      <c r="FH2" s="97"/>
      <c r="FI2" s="95" t="s">
        <v>215</v>
      </c>
      <c r="FJ2" s="96"/>
      <c r="FK2" s="96"/>
      <c r="FL2" s="96"/>
      <c r="FM2" s="96"/>
      <c r="FN2" s="96"/>
      <c r="FO2" s="96"/>
      <c r="FP2" s="96"/>
      <c r="FQ2" s="96"/>
      <c r="FR2" s="96"/>
      <c r="FS2" s="96"/>
      <c r="FT2" s="96"/>
      <c r="FU2" s="96"/>
      <c r="FV2" s="96"/>
      <c r="FW2" s="96"/>
      <c r="FX2" s="96"/>
      <c r="FY2" s="96"/>
      <c r="FZ2" s="96"/>
      <c r="GA2" s="96"/>
      <c r="GB2" s="96"/>
      <c r="GC2" s="96"/>
      <c r="GD2" s="96"/>
      <c r="GE2" s="96"/>
      <c r="GF2" s="96"/>
      <c r="GG2" s="96"/>
      <c r="GH2" s="96"/>
      <c r="GI2" s="96"/>
      <c r="GJ2" s="96"/>
      <c r="GK2" s="96"/>
      <c r="GL2" s="97"/>
      <c r="GM2" s="95" t="s">
        <v>216</v>
      </c>
      <c r="GN2" s="96"/>
      <c r="GO2" s="96"/>
      <c r="GP2" s="96"/>
      <c r="GQ2" s="96"/>
      <c r="GR2" s="96"/>
      <c r="GS2" s="96"/>
      <c r="GT2" s="96"/>
      <c r="GU2" s="96"/>
      <c r="GV2" s="96"/>
      <c r="GW2" s="96"/>
      <c r="GX2" s="96"/>
      <c r="GY2" s="96"/>
      <c r="GZ2" s="96"/>
      <c r="HA2" s="96"/>
      <c r="HB2" s="96"/>
      <c r="HC2" s="96"/>
      <c r="HD2" s="96"/>
      <c r="HE2" s="96"/>
      <c r="HF2" s="96"/>
      <c r="HG2" s="96"/>
      <c r="HH2" s="96"/>
      <c r="HI2" s="96"/>
      <c r="HJ2" s="96"/>
      <c r="HK2" s="96"/>
      <c r="HL2" s="96"/>
      <c r="HM2" s="96"/>
      <c r="HN2" s="96"/>
      <c r="HO2" s="96"/>
      <c r="HP2" s="97"/>
      <c r="HQ2" s="95" t="s">
        <v>217</v>
      </c>
      <c r="HR2" s="96"/>
      <c r="HS2" s="96"/>
      <c r="HT2" s="96"/>
      <c r="HU2" s="96"/>
      <c r="HV2" s="96"/>
      <c r="HW2" s="96"/>
      <c r="HX2" s="96"/>
      <c r="HY2" s="96"/>
      <c r="HZ2" s="96"/>
      <c r="IA2" s="96"/>
      <c r="IB2" s="96"/>
      <c r="IC2" s="96"/>
      <c r="ID2" s="96"/>
      <c r="IE2" s="96"/>
      <c r="IF2" s="96"/>
      <c r="IG2" s="96"/>
      <c r="IH2" s="96"/>
      <c r="II2" s="96"/>
      <c r="IJ2" s="96"/>
      <c r="IK2" s="96"/>
      <c r="IL2" s="96"/>
      <c r="IM2" s="96"/>
      <c r="IN2" s="96"/>
      <c r="IO2" s="96"/>
      <c r="IP2" s="96"/>
      <c r="IQ2" s="96"/>
      <c r="IR2" s="96"/>
      <c r="IS2" s="96"/>
      <c r="IT2" s="97"/>
      <c r="IU2" s="95" t="s">
        <v>218</v>
      </c>
      <c r="IV2" s="96"/>
      <c r="IW2" s="96"/>
      <c r="IX2" s="96"/>
      <c r="IY2" s="96"/>
      <c r="IZ2" s="96"/>
      <c r="JA2" s="96"/>
      <c r="JB2" s="96"/>
      <c r="JC2" s="96"/>
      <c r="JD2" s="96"/>
      <c r="JE2" s="96"/>
      <c r="JF2" s="96"/>
      <c r="JG2" s="96"/>
      <c r="JH2" s="96"/>
      <c r="JI2" s="96"/>
      <c r="JJ2" s="96"/>
      <c r="JK2" s="96"/>
      <c r="JL2" s="96"/>
      <c r="JM2" s="96"/>
      <c r="JN2" s="96"/>
      <c r="JO2" s="96"/>
      <c r="JP2" s="96"/>
      <c r="JQ2" s="96"/>
      <c r="JR2" s="96"/>
      <c r="JS2" s="96"/>
      <c r="JT2" s="96"/>
      <c r="JU2" s="96"/>
      <c r="JV2" s="96"/>
      <c r="JW2" s="96"/>
      <c r="JX2" s="97"/>
      <c r="JY2" s="95" t="s">
        <v>219</v>
      </c>
      <c r="JZ2" s="96"/>
      <c r="KA2" s="96"/>
      <c r="KB2" s="96"/>
      <c r="KC2" s="96"/>
      <c r="KD2" s="96"/>
      <c r="KE2" s="96"/>
      <c r="KF2" s="96"/>
      <c r="KG2" s="96"/>
      <c r="KH2" s="96"/>
      <c r="KI2" s="96"/>
      <c r="KJ2" s="96"/>
      <c r="KK2" s="96"/>
      <c r="KL2" s="96"/>
      <c r="KM2" s="96"/>
      <c r="KN2" s="96"/>
      <c r="KO2" s="96"/>
      <c r="KP2" s="96"/>
      <c r="KQ2" s="96"/>
      <c r="KR2" s="96"/>
      <c r="KS2" s="96"/>
      <c r="KT2" s="96"/>
      <c r="KU2" s="96"/>
      <c r="KV2" s="96"/>
      <c r="KW2" s="96"/>
      <c r="KX2" s="96"/>
      <c r="KY2" s="96"/>
      <c r="KZ2" s="96"/>
      <c r="LA2" s="96"/>
      <c r="LB2" s="97"/>
      <c r="LC2" s="95" t="s">
        <v>220</v>
      </c>
      <c r="LD2" s="96"/>
      <c r="LE2" s="96"/>
      <c r="LF2" s="96"/>
      <c r="LG2" s="96"/>
      <c r="LH2" s="96"/>
      <c r="LI2" s="96"/>
      <c r="LJ2" s="96"/>
      <c r="LK2" s="96"/>
      <c r="LL2" s="96"/>
      <c r="LM2" s="96"/>
      <c r="LN2" s="96"/>
      <c r="LO2" s="96"/>
      <c r="LP2" s="96"/>
      <c r="LQ2" s="96"/>
      <c r="LR2" s="96"/>
      <c r="LS2" s="96"/>
      <c r="LT2" s="96"/>
      <c r="LU2" s="96"/>
      <c r="LV2" s="96"/>
      <c r="LW2" s="96"/>
      <c r="LX2" s="96"/>
      <c r="LY2" s="96"/>
      <c r="LZ2" s="96"/>
      <c r="MA2" s="96"/>
      <c r="MB2" s="96"/>
      <c r="MC2" s="96"/>
      <c r="MD2" s="96"/>
      <c r="ME2" s="96"/>
      <c r="MF2" s="97"/>
      <c r="MG2" s="95" t="s">
        <v>221</v>
      </c>
      <c r="MH2" s="96"/>
      <c r="MI2" s="96"/>
      <c r="MJ2" s="96"/>
      <c r="MK2" s="96"/>
      <c r="ML2" s="96"/>
      <c r="MM2" s="96"/>
      <c r="MN2" s="96"/>
      <c r="MO2" s="96"/>
      <c r="MP2" s="96"/>
      <c r="MQ2" s="96"/>
      <c r="MR2" s="96"/>
      <c r="MS2" s="96"/>
      <c r="MT2" s="96"/>
      <c r="MU2" s="96"/>
      <c r="MV2" s="96"/>
      <c r="MW2" s="96"/>
      <c r="MX2" s="96"/>
      <c r="MY2" s="96"/>
      <c r="MZ2" s="96"/>
      <c r="NA2" s="96"/>
      <c r="NB2" s="96"/>
      <c r="NC2" s="96"/>
      <c r="ND2" s="96"/>
      <c r="NE2" s="96"/>
      <c r="NF2" s="96"/>
      <c r="NG2" s="96"/>
      <c r="NH2" s="96"/>
      <c r="NI2" s="96"/>
      <c r="NJ2" s="96"/>
      <c r="NK2" s="96"/>
      <c r="NL2" s="96"/>
      <c r="NM2" s="96"/>
      <c r="NN2" s="96"/>
      <c r="NO2" s="96"/>
      <c r="NP2" s="96"/>
      <c r="NQ2" s="96"/>
      <c r="NR2" s="96"/>
      <c r="NS2" s="96"/>
      <c r="NT2" s="96"/>
      <c r="NU2" s="96"/>
      <c r="NV2" s="96"/>
      <c r="NW2" s="96"/>
      <c r="NX2" s="96"/>
      <c r="NY2" s="96"/>
      <c r="NZ2" s="96"/>
      <c r="OA2" s="96"/>
      <c r="OB2" s="96"/>
      <c r="OC2" s="96"/>
      <c r="OD2" s="96"/>
      <c r="OE2" s="96"/>
      <c r="OF2" s="96"/>
      <c r="OG2" s="96"/>
      <c r="OH2" s="96"/>
      <c r="OI2" s="96"/>
      <c r="OJ2" s="96"/>
      <c r="OK2" s="96"/>
      <c r="OL2" s="96"/>
      <c r="OM2" s="96"/>
      <c r="ON2" s="96"/>
      <c r="OO2" s="97"/>
      <c r="OP2" s="95" t="s">
        <v>222</v>
      </c>
      <c r="OQ2" s="96"/>
      <c r="OR2" s="96"/>
      <c r="OS2" s="96"/>
      <c r="OT2" s="96"/>
      <c r="OU2" s="96"/>
      <c r="OV2" s="96"/>
      <c r="OW2" s="96"/>
      <c r="OX2" s="96"/>
      <c r="OY2" s="96"/>
      <c r="OZ2" s="96"/>
      <c r="PA2" s="96"/>
      <c r="PB2" s="96"/>
      <c r="PC2" s="96"/>
      <c r="PD2" s="96"/>
      <c r="PE2" s="96"/>
      <c r="PF2" s="96"/>
      <c r="PG2" s="96"/>
      <c r="PH2" s="96"/>
      <c r="PI2" s="96"/>
      <c r="PJ2" s="96"/>
      <c r="PK2" s="96"/>
      <c r="PL2" s="96"/>
      <c r="PM2" s="96"/>
      <c r="PN2" s="96"/>
      <c r="PO2" s="96"/>
      <c r="PP2" s="96"/>
      <c r="PQ2" s="96"/>
      <c r="PR2" s="96"/>
      <c r="PS2" s="96"/>
      <c r="PT2" s="96"/>
      <c r="PU2" s="96"/>
      <c r="PV2" s="96"/>
      <c r="PW2" s="96"/>
      <c r="PX2" s="96"/>
      <c r="PY2" s="96"/>
      <c r="PZ2" s="96"/>
      <c r="QA2" s="96"/>
      <c r="QB2" s="96"/>
      <c r="QC2" s="96"/>
      <c r="QD2" s="96"/>
      <c r="QE2" s="96"/>
      <c r="QF2" s="96"/>
      <c r="QG2" s="96"/>
      <c r="QH2" s="96"/>
      <c r="QI2" s="96"/>
      <c r="QJ2" s="96"/>
      <c r="QK2" s="96"/>
      <c r="QL2" s="96"/>
      <c r="QM2" s="96"/>
      <c r="QN2" s="96"/>
      <c r="QO2" s="96"/>
      <c r="QP2" s="96"/>
      <c r="QQ2" s="96"/>
      <c r="QR2" s="96"/>
      <c r="QS2" s="96"/>
      <c r="QT2" s="96"/>
      <c r="QU2" s="96"/>
      <c r="QV2" s="96"/>
      <c r="QW2" s="96"/>
      <c r="QX2" s="97"/>
      <c r="QY2" s="95" t="s">
        <v>223</v>
      </c>
      <c r="QZ2" s="96"/>
      <c r="RA2" s="96"/>
      <c r="RB2" s="96"/>
      <c r="RC2" s="96"/>
      <c r="RD2" s="96"/>
      <c r="RE2" s="96"/>
      <c r="RF2" s="96"/>
      <c r="RG2" s="96"/>
      <c r="RH2" s="96"/>
      <c r="RI2" s="96"/>
      <c r="RJ2" s="96"/>
      <c r="RK2" s="96"/>
      <c r="RL2" s="96"/>
      <c r="RM2" s="96"/>
      <c r="RN2" s="96"/>
      <c r="RO2" s="96"/>
      <c r="RP2" s="96"/>
      <c r="RQ2" s="96"/>
      <c r="RR2" s="96"/>
      <c r="RS2" s="96"/>
      <c r="RT2" s="96"/>
      <c r="RU2" s="96"/>
      <c r="RV2" s="96"/>
      <c r="RW2" s="96"/>
      <c r="RX2" s="96"/>
      <c r="RY2" s="96"/>
      <c r="RZ2" s="96"/>
      <c r="SA2" s="96"/>
      <c r="SB2" s="96"/>
      <c r="SC2" s="96"/>
      <c r="SD2" s="96"/>
      <c r="SE2" s="96"/>
      <c r="SF2" s="96"/>
      <c r="SG2" s="96"/>
      <c r="SH2" s="96"/>
      <c r="SI2" s="96"/>
      <c r="SJ2" s="96"/>
      <c r="SK2" s="96"/>
      <c r="SL2" s="96"/>
      <c r="SM2" s="96"/>
      <c r="SN2" s="96"/>
      <c r="SO2" s="96"/>
      <c r="SP2" s="96"/>
      <c r="SQ2" s="96"/>
      <c r="SR2" s="96"/>
      <c r="SS2" s="96"/>
      <c r="ST2" s="96"/>
      <c r="SU2" s="96"/>
      <c r="SV2" s="96"/>
      <c r="SW2" s="96"/>
      <c r="SX2" s="96"/>
      <c r="SY2" s="96"/>
      <c r="SZ2" s="96"/>
      <c r="TA2" s="96"/>
      <c r="TB2" s="96"/>
      <c r="TC2" s="96"/>
      <c r="TD2" s="96"/>
      <c r="TE2" s="96"/>
      <c r="TF2" s="96"/>
      <c r="TG2" s="97"/>
      <c r="TH2" s="95" t="s">
        <v>224</v>
      </c>
      <c r="TI2" s="96"/>
      <c r="TJ2" s="96"/>
      <c r="TK2" s="96"/>
      <c r="TL2" s="96"/>
      <c r="TM2" s="96"/>
      <c r="TN2" s="96"/>
      <c r="TO2" s="96"/>
      <c r="TP2" s="96"/>
      <c r="TQ2" s="96"/>
      <c r="TR2" s="96"/>
      <c r="TS2" s="96"/>
      <c r="TT2" s="96"/>
      <c r="TU2" s="96"/>
      <c r="TV2" s="96"/>
      <c r="TW2" s="96"/>
      <c r="TX2" s="96"/>
      <c r="TY2" s="96"/>
      <c r="TZ2" s="96"/>
      <c r="UA2" s="96"/>
      <c r="UB2" s="96"/>
      <c r="UC2" s="96"/>
      <c r="UD2" s="96"/>
      <c r="UE2" s="96"/>
      <c r="UF2" s="96"/>
      <c r="UG2" s="96"/>
      <c r="UH2" s="96"/>
      <c r="UI2" s="96"/>
      <c r="UJ2" s="96"/>
      <c r="UK2" s="96"/>
      <c r="UL2" s="96"/>
      <c r="UM2" s="96"/>
      <c r="UN2" s="96"/>
      <c r="UO2" s="96"/>
      <c r="UP2" s="96"/>
      <c r="UQ2" s="96"/>
      <c r="UR2" s="96"/>
      <c r="US2" s="96"/>
      <c r="UT2" s="96"/>
      <c r="UU2" s="96"/>
      <c r="UV2" s="96"/>
      <c r="UW2" s="96"/>
      <c r="UX2" s="96"/>
      <c r="UY2" s="96"/>
      <c r="UZ2" s="96"/>
      <c r="VA2" s="96"/>
      <c r="VB2" s="96"/>
      <c r="VC2" s="96"/>
      <c r="VD2" s="96"/>
      <c r="VE2" s="96"/>
      <c r="VF2" s="96"/>
      <c r="VG2" s="96"/>
      <c r="VH2" s="96"/>
      <c r="VI2" s="96"/>
      <c r="VJ2" s="96"/>
      <c r="VK2" s="96"/>
      <c r="VL2" s="96"/>
      <c r="VM2" s="96"/>
      <c r="VN2" s="96"/>
      <c r="VO2" s="96"/>
      <c r="VP2" s="97"/>
      <c r="VQ2" s="98" t="s">
        <v>225</v>
      </c>
      <c r="VR2" s="99"/>
      <c r="VS2" s="99"/>
      <c r="VT2" s="99"/>
      <c r="VU2" s="99"/>
      <c r="VV2" s="99"/>
      <c r="VW2" s="99"/>
      <c r="VX2" s="99"/>
      <c r="VY2" s="99"/>
      <c r="VZ2" s="99"/>
      <c r="WA2" s="99"/>
      <c r="WB2" s="99"/>
      <c r="WC2" s="99"/>
      <c r="WD2" s="99"/>
      <c r="WE2" s="99"/>
      <c r="WF2" s="99"/>
      <c r="WG2" s="99"/>
      <c r="WH2" s="99"/>
      <c r="WI2" s="99"/>
      <c r="WJ2" s="99"/>
      <c r="WK2" s="99"/>
      <c r="WL2" s="99"/>
      <c r="WM2" s="99"/>
      <c r="WN2" s="99"/>
      <c r="WO2" s="99"/>
      <c r="WP2" s="99"/>
      <c r="WQ2" s="99"/>
      <c r="WR2" s="99"/>
      <c r="WS2" s="99"/>
      <c r="WT2" s="99"/>
      <c r="WU2" s="99"/>
      <c r="WV2" s="99"/>
      <c r="WW2" s="99"/>
      <c r="WX2" s="99"/>
      <c r="WY2" s="99"/>
      <c r="WZ2" s="99"/>
      <c r="XA2" s="99"/>
      <c r="XB2" s="99"/>
      <c r="XC2" s="99"/>
      <c r="XD2" s="99"/>
      <c r="XE2" s="99"/>
      <c r="XF2" s="99"/>
      <c r="XG2" s="99"/>
      <c r="XH2" s="99"/>
      <c r="XI2" s="99"/>
      <c r="XJ2" s="99"/>
      <c r="XK2" s="99"/>
      <c r="XL2" s="99"/>
      <c r="XM2" s="99"/>
      <c r="XN2" s="99"/>
      <c r="XO2" s="99"/>
      <c r="XP2" s="99"/>
      <c r="XQ2" s="99"/>
      <c r="XR2" s="99"/>
      <c r="XS2" s="99"/>
      <c r="XT2" s="99"/>
      <c r="XU2" s="99"/>
      <c r="XV2" s="99"/>
      <c r="XW2" s="99"/>
      <c r="XX2" s="99"/>
      <c r="XY2" s="100"/>
      <c r="XZ2" s="98" t="s">
        <v>226</v>
      </c>
      <c r="YA2" s="99"/>
      <c r="YB2" s="99"/>
      <c r="YC2" s="99"/>
      <c r="YD2" s="99"/>
      <c r="YE2" s="99"/>
      <c r="YF2" s="99"/>
      <c r="YG2" s="99"/>
      <c r="YH2" s="99"/>
      <c r="YI2" s="99"/>
      <c r="YJ2" s="99"/>
      <c r="YK2" s="99"/>
      <c r="YL2" s="99"/>
      <c r="YM2" s="99"/>
      <c r="YN2" s="99"/>
      <c r="YO2" s="99"/>
      <c r="YP2" s="99"/>
      <c r="YQ2" s="99"/>
      <c r="YR2" s="99"/>
      <c r="YS2" s="99"/>
      <c r="YT2" s="99"/>
      <c r="YU2" s="99"/>
      <c r="YV2" s="99"/>
      <c r="YW2" s="99"/>
      <c r="YX2" s="99"/>
      <c r="YY2" s="99"/>
      <c r="YZ2" s="99"/>
      <c r="ZA2" s="99"/>
      <c r="ZB2" s="99"/>
      <c r="ZC2" s="99"/>
      <c r="ZD2" s="99"/>
      <c r="ZE2" s="99"/>
      <c r="ZF2" s="99"/>
      <c r="ZG2" s="99"/>
      <c r="ZH2" s="99"/>
      <c r="ZI2" s="99"/>
      <c r="ZJ2" s="99"/>
      <c r="ZK2" s="99"/>
      <c r="ZL2" s="99"/>
      <c r="ZM2" s="99"/>
      <c r="ZN2" s="99"/>
      <c r="ZO2" s="99"/>
      <c r="ZP2" s="99"/>
      <c r="ZQ2" s="99"/>
      <c r="ZR2" s="99"/>
      <c r="ZS2" s="99"/>
      <c r="ZT2" s="99"/>
      <c r="ZU2" s="99"/>
      <c r="ZV2" s="99"/>
      <c r="ZW2" s="99"/>
      <c r="ZX2" s="99"/>
      <c r="ZY2" s="99"/>
      <c r="ZZ2" s="99"/>
      <c r="AAA2" s="99"/>
      <c r="AAB2" s="99"/>
      <c r="AAC2" s="99"/>
      <c r="AAD2" s="99"/>
      <c r="AAE2" s="99"/>
      <c r="AAF2" s="99"/>
      <c r="AAG2" s="99"/>
      <c r="AAH2" s="100"/>
      <c r="AAI2" s="98" t="s">
        <v>227</v>
      </c>
      <c r="AAJ2" s="99"/>
      <c r="AAK2" s="99"/>
      <c r="AAL2" s="99"/>
      <c r="AAM2" s="99"/>
      <c r="AAN2" s="99"/>
      <c r="AAO2" s="99"/>
      <c r="AAP2" s="99"/>
      <c r="AAQ2" s="99"/>
      <c r="AAR2" s="99"/>
      <c r="AAS2" s="99"/>
      <c r="AAT2" s="99"/>
      <c r="AAU2" s="99"/>
      <c r="AAV2" s="99"/>
      <c r="AAW2" s="99"/>
      <c r="AAX2" s="99"/>
      <c r="AAY2" s="99"/>
      <c r="AAZ2" s="99"/>
      <c r="ABA2" s="99"/>
      <c r="ABB2" s="99"/>
      <c r="ABC2" s="99"/>
      <c r="ABD2" s="99"/>
      <c r="ABE2" s="99"/>
      <c r="ABF2" s="99"/>
      <c r="ABG2" s="99"/>
      <c r="ABH2" s="99"/>
      <c r="ABI2" s="99"/>
      <c r="ABJ2" s="99"/>
      <c r="ABK2" s="99"/>
      <c r="ABL2" s="99"/>
      <c r="ABM2" s="99"/>
      <c r="ABN2" s="99"/>
      <c r="ABO2" s="99"/>
      <c r="ABP2" s="99"/>
      <c r="ABQ2" s="99"/>
      <c r="ABR2" s="99"/>
      <c r="ABS2" s="99"/>
      <c r="ABT2" s="99"/>
      <c r="ABU2" s="99"/>
      <c r="ABV2" s="99"/>
      <c r="ABW2" s="99"/>
      <c r="ABX2" s="99"/>
      <c r="ABY2" s="99"/>
      <c r="ABZ2" s="99"/>
      <c r="ACA2" s="99"/>
      <c r="ACB2" s="99"/>
      <c r="ACC2" s="99"/>
      <c r="ACD2" s="99"/>
      <c r="ACE2" s="99"/>
      <c r="ACF2" s="99"/>
      <c r="ACG2" s="99"/>
      <c r="ACH2" s="99"/>
      <c r="ACI2" s="99"/>
      <c r="ACJ2" s="99"/>
      <c r="ACK2" s="99"/>
      <c r="ACL2" s="99"/>
      <c r="ACM2" s="99"/>
      <c r="ACN2" s="99"/>
      <c r="ACO2" s="99"/>
      <c r="ACP2" s="99"/>
      <c r="ACQ2" s="100"/>
      <c r="ACR2" s="95" t="s">
        <v>228</v>
      </c>
      <c r="ACS2" s="96"/>
      <c r="ACT2" s="96"/>
      <c r="ACU2" s="96"/>
      <c r="ACV2" s="96"/>
      <c r="ACW2" s="96"/>
      <c r="ACX2" s="96"/>
      <c r="ACY2" s="96"/>
      <c r="ACZ2" s="96"/>
      <c r="ADA2" s="96"/>
      <c r="ADB2" s="96"/>
      <c r="ADC2" s="96"/>
      <c r="ADD2" s="96"/>
      <c r="ADE2" s="96"/>
      <c r="ADF2" s="96"/>
      <c r="ADG2" s="96"/>
      <c r="ADH2" s="96"/>
      <c r="ADI2" s="96"/>
      <c r="ADJ2" s="96"/>
      <c r="ADK2" s="96"/>
      <c r="ADL2" s="96"/>
      <c r="ADM2" s="96"/>
      <c r="ADN2" s="96"/>
      <c r="ADO2" s="96"/>
      <c r="ADP2" s="96"/>
      <c r="ADQ2" s="96"/>
      <c r="ADR2" s="96"/>
      <c r="ADS2" s="96"/>
      <c r="ADT2" s="97"/>
      <c r="ADU2" s="101" t="s">
        <v>229</v>
      </c>
      <c r="ADV2" s="102"/>
      <c r="ADW2" s="102"/>
      <c r="ADX2" s="102"/>
      <c r="ADY2" s="102"/>
      <c r="ADZ2" s="102"/>
      <c r="AEA2" s="102"/>
      <c r="AEB2" s="102"/>
      <c r="AEC2" s="102"/>
      <c r="AED2" s="102"/>
      <c r="AEE2" s="102"/>
      <c r="AEF2" s="102"/>
      <c r="AEG2" s="102"/>
      <c r="AEH2" s="102"/>
      <c r="AEI2" s="102"/>
      <c r="AEJ2" s="102"/>
      <c r="AEK2" s="102"/>
      <c r="AEL2" s="102"/>
      <c r="AEM2" s="102"/>
      <c r="AEN2" s="102"/>
      <c r="AEO2" s="102"/>
      <c r="AEP2" s="102"/>
      <c r="AEQ2" s="102"/>
      <c r="AER2" s="102"/>
      <c r="AES2" s="102"/>
      <c r="AET2" s="102"/>
      <c r="AEU2" s="102"/>
      <c r="AEV2" s="102"/>
      <c r="AEW2" s="102"/>
      <c r="AEX2" s="102"/>
      <c r="AEY2" s="102"/>
      <c r="AEZ2" s="102"/>
      <c r="AFA2" s="102"/>
      <c r="AFB2" s="102"/>
      <c r="AFC2" s="102"/>
      <c r="AFD2" s="102"/>
      <c r="AFE2" s="102"/>
      <c r="AFF2" s="102"/>
      <c r="AFG2" s="102"/>
      <c r="AFH2" s="102"/>
      <c r="AFI2" s="102"/>
      <c r="AFJ2" s="102"/>
      <c r="AFK2" s="102"/>
      <c r="AFL2" s="102"/>
      <c r="AFM2" s="102"/>
      <c r="AFN2" s="102"/>
      <c r="AFO2" s="102"/>
      <c r="AFP2" s="102"/>
      <c r="AFQ2" s="102"/>
      <c r="AFR2" s="102"/>
      <c r="AFS2" s="102"/>
      <c r="AFT2" s="102"/>
      <c r="AFU2" s="102"/>
      <c r="AFV2" s="102"/>
      <c r="AFW2" s="102"/>
      <c r="AFX2" s="102"/>
      <c r="AFY2" s="102"/>
      <c r="AFZ2" s="102"/>
      <c r="AGA2" s="103"/>
      <c r="AGB2" s="16"/>
      <c r="AGC2" s="16"/>
      <c r="AGD2" s="16"/>
      <c r="AGE2" s="113" t="s">
        <v>230</v>
      </c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5"/>
      <c r="AHH2" s="94" t="s">
        <v>231</v>
      </c>
      <c r="AHI2" s="94"/>
      <c r="AHJ2" s="94"/>
      <c r="AHK2" s="94"/>
      <c r="AHL2" s="94"/>
      <c r="AHM2" s="94"/>
      <c r="AHN2" s="94"/>
      <c r="AHO2" s="94"/>
      <c r="AHP2" s="94"/>
      <c r="AHQ2" s="94"/>
      <c r="AHR2" s="94"/>
      <c r="AHS2" s="94"/>
      <c r="AHT2" s="94"/>
      <c r="AHU2" s="94"/>
      <c r="AHV2" s="94"/>
      <c r="AHW2" s="94"/>
      <c r="AHX2" s="94"/>
      <c r="AHY2" s="94"/>
      <c r="AHZ2" s="94"/>
      <c r="AIA2" s="94"/>
      <c r="AIB2" s="94"/>
      <c r="AIC2" s="94"/>
      <c r="AID2" s="94"/>
      <c r="AIE2" s="94"/>
      <c r="AIF2" s="94"/>
      <c r="AIG2" s="94"/>
      <c r="AIH2" s="94"/>
      <c r="AII2" s="94"/>
      <c r="AIJ2" s="94"/>
      <c r="AIK2" s="94" t="s">
        <v>232</v>
      </c>
      <c r="AIL2" s="94"/>
      <c r="AIM2" s="94"/>
      <c r="AIN2" s="94"/>
      <c r="AIO2" s="94"/>
      <c r="AIP2" s="94"/>
      <c r="AIQ2" s="94"/>
      <c r="AIR2" s="94"/>
      <c r="AIS2" s="94"/>
      <c r="AIT2" s="94"/>
      <c r="AIU2" s="94"/>
      <c r="AIV2" s="94"/>
      <c r="AIW2" s="94"/>
      <c r="AIX2" s="94"/>
      <c r="AIY2" s="94"/>
      <c r="AIZ2" s="94"/>
      <c r="AJA2" s="94"/>
      <c r="AJB2" s="94"/>
      <c r="AJC2" s="94"/>
      <c r="AJD2" s="94"/>
      <c r="AJE2" s="94"/>
      <c r="AJF2" s="94"/>
      <c r="AJG2" s="94"/>
      <c r="AJH2" s="94"/>
      <c r="AJI2" s="94"/>
      <c r="AJJ2" s="94"/>
      <c r="AJK2" s="94"/>
      <c r="AJL2" s="94"/>
      <c r="AJM2" s="94"/>
      <c r="AJN2" s="94" t="s">
        <v>233</v>
      </c>
      <c r="AJO2" s="94"/>
      <c r="AJP2" s="94"/>
      <c r="AJQ2" s="94"/>
      <c r="AJR2" s="94"/>
      <c r="AJS2" s="94"/>
      <c r="AJT2" s="94"/>
      <c r="AJU2" s="94"/>
      <c r="AJV2" s="94"/>
      <c r="AJW2" s="94"/>
      <c r="AJX2" s="94"/>
      <c r="AJY2" s="94"/>
      <c r="AJZ2" s="94"/>
      <c r="AKA2" s="94"/>
      <c r="AKB2" s="94"/>
      <c r="AKC2" s="94"/>
      <c r="AKD2" s="94"/>
      <c r="AKE2" s="94"/>
      <c r="AKF2" s="94"/>
      <c r="AKG2" s="94"/>
      <c r="AKH2" s="94"/>
      <c r="AKI2" s="94"/>
      <c r="AKJ2" s="94"/>
      <c r="AKK2" s="94"/>
      <c r="AKL2" s="94"/>
      <c r="AKM2" s="94"/>
      <c r="AKN2" s="94"/>
      <c r="AKO2" s="94"/>
      <c r="AKP2" s="94"/>
      <c r="AKQ2" s="94" t="s">
        <v>234</v>
      </c>
      <c r="AKR2" s="94"/>
      <c r="AKS2" s="94"/>
      <c r="AKT2" s="94"/>
      <c r="AKU2" s="94"/>
      <c r="AKV2" s="94"/>
      <c r="AKW2" s="94"/>
      <c r="AKX2" s="94"/>
      <c r="AKY2" s="94"/>
      <c r="AKZ2" s="94"/>
      <c r="ALA2" s="94"/>
      <c r="ALB2" s="94"/>
      <c r="ALC2" s="94"/>
      <c r="ALD2" s="94"/>
      <c r="ALE2" s="94"/>
      <c r="ALF2" s="94"/>
      <c r="ALG2" s="94"/>
      <c r="ALH2" s="94"/>
      <c r="ALI2" s="94"/>
      <c r="ALJ2" s="94"/>
      <c r="ALK2" s="94"/>
      <c r="ALL2" s="94"/>
      <c r="ALM2" s="94"/>
      <c r="ALN2" s="94"/>
      <c r="ALO2" s="94"/>
      <c r="ALP2" s="94"/>
      <c r="ALQ2" s="94"/>
      <c r="ALR2" s="94"/>
      <c r="ALS2" s="94"/>
      <c r="ALT2" s="94" t="s">
        <v>235</v>
      </c>
      <c r="ALU2" s="94"/>
      <c r="ALV2" s="94"/>
      <c r="ALW2" s="94"/>
      <c r="ALX2" s="94"/>
      <c r="ALY2" s="94"/>
      <c r="ALZ2" s="94"/>
      <c r="AMA2" s="94"/>
      <c r="AMB2" s="94"/>
      <c r="AMC2" s="94"/>
      <c r="AMD2" s="94"/>
      <c r="AME2" s="94"/>
      <c r="AMF2" s="94"/>
      <c r="AMG2" s="94"/>
      <c r="AMH2" s="94"/>
      <c r="AMI2" s="94"/>
      <c r="AMJ2" s="94"/>
      <c r="AMK2" s="94"/>
      <c r="AML2" s="94"/>
      <c r="AMM2" s="94"/>
      <c r="AMN2" s="94"/>
      <c r="AMO2" s="94"/>
      <c r="AMP2" s="94"/>
      <c r="AMQ2" s="94"/>
      <c r="AMR2" s="94"/>
      <c r="AMS2" s="94"/>
      <c r="AMT2" s="94"/>
      <c r="AMU2" s="94"/>
      <c r="AMV2" s="94"/>
      <c r="AMW2" s="94" t="s">
        <v>236</v>
      </c>
      <c r="AMX2" s="94"/>
      <c r="AMY2" s="94"/>
      <c r="AMZ2" s="94"/>
      <c r="ANA2" s="94"/>
      <c r="ANB2" s="94"/>
      <c r="ANC2" s="94"/>
      <c r="AND2" s="94"/>
      <c r="ANE2" s="94"/>
      <c r="ANF2" s="94"/>
      <c r="ANG2" s="94"/>
      <c r="ANH2" s="94"/>
      <c r="ANI2" s="94"/>
      <c r="ANJ2" s="94"/>
      <c r="ANK2" s="94"/>
      <c r="ANL2" s="94"/>
      <c r="ANM2" s="94"/>
      <c r="ANN2" s="94"/>
      <c r="ANO2" s="94"/>
      <c r="ANP2" s="94"/>
      <c r="ANQ2" s="94"/>
      <c r="ANR2" s="94"/>
      <c r="ANS2" s="94"/>
      <c r="ANT2" s="94"/>
      <c r="ANU2" s="94"/>
      <c r="ANV2" s="94"/>
      <c r="ANW2" s="94"/>
      <c r="ANX2" s="94"/>
      <c r="ANY2" s="94"/>
      <c r="ANZ2" s="94" t="s">
        <v>237</v>
      </c>
      <c r="AOA2" s="94"/>
      <c r="AOB2" s="94"/>
      <c r="AOC2" s="94"/>
      <c r="AOD2" s="94"/>
      <c r="AOE2" s="94"/>
      <c r="AOF2" s="94"/>
      <c r="AOG2" s="94"/>
      <c r="AOH2" s="94"/>
      <c r="AOI2" s="94"/>
      <c r="AOJ2" s="94"/>
      <c r="AOK2" s="94"/>
      <c r="AOL2" s="94"/>
      <c r="AOM2" s="94"/>
      <c r="AON2" s="94"/>
      <c r="AOO2" s="94"/>
      <c r="AOP2" s="94"/>
      <c r="AOQ2" s="94"/>
      <c r="AOR2" s="94"/>
      <c r="AOS2" s="94"/>
      <c r="AOT2" s="94"/>
      <c r="AOU2" s="94"/>
      <c r="AOV2" s="94"/>
      <c r="AOW2" s="94"/>
      <c r="AOX2" s="94"/>
      <c r="AOY2" s="94"/>
      <c r="AOZ2" s="94"/>
      <c r="APA2" s="94"/>
      <c r="APB2" s="94"/>
      <c r="APC2" s="94" t="s">
        <v>238</v>
      </c>
      <c r="APD2" s="94"/>
      <c r="APE2" s="94"/>
      <c r="APF2" s="94"/>
      <c r="APG2" s="94"/>
      <c r="APH2" s="94"/>
      <c r="API2" s="94"/>
      <c r="APJ2" s="94"/>
      <c r="APK2" s="94"/>
      <c r="APL2" s="94"/>
      <c r="APM2" s="94"/>
      <c r="APN2" s="94"/>
      <c r="APO2" s="94"/>
      <c r="APP2" s="94"/>
      <c r="APQ2" s="94"/>
      <c r="APR2" s="94"/>
      <c r="APS2" s="94"/>
      <c r="APT2" s="94"/>
      <c r="APU2" s="94"/>
      <c r="APV2" s="94"/>
      <c r="APW2" s="94"/>
      <c r="APX2" s="94"/>
      <c r="APY2" s="94"/>
      <c r="APZ2" s="94"/>
      <c r="AQA2" s="94"/>
      <c r="AQB2" s="94"/>
      <c r="AQC2" s="94"/>
      <c r="AQD2" s="94"/>
      <c r="AQE2" s="94"/>
      <c r="AQF2" s="94" t="s">
        <v>239</v>
      </c>
      <c r="AQG2" s="94"/>
      <c r="AQH2" s="94"/>
      <c r="AQI2" s="94"/>
      <c r="AQJ2" s="94"/>
      <c r="AQK2" s="94"/>
      <c r="AQL2" s="94"/>
      <c r="AQM2" s="94"/>
      <c r="AQN2" s="94"/>
      <c r="AQO2" s="94"/>
      <c r="AQP2" s="94"/>
      <c r="AQQ2" s="94"/>
      <c r="AQR2" s="94"/>
      <c r="AQS2" s="94"/>
      <c r="AQT2" s="94"/>
      <c r="AQU2" s="94"/>
      <c r="AQV2" s="94"/>
      <c r="AQW2" s="94"/>
      <c r="AQX2" s="94"/>
      <c r="AQY2" s="94"/>
      <c r="AQZ2" s="94"/>
      <c r="ARA2" s="94"/>
      <c r="ARB2" s="94"/>
      <c r="ARC2" s="94"/>
      <c r="ARD2" s="94"/>
      <c r="ARE2" s="94"/>
      <c r="ARF2" s="94"/>
      <c r="ARG2" s="94"/>
      <c r="ARH2" s="94"/>
      <c r="ARI2" s="94" t="s">
        <v>240</v>
      </c>
      <c r="ARJ2" s="94"/>
      <c r="ARK2" s="94"/>
      <c r="ARL2" s="94"/>
      <c r="ARM2" s="94"/>
      <c r="ARN2" s="94"/>
      <c r="ARO2" s="94"/>
      <c r="ARP2" s="94"/>
      <c r="ARQ2" s="94"/>
      <c r="ARR2" s="94"/>
      <c r="ARS2" s="94"/>
      <c r="ART2" s="94"/>
      <c r="ARU2" s="94"/>
      <c r="ARV2" s="94"/>
      <c r="ARW2" s="94"/>
      <c r="ARX2" s="94"/>
      <c r="ARY2" s="94"/>
      <c r="ARZ2" s="94"/>
      <c r="ASA2" s="94"/>
      <c r="ASB2" s="94"/>
      <c r="ASC2" s="94"/>
      <c r="ASD2" s="94"/>
      <c r="ASE2" s="94"/>
      <c r="ASF2" s="94"/>
      <c r="ASG2" s="94"/>
      <c r="ASH2" s="94"/>
      <c r="ASI2" s="94"/>
      <c r="ASJ2" s="94"/>
      <c r="ASK2" s="94"/>
      <c r="ASL2" s="94" t="s">
        <v>241</v>
      </c>
      <c r="ASM2" s="94"/>
      <c r="ASN2" s="94"/>
      <c r="ASO2" s="94"/>
      <c r="ASP2" s="94"/>
      <c r="ASQ2" s="94"/>
      <c r="ASR2" s="94"/>
      <c r="ASS2" s="94"/>
      <c r="AST2" s="94"/>
      <c r="ASU2" s="94"/>
      <c r="ASV2" s="94"/>
      <c r="ASW2" s="94"/>
      <c r="ASX2" s="94"/>
      <c r="ASY2" s="94"/>
      <c r="ASZ2" s="94"/>
      <c r="ATA2" s="94"/>
      <c r="ATB2" s="94"/>
      <c r="ATC2" s="94"/>
      <c r="ATD2" s="94"/>
      <c r="ATE2" s="94"/>
      <c r="ATF2" s="94"/>
      <c r="ATG2" s="94"/>
      <c r="ATH2" s="94"/>
      <c r="ATI2" s="94"/>
      <c r="ATJ2" s="94"/>
      <c r="ATK2" s="94"/>
      <c r="ATL2" s="94"/>
      <c r="ATM2" s="94"/>
      <c r="ATN2" s="94"/>
      <c r="ATO2" s="94" t="s">
        <v>242</v>
      </c>
      <c r="ATP2" s="94"/>
      <c r="ATQ2" s="94"/>
      <c r="ATR2" s="94"/>
      <c r="ATS2" s="94"/>
      <c r="ATT2" s="94"/>
      <c r="ATU2" s="94"/>
      <c r="ATV2" s="94"/>
      <c r="ATW2" s="94"/>
      <c r="ATX2" s="94"/>
      <c r="ATY2" s="94"/>
      <c r="ATZ2" s="94"/>
      <c r="AUA2" s="94"/>
      <c r="AUB2" s="94"/>
      <c r="AUC2" s="94"/>
      <c r="AUD2" s="94"/>
      <c r="AUE2" s="94"/>
      <c r="AUF2" s="94"/>
      <c r="AUG2" s="94"/>
      <c r="AUH2" s="94"/>
      <c r="AUI2" s="94"/>
      <c r="AUJ2" s="94"/>
      <c r="AUK2" s="94"/>
      <c r="AUL2" s="94"/>
      <c r="AUM2" s="94"/>
      <c r="AUN2" s="94"/>
      <c r="AUO2" s="94"/>
      <c r="AUP2" s="94"/>
      <c r="AUQ2" s="94"/>
      <c r="AUR2" s="94" t="s">
        <v>243</v>
      </c>
      <c r="AUS2" s="94"/>
      <c r="AUT2" s="94"/>
      <c r="AUU2" s="94"/>
      <c r="AUV2" s="94"/>
      <c r="AUW2" s="94"/>
      <c r="AUX2" s="94"/>
      <c r="AUY2" s="94"/>
      <c r="AUZ2" s="94"/>
      <c r="AVA2" s="94"/>
      <c r="AVB2" s="94"/>
      <c r="AVC2" s="94"/>
      <c r="AVD2" s="94"/>
      <c r="AVE2" s="94"/>
      <c r="AVF2" s="94"/>
      <c r="AVG2" s="94"/>
      <c r="AVH2" s="94"/>
      <c r="AVI2" s="94"/>
      <c r="AVJ2" s="94"/>
      <c r="AVK2" s="94"/>
      <c r="AVL2" s="94"/>
      <c r="AVM2" s="94"/>
      <c r="AVN2" s="94"/>
      <c r="AVO2" s="94"/>
      <c r="AVP2" s="94"/>
      <c r="AVQ2" s="94"/>
      <c r="AVR2" s="94"/>
      <c r="AVS2" s="94"/>
      <c r="AVT2" s="94"/>
      <c r="AVU2" s="94" t="s">
        <v>244</v>
      </c>
      <c r="AVV2" s="94"/>
      <c r="AVW2" s="94"/>
      <c r="AVX2" s="94"/>
      <c r="AVY2" s="94"/>
      <c r="AVZ2" s="94"/>
      <c r="AWA2" s="94"/>
      <c r="AWB2" s="94"/>
      <c r="AWC2" s="94"/>
      <c r="AWD2" s="94"/>
      <c r="AWE2" s="94"/>
      <c r="AWF2" s="94"/>
      <c r="AWG2" s="94"/>
      <c r="AWH2" s="94"/>
      <c r="AWI2" s="94"/>
      <c r="AWJ2" s="94"/>
      <c r="AWK2" s="94"/>
      <c r="AWL2" s="94"/>
      <c r="AWM2" s="94"/>
      <c r="AWN2" s="94"/>
      <c r="AWO2" s="94"/>
      <c r="AWP2" s="94"/>
      <c r="AWQ2" s="94"/>
      <c r="AWR2" s="94"/>
      <c r="AWS2" s="94"/>
      <c r="AWT2" s="94"/>
      <c r="AWU2" s="94"/>
      <c r="AWV2" s="94"/>
      <c r="AWW2" s="94"/>
      <c r="AWX2" s="94" t="s">
        <v>245</v>
      </c>
      <c r="AWY2" s="94"/>
      <c r="AWZ2" s="94"/>
      <c r="AXA2" s="94"/>
      <c r="AXB2" s="94"/>
      <c r="AXC2" s="94"/>
      <c r="AXD2" s="94"/>
      <c r="AXE2" s="94"/>
      <c r="AXF2" s="94"/>
      <c r="AXG2" s="94"/>
      <c r="AXH2" s="94"/>
      <c r="AXI2" s="94"/>
      <c r="AXJ2" s="94"/>
      <c r="AXK2" s="94"/>
      <c r="AXL2" s="94"/>
      <c r="AXM2" s="94"/>
      <c r="AXN2" s="94"/>
      <c r="AXO2" s="94"/>
      <c r="AXP2" s="94"/>
      <c r="AXQ2" s="94"/>
      <c r="AXR2" s="94"/>
      <c r="AXS2" s="94"/>
      <c r="AXT2" s="94"/>
      <c r="AXU2" s="94"/>
      <c r="AXV2" s="94"/>
      <c r="AXW2" s="94"/>
      <c r="AXX2" s="94"/>
      <c r="AXY2" s="94"/>
      <c r="AXZ2" s="94"/>
      <c r="AYA2" s="94" t="s">
        <v>246</v>
      </c>
      <c r="AYB2" s="94"/>
      <c r="AYC2" s="94"/>
      <c r="AYD2" s="94"/>
      <c r="AYE2" s="94"/>
      <c r="AYF2" s="94"/>
      <c r="AYG2" s="94"/>
      <c r="AYH2" s="94"/>
      <c r="AYI2" s="94"/>
      <c r="AYJ2" s="94"/>
      <c r="AYK2" s="94"/>
      <c r="AYL2" s="94"/>
      <c r="AYM2" s="94"/>
      <c r="AYN2" s="94"/>
      <c r="AYO2" s="94"/>
      <c r="AYP2" s="94"/>
      <c r="AYQ2" s="94"/>
      <c r="AYR2" s="94"/>
      <c r="AYS2" s="94"/>
      <c r="AYT2" s="94"/>
      <c r="AYU2" s="94"/>
      <c r="AYV2" s="94"/>
      <c r="AYW2" s="94"/>
      <c r="AYX2" s="94"/>
      <c r="AYY2" s="94"/>
      <c r="AYZ2" s="94"/>
      <c r="AZA2" s="94"/>
      <c r="AZB2" s="94"/>
      <c r="AZC2" s="94"/>
      <c r="AZD2" s="94" t="s">
        <v>247</v>
      </c>
      <c r="AZE2" s="94"/>
      <c r="AZF2" s="94"/>
      <c r="AZG2" s="94"/>
      <c r="AZH2" s="94"/>
      <c r="AZI2" s="94"/>
      <c r="AZJ2" s="94"/>
      <c r="AZK2" s="94"/>
      <c r="AZL2" s="94"/>
      <c r="AZM2" s="94"/>
      <c r="AZN2" s="94"/>
      <c r="AZO2" s="94"/>
      <c r="AZP2" s="94"/>
      <c r="AZQ2" s="94"/>
      <c r="AZR2" s="94"/>
      <c r="AZS2" s="94"/>
      <c r="AZT2" s="94"/>
      <c r="AZU2" s="94"/>
      <c r="AZV2" s="94"/>
      <c r="AZW2" s="94"/>
      <c r="AZX2" s="94"/>
      <c r="AZY2" s="94"/>
      <c r="AZZ2" s="94"/>
      <c r="BAA2" s="94"/>
      <c r="BAB2" s="94"/>
      <c r="BAC2" s="94"/>
      <c r="BAD2" s="94"/>
      <c r="BAE2" s="94"/>
      <c r="BAF2" s="94"/>
      <c r="BAG2" s="94" t="s">
        <v>248</v>
      </c>
      <c r="BAH2" s="94"/>
      <c r="BAI2" s="94"/>
      <c r="BAJ2" s="94"/>
      <c r="BAK2" s="94"/>
      <c r="BAL2" s="94"/>
      <c r="BAM2" s="94"/>
      <c r="BAN2" s="94"/>
      <c r="BAO2" s="94"/>
      <c r="BAP2" s="94"/>
      <c r="BAQ2" s="94"/>
      <c r="BAR2" s="94"/>
      <c r="BAS2" s="94"/>
      <c r="BAT2" s="94"/>
      <c r="BAU2" s="94"/>
      <c r="BAV2" s="94"/>
      <c r="BAW2" s="94"/>
      <c r="BAX2" s="94"/>
      <c r="BAY2" s="94"/>
      <c r="BAZ2" s="94"/>
      <c r="BBA2" s="94"/>
      <c r="BBB2" s="94"/>
      <c r="BBC2" s="94"/>
      <c r="BBD2" s="94"/>
      <c r="BBE2" s="94"/>
      <c r="BBF2" s="94"/>
      <c r="BBG2" s="94"/>
      <c r="BBH2" s="94"/>
      <c r="BBI2" s="94"/>
      <c r="BBJ2" s="94" t="s">
        <v>249</v>
      </c>
      <c r="BBK2" s="94"/>
      <c r="BBL2" s="94"/>
      <c r="BBM2" s="94"/>
      <c r="BBN2" s="94"/>
      <c r="BBO2" s="94"/>
      <c r="BBP2" s="94"/>
      <c r="BBQ2" s="94"/>
      <c r="BBR2" s="94"/>
      <c r="BBS2" s="94"/>
      <c r="BBT2" s="94"/>
      <c r="BBU2" s="94"/>
      <c r="BBV2" s="94"/>
      <c r="BBW2" s="94"/>
      <c r="BBX2" s="94"/>
      <c r="BBY2" s="94"/>
      <c r="BBZ2" s="94"/>
      <c r="BCA2" s="94"/>
      <c r="BCB2" s="94"/>
      <c r="BCC2" s="94"/>
      <c r="BCD2" s="94"/>
      <c r="BCE2" s="94"/>
      <c r="BCF2" s="94"/>
      <c r="BCG2" s="94"/>
      <c r="BCH2" s="94"/>
      <c r="BCI2" s="94"/>
      <c r="BCJ2" s="94"/>
      <c r="BCK2" s="94"/>
      <c r="BCL2" s="94"/>
      <c r="BCM2" s="94" t="s">
        <v>250</v>
      </c>
      <c r="BCN2" s="94"/>
      <c r="BCO2" s="94"/>
      <c r="BCP2" s="94"/>
      <c r="BCQ2" s="94"/>
      <c r="BCR2" s="94"/>
      <c r="BCS2" s="94"/>
      <c r="BCT2" s="94"/>
      <c r="BCU2" s="94"/>
      <c r="BCV2" s="94"/>
      <c r="BCW2" s="94"/>
      <c r="BCX2" s="94"/>
      <c r="BCY2" s="94"/>
      <c r="BCZ2" s="94"/>
      <c r="BDA2" s="94"/>
      <c r="BDB2" s="94"/>
      <c r="BDC2" s="94"/>
      <c r="BDD2" s="94"/>
      <c r="BDE2" s="94"/>
      <c r="BDF2" s="94"/>
      <c r="BDG2" s="94"/>
      <c r="BDH2" s="94"/>
      <c r="BDI2" s="94"/>
      <c r="BDJ2" s="94"/>
      <c r="BDK2" s="94"/>
      <c r="BDL2" s="94"/>
      <c r="BDM2" s="94"/>
      <c r="BDN2" s="94"/>
      <c r="BDO2" s="94"/>
      <c r="BDP2" s="94" t="s">
        <v>251</v>
      </c>
      <c r="BDQ2" s="94"/>
      <c r="BDR2" s="94"/>
      <c r="BDS2" s="94"/>
      <c r="BDT2" s="94"/>
      <c r="BDU2" s="94"/>
      <c r="BDV2" s="94"/>
      <c r="BDW2" s="94"/>
      <c r="BDX2" s="94"/>
      <c r="BDY2" s="94"/>
      <c r="BDZ2" s="94"/>
      <c r="BEA2" s="94"/>
      <c r="BEB2" s="94"/>
      <c r="BEC2" s="94"/>
      <c r="BED2" s="94"/>
      <c r="BEE2" s="94"/>
      <c r="BEF2" s="94"/>
      <c r="BEG2" s="94"/>
      <c r="BEH2" s="94"/>
      <c r="BEI2" s="94"/>
      <c r="BEJ2" s="94"/>
      <c r="BEK2" s="94"/>
      <c r="BEL2" s="94"/>
      <c r="BEM2" s="94"/>
      <c r="BEN2" s="94"/>
      <c r="BEO2" s="94"/>
      <c r="BEP2" s="94"/>
      <c r="BEQ2" s="94"/>
      <c r="BER2" s="94"/>
      <c r="BES2" s="94" t="s">
        <v>252</v>
      </c>
      <c r="BET2" s="94"/>
      <c r="BEU2" s="94"/>
      <c r="BEV2" s="94"/>
      <c r="BEW2" s="94"/>
      <c r="BEX2" s="94"/>
      <c r="BEY2" s="94"/>
      <c r="BEZ2" s="94"/>
      <c r="BFA2" s="94"/>
      <c r="BFB2" s="94"/>
      <c r="BFC2" s="94"/>
      <c r="BFD2" s="94"/>
      <c r="BFE2" s="94"/>
      <c r="BFF2" s="94"/>
      <c r="BFG2" s="94"/>
      <c r="BFH2" s="94"/>
      <c r="BFI2" s="94"/>
      <c r="BFJ2" s="94"/>
      <c r="BFK2" s="94"/>
      <c r="BFL2" s="94"/>
      <c r="BFM2" s="94"/>
      <c r="BFN2" s="94"/>
      <c r="BFO2" s="94"/>
      <c r="BFP2" s="94"/>
      <c r="BFQ2" s="94"/>
      <c r="BFR2" s="94"/>
      <c r="BFS2" s="94"/>
      <c r="BFT2" s="94"/>
      <c r="BFU2" s="94"/>
      <c r="BFV2" s="94" t="s">
        <v>253</v>
      </c>
      <c r="BFW2" s="94"/>
      <c r="BFX2" s="94"/>
      <c r="BFY2" s="94"/>
      <c r="BFZ2" s="94"/>
      <c r="BGA2" s="94"/>
      <c r="BGB2" s="94"/>
      <c r="BGC2" s="94"/>
      <c r="BGD2" s="94"/>
      <c r="BGE2" s="94"/>
      <c r="BGF2" s="94"/>
      <c r="BGG2" s="94"/>
      <c r="BGH2" s="94"/>
      <c r="BGI2" s="94"/>
      <c r="BGJ2" s="94"/>
      <c r="BGK2" s="94"/>
      <c r="BGL2" s="94"/>
      <c r="BGM2" s="94"/>
      <c r="BGN2" s="94"/>
      <c r="BGO2" s="94"/>
      <c r="BGP2" s="94"/>
      <c r="BGQ2" s="94"/>
      <c r="BGR2" s="94"/>
      <c r="BGS2" s="94"/>
      <c r="BGT2" s="94"/>
      <c r="BGU2" s="94"/>
      <c r="BGV2" s="94"/>
      <c r="BGW2" s="94"/>
      <c r="BGX2" s="94"/>
      <c r="BGY2" s="94" t="s">
        <v>254</v>
      </c>
      <c r="BGZ2" s="94"/>
      <c r="BHA2" s="94"/>
      <c r="BHB2" s="94"/>
      <c r="BHC2" s="94"/>
      <c r="BHD2" s="94"/>
      <c r="BHE2" s="94"/>
      <c r="BHF2" s="94"/>
      <c r="BHG2" s="94"/>
      <c r="BHH2" s="94"/>
      <c r="BHI2" s="94"/>
      <c r="BHJ2" s="94"/>
      <c r="BHK2" s="94"/>
      <c r="BHL2" s="94"/>
      <c r="BHM2" s="94"/>
      <c r="BHN2" s="94"/>
      <c r="BHO2" s="94"/>
      <c r="BHP2" s="94"/>
      <c r="BHQ2" s="94"/>
      <c r="BHR2" s="94"/>
      <c r="BHS2" s="94"/>
      <c r="BHT2" s="94"/>
      <c r="BHU2" s="94"/>
      <c r="BHV2" s="94"/>
      <c r="BHW2" s="94"/>
      <c r="BHX2" s="94"/>
      <c r="BHY2" s="94"/>
      <c r="BHZ2" s="94"/>
      <c r="BIA2" s="94"/>
      <c r="BIB2" s="94" t="s">
        <v>255</v>
      </c>
      <c r="BIC2" s="94"/>
      <c r="BID2" s="94"/>
      <c r="BIE2" s="94"/>
      <c r="BIF2" s="94"/>
      <c r="BIG2" s="94"/>
      <c r="BIH2" s="94"/>
      <c r="BII2" s="94"/>
      <c r="BIJ2" s="94"/>
      <c r="BIK2" s="94"/>
      <c r="BIL2" s="94"/>
      <c r="BIM2" s="94"/>
      <c r="BIN2" s="94"/>
      <c r="BIO2" s="94"/>
      <c r="BIP2" s="94"/>
      <c r="BIQ2" s="94"/>
      <c r="BIR2" s="94"/>
      <c r="BIS2" s="94"/>
      <c r="BIT2" s="94"/>
      <c r="BIU2" s="94"/>
      <c r="BIV2" s="94"/>
      <c r="BIW2" s="94"/>
      <c r="BIX2" s="94"/>
      <c r="BIY2" s="94"/>
      <c r="BIZ2" s="94"/>
      <c r="BJA2" s="94"/>
      <c r="BJB2" s="94"/>
      <c r="BJC2" s="94"/>
      <c r="BJD2" s="94"/>
      <c r="BJE2" s="88" t="s">
        <v>256</v>
      </c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 t="s">
        <v>257</v>
      </c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 t="s">
        <v>258</v>
      </c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 t="s">
        <v>259</v>
      </c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 t="s">
        <v>260</v>
      </c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88"/>
      <c r="BOE2" s="88"/>
      <c r="BOF2" s="88"/>
      <c r="BOG2" s="88"/>
      <c r="BOH2" s="88"/>
      <c r="BOI2" s="88"/>
      <c r="BOJ2" s="88"/>
      <c r="BOK2" s="88"/>
      <c r="BOL2" s="88"/>
      <c r="BOM2" s="88"/>
      <c r="BON2" s="88"/>
      <c r="BOO2" s="88"/>
      <c r="BOP2" s="88"/>
      <c r="BOQ2" s="88"/>
      <c r="BOR2" s="88"/>
      <c r="BOS2" s="88"/>
      <c r="BOT2" s="93" t="s">
        <v>261</v>
      </c>
      <c r="BOU2" s="93"/>
      <c r="BOV2" s="93"/>
      <c r="BOW2" s="93"/>
      <c r="BOX2" s="93"/>
      <c r="BOY2" s="93"/>
      <c r="BOZ2" s="93"/>
      <c r="BPA2" s="93"/>
      <c r="BPB2" s="93"/>
      <c r="BPC2" s="93"/>
      <c r="BPD2" s="93"/>
      <c r="BPE2" s="93"/>
      <c r="BPF2" s="93"/>
      <c r="BPG2" s="93"/>
      <c r="BPH2" s="93"/>
      <c r="BPI2" s="93"/>
      <c r="BPJ2" s="93"/>
      <c r="BPK2" s="93"/>
      <c r="BPL2" s="93"/>
      <c r="BPM2" s="93"/>
      <c r="BPN2" s="93"/>
      <c r="BPO2" s="93"/>
      <c r="BPP2" s="93"/>
      <c r="BPQ2" s="93"/>
      <c r="BPR2" s="93"/>
      <c r="BPS2" s="93"/>
      <c r="BPT2" s="93"/>
      <c r="BPU2" s="93"/>
      <c r="BPV2" s="93"/>
      <c r="BPW2" s="88" t="s">
        <v>262</v>
      </c>
      <c r="BPX2" s="88"/>
      <c r="BPY2" s="88"/>
      <c r="BPZ2" s="88"/>
      <c r="BQA2" s="88"/>
      <c r="BQB2" s="88"/>
      <c r="BQC2" s="88"/>
      <c r="BQD2" s="88"/>
      <c r="BQE2" s="88"/>
      <c r="BQF2" s="88"/>
      <c r="BQG2" s="88"/>
      <c r="BQH2" s="88"/>
      <c r="BQI2" s="88"/>
      <c r="BQJ2" s="88"/>
      <c r="BQK2" s="88"/>
      <c r="BQL2" s="88"/>
      <c r="BQM2" s="88"/>
      <c r="BQN2" s="88"/>
      <c r="BQO2" s="88"/>
      <c r="BQP2" s="88"/>
      <c r="BQQ2" s="88"/>
      <c r="BQR2" s="88"/>
      <c r="BQS2" s="88"/>
      <c r="BQT2" s="88"/>
      <c r="BQU2" s="88"/>
      <c r="BQV2" s="88"/>
      <c r="BQW2" s="88"/>
      <c r="BQX2" s="88"/>
      <c r="BQY2" s="88"/>
      <c r="BQZ2" s="88" t="s">
        <v>263</v>
      </c>
      <c r="BRA2" s="88"/>
      <c r="BRB2" s="88"/>
      <c r="BRC2" s="88"/>
      <c r="BRD2" s="88"/>
      <c r="BRE2" s="88"/>
      <c r="BRF2" s="88"/>
      <c r="BRG2" s="88"/>
      <c r="BRH2" s="88"/>
      <c r="BRI2" s="88"/>
      <c r="BRJ2" s="88"/>
      <c r="BRK2" s="88"/>
      <c r="BRL2" s="88"/>
      <c r="BRM2" s="88"/>
      <c r="BRN2" s="88"/>
      <c r="BRO2" s="88"/>
      <c r="BRP2" s="88"/>
      <c r="BRQ2" s="88"/>
      <c r="BRR2" s="88"/>
      <c r="BRS2" s="88"/>
      <c r="BRT2" s="88"/>
      <c r="BRU2" s="88"/>
      <c r="BRV2" s="88"/>
      <c r="BRW2" s="88"/>
      <c r="BRX2" s="88"/>
      <c r="BRY2" s="88"/>
      <c r="BRZ2" s="88"/>
      <c r="BSA2" s="88"/>
      <c r="BSB2" s="88"/>
      <c r="BSC2" s="88" t="s">
        <v>264</v>
      </c>
      <c r="BSD2" s="88"/>
      <c r="BSE2" s="88"/>
      <c r="BSF2" s="88"/>
      <c r="BSG2" s="88"/>
      <c r="BSH2" s="88"/>
      <c r="BSI2" s="88"/>
      <c r="BSJ2" s="88"/>
      <c r="BSK2" s="88"/>
      <c r="BSL2" s="88"/>
      <c r="BSM2" s="88"/>
      <c r="BSN2" s="88"/>
      <c r="BSO2" s="88"/>
      <c r="BSP2" s="88"/>
      <c r="BSQ2" s="88"/>
      <c r="BSR2" s="88"/>
      <c r="BSS2" s="88"/>
      <c r="BST2" s="88"/>
      <c r="BSU2" s="88"/>
      <c r="BSV2" s="88"/>
      <c r="BSW2" s="88"/>
      <c r="BSX2" s="88"/>
      <c r="BSY2" s="88"/>
      <c r="BSZ2" s="88"/>
      <c r="BTA2" s="88"/>
      <c r="BTB2" s="88"/>
      <c r="BTC2" s="88"/>
      <c r="BTD2" s="88"/>
      <c r="BTE2" s="88"/>
      <c r="BTF2" s="88" t="s">
        <v>265</v>
      </c>
      <c r="BTG2" s="88"/>
      <c r="BTH2" s="88"/>
      <c r="BTI2" s="88"/>
      <c r="BTJ2" s="88"/>
      <c r="BTK2" s="88"/>
      <c r="BTL2" s="88"/>
      <c r="BTM2" s="88"/>
      <c r="BTN2" s="88"/>
      <c r="BTO2" s="88"/>
      <c r="BTP2" s="88"/>
      <c r="BTQ2" s="88"/>
      <c r="BTR2" s="88"/>
      <c r="BTS2" s="88"/>
      <c r="BTT2" s="88"/>
      <c r="BTU2" s="88"/>
      <c r="BTV2" s="88"/>
      <c r="BTW2" s="88"/>
      <c r="BTX2" s="88"/>
      <c r="BTY2" s="88"/>
      <c r="BTZ2" s="88"/>
      <c r="BUA2" s="88"/>
      <c r="BUB2" s="88"/>
      <c r="BUC2" s="88"/>
      <c r="BUD2" s="88"/>
      <c r="BUE2" s="88"/>
      <c r="BUF2" s="88"/>
      <c r="BUG2" s="88"/>
      <c r="BUH2" s="88"/>
      <c r="BUI2" s="88" t="s">
        <v>266</v>
      </c>
      <c r="BUJ2" s="88"/>
      <c r="BUK2" s="88"/>
      <c r="BUL2" s="88"/>
      <c r="BUM2" s="88"/>
      <c r="BUN2" s="88"/>
      <c r="BUO2" s="88"/>
      <c r="BUP2" s="88"/>
      <c r="BUQ2" s="88"/>
      <c r="BUR2" s="88"/>
      <c r="BUS2" s="88"/>
      <c r="BUT2" s="88"/>
      <c r="BUU2" s="88"/>
      <c r="BUV2" s="88"/>
      <c r="BUW2" s="88"/>
      <c r="BUX2" s="88"/>
      <c r="BUY2" s="88"/>
      <c r="BUZ2" s="88"/>
      <c r="BVA2" s="88"/>
      <c r="BVB2" s="88"/>
      <c r="BVC2" s="88"/>
      <c r="BVD2" s="88"/>
      <c r="BVE2" s="88"/>
      <c r="BVF2" s="88"/>
      <c r="BVG2" s="88"/>
      <c r="BVH2" s="88"/>
      <c r="BVI2" s="88"/>
      <c r="BVJ2" s="88"/>
      <c r="BVK2" s="88"/>
      <c r="BVL2" s="88" t="s">
        <v>267</v>
      </c>
      <c r="BVM2" s="88"/>
      <c r="BVN2" s="88"/>
      <c r="BVO2" s="88"/>
      <c r="BVP2" s="88"/>
      <c r="BVQ2" s="88"/>
      <c r="BVR2" s="88"/>
      <c r="BVS2" s="88"/>
      <c r="BVT2" s="88"/>
      <c r="BVU2" s="88"/>
      <c r="BVV2" s="88"/>
      <c r="BVW2" s="88"/>
      <c r="BVX2" s="88"/>
      <c r="BVY2" s="88"/>
      <c r="BVZ2" s="88"/>
      <c r="BWA2" s="88"/>
      <c r="BWB2" s="88"/>
      <c r="BWC2" s="88"/>
      <c r="BWD2" s="88"/>
      <c r="BWE2" s="88"/>
      <c r="BWF2" s="88"/>
      <c r="BWG2" s="88"/>
      <c r="BWH2" s="88"/>
      <c r="BWI2" s="88"/>
      <c r="BWJ2" s="88"/>
      <c r="BWK2" s="88"/>
      <c r="BWL2" s="88"/>
      <c r="BWM2" s="88"/>
      <c r="BWN2" s="88"/>
      <c r="BWO2" s="88" t="s">
        <v>268</v>
      </c>
      <c r="BWP2" s="88"/>
      <c r="BWQ2" s="88"/>
      <c r="BWR2" s="88"/>
      <c r="BWS2" s="88"/>
      <c r="BWT2" s="88"/>
      <c r="BWU2" s="88"/>
      <c r="BWV2" s="88"/>
      <c r="BWW2" s="88"/>
      <c r="BWX2" s="88"/>
      <c r="BWY2" s="88"/>
      <c r="BWZ2" s="88"/>
      <c r="BXA2" s="88"/>
      <c r="BXB2" s="88"/>
      <c r="BXC2" s="88"/>
      <c r="BXD2" s="88"/>
      <c r="BXE2" s="88"/>
      <c r="BXF2" s="88"/>
      <c r="BXG2" s="88"/>
      <c r="BXH2" s="88"/>
      <c r="BXI2" s="88"/>
      <c r="BXJ2" s="88"/>
      <c r="BXK2" s="88"/>
      <c r="BXL2" s="88"/>
      <c r="BXM2" s="88"/>
      <c r="BXN2" s="88"/>
      <c r="BXO2" s="88"/>
      <c r="BXP2" s="88"/>
      <c r="BXQ2" s="88"/>
      <c r="BXR2" s="88" t="s">
        <v>269</v>
      </c>
      <c r="BXS2" s="88"/>
      <c r="BXT2" s="88"/>
      <c r="BXU2" s="88"/>
      <c r="BXV2" s="88"/>
      <c r="BXW2" s="88"/>
      <c r="BXX2" s="88"/>
      <c r="BXY2" s="88"/>
      <c r="BXZ2" s="88"/>
      <c r="BYA2" s="88"/>
      <c r="BYB2" s="88"/>
      <c r="BYC2" s="88"/>
      <c r="BYD2" s="88"/>
      <c r="BYE2" s="88"/>
      <c r="BYF2" s="88"/>
      <c r="BYG2" s="88"/>
      <c r="BYH2" s="88"/>
      <c r="BYI2" s="88"/>
      <c r="BYJ2" s="88"/>
      <c r="BYK2" s="88"/>
      <c r="BYL2" s="88"/>
      <c r="BYM2" s="88"/>
      <c r="BYN2" s="88"/>
      <c r="BYO2" s="88"/>
      <c r="BYP2" s="88"/>
      <c r="BYQ2" s="88"/>
      <c r="BYR2" s="88"/>
      <c r="BYS2" s="88"/>
      <c r="BYT2" s="88"/>
      <c r="BYU2" s="89" t="s">
        <v>270</v>
      </c>
      <c r="BYV2" s="89"/>
      <c r="BYW2" s="89"/>
      <c r="BYX2" s="89"/>
      <c r="BYY2" s="89"/>
      <c r="BYZ2" s="89"/>
      <c r="BZA2" s="89"/>
      <c r="BZB2" s="89"/>
      <c r="BZC2" s="89"/>
      <c r="BZD2" s="89"/>
      <c r="BZE2" s="89"/>
      <c r="BZF2" s="89"/>
      <c r="BZG2" s="89"/>
      <c r="BZH2" s="89"/>
      <c r="BZI2" s="89"/>
      <c r="BZJ2" s="89"/>
      <c r="BZK2" s="89"/>
      <c r="BZL2" s="89"/>
      <c r="BZM2" s="89"/>
      <c r="BZN2" s="89"/>
      <c r="BZO2" s="89"/>
      <c r="BZP2" s="89"/>
      <c r="BZQ2" s="89"/>
      <c r="BZR2" s="89"/>
      <c r="BZS2" s="89"/>
      <c r="BZT2" s="89"/>
      <c r="BZU2" s="89"/>
      <c r="BZV2" s="89"/>
      <c r="BZW2" s="89"/>
      <c r="BZX2" s="89"/>
      <c r="BZY2" s="89"/>
      <c r="BZZ2" s="89"/>
      <c r="CAA2" s="89"/>
      <c r="CAB2" s="89"/>
      <c r="CAC2" s="89"/>
      <c r="CAD2" s="89"/>
      <c r="CAE2" s="89"/>
      <c r="CAF2" s="89"/>
      <c r="CAG2" s="89"/>
      <c r="CAH2" s="89"/>
      <c r="CAI2" s="89"/>
      <c r="CAJ2" s="89"/>
      <c r="CAK2" s="89"/>
      <c r="CAL2" s="89"/>
      <c r="CAM2" s="89"/>
      <c r="CAN2" s="89"/>
      <c r="CAO2" s="89"/>
      <c r="CAP2" s="89"/>
      <c r="CAQ2" s="89"/>
      <c r="CAR2" s="89"/>
      <c r="CAS2" s="89"/>
      <c r="CAT2" s="89"/>
      <c r="CAU2" s="89"/>
      <c r="CAV2" s="89"/>
      <c r="CAW2" s="89"/>
      <c r="CAX2" s="89"/>
      <c r="CAY2" s="89"/>
      <c r="CAZ2" s="89"/>
      <c r="CBA2" s="89"/>
      <c r="CBB2" s="89"/>
      <c r="CBC2" s="89"/>
      <c r="CBD2" s="89"/>
      <c r="CBE2" s="89"/>
      <c r="CBF2" s="89"/>
      <c r="CBG2" s="89"/>
      <c r="CBH2" s="89"/>
      <c r="CBI2" s="89"/>
      <c r="CBJ2" s="89"/>
      <c r="CBK2" s="89"/>
      <c r="CBL2" s="89"/>
      <c r="CBM2" s="89"/>
      <c r="CBN2" s="89"/>
      <c r="CBO2" s="89"/>
      <c r="CBP2" s="89"/>
      <c r="CBQ2" s="89"/>
      <c r="CBR2" s="89"/>
      <c r="CBS2" s="89"/>
      <c r="CBT2" s="89"/>
      <c r="CBU2" s="89"/>
      <c r="CBV2" s="89"/>
      <c r="CBW2" s="89"/>
      <c r="CBX2" s="89"/>
      <c r="CBY2" s="89"/>
      <c r="CBZ2" s="89"/>
      <c r="CCA2" s="89"/>
      <c r="CCB2" s="89"/>
      <c r="CCC2" s="89"/>
      <c r="CCD2" s="89"/>
      <c r="CCE2" s="89"/>
      <c r="CCF2" s="89"/>
      <c r="CCG2" s="89"/>
      <c r="CCH2" s="89"/>
      <c r="CCI2" s="89"/>
      <c r="CCJ2" s="89"/>
      <c r="CCK2" s="89"/>
      <c r="CCL2" s="89"/>
      <c r="CCM2" s="89"/>
      <c r="CCN2" s="89"/>
      <c r="CCO2" s="89"/>
      <c r="CCP2" s="89"/>
      <c r="CCQ2" s="89"/>
      <c r="CCR2" s="89"/>
      <c r="CCS2" s="89"/>
      <c r="CCT2" s="89"/>
      <c r="CCU2" s="89"/>
      <c r="CCV2" s="89"/>
      <c r="CCW2" s="89"/>
      <c r="CCX2" s="89"/>
      <c r="CCY2" s="89"/>
      <c r="CCZ2" s="89"/>
      <c r="CDA2" s="89"/>
      <c r="CDB2" s="89"/>
      <c r="CDC2" s="89"/>
      <c r="CDD2" s="90"/>
      <c r="CDE2" s="91"/>
      <c r="CDF2" s="91"/>
      <c r="CDG2" s="91"/>
      <c r="CDH2" s="91"/>
      <c r="CDI2" s="91"/>
      <c r="CDJ2" s="91"/>
      <c r="CDK2" s="91"/>
      <c r="CDL2" s="91"/>
      <c r="CDM2" s="91"/>
      <c r="CDN2" s="91"/>
      <c r="CDO2" s="91"/>
      <c r="CDP2" s="91"/>
      <c r="CDQ2" s="91"/>
      <c r="CDR2" s="91"/>
      <c r="CDS2" s="91"/>
      <c r="CDT2" s="91"/>
      <c r="CDU2" s="91"/>
      <c r="CDV2" s="91"/>
      <c r="CDW2" s="91"/>
      <c r="CDX2" s="91"/>
      <c r="CDY2" s="91"/>
      <c r="CDZ2" s="91"/>
      <c r="CEA2" s="91"/>
      <c r="CEB2" s="91"/>
      <c r="CEC2" s="91"/>
      <c r="CED2" s="91"/>
      <c r="CEE2" s="91"/>
      <c r="CEF2" s="91"/>
      <c r="CEG2" s="91"/>
      <c r="CEH2" s="91"/>
      <c r="CEI2" s="91"/>
      <c r="CEJ2" s="91"/>
      <c r="CEK2" s="91"/>
      <c r="CEL2" s="91"/>
      <c r="CEM2" s="91"/>
      <c r="CEN2" s="91"/>
      <c r="CEO2" s="91"/>
      <c r="CEP2" s="91"/>
      <c r="CEQ2" s="91"/>
      <c r="CER2" s="91"/>
      <c r="CES2" s="91"/>
      <c r="CET2" s="91"/>
      <c r="CEU2" s="91"/>
      <c r="CEV2" s="91"/>
      <c r="CEW2" s="91"/>
      <c r="CEX2" s="91"/>
      <c r="CEY2" s="91"/>
      <c r="CEZ2" s="91"/>
      <c r="CFA2" s="91"/>
      <c r="CFB2" s="91"/>
      <c r="CFC2" s="91"/>
      <c r="CFD2" s="91"/>
      <c r="CFE2" s="91"/>
      <c r="CFF2" s="91"/>
      <c r="CFG2" s="91"/>
      <c r="CFH2" s="91"/>
      <c r="CFI2" s="91"/>
      <c r="CFJ2" s="91"/>
      <c r="CFK2" s="91"/>
      <c r="CFL2" s="91"/>
      <c r="CFM2" s="91"/>
      <c r="CFN2" s="91"/>
      <c r="CFO2" s="91"/>
      <c r="CFP2" s="91"/>
      <c r="CFQ2" s="91"/>
      <c r="CFR2" s="91"/>
      <c r="CFS2" s="91"/>
      <c r="CFT2" s="91"/>
      <c r="CFU2" s="91"/>
      <c r="CFV2" s="91"/>
      <c r="CFW2" s="91"/>
      <c r="CFX2" s="91"/>
      <c r="CFY2" s="91"/>
      <c r="CFZ2" s="91"/>
      <c r="CGA2" s="91"/>
      <c r="CGB2" s="91"/>
      <c r="CGC2" s="91"/>
      <c r="CGD2" s="91"/>
      <c r="CGE2" s="91"/>
      <c r="CGF2" s="91"/>
      <c r="CGG2" s="91"/>
      <c r="CGH2" s="91"/>
      <c r="CGI2" s="91"/>
      <c r="CGJ2" s="91"/>
      <c r="CGK2" s="91"/>
      <c r="CGL2" s="91"/>
      <c r="CGM2" s="91"/>
      <c r="CGN2" s="91"/>
      <c r="CGO2" s="91"/>
      <c r="CGP2" s="91"/>
      <c r="CGQ2" s="91"/>
      <c r="CGR2" s="91"/>
      <c r="CGS2" s="91"/>
      <c r="CGT2" s="91"/>
      <c r="CGU2" s="91"/>
      <c r="CGV2" s="91"/>
      <c r="CGW2" s="91"/>
      <c r="CGX2" s="91"/>
      <c r="CGY2" s="91"/>
      <c r="CGZ2" s="91"/>
      <c r="CHA2" s="91"/>
      <c r="CHB2" s="91"/>
      <c r="CHC2" s="91"/>
      <c r="CHD2" s="91"/>
      <c r="CHE2" s="91"/>
      <c r="CHF2" s="91"/>
      <c r="CHG2" s="91"/>
      <c r="CHH2" s="91"/>
      <c r="CHI2" s="91"/>
      <c r="CHJ2" s="91"/>
      <c r="CHK2" s="91"/>
      <c r="CHL2" s="91"/>
      <c r="CHM2" s="91"/>
      <c r="CHN2" s="91"/>
      <c r="CHO2" s="91"/>
      <c r="CHP2" s="91"/>
      <c r="CHQ2" s="91"/>
      <c r="CHR2" s="92"/>
      <c r="CHS2" s="24" t="s">
        <v>271</v>
      </c>
      <c r="CHT2" s="24" t="s">
        <v>272</v>
      </c>
      <c r="CHU2" s="24"/>
      <c r="CHV2" s="24" t="s">
        <v>273</v>
      </c>
      <c r="CHW2" s="24"/>
      <c r="CHX2" s="24"/>
      <c r="CHY2" s="24" t="s">
        <v>274</v>
      </c>
      <c r="CHZ2" s="24"/>
      <c r="CIA2" s="24"/>
      <c r="CIB2" s="24"/>
      <c r="CIC2" s="24"/>
      <c r="CID2" s="24"/>
      <c r="CIE2" s="24"/>
      <c r="CIF2" s="24"/>
      <c r="CIG2" s="24"/>
      <c r="CIH2" s="24"/>
      <c r="CII2" s="24"/>
      <c r="CIJ2" s="24"/>
      <c r="CIK2" s="24"/>
      <c r="CIL2" s="24"/>
      <c r="CIM2" s="24"/>
      <c r="CIN2" s="24"/>
      <c r="CIO2" s="24"/>
      <c r="CIP2" s="24"/>
      <c r="CIQ2" s="24"/>
      <c r="CIR2" s="24"/>
      <c r="CIS2" s="24"/>
      <c r="CIT2" s="24"/>
      <c r="CIU2" s="24"/>
      <c r="CIV2" s="24"/>
      <c r="CIW2" s="24"/>
      <c r="CIX2" s="24"/>
      <c r="CIY2" s="24"/>
      <c r="CIZ2" s="24"/>
      <c r="CJA2" s="24"/>
      <c r="CJB2" s="24" t="s">
        <v>275</v>
      </c>
      <c r="CJC2" s="24"/>
      <c r="CJD2" s="24"/>
      <c r="CJE2" s="24"/>
      <c r="CJF2" s="24"/>
      <c r="CJG2" s="24"/>
      <c r="CJH2" s="24"/>
      <c r="CJI2" s="24"/>
      <c r="CJJ2" s="24"/>
      <c r="CJK2" s="24"/>
      <c r="CJL2" s="24"/>
      <c r="CJM2" s="24"/>
      <c r="CJN2" s="24"/>
      <c r="CJO2" s="24"/>
      <c r="CJP2" s="24"/>
      <c r="CJQ2" s="24"/>
      <c r="CJR2" s="24"/>
      <c r="CJS2" s="24"/>
      <c r="CJT2" s="24"/>
      <c r="CJU2" s="24"/>
      <c r="CJV2" s="24"/>
      <c r="CJW2" s="24"/>
      <c r="CJX2" s="24"/>
      <c r="CJY2" s="24"/>
      <c r="CJZ2" s="24"/>
      <c r="CKA2" s="24"/>
      <c r="CKB2" s="24"/>
      <c r="CKC2" s="24"/>
      <c r="CKD2" s="24"/>
      <c r="CKE2" s="24" t="s">
        <v>276</v>
      </c>
      <c r="CKF2" s="24"/>
      <c r="CKG2" s="24"/>
      <c r="CKH2" s="24"/>
      <c r="CKI2" s="24"/>
      <c r="CKJ2" s="24"/>
      <c r="CKK2" s="24"/>
      <c r="CKL2" s="24"/>
      <c r="CKM2" s="24"/>
      <c r="CKN2" s="24"/>
      <c r="CKO2" s="24"/>
      <c r="CKP2" s="24"/>
      <c r="CKQ2" s="24"/>
      <c r="CKR2" s="24"/>
      <c r="CKS2" s="24"/>
      <c r="CKT2" s="24"/>
      <c r="CKU2" s="24"/>
      <c r="CKV2" s="24"/>
      <c r="CKW2" s="24"/>
      <c r="CKX2" s="24"/>
      <c r="CKY2" s="24"/>
      <c r="CKZ2" s="24"/>
      <c r="CLA2" s="24"/>
      <c r="CLB2" s="24"/>
      <c r="CLC2" s="24"/>
      <c r="CLD2" s="24"/>
      <c r="CLE2" s="24"/>
      <c r="CLF2" s="24"/>
      <c r="CLG2" s="24"/>
      <c r="CLH2" s="24"/>
      <c r="CLI2" s="24" t="s">
        <v>277</v>
      </c>
      <c r="CLJ2" s="24" t="s">
        <v>278</v>
      </c>
      <c r="CLK2" s="24" t="s">
        <v>279</v>
      </c>
      <c r="CLL2" s="24"/>
      <c r="CLM2" s="24"/>
      <c r="CLN2" s="24"/>
      <c r="CLO2" s="24"/>
      <c r="CLP2" s="24"/>
      <c r="CLQ2" s="24"/>
      <c r="CLR2" s="24"/>
      <c r="CLS2" s="24"/>
      <c r="CLT2" s="24"/>
      <c r="CLU2" s="24"/>
      <c r="CLV2" s="24"/>
      <c r="CLW2" s="24"/>
      <c r="CLX2" s="24"/>
      <c r="CLY2" s="24"/>
      <c r="CLZ2" s="24"/>
      <c r="CMA2" s="24"/>
      <c r="CMB2" s="24"/>
      <c r="CMC2" s="24"/>
      <c r="CMD2" s="24"/>
      <c r="CME2" s="24"/>
      <c r="CMF2" s="24"/>
      <c r="CMG2" s="24"/>
      <c r="CMH2" s="24"/>
      <c r="CMI2" s="24"/>
      <c r="CMJ2" s="24"/>
      <c r="CMK2" s="24"/>
      <c r="CML2" s="24"/>
      <c r="CMM2" s="17"/>
      <c r="CMN2" s="17"/>
      <c r="CMO2" s="17"/>
      <c r="CMP2" s="18"/>
      <c r="CMQ2" s="18"/>
      <c r="CMR2" s="19"/>
      <c r="CMS2" s="19"/>
      <c r="CMT2" s="19"/>
      <c r="CMU2" s="19"/>
      <c r="CMV2" s="19"/>
      <c r="CMW2" s="19"/>
      <c r="CMX2" s="19"/>
      <c r="CMY2" s="19"/>
      <c r="CMZ2" s="19"/>
      <c r="CNA2" s="19"/>
      <c r="CNB2" s="19"/>
      <c r="CNC2" s="19"/>
      <c r="CND2" s="19"/>
      <c r="CNE2" s="19"/>
      <c r="CNF2" s="19"/>
      <c r="CNG2" s="19"/>
      <c r="CNH2" s="19"/>
      <c r="CNI2" s="19"/>
      <c r="CNJ2" s="19"/>
      <c r="CNK2" s="19"/>
      <c r="CNL2" s="19"/>
      <c r="CNM2" s="19"/>
      <c r="CNN2" s="19"/>
      <c r="CNO2" s="19"/>
      <c r="CNP2" s="19"/>
      <c r="CNQ2" s="19"/>
      <c r="CNR2" s="19"/>
      <c r="CNS2" s="19"/>
      <c r="CNT2" s="19"/>
      <c r="CNU2" s="19"/>
      <c r="CNV2" s="19"/>
      <c r="CNW2" s="19"/>
      <c r="CNX2" s="19"/>
      <c r="CNY2" s="19"/>
      <c r="CNZ2" s="19"/>
      <c r="COA2" s="19"/>
      <c r="COB2" s="19"/>
      <c r="COC2" s="19"/>
      <c r="COD2" s="19"/>
      <c r="COE2" s="19"/>
      <c r="COF2" s="19"/>
      <c r="COG2" s="19"/>
      <c r="COH2" s="19"/>
      <c r="COI2" s="19"/>
      <c r="COJ2" s="19"/>
      <c r="COK2" s="19"/>
      <c r="COL2" s="19"/>
      <c r="COM2" s="19"/>
      <c r="CON2" s="19"/>
      <c r="COO2" s="19"/>
      <c r="COP2" s="19"/>
      <c r="COQ2" s="19"/>
      <c r="COR2" s="19"/>
      <c r="COS2" s="19"/>
      <c r="COT2" s="19"/>
      <c r="COU2" s="19"/>
      <c r="COV2" s="19"/>
      <c r="COW2" s="19"/>
      <c r="COX2" s="19"/>
      <c r="COY2" s="19"/>
      <c r="COZ2" s="19"/>
      <c r="CPA2" s="19"/>
      <c r="CPB2" s="19"/>
      <c r="CPC2" s="19"/>
      <c r="CPD2" s="19"/>
      <c r="CPE2" s="19"/>
      <c r="CPF2" s="19"/>
      <c r="CPG2" s="19"/>
      <c r="CPH2" s="19"/>
      <c r="CPI2" s="19"/>
      <c r="CPJ2" s="19"/>
      <c r="CPK2" s="19"/>
      <c r="CPL2" s="19"/>
      <c r="CPM2" s="19"/>
      <c r="CPN2" s="19"/>
      <c r="CPO2" s="19"/>
      <c r="CPP2" s="19"/>
      <c r="CPQ2" s="19"/>
      <c r="CPR2" s="19"/>
      <c r="CPS2" s="19"/>
      <c r="CPT2" s="19"/>
      <c r="CPU2" s="19"/>
      <c r="CPV2" s="19"/>
      <c r="CPW2" s="19"/>
      <c r="CPX2" s="19"/>
      <c r="CPY2" s="19"/>
      <c r="CPZ2" s="19"/>
      <c r="CQA2" s="19"/>
      <c r="CQB2" s="19"/>
      <c r="CQC2" s="19"/>
      <c r="CQD2" s="19"/>
      <c r="CQE2" s="19"/>
      <c r="CQF2" s="19"/>
      <c r="CQG2" s="19"/>
      <c r="CQH2" s="19"/>
      <c r="CQI2" s="19"/>
      <c r="CQJ2" s="19"/>
      <c r="CQK2" s="19"/>
      <c r="CQL2" s="19"/>
      <c r="CQM2" s="19"/>
      <c r="CQN2" s="19"/>
      <c r="CQO2" s="19"/>
      <c r="CQP2" s="19"/>
      <c r="CQQ2" s="19"/>
      <c r="CQR2" s="19"/>
      <c r="CQS2" s="19"/>
      <c r="CQT2" s="19"/>
      <c r="CQU2" s="19"/>
      <c r="CQV2" s="19"/>
      <c r="CQW2" s="19"/>
      <c r="CQX2" s="19"/>
      <c r="CQY2" s="19"/>
      <c r="CQZ2" s="19"/>
      <c r="CRA2" s="19"/>
      <c r="CRB2" s="19"/>
      <c r="CRC2" s="19"/>
      <c r="CRD2" s="19"/>
      <c r="CRE2" s="19"/>
      <c r="CRF2" s="19"/>
      <c r="CRG2" s="19"/>
      <c r="CRH2" s="19"/>
      <c r="CRI2" s="20"/>
      <c r="CRJ2" s="85"/>
      <c r="CRK2" s="86"/>
      <c r="CRL2" s="86"/>
      <c r="CRM2" s="86"/>
      <c r="CRN2" s="86"/>
      <c r="CRO2" s="86"/>
      <c r="CRP2" s="87"/>
      <c r="CRQ2" s="11"/>
      <c r="CRR2" s="12"/>
      <c r="CRS2" s="21"/>
      <c r="CRT2" s="21"/>
      <c r="CRU2" s="21"/>
      <c r="CRV2" s="21"/>
      <c r="CRW2" s="21"/>
      <c r="CRX2" s="21"/>
      <c r="CRY2" s="21"/>
      <c r="CRZ2" s="21"/>
      <c r="CSA2" s="21"/>
      <c r="CSB2" s="21"/>
      <c r="CSC2" s="21"/>
      <c r="CSD2" s="21"/>
      <c r="CSE2" s="21"/>
      <c r="CSF2" s="21"/>
      <c r="CSG2" s="21"/>
      <c r="CSH2" s="21"/>
      <c r="CSI2" s="21"/>
      <c r="CSJ2" s="21"/>
      <c r="CSK2" s="21"/>
      <c r="CSL2" s="21"/>
      <c r="CSM2" s="21"/>
      <c r="CSN2" s="21"/>
      <c r="CSO2" s="21"/>
      <c r="CSP2" s="21"/>
      <c r="CSQ2" s="21"/>
      <c r="CSR2" s="22"/>
      <c r="CSS2" s="14"/>
    </row>
    <row r="3" spans="1:2541" ht="15.75" thickTop="1" x14ac:dyDescent="0.25">
      <c r="A3" s="25" t="s">
        <v>280</v>
      </c>
      <c r="B3" s="25" t="s">
        <v>281</v>
      </c>
      <c r="C3" s="26" t="s">
        <v>282</v>
      </c>
      <c r="D3" s="26" t="s">
        <v>283</v>
      </c>
      <c r="E3" s="26" t="s">
        <v>284</v>
      </c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8"/>
      <c r="AE3" s="27" t="s">
        <v>285</v>
      </c>
      <c r="AF3" s="29" t="s">
        <v>286</v>
      </c>
      <c r="AG3" s="30" t="s">
        <v>287</v>
      </c>
      <c r="AH3" s="31" t="s">
        <v>288</v>
      </c>
      <c r="AI3" s="32">
        <v>43238</v>
      </c>
      <c r="AJ3" s="32">
        <v>43281</v>
      </c>
      <c r="AK3" s="33" t="s">
        <v>289</v>
      </c>
      <c r="AL3" s="33" t="s">
        <v>289</v>
      </c>
      <c r="AM3" s="34"/>
      <c r="AN3" s="34" t="s">
        <v>290</v>
      </c>
      <c r="AO3" s="34">
        <v>20</v>
      </c>
      <c r="AP3" s="34">
        <v>10000</v>
      </c>
      <c r="AQ3" s="35" t="s">
        <v>291</v>
      </c>
      <c r="AR3" s="35" t="s">
        <v>281</v>
      </c>
      <c r="AS3" s="35" t="s">
        <v>284</v>
      </c>
      <c r="AT3" s="35" t="s">
        <v>284</v>
      </c>
      <c r="AU3" s="29" t="s">
        <v>286</v>
      </c>
      <c r="AV3" s="36" t="s">
        <v>292</v>
      </c>
      <c r="AW3" s="37" t="str">
        <f>IF(AV3="","",VLOOKUP(AV3,[2]PickList!A:B,2,0))</f>
        <v>CFG-2Plowpi</v>
      </c>
      <c r="AX3" s="38" t="s">
        <v>284</v>
      </c>
      <c r="AY3" s="37" t="str">
        <f t="shared" ref="AY3:AY6" si="0">IF(AX3="Sim","OI-17101-1","")</f>
        <v/>
      </c>
      <c r="AZ3" s="39"/>
      <c r="BA3" s="40"/>
      <c r="BB3" s="41">
        <v>35</v>
      </c>
      <c r="BC3" s="42">
        <f t="shared" ref="BC3:BC6" si="1">IF(BB3=0,0,BB3-BD3)</f>
        <v>19.57</v>
      </c>
      <c r="BD3" s="42">
        <v>15.43</v>
      </c>
      <c r="BE3" s="43" t="e">
        <f ca="1">VLOOKUP($AV3&amp;BF3&amp;"Template de desconto FLAT bundle - Fixo - Varejo - Ganho Tributário",[2]BENEFICIOS!$A:$G,5,0)</f>
        <v>#N/A</v>
      </c>
      <c r="BF3" s="44">
        <f ca="1">ROUNDUP(IF(IFERROR(IF($BC3="","",IF($BC3=0,1,1-$BC3/HLOOKUP(BF$3,[2]ARBOR_REAJUSTE18!$1:$2,VLOOKUP($BB$2,[2]ARBOR_REAJUSTE18!$A:$B,2,0),0))),"")&lt;0.01%,0.01%,IFERROR(IF($BC3="","",IF($BC3=0,1,1-$BC3/HLOOKUP(BF$3,[2]ARBOR_REAJUSTE18!$1:$2,VLOOKUP($BB$2,[2]ARBOR_REAJUSTE18!$A:$B,2,0),0))),"")),4)</f>
        <v>0.72909999999999997</v>
      </c>
      <c r="BG3" s="44">
        <f ca="1">ROUNDUP(IF(IFERROR(IF($BC3="","",IF($BC3=0,1,1-$BC3/HLOOKUP(BG$3,[2]ARBOR_REAJUSTE18!$1:$2,VLOOKUP($BB$2,[2]ARBOR_REAJUSTE18!$A:$B,2,0),0))),"")&lt;0.01%,0.01%,IFERROR(IF($BC3="","",IF($BC3=0,1,1-$BC3/HLOOKUP(BG$3,[2]ARBOR_REAJUSTE18!$1:$2,VLOOKUP($BB$2,[2]ARBOR_REAJUSTE18!$A:$B,2,0),0))),"")),4)</f>
        <v>0.73270000000000002</v>
      </c>
      <c r="BH3" s="44">
        <f ca="1">ROUNDUP(IF(IFERROR(IF($BC3="","",IF($BC3=0,1,1-$BC3/HLOOKUP(BH$3,[2]ARBOR_REAJUSTE18!$1:$2,VLOOKUP($BB$2,[2]ARBOR_REAJUSTE18!$A:$B,2,0),0))),"")&lt;0.01%,0.01%,IFERROR(IF($BC3="","",IF($BC3=0,1,1-$BC3/HLOOKUP(BH$3,[2]ARBOR_REAJUSTE18!$1:$2,VLOOKUP($BB$2,[2]ARBOR_REAJUSTE18!$A:$B,2,0),0))),"")),4)</f>
        <v>0.73270000000000002</v>
      </c>
      <c r="BI3" s="44">
        <f ca="1">ROUNDUP(IF(IFERROR(IF($BC3="","",IF($BC3=0,1,1-$BC3/HLOOKUP(BI$3,[2]ARBOR_REAJUSTE18!$1:$2,VLOOKUP($BB$2,[2]ARBOR_REAJUSTE18!$A:$B,2,0),0))),"")&lt;0.01%,0.01%,IFERROR(IF($BC3="","",IF($BC3=0,1,1-$BC3/HLOOKUP(BI$3,[2]ARBOR_REAJUSTE18!$1:$2,VLOOKUP($BB$2,[2]ARBOR_REAJUSTE18!$A:$B,2,0),0))),"")),4)</f>
        <v>0.73080000000000001</v>
      </c>
      <c r="BJ3" s="44">
        <f ca="1">ROUNDUP(IF(IFERROR(IF($BC3="","",IF($BC3=0,1,1-$BC3/HLOOKUP(BJ$3,[2]ARBOR_REAJUSTE18!$1:$2,VLOOKUP($BB$2,[2]ARBOR_REAJUSTE18!$A:$B,2,0),0))),"")&lt;0.01%,0.01%,IFERROR(IF($BC3="","",IF($BC3=0,1,1-$BC3/HLOOKUP(BJ$3,[2]ARBOR_REAJUSTE18!$1:$2,VLOOKUP($BB$2,[2]ARBOR_REAJUSTE18!$A:$B,2,0),0))),"")),4)</f>
        <v>0.72899999999999998</v>
      </c>
      <c r="BK3" s="44">
        <f ca="1">ROUNDUP(IF(IFERROR(IF($BC3="","",IF($BC3=0,1,1-$BC3/HLOOKUP(BK$3,[2]ARBOR_REAJUSTE18!$1:$2,VLOOKUP($BB$2,[2]ARBOR_REAJUSTE18!$A:$B,2,0),0))),"")&lt;0.01%,0.01%,IFERROR(IF($BC3="","",IF($BC3=0,1,1-$BC3/HLOOKUP(BK$3,[2]ARBOR_REAJUSTE18!$1:$2,VLOOKUP($BB$2,[2]ARBOR_REAJUSTE18!$A:$B,2,0),0))),"")),4)</f>
        <v>0.68740000000000001</v>
      </c>
      <c r="BL3" s="44">
        <f ca="1">ROUNDUP(IF(IFERROR(IF($BC3="","",IF($BC3=0,1,1-$BC3/HLOOKUP(BL$3,[2]ARBOR_REAJUSTE18!$1:$2,VLOOKUP($BB$2,[2]ARBOR_REAJUSTE18!$A:$B,2,0),0))),"")&lt;0.01%,0.01%,IFERROR(IF($BC3="","",IF($BC3=0,1,1-$BC3/HLOOKUP(BL$3,[2]ARBOR_REAJUSTE18!$1:$2,VLOOKUP($BB$2,[2]ARBOR_REAJUSTE18!$A:$B,2,0),0))),"")),4)</f>
        <v>0.73429999999999995</v>
      </c>
      <c r="BM3" s="44">
        <f ca="1">ROUNDUP(IF(IFERROR(IF($BC3="","",IF($BC3=0,1,1-$BC3/HLOOKUP(BM$3,[2]ARBOR_REAJUSTE18!$1:$2,VLOOKUP($BB$2,[2]ARBOR_REAJUSTE18!$A:$B,2,0),0))),"")&lt;0.01%,0.01%,IFERROR(IF($BC3="","",IF($BC3=0,1,1-$BC3/HLOOKUP(BM$3,[2]ARBOR_REAJUSTE18!$1:$2,VLOOKUP($BB$2,[2]ARBOR_REAJUSTE18!$A:$B,2,0),0))),"")),4)</f>
        <v>0.72360000000000002</v>
      </c>
      <c r="BN3" s="44">
        <f ca="1">ROUNDUP(IF(IFERROR(IF($BC3="","",IF($BC3=0,1,1-$BC3/HLOOKUP(BN$3,[2]ARBOR_REAJUSTE18!$1:$2,VLOOKUP($BB$2,[2]ARBOR_REAJUSTE18!$A:$B,2,0),0))),"")&lt;0.01%,0.01%,IFERROR(IF($BC3="","",IF($BC3=0,1,1-$BC3/HLOOKUP(BN$3,[2]ARBOR_REAJUSTE18!$1:$2,VLOOKUP($BB$2,[2]ARBOR_REAJUSTE18!$A:$B,2,0),0))),"")),4)</f>
        <v>0.73609999999999998</v>
      </c>
      <c r="BO3" s="44">
        <f ca="1">ROUNDUP(IF(IFERROR(IF($BC3="","",IF($BC3=0,1,1-$BC3/HLOOKUP(BO$3,[2]ARBOR_REAJUSTE18!$1:$2,VLOOKUP($BB$2,[2]ARBOR_REAJUSTE18!$A:$B,2,0),0))),"")&lt;0.01%,0.01%,IFERROR(IF($BC3="","",IF($BC3=0,1,1-$BC3/HLOOKUP(BO$3,[2]ARBOR_REAJUSTE18!$1:$2,VLOOKUP($BB$2,[2]ARBOR_REAJUSTE18!$A:$B,2,0),0))),"")),4)</f>
        <v>0.6986</v>
      </c>
      <c r="BP3" s="44">
        <f ca="1">ROUNDUP(IF(IFERROR(IF($BC3="","",IF($BC3=0,1,1-$BC3/HLOOKUP(BP$3,[2]ARBOR_REAJUSTE18!$1:$2,VLOOKUP($BB$2,[2]ARBOR_REAJUSTE18!$A:$B,2,0),0))),"")&lt;0.01%,0.01%,IFERROR(IF($BC3="","",IF($BC3=0,1,1-$BC3/HLOOKUP(BP$3,[2]ARBOR_REAJUSTE18!$1:$2,VLOOKUP($BB$2,[2]ARBOR_REAJUSTE18!$A:$B,2,0),0))),"")),4)</f>
        <v>0.72709999999999997</v>
      </c>
      <c r="BQ3" s="44">
        <f ca="1">ROUNDUP(IF(IFERROR(IF($BC3="","",IF($BC3=0,1,1-$BC3/HLOOKUP(BQ$3,[2]ARBOR_REAJUSTE18!$1:$2,VLOOKUP($BB$2,[2]ARBOR_REAJUSTE18!$A:$B,2,0),0))),"")&lt;0.01%,0.01%,IFERROR(IF($BC3="","",IF($BC3=0,1,1-$BC3/HLOOKUP(BQ$3,[2]ARBOR_REAJUSTE18!$1:$2,VLOOKUP($BB$2,[2]ARBOR_REAJUSTE18!$A:$B,2,0),0))),"")),4)</f>
        <v>0.73609999999999998</v>
      </c>
      <c r="BR3" s="44">
        <f ca="1">ROUNDUP(IF(IFERROR(IF($BC3="","",IF($BC3=0,1,1-$BC3/HLOOKUP(BR$3,[2]ARBOR_REAJUSTE18!$1:$2,VLOOKUP($BB$2,[2]ARBOR_REAJUSTE18!$A:$B,2,0),0))),"")&lt;0.01%,0.01%,IFERROR(IF($BC3="","",IF($BC3=0,1,1-$BC3/HLOOKUP(BR$3,[2]ARBOR_REAJUSTE18!$1:$2,VLOOKUP($BB$2,[2]ARBOR_REAJUSTE18!$A:$B,2,0),0))),"")),4)</f>
        <v>0.73250000000000004</v>
      </c>
      <c r="BS3" s="44">
        <f ca="1">ROUNDUP(IF(IFERROR(IF($BC3="","",IF($BC3=0,1,1-$BC3/HLOOKUP(BS$3,[2]ARBOR_REAJUSTE18!$1:$2,VLOOKUP($BB$2,[2]ARBOR_REAJUSTE18!$A:$B,2,0),0))),"")&lt;0.01%,0.01%,IFERROR(IF($BC3="","",IF($BC3=0,1,1-$BC3/HLOOKUP(BS$3,[2]ARBOR_REAJUSTE18!$1:$2,VLOOKUP($BB$2,[2]ARBOR_REAJUSTE18!$A:$B,2,0),0))),"")),4)</f>
        <v>0.73270000000000002</v>
      </c>
      <c r="BT3" s="44">
        <f ca="1">ROUNDUP(IF(IFERROR(IF($BC3="","",IF($BC3=0,1,1-$BC3/HLOOKUP(BT$3,[2]ARBOR_REAJUSTE18!$1:$2,VLOOKUP($BB$2,[2]ARBOR_REAJUSTE18!$A:$B,2,0),0))),"")&lt;0.01%,0.01%,IFERROR(IF($BC3="","",IF($BC3=0,1,1-$BC3/HLOOKUP(BT$3,[2]ARBOR_REAJUSTE18!$1:$2,VLOOKUP($BB$2,[2]ARBOR_REAJUSTE18!$A:$B,2,0),0))),"")),4)</f>
        <v>0.68740000000000001</v>
      </c>
      <c r="BU3" s="44">
        <f ca="1">ROUNDUP(IF(IFERROR(IF($BC3="","",IF($BC3=0,1,1-$BC3/HLOOKUP(BU$3,[2]ARBOR_REAJUSTE18!$1:$2,VLOOKUP($BB$2,[2]ARBOR_REAJUSTE18!$A:$B,2,0),0))),"")&lt;0.01%,0.01%,IFERROR(IF($BC3="","",IF($BC3=0,1,1-$BC3/HLOOKUP(BU$3,[2]ARBOR_REAJUSTE18!$1:$2,VLOOKUP($BB$2,[2]ARBOR_REAJUSTE18!$A:$B,2,0),0))),"")),4)</f>
        <v>0.73270000000000002</v>
      </c>
      <c r="BV3" s="44">
        <f ca="1">ROUNDUP(IF(IFERROR(IF($BC3="","",IF($BC3=0,1,1-$BC3/HLOOKUP(BV$3,[2]ARBOR_REAJUSTE18!$1:$2,VLOOKUP($BB$2,[2]ARBOR_REAJUSTE18!$A:$B,2,0),0))),"")&lt;0.01%,0.01%,IFERROR(IF($BC3="","",IF($BC3=0,1,1-$BC3/HLOOKUP(BV$3,[2]ARBOR_REAJUSTE18!$1:$2,VLOOKUP($BB$2,[2]ARBOR_REAJUSTE18!$A:$B,2,0),0))),"")),4)</f>
        <v>0.71</v>
      </c>
      <c r="BW3" s="44">
        <f ca="1">ROUNDUP(IF(IFERROR(IF($BC3="","",IF($BC3=0,1,1-$BC3/HLOOKUP(BW$3,[2]ARBOR_REAJUSTE18!$1:$2,VLOOKUP($BB$2,[2]ARBOR_REAJUSTE18!$A:$B,2,0),0))),"")&lt;0.01%,0.01%,IFERROR(IF($BC3="","",IF($BC3=0,1,1-$BC3/HLOOKUP(BW$3,[2]ARBOR_REAJUSTE18!$1:$2,VLOOKUP($BB$2,[2]ARBOR_REAJUSTE18!$A:$B,2,0),0))),"")),4)</f>
        <v>0.73609999999999998</v>
      </c>
      <c r="BX3" s="44">
        <f ca="1">ROUNDUP(IF(IFERROR(IF($BC3="","",IF($BC3=0,1,1-$BC3/HLOOKUP(BX$3,[2]ARBOR_REAJUSTE18!$1:$2,VLOOKUP($BB$2,[2]ARBOR_REAJUSTE18!$A:$B,2,0),0))),"")&lt;0.01%,0.01%,IFERROR(IF($BC3="","",IF($BC3=0,1,1-$BC3/HLOOKUP(BX$3,[2]ARBOR_REAJUSTE18!$1:$2,VLOOKUP($BB$2,[2]ARBOR_REAJUSTE18!$A:$B,2,0),0))),"")),4)</f>
        <v>0.74109999999999998</v>
      </c>
      <c r="BY3" s="44">
        <f ca="1">ROUNDUP(IF(IFERROR(IF($BC3="","",IF($BC3=0,1,1-$BC3/HLOOKUP(BY$3,[2]ARBOR_REAJUSTE18!$1:$2,VLOOKUP($BB$2,[2]ARBOR_REAJUSTE18!$A:$B,2,0),0))),"")&lt;0.01%,0.01%,IFERROR(IF($BC3="","",IF($BC3=0,1,1-$BC3/HLOOKUP(BY$3,[2]ARBOR_REAJUSTE18!$1:$2,VLOOKUP($BB$2,[2]ARBOR_REAJUSTE18!$A:$B,2,0),0))),"")),4)</f>
        <v>0.73270000000000002</v>
      </c>
      <c r="BZ3" s="44">
        <f ca="1">ROUNDUP(IF(IFERROR(IF($BC3="","",IF($BC3=0,1,1-$BC3/HLOOKUP(BZ$3,[2]ARBOR_REAJUSTE18!$1:$2,VLOOKUP($BB$2,[2]ARBOR_REAJUSTE18!$A:$B,2,0),0))),"")&lt;0.01%,0.01%,IFERROR(IF($BC3="","",IF($BC3=0,1,1-$BC3/HLOOKUP(BZ$3,[2]ARBOR_REAJUSTE18!$1:$2,VLOOKUP($BB$2,[2]ARBOR_REAJUSTE18!$A:$B,2,0),0))),"")),4)</f>
        <v>0.7379</v>
      </c>
      <c r="CA3" s="44">
        <f ca="1">ROUNDUP(IF(IFERROR(IF($BC3="","",IF($BC3=0,1,1-$BC3/HLOOKUP(CA$3,[2]ARBOR_REAJUSTE18!$1:$2,VLOOKUP($BB$2,[2]ARBOR_REAJUSTE18!$A:$B,2,0),0))),"")&lt;0.01%,0.01%,IFERROR(IF($BC3="","",IF($BC3=0,1,1-$BC3/HLOOKUP(CA$3,[2]ARBOR_REAJUSTE18!$1:$2,VLOOKUP($BB$2,[2]ARBOR_REAJUSTE18!$A:$B,2,0),0))),"")),4)</f>
        <v>0.72360000000000002</v>
      </c>
      <c r="CB3" s="44">
        <f ca="1">ROUNDUP(IF(IFERROR(IF($BC3="","",IF($BC3=0,1,1-$BC3/HLOOKUP(CB$3,[2]ARBOR_REAJUSTE18!$1:$2,VLOOKUP($BB$2,[2]ARBOR_REAJUSTE18!$A:$B,2,0),0))),"")&lt;0.01%,0.01%,IFERROR(IF($BC3="","",IF($BC3=0,1,1-$BC3/HLOOKUP(CB$3,[2]ARBOR_REAJUSTE18!$1:$2,VLOOKUP($BB$2,[2]ARBOR_REAJUSTE18!$A:$B,2,0),0))),"")),4)</f>
        <v>0.7379</v>
      </c>
      <c r="CC3" s="44">
        <f ca="1">ROUNDUP(IF(IFERROR(IF($BC3="","",IF($BC3=0,1,1-$BC3/HLOOKUP(CC$3,[2]ARBOR_REAJUSTE18!$1:$2,VLOOKUP($BB$2,[2]ARBOR_REAJUSTE18!$A:$B,2,0),0))),"")&lt;0.01%,0.01%,IFERROR(IF($BC3="","",IF($BC3=0,1,1-$BC3/HLOOKUP(CC$3,[2]ARBOR_REAJUSTE18!$1:$2,VLOOKUP($BB$2,[2]ARBOR_REAJUSTE18!$A:$B,2,0),0))),"")),4)</f>
        <v>0.72909999999999997</v>
      </c>
      <c r="CD3" s="44">
        <f ca="1">ROUNDUP(IF(IFERROR(IF($BC3="","",IF($BC3=0,1,1-$BC3/HLOOKUP(CD$3,[2]ARBOR_REAJUSTE18!$1:$2,VLOOKUP($BB$2,[2]ARBOR_REAJUSTE18!$A:$B,2,0),0))),"")&lt;0.01%,0.01%,IFERROR(IF($BC3="","",IF($BC3=0,1,1-$BC3/HLOOKUP(CD$3,[2]ARBOR_REAJUSTE18!$1:$2,VLOOKUP($BB$2,[2]ARBOR_REAJUSTE18!$A:$B,2,0),0))),"")),4)</f>
        <v>0.73270000000000002</v>
      </c>
      <c r="CE3" s="44" t="e">
        <f ca="1">ROUNDUP(IF(IFERROR(IF($BC3="","",IF($BC3=0,1,1-$BC3/HLOOKUP(CE$3,[2]ARBOR_REAJUSTE18!$1:$2,VLOOKUP($BB$2,[2]ARBOR_REAJUSTE18!$A:$B,2,0),0))),"")&lt;0.01%,0.01%,IFERROR(IF($BC3="","",IF($BC3=0,1,1-$BC3/HLOOKUP(CE$3,[2]ARBOR_REAJUSTE18!$1:$2,VLOOKUP($BB$2,[2]ARBOR_REAJUSTE18!$A:$B,2,0),0))),"")),4)</f>
        <v>#VALUE!</v>
      </c>
      <c r="CF3" s="44">
        <f ca="1">ROUNDUP(IF(IFERROR(IF($BC3="","",IF($BC3=0,1,1-$BC3/HLOOKUP(CF$3,[2]ARBOR_REAJUSTE18!$1:$2,VLOOKUP($BB$2,[2]ARBOR_REAJUSTE18!$A:$B,2,0),0))),"")&lt;0.01%,0.01%,IFERROR(IF($BC3="","",IF($BC3=0,1,1-$BC3/HLOOKUP(CF$3,[2]ARBOR_REAJUSTE18!$1:$2,VLOOKUP($BB$2,[2]ARBOR_REAJUSTE18!$A:$B,2,0),0))),"")),4)</f>
        <v>0.73609999999999998</v>
      </c>
      <c r="CG3" s="45">
        <v>5</v>
      </c>
      <c r="CH3" s="46">
        <v>4</v>
      </c>
      <c r="CI3" s="42">
        <f t="shared" ref="CI3:CI6" si="2">BB3-CG3</f>
        <v>30</v>
      </c>
      <c r="CJ3" s="42">
        <f t="shared" ref="CJ3:CJ6" si="3">BB3-CG3-BD3</f>
        <v>14.57</v>
      </c>
      <c r="CK3" s="43" t="e">
        <f ca="1">VLOOKUP($AV3&amp;CL3&amp;"Template de desconto percentual Bundle - Fixo - Varejo - Ganho Tributário Cross",[2]BENEFICIOS!$A:$G,5,0)</f>
        <v>#N/A</v>
      </c>
      <c r="CL3" s="44">
        <f ca="1">ROUNDUP(IF(IFERROR(IF($CJ3="","",IF($CJ3=0,1,1-$CJ3/HLOOKUP(CL$3,[2]ARBOR_REAJUSTE18!$1:$2,VLOOKUP($BB$2,[2]ARBOR_REAJUSTE18!$A:$B,2,0),0))),"")&lt;0.01%,0.01%,(IFERROR(IF($CJ3="","",IF($CJ3=0,1,1-$CJ3/HLOOKUP(CL$3,[2]ARBOR_REAJUSTE18!$1:$2,VLOOKUP($BB$2,[2]ARBOR_REAJUSTE18!$A:$B,2,0),0))),""))),4)-BF3</f>
        <v>6.9200000000000039E-2</v>
      </c>
      <c r="CM3" s="44">
        <f ca="1">ROUNDUP(IF(IFERROR(IF($CJ3="","",IF($CJ3=0,1,1-$CJ3/HLOOKUP(CM$3,[2]ARBOR_REAJUSTE18!$1:$2,VLOOKUP($BB$2,[2]ARBOR_REAJUSTE18!$A:$B,2,0),0))),"")&lt;0.01%,0.01%,(IFERROR(IF($CJ3="","",IF($CJ3=0,1,1-$CJ3/HLOOKUP(CM$3,[2]ARBOR_REAJUSTE18!$1:$2,VLOOKUP($BB$2,[2]ARBOR_REAJUSTE18!$A:$B,2,0),0))),""))),4)-BG3</f>
        <v>6.8299999999999916E-2</v>
      </c>
      <c r="CN3" s="44">
        <f ca="1">ROUNDUP(IF(IFERROR(IF($CJ3="","",IF($CJ3=0,1,1-$CJ3/HLOOKUP(CN$3,[2]ARBOR_REAJUSTE18!$1:$2,VLOOKUP($BB$2,[2]ARBOR_REAJUSTE18!$A:$B,2,0),0))),"")&lt;0.01%,0.01%,(IFERROR(IF($CJ3="","",IF($CJ3=0,1,1-$CJ3/HLOOKUP(CN$3,[2]ARBOR_REAJUSTE18!$1:$2,VLOOKUP($BB$2,[2]ARBOR_REAJUSTE18!$A:$B,2,0),0))),""))),4)-BH3</f>
        <v>6.8299999999999916E-2</v>
      </c>
      <c r="CO3" s="44">
        <f ca="1">ROUNDUP(IF(IFERROR(IF($CJ3="","",IF($CJ3=0,1,1-$CJ3/HLOOKUP(CO$3,[2]ARBOR_REAJUSTE18!$1:$2,VLOOKUP($BB$2,[2]ARBOR_REAJUSTE18!$A:$B,2,0),0))),"")&lt;0.01%,0.01%,(IFERROR(IF($CJ3="","",IF($CJ3=0,1,1-$CJ3/HLOOKUP(CO$3,[2]ARBOR_REAJUSTE18!$1:$2,VLOOKUP($BB$2,[2]ARBOR_REAJUSTE18!$A:$B,2,0),0))),""))),4)-BI3</f>
        <v>6.8799999999999972E-2</v>
      </c>
      <c r="CP3" s="44">
        <f ca="1">ROUNDUP(IF(IFERROR(IF($CJ3="","",IF($CJ3=0,1,1-$CJ3/HLOOKUP(CP$3,[2]ARBOR_REAJUSTE18!$1:$2,VLOOKUP($BB$2,[2]ARBOR_REAJUSTE18!$A:$B,2,0),0))),"")&lt;0.01%,0.01%,(IFERROR(IF($CJ3="","",IF($CJ3=0,1,1-$CJ3/HLOOKUP(CP$3,[2]ARBOR_REAJUSTE18!$1:$2,VLOOKUP($BB$2,[2]ARBOR_REAJUSTE18!$A:$B,2,0),0))),""))),4)-BJ3</f>
        <v>6.9200000000000039E-2</v>
      </c>
      <c r="CQ3" s="44">
        <f ca="1">ROUNDUP(IF(IFERROR(IF($CJ3="","",IF($CJ3=0,1,1-$CJ3/HLOOKUP(CQ$3,[2]ARBOR_REAJUSTE18!$1:$2,VLOOKUP($BB$2,[2]ARBOR_REAJUSTE18!$A:$B,2,0),0))),"")&lt;0.01%,0.01%,(IFERROR(IF($CJ3="","",IF($CJ3=0,1,1-$CJ3/HLOOKUP(CQ$3,[2]ARBOR_REAJUSTE18!$1:$2,VLOOKUP($BB$2,[2]ARBOR_REAJUSTE18!$A:$B,2,0),0))),""))),4)-BK3</f>
        <v>7.9899999999999971E-2</v>
      </c>
      <c r="CR3" s="44">
        <f ca="1">ROUNDUP(IF(IFERROR(IF($CJ3="","",IF($CJ3=0,1,1-$CJ3/HLOOKUP(CR$3,[2]ARBOR_REAJUSTE18!$1:$2,VLOOKUP($BB$2,[2]ARBOR_REAJUSTE18!$A:$B,2,0),0))),"")&lt;0.01%,0.01%,(IFERROR(IF($CJ3="","",IF($CJ3=0,1,1-$CJ3/HLOOKUP(CR$3,[2]ARBOR_REAJUSTE18!$1:$2,VLOOKUP($BB$2,[2]ARBOR_REAJUSTE18!$A:$B,2,0),0))),""))),4)-BL3</f>
        <v>6.7900000000000071E-2</v>
      </c>
      <c r="CS3" s="44">
        <f ca="1">ROUNDUP(IF(IFERROR(IF($CJ3="","",IF($CJ3=0,1,1-$CJ3/HLOOKUP(CS$3,[2]ARBOR_REAJUSTE18!$1:$2,VLOOKUP($BB$2,[2]ARBOR_REAJUSTE18!$A:$B,2,0),0))),"")&lt;0.01%,0.01%,(IFERROR(IF($CJ3="","",IF($CJ3=0,1,1-$CJ3/HLOOKUP(CS$3,[2]ARBOR_REAJUSTE18!$1:$2,VLOOKUP($BB$2,[2]ARBOR_REAJUSTE18!$A:$B,2,0),0))),""))),4)-BM3</f>
        <v>7.0699999999999985E-2</v>
      </c>
      <c r="CT3" s="44">
        <f ca="1">ROUNDUP(IF(IFERROR(IF($CJ3="","",IF($CJ3=0,1,1-$CJ3/HLOOKUP(CT$3,[2]ARBOR_REAJUSTE18!$1:$2,VLOOKUP($BB$2,[2]ARBOR_REAJUSTE18!$A:$B,2,0),0))),"")&lt;0.01%,0.01%,(IFERROR(IF($CJ3="","",IF($CJ3=0,1,1-$CJ3/HLOOKUP(CT$3,[2]ARBOR_REAJUSTE18!$1:$2,VLOOKUP($BB$2,[2]ARBOR_REAJUSTE18!$A:$B,2,0),0))),""))),4)-BN3</f>
        <v>6.7400000000000015E-2</v>
      </c>
      <c r="CU3" s="44">
        <f ca="1">ROUNDUP(IF(IFERROR(IF($CJ3="","",IF($CJ3=0,1,1-$CJ3/HLOOKUP(CU$3,[2]ARBOR_REAJUSTE18!$1:$2,VLOOKUP($BB$2,[2]ARBOR_REAJUSTE18!$A:$B,2,0),0))),"")&lt;0.01%,0.01%,(IFERROR(IF($CJ3="","",IF($CJ3=0,1,1-$CJ3/HLOOKUP(CU$3,[2]ARBOR_REAJUSTE18!$1:$2,VLOOKUP($BB$2,[2]ARBOR_REAJUSTE18!$A:$B,2,0),0))),""))),4)-BO3</f>
        <v>7.6999999999999957E-2</v>
      </c>
      <c r="CV3" s="44">
        <f ca="1">ROUNDUP(IF(IFERROR(IF($CJ3="","",IF($CJ3=0,1,1-$CJ3/HLOOKUP(CV$3,[2]ARBOR_REAJUSTE18!$1:$2,VLOOKUP($BB$2,[2]ARBOR_REAJUSTE18!$A:$B,2,0),0))),"")&lt;0.01%,0.01%,(IFERROR(IF($CJ3="","",IF($CJ3=0,1,1-$CJ3/HLOOKUP(CV$3,[2]ARBOR_REAJUSTE18!$1:$2,VLOOKUP($BB$2,[2]ARBOR_REAJUSTE18!$A:$B,2,0),0))),""))),4)-BP3</f>
        <v>6.9799999999999973E-2</v>
      </c>
      <c r="CW3" s="44">
        <f ca="1">ROUNDUP(IF(IFERROR(IF($CJ3="","",IF($CJ3=0,1,1-$CJ3/HLOOKUP(CW$3,[2]ARBOR_REAJUSTE18!$1:$2,VLOOKUP($BB$2,[2]ARBOR_REAJUSTE18!$A:$B,2,0),0))),"")&lt;0.01%,0.01%,(IFERROR(IF($CJ3="","",IF($CJ3=0,1,1-$CJ3/HLOOKUP(CW$3,[2]ARBOR_REAJUSTE18!$1:$2,VLOOKUP($BB$2,[2]ARBOR_REAJUSTE18!$A:$B,2,0),0))),""))),4)-BQ3</f>
        <v>6.7400000000000015E-2</v>
      </c>
      <c r="CX3" s="44">
        <f ca="1">ROUNDUP(IF(IFERROR(IF($CJ3="","",IF($CJ3=0,1,1-$CJ3/HLOOKUP(CX$3,[2]ARBOR_REAJUSTE18!$1:$2,VLOOKUP($BB$2,[2]ARBOR_REAJUSTE18!$A:$B,2,0),0))),"")&lt;0.01%,0.01%,(IFERROR(IF($CJ3="","",IF($CJ3=0,1,1-$CJ3/HLOOKUP(CX$3,[2]ARBOR_REAJUSTE18!$1:$2,VLOOKUP($BB$2,[2]ARBOR_REAJUSTE18!$A:$B,2,0),0))),""))),4)-BR3</f>
        <v>6.8399999999999905E-2</v>
      </c>
      <c r="CY3" s="44">
        <f ca="1">ROUNDUP(IF(IFERROR(IF($CJ3="","",IF($CJ3=0,1,1-$CJ3/HLOOKUP(CY$3,[2]ARBOR_REAJUSTE18!$1:$2,VLOOKUP($BB$2,[2]ARBOR_REAJUSTE18!$A:$B,2,0),0))),"")&lt;0.01%,0.01%,(IFERROR(IF($CJ3="","",IF($CJ3=0,1,1-$CJ3/HLOOKUP(CY$3,[2]ARBOR_REAJUSTE18!$1:$2,VLOOKUP($BB$2,[2]ARBOR_REAJUSTE18!$A:$B,2,0),0))),""))),4)-BS3</f>
        <v>6.8299999999999916E-2</v>
      </c>
      <c r="CZ3" s="44">
        <f ca="1">ROUNDUP(IF(IFERROR(IF($CJ3="","",IF($CJ3=0,1,1-$CJ3/HLOOKUP(CZ$3,[2]ARBOR_REAJUSTE18!$1:$2,VLOOKUP($BB$2,[2]ARBOR_REAJUSTE18!$A:$B,2,0),0))),"")&lt;0.01%,0.01%,(IFERROR(IF($CJ3="","",IF($CJ3=0,1,1-$CJ3/HLOOKUP(CZ$3,[2]ARBOR_REAJUSTE18!$1:$2,VLOOKUP($BB$2,[2]ARBOR_REAJUSTE18!$A:$B,2,0),0))),""))),4)-BT3</f>
        <v>7.9899999999999971E-2</v>
      </c>
      <c r="DA3" s="44">
        <f ca="1">ROUNDUP(IF(IFERROR(IF($CJ3="","",IF($CJ3=0,1,1-$CJ3/HLOOKUP(DA$3,[2]ARBOR_REAJUSTE18!$1:$2,VLOOKUP($BB$2,[2]ARBOR_REAJUSTE18!$A:$B,2,0),0))),"")&lt;0.01%,0.01%,(IFERROR(IF($CJ3="","",IF($CJ3=0,1,1-$CJ3/HLOOKUP(DA$3,[2]ARBOR_REAJUSTE18!$1:$2,VLOOKUP($BB$2,[2]ARBOR_REAJUSTE18!$A:$B,2,0),0))),""))),4)-BU3</f>
        <v>6.8299999999999916E-2</v>
      </c>
      <c r="DB3" s="44">
        <f ca="1">ROUNDUP(IF(IFERROR(IF($CJ3="","",IF($CJ3=0,1,1-$CJ3/HLOOKUP(DB$3,[2]ARBOR_REAJUSTE18!$1:$2,VLOOKUP($BB$2,[2]ARBOR_REAJUSTE18!$A:$B,2,0),0))),"")&lt;0.01%,0.01%,(IFERROR(IF($CJ3="","",IF($CJ3=0,1,1-$CJ3/HLOOKUP(DB$3,[2]ARBOR_REAJUSTE18!$1:$2,VLOOKUP($BB$2,[2]ARBOR_REAJUSTE18!$A:$B,2,0),0))),""))),4)-BV3</f>
        <v>7.4100000000000055E-2</v>
      </c>
      <c r="DC3" s="44">
        <f ca="1">ROUNDUP(IF(IFERROR(IF($CJ3="","",IF($CJ3=0,1,1-$CJ3/HLOOKUP(DC$3,[2]ARBOR_REAJUSTE18!$1:$2,VLOOKUP($BB$2,[2]ARBOR_REAJUSTE18!$A:$B,2,0),0))),"")&lt;0.01%,0.01%,(IFERROR(IF($CJ3="","",IF($CJ3=0,1,1-$CJ3/HLOOKUP(DC$3,[2]ARBOR_REAJUSTE18!$1:$2,VLOOKUP($BB$2,[2]ARBOR_REAJUSTE18!$A:$B,2,0),0))),""))),4)-BW3</f>
        <v>6.7400000000000015E-2</v>
      </c>
      <c r="DD3" s="44">
        <f ca="1">ROUNDUP(IF(IFERROR(IF($CJ3="","",IF($CJ3=0,1,1-$CJ3/HLOOKUP(DD$3,[2]ARBOR_REAJUSTE18!$1:$2,VLOOKUP($BB$2,[2]ARBOR_REAJUSTE18!$A:$B,2,0),0))),"")&lt;0.01%,0.01%,(IFERROR(IF($CJ3="","",IF($CJ3=0,1,1-$CJ3/HLOOKUP(DD$3,[2]ARBOR_REAJUSTE18!$1:$2,VLOOKUP($BB$2,[2]ARBOR_REAJUSTE18!$A:$B,2,0),0))),""))),4)-BX3</f>
        <v>6.6100000000000048E-2</v>
      </c>
      <c r="DE3" s="44">
        <f ca="1">ROUNDUP(IF(IFERROR(IF($CJ3="","",IF($CJ3=0,1,1-$CJ3/HLOOKUP(DE$3,[2]ARBOR_REAJUSTE18!$1:$2,VLOOKUP($BB$2,[2]ARBOR_REAJUSTE18!$A:$B,2,0),0))),"")&lt;0.01%,0.01%,(IFERROR(IF($CJ3="","",IF($CJ3=0,1,1-$CJ3/HLOOKUP(DE$3,[2]ARBOR_REAJUSTE18!$1:$2,VLOOKUP($BB$2,[2]ARBOR_REAJUSTE18!$A:$B,2,0),0))),""))),4)-BY3</f>
        <v>6.8299999999999916E-2</v>
      </c>
      <c r="DF3" s="44">
        <f ca="1">ROUNDUP(IF(IFERROR(IF($CJ3="","",IF($CJ3=0,1,1-$CJ3/HLOOKUP(DF$3,[2]ARBOR_REAJUSTE18!$1:$2,VLOOKUP($BB$2,[2]ARBOR_REAJUSTE18!$A:$B,2,0),0))),"")&lt;0.01%,0.01%,(IFERROR(IF($CJ3="","",IF($CJ3=0,1,1-$CJ3/HLOOKUP(DF$3,[2]ARBOR_REAJUSTE18!$1:$2,VLOOKUP($BB$2,[2]ARBOR_REAJUSTE18!$A:$B,2,0),0))),""))),4)-BZ3</f>
        <v>6.6999999999999948E-2</v>
      </c>
      <c r="DG3" s="44">
        <f ca="1">ROUNDUP(IF(IFERROR(IF($CJ3="","",IF($CJ3=0,1,1-$CJ3/HLOOKUP(DG$3,[2]ARBOR_REAJUSTE18!$1:$2,VLOOKUP($BB$2,[2]ARBOR_REAJUSTE18!$A:$B,2,0),0))),"")&lt;0.01%,0.01%,(IFERROR(IF($CJ3="","",IF($CJ3=0,1,1-$CJ3/HLOOKUP(DG$3,[2]ARBOR_REAJUSTE18!$1:$2,VLOOKUP($BB$2,[2]ARBOR_REAJUSTE18!$A:$B,2,0),0))),""))),4)-CA3</f>
        <v>7.0699999999999985E-2</v>
      </c>
      <c r="DH3" s="44">
        <f ca="1">ROUNDUP(IF(IFERROR(IF($CJ3="","",IF($CJ3=0,1,1-$CJ3/HLOOKUP(DH$3,[2]ARBOR_REAJUSTE18!$1:$2,VLOOKUP($BB$2,[2]ARBOR_REAJUSTE18!$A:$B,2,0),0))),"")&lt;0.01%,0.01%,(IFERROR(IF($CJ3="","",IF($CJ3=0,1,1-$CJ3/HLOOKUP(DH$3,[2]ARBOR_REAJUSTE18!$1:$2,VLOOKUP($BB$2,[2]ARBOR_REAJUSTE18!$A:$B,2,0),0))),""))),4)-CB3</f>
        <v>6.6999999999999948E-2</v>
      </c>
      <c r="DI3" s="44">
        <f ca="1">ROUNDUP(IF(IFERROR(IF($CJ3="","",IF($CJ3=0,1,1-$CJ3/HLOOKUP(DI$3,[2]ARBOR_REAJUSTE18!$1:$2,VLOOKUP($BB$2,[2]ARBOR_REAJUSTE18!$A:$B,2,0),0))),"")&lt;0.01%,0.01%,(IFERROR(IF($CJ3="","",IF($CJ3=0,1,1-$CJ3/HLOOKUP(DI$3,[2]ARBOR_REAJUSTE18!$1:$2,VLOOKUP($BB$2,[2]ARBOR_REAJUSTE18!$A:$B,2,0),0))),""))),4)-CC3</f>
        <v>6.9200000000000039E-2</v>
      </c>
      <c r="DJ3" s="44">
        <f ca="1">ROUNDUP(IF(IFERROR(IF($CJ3="","",IF($CJ3=0,1,1-$CJ3/HLOOKUP(DJ$3,[2]ARBOR_REAJUSTE18!$1:$2,VLOOKUP($BB$2,[2]ARBOR_REAJUSTE18!$A:$B,2,0),0))),"")&lt;0.01%,0.01%,(IFERROR(IF($CJ3="","",IF($CJ3=0,1,1-$CJ3/HLOOKUP(DJ$3,[2]ARBOR_REAJUSTE18!$1:$2,VLOOKUP($BB$2,[2]ARBOR_REAJUSTE18!$A:$B,2,0),0))),""))),4)-CD3</f>
        <v>6.8299999999999916E-2</v>
      </c>
      <c r="DK3" s="44" t="e">
        <f ca="1">ROUNDUP(IF(IFERROR(IF($CJ3="","",IF($CJ3=0,1,1-$CJ3/HLOOKUP(DK$3,[2]ARBOR_REAJUSTE18!$1:$2,VLOOKUP($BB$2,[2]ARBOR_REAJUSTE18!$A:$B,2,0),0))),"")&lt;0.01%,0.01%,(IFERROR(IF($CJ3="","",IF($CJ3=0,1,1-$CJ3/HLOOKUP(DK$3,[2]ARBOR_REAJUSTE18!$1:$2,VLOOKUP($BB$2,[2]ARBOR_REAJUSTE18!$A:$B,2,0),0))),""))),4)-CE3</f>
        <v>#VALUE!</v>
      </c>
      <c r="DL3" s="44">
        <f ca="1">ROUNDUP(IF(IFERROR(IF($CJ3="","",IF($CJ3=0,1,1-$CJ3/HLOOKUP(DL$3,[2]ARBOR_REAJUSTE18!$1:$2,VLOOKUP($BB$2,[2]ARBOR_REAJUSTE18!$A:$B,2,0),0))),"")&lt;0.01%,0.01%,(IFERROR(IF($CJ3="","",IF($CJ3=0,1,1-$CJ3/HLOOKUP(DL$3,[2]ARBOR_REAJUSTE18!$1:$2,VLOOKUP($BB$2,[2]ARBOR_REAJUSTE18!$A:$B,2,0),0))),""))),4)-CF3</f>
        <v>6.7400000000000015E-2</v>
      </c>
      <c r="DM3" s="47" t="s">
        <v>293</v>
      </c>
      <c r="DN3" s="48" t="s">
        <v>294</v>
      </c>
      <c r="DO3" s="48" t="s">
        <v>295</v>
      </c>
      <c r="DP3" s="49"/>
      <c r="DQ3" s="50"/>
      <c r="DR3" s="51"/>
      <c r="DS3" s="51"/>
      <c r="DT3" s="50"/>
      <c r="DU3" s="52"/>
      <c r="DV3" s="52"/>
      <c r="DW3" s="52"/>
      <c r="DX3" s="52"/>
      <c r="DY3" s="52"/>
      <c r="DZ3" s="53"/>
      <c r="EA3" s="54"/>
      <c r="EB3" s="37" t="str">
        <f t="shared" ref="EB3:EB6" si="4">IF(EA3="Sim","OI-17101-2","")</f>
        <v/>
      </c>
      <c r="EC3" s="39"/>
      <c r="ED3" s="40"/>
      <c r="EE3" s="55"/>
      <c r="EF3" s="56"/>
      <c r="EG3" s="43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55"/>
      <c r="FJ3" s="57"/>
      <c r="FK3" s="43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55"/>
      <c r="GN3" s="57"/>
      <c r="GO3" s="43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55"/>
      <c r="HR3" s="57"/>
      <c r="HS3" s="43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  <c r="IS3" s="44"/>
      <c r="IT3" s="44"/>
      <c r="IU3" s="55"/>
      <c r="IV3" s="58"/>
      <c r="IW3" s="43"/>
      <c r="IX3" s="44"/>
      <c r="IY3" s="44"/>
      <c r="IZ3" s="44"/>
      <c r="JA3" s="44"/>
      <c r="JB3" s="44"/>
      <c r="JC3" s="44"/>
      <c r="JD3" s="44"/>
      <c r="JE3" s="44"/>
      <c r="JF3" s="44"/>
      <c r="JG3" s="44"/>
      <c r="JH3" s="44"/>
      <c r="JI3" s="44"/>
      <c r="JJ3" s="44"/>
      <c r="JK3" s="44"/>
      <c r="JL3" s="44"/>
      <c r="JM3" s="44"/>
      <c r="JN3" s="44"/>
      <c r="JO3" s="44"/>
      <c r="JP3" s="44"/>
      <c r="JQ3" s="44"/>
      <c r="JR3" s="44"/>
      <c r="JS3" s="44"/>
      <c r="JT3" s="44"/>
      <c r="JU3" s="44"/>
      <c r="JV3" s="44"/>
      <c r="JW3" s="44"/>
      <c r="JX3" s="44"/>
      <c r="JY3" s="55"/>
      <c r="JZ3" s="58"/>
      <c r="KA3" s="43"/>
      <c r="KB3" s="44"/>
      <c r="KC3" s="44"/>
      <c r="KD3" s="44"/>
      <c r="KE3" s="44"/>
      <c r="KF3" s="44"/>
      <c r="KG3" s="44"/>
      <c r="KH3" s="44"/>
      <c r="KI3" s="44"/>
      <c r="KJ3" s="44"/>
      <c r="KK3" s="44"/>
      <c r="KL3" s="44"/>
      <c r="KM3" s="44"/>
      <c r="KN3" s="44"/>
      <c r="KO3" s="44"/>
      <c r="KP3" s="44"/>
      <c r="KQ3" s="44"/>
      <c r="KR3" s="44"/>
      <c r="KS3" s="44"/>
      <c r="KT3" s="44"/>
      <c r="KU3" s="44"/>
      <c r="KV3" s="44"/>
      <c r="KW3" s="44"/>
      <c r="KX3" s="44"/>
      <c r="KY3" s="44"/>
      <c r="KZ3" s="44"/>
      <c r="LA3" s="44"/>
      <c r="LB3" s="44"/>
      <c r="LC3" s="55"/>
      <c r="LD3" s="58"/>
      <c r="LE3" s="43"/>
      <c r="LF3" s="44"/>
      <c r="LG3" s="44"/>
      <c r="LH3" s="44"/>
      <c r="LI3" s="44"/>
      <c r="LJ3" s="44"/>
      <c r="LK3" s="44"/>
      <c r="LL3" s="44"/>
      <c r="LM3" s="44"/>
      <c r="LN3" s="44"/>
      <c r="LO3" s="44"/>
      <c r="LP3" s="44"/>
      <c r="LQ3" s="44"/>
      <c r="LR3" s="44"/>
      <c r="LS3" s="44"/>
      <c r="LT3" s="44"/>
      <c r="LU3" s="44"/>
      <c r="LV3" s="44"/>
      <c r="LW3" s="44"/>
      <c r="LX3" s="44"/>
      <c r="LY3" s="44"/>
      <c r="LZ3" s="44"/>
      <c r="MA3" s="44"/>
      <c r="MB3" s="44"/>
      <c r="MC3" s="44"/>
      <c r="MD3" s="44"/>
      <c r="ME3" s="44"/>
      <c r="MF3" s="44"/>
      <c r="MG3" s="55"/>
      <c r="MH3" s="56"/>
      <c r="MI3" s="43"/>
      <c r="MJ3" s="44"/>
      <c r="MK3" s="44"/>
      <c r="ML3" s="44"/>
      <c r="MM3" s="44"/>
      <c r="MN3" s="44"/>
      <c r="MO3" s="44"/>
      <c r="MP3" s="44"/>
      <c r="MQ3" s="44"/>
      <c r="MR3" s="44"/>
      <c r="MS3" s="44"/>
      <c r="MT3" s="44"/>
      <c r="MU3" s="44"/>
      <c r="MV3" s="44"/>
      <c r="MW3" s="44"/>
      <c r="MX3" s="44"/>
      <c r="MY3" s="44"/>
      <c r="MZ3" s="44"/>
      <c r="NA3" s="44"/>
      <c r="NB3" s="44"/>
      <c r="NC3" s="44"/>
      <c r="ND3" s="44"/>
      <c r="NE3" s="44"/>
      <c r="NF3" s="44"/>
      <c r="NG3" s="44"/>
      <c r="NH3" s="44"/>
      <c r="NI3" s="44"/>
      <c r="NJ3" s="44"/>
      <c r="NK3" s="56"/>
      <c r="NL3" s="51"/>
      <c r="NM3" s="59"/>
      <c r="NN3" s="43"/>
      <c r="NO3" s="44"/>
      <c r="NP3" s="44"/>
      <c r="NQ3" s="44"/>
      <c r="NR3" s="44"/>
      <c r="NS3" s="44"/>
      <c r="NT3" s="44"/>
      <c r="NU3" s="44"/>
      <c r="NV3" s="44"/>
      <c r="NW3" s="44"/>
      <c r="NX3" s="44"/>
      <c r="NY3" s="44"/>
      <c r="NZ3" s="44"/>
      <c r="OA3" s="44"/>
      <c r="OB3" s="44"/>
      <c r="OC3" s="44"/>
      <c r="OD3" s="44"/>
      <c r="OE3" s="44"/>
      <c r="OF3" s="44"/>
      <c r="OG3" s="44"/>
      <c r="OH3" s="44"/>
      <c r="OI3" s="44"/>
      <c r="OJ3" s="44"/>
      <c r="OK3" s="44"/>
      <c r="OL3" s="44"/>
      <c r="OM3" s="44"/>
      <c r="ON3" s="44"/>
      <c r="OO3" s="44"/>
      <c r="OP3" s="55"/>
      <c r="OQ3" s="57"/>
      <c r="OR3" s="43"/>
      <c r="OS3" s="44"/>
      <c r="OT3" s="44"/>
      <c r="OU3" s="44"/>
      <c r="OV3" s="44"/>
      <c r="OW3" s="44"/>
      <c r="OX3" s="44"/>
      <c r="OY3" s="44"/>
      <c r="OZ3" s="44"/>
      <c r="PA3" s="44"/>
      <c r="PB3" s="44"/>
      <c r="PC3" s="44"/>
      <c r="PD3" s="44"/>
      <c r="PE3" s="44"/>
      <c r="PF3" s="44"/>
      <c r="PG3" s="44"/>
      <c r="PH3" s="44"/>
      <c r="PI3" s="44"/>
      <c r="PJ3" s="44"/>
      <c r="PK3" s="44"/>
      <c r="PL3" s="44"/>
      <c r="PM3" s="44"/>
      <c r="PN3" s="44"/>
      <c r="PO3" s="44"/>
      <c r="PP3" s="44"/>
      <c r="PQ3" s="44"/>
      <c r="PR3" s="44"/>
      <c r="PS3" s="44"/>
      <c r="PT3" s="57"/>
      <c r="PU3" s="60"/>
      <c r="PV3" s="59"/>
      <c r="PW3" s="43"/>
      <c r="PX3" s="44"/>
      <c r="PY3" s="44"/>
      <c r="PZ3" s="44"/>
      <c r="QA3" s="44"/>
      <c r="QB3" s="44"/>
      <c r="QC3" s="44"/>
      <c r="QD3" s="44"/>
      <c r="QE3" s="44"/>
      <c r="QF3" s="44"/>
      <c r="QG3" s="44"/>
      <c r="QH3" s="44"/>
      <c r="QI3" s="44"/>
      <c r="QJ3" s="44"/>
      <c r="QK3" s="44"/>
      <c r="QL3" s="44"/>
      <c r="QM3" s="44"/>
      <c r="QN3" s="44"/>
      <c r="QO3" s="44"/>
      <c r="QP3" s="44"/>
      <c r="QQ3" s="44"/>
      <c r="QR3" s="44"/>
      <c r="QS3" s="44"/>
      <c r="QT3" s="44"/>
      <c r="QU3" s="44"/>
      <c r="QV3" s="44"/>
      <c r="QW3" s="44"/>
      <c r="QX3" s="44"/>
      <c r="QY3" s="55"/>
      <c r="QZ3" s="56"/>
      <c r="RA3" s="43"/>
      <c r="RB3" s="44"/>
      <c r="RC3" s="44"/>
      <c r="RD3" s="44"/>
      <c r="RE3" s="44"/>
      <c r="RF3" s="44"/>
      <c r="RG3" s="44"/>
      <c r="RH3" s="44"/>
      <c r="RI3" s="44"/>
      <c r="RJ3" s="44"/>
      <c r="RK3" s="44"/>
      <c r="RL3" s="44"/>
      <c r="RM3" s="44"/>
      <c r="RN3" s="44"/>
      <c r="RO3" s="44"/>
      <c r="RP3" s="44"/>
      <c r="RQ3" s="44"/>
      <c r="RR3" s="44"/>
      <c r="RS3" s="44"/>
      <c r="RT3" s="44"/>
      <c r="RU3" s="44"/>
      <c r="RV3" s="44"/>
      <c r="RW3" s="44"/>
      <c r="RX3" s="44"/>
      <c r="RY3" s="44"/>
      <c r="RZ3" s="44"/>
      <c r="SA3" s="44"/>
      <c r="SB3" s="44"/>
      <c r="SC3" s="56"/>
      <c r="SD3" s="61"/>
      <c r="SE3" s="59"/>
      <c r="SF3" s="43"/>
      <c r="SG3" s="44"/>
      <c r="SH3" s="44"/>
      <c r="SI3" s="44"/>
      <c r="SJ3" s="44"/>
      <c r="SK3" s="44"/>
      <c r="SL3" s="44"/>
      <c r="SM3" s="44"/>
      <c r="SN3" s="44"/>
      <c r="SO3" s="44"/>
      <c r="SP3" s="44"/>
      <c r="SQ3" s="44"/>
      <c r="SR3" s="44"/>
      <c r="SS3" s="44"/>
      <c r="ST3" s="44"/>
      <c r="SU3" s="44"/>
      <c r="SV3" s="44"/>
      <c r="SW3" s="44"/>
      <c r="SX3" s="44"/>
      <c r="SY3" s="44"/>
      <c r="SZ3" s="44"/>
      <c r="TA3" s="44"/>
      <c r="TB3" s="44"/>
      <c r="TC3" s="44"/>
      <c r="TD3" s="44"/>
      <c r="TE3" s="44"/>
      <c r="TF3" s="44"/>
      <c r="TG3" s="44"/>
      <c r="TH3" s="55"/>
      <c r="TI3" s="58"/>
      <c r="TJ3" s="43"/>
      <c r="TK3" s="44"/>
      <c r="TL3" s="44"/>
      <c r="TM3" s="44"/>
      <c r="TN3" s="44"/>
      <c r="TO3" s="44"/>
      <c r="TP3" s="44"/>
      <c r="TQ3" s="44"/>
      <c r="TR3" s="44"/>
      <c r="TS3" s="44"/>
      <c r="TT3" s="44"/>
      <c r="TU3" s="44"/>
      <c r="TV3" s="44"/>
      <c r="TW3" s="44"/>
      <c r="TX3" s="44"/>
      <c r="TY3" s="44"/>
      <c r="TZ3" s="44"/>
      <c r="UA3" s="44"/>
      <c r="UB3" s="44"/>
      <c r="UC3" s="44"/>
      <c r="UD3" s="44"/>
      <c r="UE3" s="44"/>
      <c r="UF3" s="44"/>
      <c r="UG3" s="44"/>
      <c r="UH3" s="44"/>
      <c r="UI3" s="44"/>
      <c r="UJ3" s="44"/>
      <c r="UK3" s="44"/>
      <c r="UL3" s="57"/>
      <c r="UM3" s="61"/>
      <c r="UN3" s="59"/>
      <c r="UO3" s="43"/>
      <c r="UP3" s="44"/>
      <c r="UQ3" s="44"/>
      <c r="UR3" s="44"/>
      <c r="US3" s="44"/>
      <c r="UT3" s="44"/>
      <c r="UU3" s="44"/>
      <c r="UV3" s="44"/>
      <c r="UW3" s="44"/>
      <c r="UX3" s="44"/>
      <c r="UY3" s="44"/>
      <c r="UZ3" s="44"/>
      <c r="VA3" s="44"/>
      <c r="VB3" s="44"/>
      <c r="VC3" s="44"/>
      <c r="VD3" s="44"/>
      <c r="VE3" s="44"/>
      <c r="VF3" s="44"/>
      <c r="VG3" s="44"/>
      <c r="VH3" s="44"/>
      <c r="VI3" s="44"/>
      <c r="VJ3" s="44"/>
      <c r="VK3" s="44"/>
      <c r="VL3" s="44"/>
      <c r="VM3" s="44"/>
      <c r="VN3" s="44"/>
      <c r="VO3" s="44"/>
      <c r="VP3" s="44"/>
      <c r="VQ3" s="55"/>
      <c r="VR3" s="58"/>
      <c r="VS3" s="43"/>
      <c r="VT3" s="44"/>
      <c r="VU3" s="44"/>
      <c r="VV3" s="44"/>
      <c r="VW3" s="44"/>
      <c r="VX3" s="44"/>
      <c r="VY3" s="44"/>
      <c r="VZ3" s="44"/>
      <c r="WA3" s="44"/>
      <c r="WB3" s="44"/>
      <c r="WC3" s="44"/>
      <c r="WD3" s="44"/>
      <c r="WE3" s="44"/>
      <c r="WF3" s="44"/>
      <c r="WG3" s="44"/>
      <c r="WH3" s="44"/>
      <c r="WI3" s="44"/>
      <c r="WJ3" s="44"/>
      <c r="WK3" s="44"/>
      <c r="WL3" s="44"/>
      <c r="WM3" s="44"/>
      <c r="WN3" s="44"/>
      <c r="WO3" s="44"/>
      <c r="WP3" s="44"/>
      <c r="WQ3" s="44"/>
      <c r="WR3" s="44"/>
      <c r="WS3" s="44"/>
      <c r="WT3" s="44"/>
      <c r="WU3" s="57"/>
      <c r="WV3" s="61"/>
      <c r="WW3" s="59"/>
      <c r="WX3" s="43"/>
      <c r="WY3" s="44"/>
      <c r="WZ3" s="44"/>
      <c r="XA3" s="44"/>
      <c r="XB3" s="44"/>
      <c r="XC3" s="44"/>
      <c r="XD3" s="44"/>
      <c r="XE3" s="44"/>
      <c r="XF3" s="44"/>
      <c r="XG3" s="44"/>
      <c r="XH3" s="44"/>
      <c r="XI3" s="44"/>
      <c r="XJ3" s="44"/>
      <c r="XK3" s="44"/>
      <c r="XL3" s="44"/>
      <c r="XM3" s="44"/>
      <c r="XN3" s="44"/>
      <c r="XO3" s="44"/>
      <c r="XP3" s="44"/>
      <c r="XQ3" s="44"/>
      <c r="XR3" s="44"/>
      <c r="XS3" s="44"/>
      <c r="XT3" s="44"/>
      <c r="XU3" s="44"/>
      <c r="XV3" s="44"/>
      <c r="XW3" s="44"/>
      <c r="XX3" s="44"/>
      <c r="XY3" s="44"/>
      <c r="XZ3" s="55"/>
      <c r="YA3" s="58"/>
      <c r="YB3" s="43"/>
      <c r="YC3" s="44"/>
      <c r="YD3" s="44"/>
      <c r="YE3" s="44"/>
      <c r="YF3" s="44"/>
      <c r="YG3" s="44"/>
      <c r="YH3" s="44"/>
      <c r="YI3" s="44"/>
      <c r="YJ3" s="44"/>
      <c r="YK3" s="44"/>
      <c r="YL3" s="44"/>
      <c r="YM3" s="44"/>
      <c r="YN3" s="44"/>
      <c r="YO3" s="44"/>
      <c r="YP3" s="44"/>
      <c r="YQ3" s="44"/>
      <c r="YR3" s="44"/>
      <c r="YS3" s="44"/>
      <c r="YT3" s="44"/>
      <c r="YU3" s="44"/>
      <c r="YV3" s="44"/>
      <c r="YW3" s="44"/>
      <c r="YX3" s="44"/>
      <c r="YY3" s="44"/>
      <c r="YZ3" s="44"/>
      <c r="ZA3" s="44"/>
      <c r="ZB3" s="44"/>
      <c r="ZC3" s="44"/>
      <c r="ZD3" s="57"/>
      <c r="ZE3" s="61"/>
      <c r="ZF3" s="59"/>
      <c r="ZG3" s="43"/>
      <c r="ZH3" s="44"/>
      <c r="ZI3" s="44"/>
      <c r="ZJ3" s="44"/>
      <c r="ZK3" s="44"/>
      <c r="ZL3" s="44"/>
      <c r="ZM3" s="44"/>
      <c r="ZN3" s="44"/>
      <c r="ZO3" s="44"/>
      <c r="ZP3" s="44"/>
      <c r="ZQ3" s="44"/>
      <c r="ZR3" s="44"/>
      <c r="ZS3" s="44"/>
      <c r="ZT3" s="44"/>
      <c r="ZU3" s="44"/>
      <c r="ZV3" s="44"/>
      <c r="ZW3" s="44"/>
      <c r="ZX3" s="44"/>
      <c r="ZY3" s="44"/>
      <c r="ZZ3" s="44"/>
      <c r="AAA3" s="44"/>
      <c r="AAB3" s="44"/>
      <c r="AAC3" s="44"/>
      <c r="AAD3" s="44"/>
      <c r="AAE3" s="44"/>
      <c r="AAF3" s="44"/>
      <c r="AAG3" s="44"/>
      <c r="AAH3" s="44"/>
      <c r="AAI3" s="55"/>
      <c r="AAJ3" s="58"/>
      <c r="AAK3" s="43"/>
      <c r="AAL3" s="44"/>
      <c r="AAM3" s="44"/>
      <c r="AAN3" s="44"/>
      <c r="AAO3" s="44"/>
      <c r="AAP3" s="44"/>
      <c r="AAQ3" s="44"/>
      <c r="AAR3" s="44"/>
      <c r="AAS3" s="44"/>
      <c r="AAT3" s="44"/>
      <c r="AAU3" s="44"/>
      <c r="AAV3" s="44"/>
      <c r="AAW3" s="44"/>
      <c r="AAX3" s="44"/>
      <c r="AAY3" s="44"/>
      <c r="AAZ3" s="44"/>
      <c r="ABA3" s="44"/>
      <c r="ABB3" s="44"/>
      <c r="ABC3" s="44"/>
      <c r="ABD3" s="44"/>
      <c r="ABE3" s="44"/>
      <c r="ABF3" s="44"/>
      <c r="ABG3" s="44"/>
      <c r="ABH3" s="44"/>
      <c r="ABI3" s="44"/>
      <c r="ABJ3" s="44"/>
      <c r="ABK3" s="44"/>
      <c r="ABL3" s="44"/>
      <c r="ABM3" s="57"/>
      <c r="ABN3" s="61"/>
      <c r="ABO3" s="59"/>
      <c r="ABP3" s="43"/>
      <c r="ABQ3" s="44"/>
      <c r="ABR3" s="44"/>
      <c r="ABS3" s="44"/>
      <c r="ABT3" s="44"/>
      <c r="ABU3" s="44"/>
      <c r="ABV3" s="44"/>
      <c r="ABW3" s="44"/>
      <c r="ABX3" s="44"/>
      <c r="ABY3" s="44"/>
      <c r="ABZ3" s="44"/>
      <c r="ACA3" s="44"/>
      <c r="ACB3" s="44"/>
      <c r="ACC3" s="44"/>
      <c r="ACD3" s="44"/>
      <c r="ACE3" s="44"/>
      <c r="ACF3" s="44"/>
      <c r="ACG3" s="44"/>
      <c r="ACH3" s="44"/>
      <c r="ACI3" s="44"/>
      <c r="ACJ3" s="44"/>
      <c r="ACK3" s="44"/>
      <c r="ACL3" s="44"/>
      <c r="ACM3" s="44"/>
      <c r="ACN3" s="44"/>
      <c r="ACO3" s="44"/>
      <c r="ACP3" s="44"/>
      <c r="ACQ3" s="44"/>
      <c r="ACR3" s="58"/>
      <c r="ACS3" s="43"/>
      <c r="ACT3" s="44" t="e">
        <f>ROUNDUP(IF(IFERROR(IF($ACR3="","",IF($ACR3=0,1,1-$ACR3/HLOOKUP(ACT$3,[2]ARBOR_REAJUSTE18!$A:$AE,VLOOKUP($ACR$2,[2]ARBOR_REAJUSTE18!$A:$B,2,0),0))),"")&lt;0.01%,0.01%,(IFERROR(IF($ACR3="","",IF($ACR3=0,1,1-$ACR3/HLOOKUP(ACT$3,[2]ARBOR_REAJUSTE18!$A:$AE,VLOOKUP($ACR$2,[2]ARBOR_REAJUSTE18!$A:$B,2,0),0))),""))),4)</f>
        <v>#VALUE!</v>
      </c>
      <c r="ACU3" s="44" t="e">
        <f>ROUNDUP(IF(IFERROR(IF($ACR3="","",IF($ACR3=0,1,1-$ACR3/HLOOKUP(ACU$3,[2]ARBOR_REAJUSTE18!$A:$AE,VLOOKUP($ACR$2,[2]ARBOR_REAJUSTE18!$A:$B,2,0),0))),"")&lt;0.01%,0.01%,(IFERROR(IF($ACR3="","",IF($ACR3=0,1,1-$ACR3/HLOOKUP(ACU$3,[2]ARBOR_REAJUSTE18!$A:$AE,VLOOKUP($ACR$2,[2]ARBOR_REAJUSTE18!$A:$B,2,0),0))),""))),4)</f>
        <v>#VALUE!</v>
      </c>
      <c r="ACV3" s="44" t="e">
        <f>ROUNDUP(IF(IFERROR(IF($ACR3="","",IF($ACR3=0,1,1-$ACR3/HLOOKUP(ACV$3,[2]ARBOR_REAJUSTE18!$A:$AE,VLOOKUP($ACR$2,[2]ARBOR_REAJUSTE18!$A:$B,2,0),0))),"")&lt;0.01%,0.01%,(IFERROR(IF($ACR3="","",IF($ACR3=0,1,1-$ACR3/HLOOKUP(ACV$3,[2]ARBOR_REAJUSTE18!$A:$AE,VLOOKUP($ACR$2,[2]ARBOR_REAJUSTE18!$A:$B,2,0),0))),""))),4)</f>
        <v>#VALUE!</v>
      </c>
      <c r="ACW3" s="44" t="e">
        <f>ROUNDUP(IF(IFERROR(IF($ACR3="","",IF($ACR3=0,1,1-$ACR3/HLOOKUP(ACW$3,[2]ARBOR_REAJUSTE18!$A:$AE,VLOOKUP($ACR$2,[2]ARBOR_REAJUSTE18!$A:$B,2,0),0))),"")&lt;0.01%,0.01%,(IFERROR(IF($ACR3="","",IF($ACR3=0,1,1-$ACR3/HLOOKUP(ACW$3,[2]ARBOR_REAJUSTE18!$A:$AE,VLOOKUP($ACR$2,[2]ARBOR_REAJUSTE18!$A:$B,2,0),0))),""))),4)</f>
        <v>#VALUE!</v>
      </c>
      <c r="ACX3" s="44" t="e">
        <f>ROUNDUP(IF(IFERROR(IF($ACR3="","",IF($ACR3=0,1,1-$ACR3/HLOOKUP(ACX$3,[2]ARBOR_REAJUSTE18!$A:$AE,VLOOKUP($ACR$2,[2]ARBOR_REAJUSTE18!$A:$B,2,0),0))),"")&lt;0.01%,0.01%,(IFERROR(IF($ACR3="","",IF($ACR3=0,1,1-$ACR3/HLOOKUP(ACX$3,[2]ARBOR_REAJUSTE18!$A:$AE,VLOOKUP($ACR$2,[2]ARBOR_REAJUSTE18!$A:$B,2,0),0))),""))),4)</f>
        <v>#VALUE!</v>
      </c>
      <c r="ACY3" s="44" t="e">
        <f>ROUNDUP(IF(IFERROR(IF($ACR3="","",IF($ACR3=0,1,1-$ACR3/HLOOKUP(ACY$3,[2]ARBOR_REAJUSTE18!$A:$AE,VLOOKUP($ACR$2,[2]ARBOR_REAJUSTE18!$A:$B,2,0),0))),"")&lt;0.01%,0.01%,(IFERROR(IF($ACR3="","",IF($ACR3=0,1,1-$ACR3/HLOOKUP(ACY$3,[2]ARBOR_REAJUSTE18!$A:$AE,VLOOKUP($ACR$2,[2]ARBOR_REAJUSTE18!$A:$B,2,0),0))),""))),4)</f>
        <v>#VALUE!</v>
      </c>
      <c r="ACZ3" s="44" t="e">
        <f>ROUNDUP(IF(IFERROR(IF($ACR3="","",IF($ACR3=0,1,1-$ACR3/HLOOKUP(ACZ$3,[2]ARBOR_REAJUSTE18!$A:$AE,VLOOKUP($ACR$2,[2]ARBOR_REAJUSTE18!$A:$B,2,0),0))),"")&lt;0.01%,0.01%,(IFERROR(IF($ACR3="","",IF($ACR3=0,1,1-$ACR3/HLOOKUP(ACZ$3,[2]ARBOR_REAJUSTE18!$A:$AE,VLOOKUP($ACR$2,[2]ARBOR_REAJUSTE18!$A:$B,2,0),0))),""))),4)</f>
        <v>#VALUE!</v>
      </c>
      <c r="ADA3" s="44" t="e">
        <f>ROUNDUP(IF(IFERROR(IF($ACR3="","",IF($ACR3=0,1,1-$ACR3/HLOOKUP(ADA$3,[2]ARBOR_REAJUSTE18!$A:$AE,VLOOKUP($ACR$2,[2]ARBOR_REAJUSTE18!$A:$B,2,0),0))),"")&lt;0.01%,0.01%,(IFERROR(IF($ACR3="","",IF($ACR3=0,1,1-$ACR3/HLOOKUP(ADA$3,[2]ARBOR_REAJUSTE18!$A:$AE,VLOOKUP($ACR$2,[2]ARBOR_REAJUSTE18!$A:$B,2,0),0))),""))),4)</f>
        <v>#VALUE!</v>
      </c>
      <c r="ADB3" s="44" t="e">
        <f>ROUNDUP(IF(IFERROR(IF($ACR3="","",IF($ACR3=0,1,1-$ACR3/HLOOKUP(ADB$3,[2]ARBOR_REAJUSTE18!$A:$AE,VLOOKUP($ACR$2,[2]ARBOR_REAJUSTE18!$A:$B,2,0),0))),"")&lt;0.01%,0.01%,(IFERROR(IF($ACR3="","",IF($ACR3=0,1,1-$ACR3/HLOOKUP(ADB$3,[2]ARBOR_REAJUSTE18!$A:$AE,VLOOKUP($ACR$2,[2]ARBOR_REAJUSTE18!$A:$B,2,0),0))),""))),4)</f>
        <v>#VALUE!</v>
      </c>
      <c r="ADC3" s="44" t="e">
        <f>ROUNDUP(IF(IFERROR(IF($ACR3="","",IF($ACR3=0,1,1-$ACR3/HLOOKUP(ADC$3,[2]ARBOR_REAJUSTE18!$A:$AE,VLOOKUP($ACR$2,[2]ARBOR_REAJUSTE18!$A:$B,2,0),0))),"")&lt;0.01%,0.01%,(IFERROR(IF($ACR3="","",IF($ACR3=0,1,1-$ACR3/HLOOKUP(ADC$3,[2]ARBOR_REAJUSTE18!$A:$AE,VLOOKUP($ACR$2,[2]ARBOR_REAJUSTE18!$A:$B,2,0),0))),""))),4)</f>
        <v>#VALUE!</v>
      </c>
      <c r="ADD3" s="44" t="e">
        <f>ROUNDUP(IF(IFERROR(IF($ACR3="","",IF($ACR3=0,1,1-$ACR3/HLOOKUP(ADD$3,[2]ARBOR_REAJUSTE18!$A:$AE,VLOOKUP($ACR$2,[2]ARBOR_REAJUSTE18!$A:$B,2,0),0))),"")&lt;0.01%,0.01%,(IFERROR(IF($ACR3="","",IF($ACR3=0,1,1-$ACR3/HLOOKUP(ADD$3,[2]ARBOR_REAJUSTE18!$A:$AE,VLOOKUP($ACR$2,[2]ARBOR_REAJUSTE18!$A:$B,2,0),0))),""))),4)</f>
        <v>#VALUE!</v>
      </c>
      <c r="ADE3" s="44" t="e">
        <f>ROUNDUP(IF(IFERROR(IF($ACR3="","",IF($ACR3=0,1,1-$ACR3/HLOOKUP(ADE$3,[2]ARBOR_REAJUSTE18!$A:$AE,VLOOKUP($ACR$2,[2]ARBOR_REAJUSTE18!$A:$B,2,0),0))),"")&lt;0.01%,0.01%,(IFERROR(IF($ACR3="","",IF($ACR3=0,1,1-$ACR3/HLOOKUP(ADE$3,[2]ARBOR_REAJUSTE18!$A:$AE,VLOOKUP($ACR$2,[2]ARBOR_REAJUSTE18!$A:$B,2,0),0))),""))),4)</f>
        <v>#VALUE!</v>
      </c>
      <c r="ADF3" s="44" t="e">
        <f>ROUNDUP(IF(IFERROR(IF($ACR3="","",IF($ACR3=0,1,1-$ACR3/HLOOKUP(ADF$3,[2]ARBOR_REAJUSTE18!$A:$AE,VLOOKUP($ACR$2,[2]ARBOR_REAJUSTE18!$A:$B,2,0),0))),"")&lt;0.01%,0.01%,(IFERROR(IF($ACR3="","",IF($ACR3=0,1,1-$ACR3/HLOOKUP(ADF$3,[2]ARBOR_REAJUSTE18!$A:$AE,VLOOKUP($ACR$2,[2]ARBOR_REAJUSTE18!$A:$B,2,0),0))),""))),4)</f>
        <v>#VALUE!</v>
      </c>
      <c r="ADG3" s="44" t="e">
        <f>ROUNDUP(IF(IFERROR(IF($ACR3="","",IF($ACR3=0,1,1-$ACR3/HLOOKUP(ADG$3,[2]ARBOR_REAJUSTE18!$A:$AE,VLOOKUP($ACR$2,[2]ARBOR_REAJUSTE18!$A:$B,2,0),0))),"")&lt;0.01%,0.01%,(IFERROR(IF($ACR3="","",IF($ACR3=0,1,1-$ACR3/HLOOKUP(ADG$3,[2]ARBOR_REAJUSTE18!$A:$AE,VLOOKUP($ACR$2,[2]ARBOR_REAJUSTE18!$A:$B,2,0),0))),""))),4)</f>
        <v>#VALUE!</v>
      </c>
      <c r="ADH3" s="44" t="e">
        <f>ROUNDUP(IF(IFERROR(IF($ACR3="","",IF($ACR3=0,1,1-$ACR3/HLOOKUP(ADH$3,[2]ARBOR_REAJUSTE18!$A:$AE,VLOOKUP($ACR$2,[2]ARBOR_REAJUSTE18!$A:$B,2,0),0))),"")&lt;0.01%,0.01%,(IFERROR(IF($ACR3="","",IF($ACR3=0,1,1-$ACR3/HLOOKUP(ADH$3,[2]ARBOR_REAJUSTE18!$A:$AE,VLOOKUP($ACR$2,[2]ARBOR_REAJUSTE18!$A:$B,2,0),0))),""))),4)</f>
        <v>#VALUE!</v>
      </c>
      <c r="ADI3" s="44" t="e">
        <f>ROUNDUP(IF(IFERROR(IF($ACR3="","",IF($ACR3=0,1,1-$ACR3/HLOOKUP(ADI$3,[2]ARBOR_REAJUSTE18!$A:$AE,VLOOKUP($ACR$2,[2]ARBOR_REAJUSTE18!$A:$B,2,0),0))),"")&lt;0.01%,0.01%,(IFERROR(IF($ACR3="","",IF($ACR3=0,1,1-$ACR3/HLOOKUP(ADI$3,[2]ARBOR_REAJUSTE18!$A:$AE,VLOOKUP($ACR$2,[2]ARBOR_REAJUSTE18!$A:$B,2,0),0))),""))),4)</f>
        <v>#VALUE!</v>
      </c>
      <c r="ADJ3" s="44" t="e">
        <f>ROUNDUP(IF(IFERROR(IF($ACR3="","",IF($ACR3=0,1,1-$ACR3/HLOOKUP(ADJ$3,[2]ARBOR_REAJUSTE18!$A:$AE,VLOOKUP($ACR$2,[2]ARBOR_REAJUSTE18!$A:$B,2,0),0))),"")&lt;0.01%,0.01%,(IFERROR(IF($ACR3="","",IF($ACR3=0,1,1-$ACR3/HLOOKUP(ADJ$3,[2]ARBOR_REAJUSTE18!$A:$AE,VLOOKUP($ACR$2,[2]ARBOR_REAJUSTE18!$A:$B,2,0),0))),""))),4)</f>
        <v>#VALUE!</v>
      </c>
      <c r="ADK3" s="44" t="e">
        <f>ROUNDUP(IF(IFERROR(IF($ACR3="","",IF($ACR3=0,1,1-$ACR3/HLOOKUP(ADK$3,[2]ARBOR_REAJUSTE18!$A:$AE,VLOOKUP($ACR$2,[2]ARBOR_REAJUSTE18!$A:$B,2,0),0))),"")&lt;0.01%,0.01%,(IFERROR(IF($ACR3="","",IF($ACR3=0,1,1-$ACR3/HLOOKUP(ADK$3,[2]ARBOR_REAJUSTE18!$A:$AE,VLOOKUP($ACR$2,[2]ARBOR_REAJUSTE18!$A:$B,2,0),0))),""))),4)</f>
        <v>#VALUE!</v>
      </c>
      <c r="ADL3" s="44" t="e">
        <f>ROUNDUP(IF(IFERROR(IF($ACR3="","",IF($ACR3=0,1,1-$ACR3/HLOOKUP(ADL$3,[2]ARBOR_REAJUSTE18!$A:$AE,VLOOKUP($ACR$2,[2]ARBOR_REAJUSTE18!$A:$B,2,0),0))),"")&lt;0.01%,0.01%,(IFERROR(IF($ACR3="","",IF($ACR3=0,1,1-$ACR3/HLOOKUP(ADL$3,[2]ARBOR_REAJUSTE18!$A:$AE,VLOOKUP($ACR$2,[2]ARBOR_REAJUSTE18!$A:$B,2,0),0))),""))),4)</f>
        <v>#VALUE!</v>
      </c>
      <c r="ADM3" s="44" t="e">
        <f>ROUNDUP(IF(IFERROR(IF($ACR3="","",IF($ACR3=0,1,1-$ACR3/HLOOKUP(ADM$3,[2]ARBOR_REAJUSTE18!$A:$AE,VLOOKUP($ACR$2,[2]ARBOR_REAJUSTE18!$A:$B,2,0),0))),"")&lt;0.01%,0.01%,(IFERROR(IF($ACR3="","",IF($ACR3=0,1,1-$ACR3/HLOOKUP(ADM$3,[2]ARBOR_REAJUSTE18!$A:$AE,VLOOKUP($ACR$2,[2]ARBOR_REAJUSTE18!$A:$B,2,0),0))),""))),4)</f>
        <v>#VALUE!</v>
      </c>
      <c r="ADN3" s="44" t="e">
        <f>ROUNDUP(IF(IFERROR(IF($ACR3="","",IF($ACR3=0,1,1-$ACR3/HLOOKUP(ADN$3,[2]ARBOR_REAJUSTE18!$A:$AE,VLOOKUP($ACR$2,[2]ARBOR_REAJUSTE18!$A:$B,2,0),0))),"")&lt;0.01%,0.01%,(IFERROR(IF($ACR3="","",IF($ACR3=0,1,1-$ACR3/HLOOKUP(ADN$3,[2]ARBOR_REAJUSTE18!$A:$AE,VLOOKUP($ACR$2,[2]ARBOR_REAJUSTE18!$A:$B,2,0),0))),""))),4)</f>
        <v>#VALUE!</v>
      </c>
      <c r="ADO3" s="44" t="e">
        <f>ROUNDUP(IF(IFERROR(IF($ACR3="","",IF($ACR3=0,1,1-$ACR3/HLOOKUP(ADO$3,[2]ARBOR_REAJUSTE18!$A:$AE,VLOOKUP($ACR$2,[2]ARBOR_REAJUSTE18!$A:$B,2,0),0))),"")&lt;0.01%,0.01%,(IFERROR(IF($ACR3="","",IF($ACR3=0,1,1-$ACR3/HLOOKUP(ADO$3,[2]ARBOR_REAJUSTE18!$A:$AE,VLOOKUP($ACR$2,[2]ARBOR_REAJUSTE18!$A:$B,2,0),0))),""))),4)</f>
        <v>#VALUE!</v>
      </c>
      <c r="ADP3" s="44" t="e">
        <f>ROUNDUP(IF(IFERROR(IF($ACR3="","",IF($ACR3=0,1,1-$ACR3/HLOOKUP(ADP$3,[2]ARBOR_REAJUSTE18!$A:$AE,VLOOKUP($ACR$2,[2]ARBOR_REAJUSTE18!$A:$B,2,0),0))),"")&lt;0.01%,0.01%,(IFERROR(IF($ACR3="","",IF($ACR3=0,1,1-$ACR3/HLOOKUP(ADP$3,[2]ARBOR_REAJUSTE18!$A:$AE,VLOOKUP($ACR$2,[2]ARBOR_REAJUSTE18!$A:$B,2,0),0))),""))),4)</f>
        <v>#VALUE!</v>
      </c>
      <c r="ADQ3" s="44" t="e">
        <f>ROUNDUP(IF(IFERROR(IF($ACR3="","",IF($ACR3=0,1,1-$ACR3/HLOOKUP(ADQ$3,[2]ARBOR_REAJUSTE18!$A:$AE,VLOOKUP($ACR$2,[2]ARBOR_REAJUSTE18!$A:$B,2,0),0))),"")&lt;0.01%,0.01%,(IFERROR(IF($ACR3="","",IF($ACR3=0,1,1-$ACR3/HLOOKUP(ADQ$3,[2]ARBOR_REAJUSTE18!$A:$AE,VLOOKUP($ACR$2,[2]ARBOR_REAJUSTE18!$A:$B,2,0),0))),""))),4)</f>
        <v>#VALUE!</v>
      </c>
      <c r="ADR3" s="44" t="e">
        <f>ROUNDUP(IF(IFERROR(IF($ACR3="","",IF($ACR3=0,1,1-$ACR3/HLOOKUP(ADR$3,[2]ARBOR_REAJUSTE18!$A:$AE,VLOOKUP($ACR$2,[2]ARBOR_REAJUSTE18!$A:$B,2,0),0))),"")&lt;0.01%,0.01%,(IFERROR(IF($ACR3="","",IF($ACR3=0,1,1-$ACR3/HLOOKUP(ADR$3,[2]ARBOR_REAJUSTE18!$A:$AE,VLOOKUP($ACR$2,[2]ARBOR_REAJUSTE18!$A:$B,2,0),0))),""))),4)</f>
        <v>#VALUE!</v>
      </c>
      <c r="ADS3" s="44" t="e">
        <f>ROUNDUP(IF(IFERROR(IF($ACR3="","",IF($ACR3=0,1,1-$ACR3/HLOOKUP(ADS$3,[2]ARBOR_REAJUSTE18!$A:$AE,VLOOKUP($ACR$2,[2]ARBOR_REAJUSTE18!$A:$B,2,0),0))),"")&lt;0.01%,0.01%,(IFERROR(IF($ACR3="","",IF($ACR3=0,1,1-$ACR3/HLOOKUP(ADS$3,[2]ARBOR_REAJUSTE18!$A:$AE,VLOOKUP($ACR$2,[2]ARBOR_REAJUSTE18!$A:$B,2,0),0))),""))),4)</f>
        <v>#VALUE!</v>
      </c>
      <c r="ADT3" s="44" t="e">
        <f>ROUNDUP(IF(IFERROR(IF($ACR3="","",IF($ACR3=0,1,1-$ACR3/HLOOKUP(ADT$3,[2]ARBOR_REAJUSTE18!$A:$AE,VLOOKUP($ACR$2,[2]ARBOR_REAJUSTE18!$A:$B,2,0),0))),"")&lt;0.01%,0.01%,(IFERROR(IF($ACR3="","",IF($ACR3=0,1,1-$ACR3/HLOOKUP(ADT$3,[2]ARBOR_REAJUSTE18!$A:$AE,VLOOKUP($ACR$2,[2]ARBOR_REAJUSTE18!$A:$B,2,0),0))),""))),4)</f>
        <v>#VALUE!</v>
      </c>
      <c r="ADU3" s="57"/>
      <c r="ADV3" s="62"/>
      <c r="ADW3" s="44"/>
      <c r="ADX3" s="44"/>
      <c r="ADY3" s="44"/>
      <c r="ADZ3" s="44"/>
      <c r="AEA3" s="44"/>
      <c r="AEB3" s="44"/>
      <c r="AEC3" s="44"/>
      <c r="AED3" s="44"/>
      <c r="AEE3" s="44"/>
      <c r="AEF3" s="44"/>
      <c r="AEG3" s="44"/>
      <c r="AEH3" s="44"/>
      <c r="AEI3" s="44"/>
      <c r="AEJ3" s="44"/>
      <c r="AEK3" s="44"/>
      <c r="AEL3" s="44"/>
      <c r="AEM3" s="44"/>
      <c r="AEN3" s="44"/>
      <c r="AEO3" s="44"/>
      <c r="AEP3" s="44"/>
      <c r="AEQ3" s="44"/>
      <c r="AER3" s="44"/>
      <c r="AES3" s="44"/>
      <c r="AET3" s="44"/>
      <c r="AEU3" s="44"/>
      <c r="AEV3" s="44"/>
      <c r="AEW3" s="44"/>
      <c r="AEX3" s="58"/>
      <c r="AEY3" s="63"/>
      <c r="AEZ3" s="62"/>
      <c r="AFA3" s="44" t="str">
        <f t="shared" ref="AFA3:AGA6" si="5">IF($AEX3="Grátis",1,"")</f>
        <v/>
      </c>
      <c r="AFB3" s="44" t="str">
        <f t="shared" si="5"/>
        <v/>
      </c>
      <c r="AFC3" s="44" t="str">
        <f t="shared" si="5"/>
        <v/>
      </c>
      <c r="AFD3" s="44" t="str">
        <f t="shared" si="5"/>
        <v/>
      </c>
      <c r="AFE3" s="44" t="str">
        <f t="shared" si="5"/>
        <v/>
      </c>
      <c r="AFF3" s="44" t="str">
        <f t="shared" si="5"/>
        <v/>
      </c>
      <c r="AFG3" s="44" t="str">
        <f t="shared" si="5"/>
        <v/>
      </c>
      <c r="AFH3" s="44" t="str">
        <f t="shared" si="5"/>
        <v/>
      </c>
      <c r="AFI3" s="44" t="str">
        <f t="shared" si="5"/>
        <v/>
      </c>
      <c r="AFJ3" s="44" t="str">
        <f t="shared" si="5"/>
        <v/>
      </c>
      <c r="AFK3" s="44" t="str">
        <f t="shared" si="5"/>
        <v/>
      </c>
      <c r="AFL3" s="44" t="str">
        <f t="shared" si="5"/>
        <v/>
      </c>
      <c r="AFM3" s="44" t="str">
        <f t="shared" si="5"/>
        <v/>
      </c>
      <c r="AFN3" s="44" t="str">
        <f t="shared" si="5"/>
        <v/>
      </c>
      <c r="AFO3" s="44" t="str">
        <f t="shared" si="5"/>
        <v/>
      </c>
      <c r="AFP3" s="44" t="str">
        <f t="shared" si="5"/>
        <v/>
      </c>
      <c r="AFQ3" s="44" t="str">
        <f t="shared" si="5"/>
        <v/>
      </c>
      <c r="AFR3" s="44" t="str">
        <f t="shared" si="5"/>
        <v/>
      </c>
      <c r="AFS3" s="44" t="str">
        <f t="shared" si="5"/>
        <v/>
      </c>
      <c r="AFT3" s="44" t="str">
        <f t="shared" si="5"/>
        <v/>
      </c>
      <c r="AFU3" s="44" t="str">
        <f t="shared" si="5"/>
        <v/>
      </c>
      <c r="AFV3" s="44" t="str">
        <f t="shared" si="5"/>
        <v/>
      </c>
      <c r="AFW3" s="44" t="str">
        <f t="shared" si="5"/>
        <v/>
      </c>
      <c r="AFX3" s="44" t="str">
        <f t="shared" si="5"/>
        <v/>
      </c>
      <c r="AFY3" s="44" t="str">
        <f t="shared" si="5"/>
        <v/>
      </c>
      <c r="AFZ3" s="44" t="str">
        <f t="shared" si="5"/>
        <v/>
      </c>
      <c r="AGA3" s="44" t="str">
        <f t="shared" si="5"/>
        <v/>
      </c>
      <c r="AGB3" s="25"/>
      <c r="AGC3" s="25"/>
      <c r="AGD3" s="43"/>
      <c r="AGE3" s="56">
        <v>44.800000000000011</v>
      </c>
      <c r="AGF3" s="43" t="e">
        <f ca="1">VLOOKUP($AV3&amp;AGG3&amp;"Template desconto FLAT Plano Principal Oi TV nível conta",[2]BENEFICIOS!$A:$G,5,0)</f>
        <v>#N/A</v>
      </c>
      <c r="AGG3" s="44">
        <f ca="1">ROUNDUP(IF(IFERROR(IF($AGE3="","",IF($AGE3=0,1,1-$AGE3/HLOOKUP(AGG$3,[2]ARBOR_REAJUSTE18!$A:$AE,VLOOKUP($AGE$2,[2]ARBOR_REAJUSTE18!$A:$B,2,0),0))),"")&lt;0.01%,0.01%,(IFERROR(IF($AGE3="","",IF($AGE3=0,1,1-$AGE3/HLOOKUP(AGG$3,[2]ARBOR_REAJUSTE18!$A:$AE,VLOOKUP($AGE$2,[2]ARBOR_REAJUSTE18!$A:$B,2,0),0))),""))),4)</f>
        <v>0.5484</v>
      </c>
      <c r="AGH3" s="44">
        <f ca="1">ROUNDUP(IF(IFERROR(IF($AGE3="","",IF($AGE3=0,1,1-$AGE3/HLOOKUP(AGH$3,[2]ARBOR_REAJUSTE18!$A:$AE,VLOOKUP($AGE$2,[2]ARBOR_REAJUSTE18!$A:$B,2,0),0))),"")&lt;0.01%,0.01%,(IFERROR(IF($AGE3="","",IF($AGE3=0,1,1-$AGE3/HLOOKUP(AGH$3,[2]ARBOR_REAJUSTE18!$A:$AE,VLOOKUP($AGE$2,[2]ARBOR_REAJUSTE18!$A:$B,2,0),0))),""))),4)</f>
        <v>0.5484</v>
      </c>
      <c r="AGI3" s="44">
        <f ca="1">ROUNDUP(IF(IFERROR(IF($AGE3="","",IF($AGE3=0,1,1-$AGE3/HLOOKUP(AGI$3,[2]ARBOR_REAJUSTE18!$A:$AE,VLOOKUP($AGE$2,[2]ARBOR_REAJUSTE18!$A:$B,2,0),0))),"")&lt;0.01%,0.01%,(IFERROR(IF($AGE3="","",IF($AGE3=0,1,1-$AGE3/HLOOKUP(AGI$3,[2]ARBOR_REAJUSTE18!$A:$AE,VLOOKUP($AGE$2,[2]ARBOR_REAJUSTE18!$A:$B,2,0),0))),""))),4)</f>
        <v>0.5484</v>
      </c>
      <c r="AGJ3" s="44">
        <f ca="1">ROUNDUP(IF(IFERROR(IF($AGE3="","",IF($AGE3=0,1,1-$AGE3/HLOOKUP(AGJ$3,[2]ARBOR_REAJUSTE18!$A:$AE,VLOOKUP($AGE$2,[2]ARBOR_REAJUSTE18!$A:$B,2,0),0))),"")&lt;0.01%,0.01%,(IFERROR(IF($AGE3="","",IF($AGE3=0,1,1-$AGE3/HLOOKUP(AGJ$3,[2]ARBOR_REAJUSTE18!$A:$AE,VLOOKUP($AGE$2,[2]ARBOR_REAJUSTE18!$A:$B,2,0),0))),""))),4)</f>
        <v>0.5484</v>
      </c>
      <c r="AGK3" s="44">
        <f ca="1">ROUNDUP(IF(IFERROR(IF($AGE3="","",IF($AGE3=0,1,1-$AGE3/HLOOKUP(AGK$3,[2]ARBOR_REAJUSTE18!$A:$AE,VLOOKUP($AGE$2,[2]ARBOR_REAJUSTE18!$A:$B,2,0),0))),"")&lt;0.01%,0.01%,(IFERROR(IF($AGE3="","",IF($AGE3=0,1,1-$AGE3/HLOOKUP(AGK$3,[2]ARBOR_REAJUSTE18!$A:$AE,VLOOKUP($AGE$2,[2]ARBOR_REAJUSTE18!$A:$B,2,0),0))),""))),4)</f>
        <v>0.5484</v>
      </c>
      <c r="AGL3" s="44">
        <f ca="1">ROUNDUP(IF(IFERROR(IF($AGE3="","",IF($AGE3=0,1,1-$AGE3/HLOOKUP(AGL$3,[2]ARBOR_REAJUSTE18!$A:$AE,VLOOKUP($AGE$2,[2]ARBOR_REAJUSTE18!$A:$B,2,0),0))),"")&lt;0.01%,0.01%,(IFERROR(IF($AGE3="","",IF($AGE3=0,1,1-$AGE3/HLOOKUP(AGL$3,[2]ARBOR_REAJUSTE18!$A:$AE,VLOOKUP($AGE$2,[2]ARBOR_REAJUSTE18!$A:$B,2,0),0))),""))),4)</f>
        <v>0.5484</v>
      </c>
      <c r="AGM3" s="44">
        <f ca="1">ROUNDUP(IF(IFERROR(IF($AGE3="","",IF($AGE3=0,1,1-$AGE3/HLOOKUP(AGM$3,[2]ARBOR_REAJUSTE18!$A:$AE,VLOOKUP($AGE$2,[2]ARBOR_REAJUSTE18!$A:$B,2,0),0))),"")&lt;0.01%,0.01%,(IFERROR(IF($AGE3="","",IF($AGE3=0,1,1-$AGE3/HLOOKUP(AGM$3,[2]ARBOR_REAJUSTE18!$A:$AE,VLOOKUP($AGE$2,[2]ARBOR_REAJUSTE18!$A:$B,2,0),0))),""))),4)</f>
        <v>0.54830000000000001</v>
      </c>
      <c r="AGN3" s="44">
        <f ca="1">ROUNDUP(IF(IFERROR(IF($AGE3="","",IF($AGE3=0,1,1-$AGE3/HLOOKUP(AGN$3,[2]ARBOR_REAJUSTE18!$A:$AE,VLOOKUP($AGE$2,[2]ARBOR_REAJUSTE18!$A:$B,2,0),0))),"")&lt;0.01%,0.01%,(IFERROR(IF($AGE3="","",IF($AGE3=0,1,1-$AGE3/HLOOKUP(AGN$3,[2]ARBOR_REAJUSTE18!$A:$AE,VLOOKUP($AGE$2,[2]ARBOR_REAJUSTE18!$A:$B,2,0),0))),""))),4)</f>
        <v>0.5484</v>
      </c>
      <c r="AGO3" s="44">
        <f ca="1">ROUNDUP(IF(IFERROR(IF($AGE3="","",IF($AGE3=0,1,1-$AGE3/HLOOKUP(AGO$3,[2]ARBOR_REAJUSTE18!$A:$AE,VLOOKUP($AGE$2,[2]ARBOR_REAJUSTE18!$A:$B,2,0),0))),"")&lt;0.01%,0.01%,(IFERROR(IF($AGE3="","",IF($AGE3=0,1,1-$AGE3/HLOOKUP(AGO$3,[2]ARBOR_REAJUSTE18!$A:$AE,VLOOKUP($AGE$2,[2]ARBOR_REAJUSTE18!$A:$B,2,0),0))),""))),4)</f>
        <v>0.5484</v>
      </c>
      <c r="AGP3" s="44">
        <f ca="1">ROUNDUP(IF(IFERROR(IF($AGE3="","",IF($AGE3=0,1,1-$AGE3/HLOOKUP(AGP$3,[2]ARBOR_REAJUSTE18!$A:$AE,VLOOKUP($AGE$2,[2]ARBOR_REAJUSTE18!$A:$B,2,0),0))),"")&lt;0.01%,0.01%,(IFERROR(IF($AGE3="","",IF($AGE3=0,1,1-$AGE3/HLOOKUP(AGP$3,[2]ARBOR_REAJUSTE18!$A:$AE,VLOOKUP($AGE$2,[2]ARBOR_REAJUSTE18!$A:$B,2,0),0))),""))),4)</f>
        <v>0.5484</v>
      </c>
      <c r="AGQ3" s="44">
        <f ca="1">ROUNDUP(IF(IFERROR(IF($AGE3="","",IF($AGE3=0,1,1-$AGE3/HLOOKUP(AGQ$3,[2]ARBOR_REAJUSTE18!$A:$AE,VLOOKUP($AGE$2,[2]ARBOR_REAJUSTE18!$A:$B,2,0),0))),"")&lt;0.01%,0.01%,(IFERROR(IF($AGE3="","",IF($AGE3=0,1,1-$AGE3/HLOOKUP(AGQ$3,[2]ARBOR_REAJUSTE18!$A:$AE,VLOOKUP($AGE$2,[2]ARBOR_REAJUSTE18!$A:$B,2,0),0))),""))),4)</f>
        <v>0.5645</v>
      </c>
      <c r="AGR3" s="44">
        <f ca="1">ROUNDUP(IF(IFERROR(IF($AGE3="","",IF($AGE3=0,1,1-$AGE3/HLOOKUP(AGR$3,[2]ARBOR_REAJUSTE18!$A:$AE,VLOOKUP($AGE$2,[2]ARBOR_REAJUSTE18!$A:$B,2,0),0))),"")&lt;0.01%,0.01%,(IFERROR(IF($AGE3="","",IF($AGE3=0,1,1-$AGE3/HLOOKUP(AGR$3,[2]ARBOR_REAJUSTE18!$A:$AE,VLOOKUP($AGE$2,[2]ARBOR_REAJUSTE18!$A:$B,2,0),0))),""))),4)</f>
        <v>0.5484</v>
      </c>
      <c r="AGS3" s="44">
        <f ca="1">ROUNDUP(IF(IFERROR(IF($AGE3="","",IF($AGE3=0,1,1-$AGE3/HLOOKUP(AGS$3,[2]ARBOR_REAJUSTE18!$A:$AE,VLOOKUP($AGE$2,[2]ARBOR_REAJUSTE18!$A:$B,2,0),0))),"")&lt;0.01%,0.01%,(IFERROR(IF($AGE3="","",IF($AGE3=0,1,1-$AGE3/HLOOKUP(AGS$3,[2]ARBOR_REAJUSTE18!$A:$AE,VLOOKUP($AGE$2,[2]ARBOR_REAJUSTE18!$A:$B,2,0),0))),""))),4)</f>
        <v>0.5484</v>
      </c>
      <c r="AGT3" s="44">
        <f ca="1">ROUNDUP(IF(IFERROR(IF($AGE3="","",IF($AGE3=0,1,1-$AGE3/HLOOKUP(AGT$3,[2]ARBOR_REAJUSTE18!$A:$AE,VLOOKUP($AGE$2,[2]ARBOR_REAJUSTE18!$A:$B,2,0),0))),"")&lt;0.01%,0.01%,(IFERROR(IF($AGE3="","",IF($AGE3=0,1,1-$AGE3/HLOOKUP(AGT$3,[2]ARBOR_REAJUSTE18!$A:$AE,VLOOKUP($AGE$2,[2]ARBOR_REAJUSTE18!$A:$B,2,0),0))),""))),4)</f>
        <v>0.5484</v>
      </c>
      <c r="AGU3" s="44">
        <f ca="1">ROUNDUP(IF(IFERROR(IF($AGE3="","",IF($AGE3=0,1,1-$AGE3/HLOOKUP(AGU$3,[2]ARBOR_REAJUSTE18!$A:$AE,VLOOKUP($AGE$2,[2]ARBOR_REAJUSTE18!$A:$B,2,0),0))),"")&lt;0.01%,0.01%,(IFERROR(IF($AGE3="","",IF($AGE3=0,1,1-$AGE3/HLOOKUP(AGU$3,[2]ARBOR_REAJUSTE18!$A:$AE,VLOOKUP($AGE$2,[2]ARBOR_REAJUSTE18!$A:$B,2,0),0))),""))),4)</f>
        <v>0.5484</v>
      </c>
      <c r="AGV3" s="44">
        <f ca="1">ROUNDUP(IF(IFERROR(IF($AGE3="","",IF($AGE3=0,1,1-$AGE3/HLOOKUP(AGV$3,[2]ARBOR_REAJUSTE18!$A:$AE,VLOOKUP($AGE$2,[2]ARBOR_REAJUSTE18!$A:$B,2,0),0))),"")&lt;0.01%,0.01%,(IFERROR(IF($AGE3="","",IF($AGE3=0,1,1-$AGE3/HLOOKUP(AGV$3,[2]ARBOR_REAJUSTE18!$A:$AE,VLOOKUP($AGE$2,[2]ARBOR_REAJUSTE18!$A:$B,2,0),0))),""))),4)</f>
        <v>0.55430000000000001</v>
      </c>
      <c r="AGW3" s="44">
        <f ca="1">ROUNDUP(IF(IFERROR(IF($AGE3="","",IF($AGE3=0,1,1-$AGE3/HLOOKUP(AGW$3,[2]ARBOR_REAJUSTE18!$A:$AE,VLOOKUP($AGE$2,[2]ARBOR_REAJUSTE18!$A:$B,2,0),0))),"")&lt;0.01%,0.01%,(IFERROR(IF($AGE3="","",IF($AGE3=0,1,1-$AGE3/HLOOKUP(AGW$3,[2]ARBOR_REAJUSTE18!$A:$AE,VLOOKUP($AGE$2,[2]ARBOR_REAJUSTE18!$A:$B,2,0),0))),""))),4)</f>
        <v>0.5484</v>
      </c>
      <c r="AGX3" s="44">
        <f ca="1">ROUNDUP(IF(IFERROR(IF($AGE3="","",IF($AGE3=0,1,1-$AGE3/HLOOKUP(AGX$3,[2]ARBOR_REAJUSTE18!$A:$AE,VLOOKUP($AGE$2,[2]ARBOR_REAJUSTE18!$A:$B,2,0),0))),"")&lt;0.01%,0.01%,(IFERROR(IF($AGE3="","",IF($AGE3=0,1,1-$AGE3/HLOOKUP(AGX$3,[2]ARBOR_REAJUSTE18!$A:$AE,VLOOKUP($AGE$2,[2]ARBOR_REAJUSTE18!$A:$B,2,0),0))),""))),4)</f>
        <v>0.5484</v>
      </c>
      <c r="AGY3" s="44">
        <f ca="1">ROUNDUP(IF(IFERROR(IF($AGE3="","",IF($AGE3=0,1,1-$AGE3/HLOOKUP(AGY$3,[2]ARBOR_REAJUSTE18!$A:$AE,VLOOKUP($AGE$2,[2]ARBOR_REAJUSTE18!$A:$B,2,0),0))),"")&lt;0.01%,0.01%,(IFERROR(IF($AGE3="","",IF($AGE3=0,1,1-$AGE3/HLOOKUP(AGY$3,[2]ARBOR_REAJUSTE18!$A:$AE,VLOOKUP($AGE$2,[2]ARBOR_REAJUSTE18!$A:$B,2,0),0))),""))),4)</f>
        <v>0.5484</v>
      </c>
      <c r="AGZ3" s="44">
        <f ca="1">ROUNDUP(IF(IFERROR(IF($AGE3="","",IF($AGE3=0,1,1-$AGE3/HLOOKUP(AGZ$3,[2]ARBOR_REAJUSTE18!$A:$AE,VLOOKUP($AGE$2,[2]ARBOR_REAJUSTE18!$A:$B,2,0),0))),"")&lt;0.01%,0.01%,(IFERROR(IF($AGE3="","",IF($AGE3=0,1,1-$AGE3/HLOOKUP(AGZ$3,[2]ARBOR_REAJUSTE18!$A:$AE,VLOOKUP($AGE$2,[2]ARBOR_REAJUSTE18!$A:$B,2,0),0))),""))),4)</f>
        <v>0.5645</v>
      </c>
      <c r="AHA3" s="44">
        <f ca="1">ROUNDUP(IF(IFERROR(IF($AGE3="","",IF($AGE3=0,1,1-$AGE3/HLOOKUP(AHA$3,[2]ARBOR_REAJUSTE18!$A:$AE,VLOOKUP($AGE$2,[2]ARBOR_REAJUSTE18!$A:$B,2,0),0))),"")&lt;0.01%,0.01%,(IFERROR(IF($AGE3="","",IF($AGE3=0,1,1-$AGE3/HLOOKUP(AHA$3,[2]ARBOR_REAJUSTE18!$A:$AE,VLOOKUP($AGE$2,[2]ARBOR_REAJUSTE18!$A:$B,2,0),0))),""))),4)</f>
        <v>0.5484</v>
      </c>
      <c r="AHB3" s="44">
        <f ca="1">ROUNDUP(IF(IFERROR(IF($AGE3="","",IF($AGE3=0,1,1-$AGE3/HLOOKUP(AHB$3,[2]ARBOR_REAJUSTE18!$A:$AE,VLOOKUP($AGE$2,[2]ARBOR_REAJUSTE18!$A:$B,2,0),0))),"")&lt;0.01%,0.01%,(IFERROR(IF($AGE3="","",IF($AGE3=0,1,1-$AGE3/HLOOKUP(AHB$3,[2]ARBOR_REAJUSTE18!$A:$AE,VLOOKUP($AGE$2,[2]ARBOR_REAJUSTE18!$A:$B,2,0),0))),""))),4)</f>
        <v>0.5484</v>
      </c>
      <c r="AHC3" s="44">
        <f ca="1">ROUNDUP(IF(IFERROR(IF($AGE3="","",IF($AGE3=0,1,1-$AGE3/HLOOKUP(AHC$3,[2]ARBOR_REAJUSTE18!$A:$AE,VLOOKUP($AGE$2,[2]ARBOR_REAJUSTE18!$A:$B,2,0),0))),"")&lt;0.01%,0.01%,(IFERROR(IF($AGE3="","",IF($AGE3=0,1,1-$AGE3/HLOOKUP(AHC$3,[2]ARBOR_REAJUSTE18!$A:$AE,VLOOKUP($AGE$2,[2]ARBOR_REAJUSTE18!$A:$B,2,0),0))),""))),4)</f>
        <v>0.5484</v>
      </c>
      <c r="AHD3" s="44">
        <f ca="1">ROUNDUP(IF(IFERROR(IF($AGE3="","",IF($AGE3=0,1,1-$AGE3/HLOOKUP(AHD$3,[2]ARBOR_REAJUSTE18!$A:$AE,VLOOKUP($AGE$2,[2]ARBOR_REAJUSTE18!$A:$B,2,0),0))),"")&lt;0.01%,0.01%,(IFERROR(IF($AGE3="","",IF($AGE3=0,1,1-$AGE3/HLOOKUP(AHD$3,[2]ARBOR_REAJUSTE18!$A:$AE,VLOOKUP($AGE$2,[2]ARBOR_REAJUSTE18!$A:$B,2,0),0))),""))),4)</f>
        <v>0.5484</v>
      </c>
      <c r="AHE3" s="44">
        <f ca="1">ROUNDUP(IF(IFERROR(IF($AGE3="","",IF($AGE3=0,1,1-$AGE3/HLOOKUP(AHE$3,[2]ARBOR_REAJUSTE18!$A:$AE,VLOOKUP($AGE$2,[2]ARBOR_REAJUSTE18!$A:$B,2,0),0))),"")&lt;0.01%,0.01%,(IFERROR(IF($AGE3="","",IF($AGE3=0,1,1-$AGE3/HLOOKUP(AHE$3,[2]ARBOR_REAJUSTE18!$A:$AE,VLOOKUP($AGE$2,[2]ARBOR_REAJUSTE18!$A:$B,2,0),0))),""))),4)</f>
        <v>0.5484</v>
      </c>
      <c r="AHF3" s="44">
        <f ca="1">ROUNDUP(IF(IFERROR(IF($AGE3="","",IF($AGE3=0,1,1-$AGE3/HLOOKUP(AHF$3,[2]ARBOR_REAJUSTE18!$A:$AE,VLOOKUP($AGE$2,[2]ARBOR_REAJUSTE18!$A:$B,2,0),0))),"")&lt;0.01%,0.01%,(IFERROR(IF($AGE3="","",IF($AGE3=0,1,1-$AGE3/HLOOKUP(AHF$3,[2]ARBOR_REAJUSTE18!$A:$AE,VLOOKUP($AGE$2,[2]ARBOR_REAJUSTE18!$A:$B,2,0),0))),""))),4)</f>
        <v>0.55889999999999995</v>
      </c>
      <c r="AHG3" s="44">
        <f ca="1">ROUNDUP(IF(IFERROR(IF($AGE3="","",IF($AGE3=0,1,1-$AGE3/HLOOKUP(AHG$3,[2]ARBOR_REAJUSTE18!$A:$AE,VLOOKUP($AGE$2,[2]ARBOR_REAJUSTE18!$A:$B,2,0),0))),"")&lt;0.01%,0.01%,(IFERROR(IF($AGE3="","",IF($AGE3=0,1,1-$AGE3/HLOOKUP(AHG$3,[2]ARBOR_REAJUSTE18!$A:$AE,VLOOKUP($AGE$2,[2]ARBOR_REAJUSTE18!$A:$B,2,0),0))),""))),4)</f>
        <v>0.5484</v>
      </c>
      <c r="AHH3" s="56"/>
      <c r="AHI3" s="64"/>
      <c r="AHJ3" s="44" t="e">
        <f>ROUNDUP(IF(IFERROR(IF($AHH3="","",IF($AHH3=0,1,1-$AHH3/HLOOKUP(AHJ$3,[2]ARBOR_REAJUSTE18!$A:$AE,VLOOKUP($AHH$2,[2]ARBOR_REAJUSTE18!$A:$B,2,0),0))),"")&lt;0.01%,0.01%,(IFERROR(IF($AHH3="","",IF($AHH3=0,1,1-$AHH3/HLOOKUP(AHJ$3,[2]ARBOR_REAJUSTE18!$A:$AE,VLOOKUP($AHH$2,[2]ARBOR_REAJUSTE18!$A:$B,2,0),0))),""))),4)</f>
        <v>#VALUE!</v>
      </c>
      <c r="AHK3" s="44" t="e">
        <f>ROUNDUP(IF(IFERROR(IF($AHH3="","",IF($AHH3=0,1,1-$AHH3/HLOOKUP(AHK$3,[2]ARBOR_REAJUSTE18!$A:$AE,VLOOKUP($AHH$2,[2]ARBOR_REAJUSTE18!$A:$B,2,0),0))),"")&lt;0.01%,0.01%,(IFERROR(IF($AHH3="","",IF($AHH3=0,1,1-$AHH3/HLOOKUP(AHK$3,[2]ARBOR_REAJUSTE18!$A:$AE,VLOOKUP($AHH$2,[2]ARBOR_REAJUSTE18!$A:$B,2,0),0))),""))),4)</f>
        <v>#VALUE!</v>
      </c>
      <c r="AHL3" s="44" t="e">
        <f>ROUNDUP(IF(IFERROR(IF($AHH3="","",IF($AHH3=0,1,1-$AHH3/HLOOKUP(AHL$3,[2]ARBOR_REAJUSTE18!$A:$AE,VLOOKUP($AHH$2,[2]ARBOR_REAJUSTE18!$A:$B,2,0),0))),"")&lt;0.01%,0.01%,(IFERROR(IF($AHH3="","",IF($AHH3=0,1,1-$AHH3/HLOOKUP(AHL$3,[2]ARBOR_REAJUSTE18!$A:$AE,VLOOKUP($AHH$2,[2]ARBOR_REAJUSTE18!$A:$B,2,0),0))),""))),4)</f>
        <v>#VALUE!</v>
      </c>
      <c r="AHM3" s="44" t="e">
        <f>ROUNDUP(IF(IFERROR(IF($AHH3="","",IF($AHH3=0,1,1-$AHH3/HLOOKUP(AHM$3,[2]ARBOR_REAJUSTE18!$A:$AE,VLOOKUP($AHH$2,[2]ARBOR_REAJUSTE18!$A:$B,2,0),0))),"")&lt;0.01%,0.01%,(IFERROR(IF($AHH3="","",IF($AHH3=0,1,1-$AHH3/HLOOKUP(AHM$3,[2]ARBOR_REAJUSTE18!$A:$AE,VLOOKUP($AHH$2,[2]ARBOR_REAJUSTE18!$A:$B,2,0),0))),""))),4)</f>
        <v>#VALUE!</v>
      </c>
      <c r="AHN3" s="44" t="e">
        <f>ROUNDUP(IF(IFERROR(IF($AHH3="","",IF($AHH3=0,1,1-$AHH3/HLOOKUP(AHN$3,[2]ARBOR_REAJUSTE18!$A:$AE,VLOOKUP($AHH$2,[2]ARBOR_REAJUSTE18!$A:$B,2,0),0))),"")&lt;0.01%,0.01%,(IFERROR(IF($AHH3="","",IF($AHH3=0,1,1-$AHH3/HLOOKUP(AHN$3,[2]ARBOR_REAJUSTE18!$A:$AE,VLOOKUP($AHH$2,[2]ARBOR_REAJUSTE18!$A:$B,2,0),0))),""))),4)</f>
        <v>#VALUE!</v>
      </c>
      <c r="AHO3" s="44" t="e">
        <f>ROUNDUP(IF(IFERROR(IF($AHH3="","",IF($AHH3=0,1,1-$AHH3/HLOOKUP(AHO$3,[2]ARBOR_REAJUSTE18!$A:$AE,VLOOKUP($AHH$2,[2]ARBOR_REAJUSTE18!$A:$B,2,0),0))),"")&lt;0.01%,0.01%,(IFERROR(IF($AHH3="","",IF($AHH3=0,1,1-$AHH3/HLOOKUP(AHO$3,[2]ARBOR_REAJUSTE18!$A:$AE,VLOOKUP($AHH$2,[2]ARBOR_REAJUSTE18!$A:$B,2,0),0))),""))),4)</f>
        <v>#VALUE!</v>
      </c>
      <c r="AHP3" s="44" t="e">
        <f>ROUNDUP(IF(IFERROR(IF($AHH3="","",IF($AHH3=0,1,1-$AHH3/HLOOKUP(AHP$3,[2]ARBOR_REAJUSTE18!$A:$AE,VLOOKUP($AHH$2,[2]ARBOR_REAJUSTE18!$A:$B,2,0),0))),"")&lt;0.01%,0.01%,(IFERROR(IF($AHH3="","",IF($AHH3=0,1,1-$AHH3/HLOOKUP(AHP$3,[2]ARBOR_REAJUSTE18!$A:$AE,VLOOKUP($AHH$2,[2]ARBOR_REAJUSTE18!$A:$B,2,0),0))),""))),4)</f>
        <v>#VALUE!</v>
      </c>
      <c r="AHQ3" s="44" t="e">
        <f>ROUNDUP(IF(IFERROR(IF($AHH3="","",IF($AHH3=0,1,1-$AHH3/HLOOKUP(AHQ$3,[2]ARBOR_REAJUSTE18!$A:$AE,VLOOKUP($AHH$2,[2]ARBOR_REAJUSTE18!$A:$B,2,0),0))),"")&lt;0.01%,0.01%,(IFERROR(IF($AHH3="","",IF($AHH3=0,1,1-$AHH3/HLOOKUP(AHQ$3,[2]ARBOR_REAJUSTE18!$A:$AE,VLOOKUP($AHH$2,[2]ARBOR_REAJUSTE18!$A:$B,2,0),0))),""))),4)</f>
        <v>#VALUE!</v>
      </c>
      <c r="AHR3" s="44" t="e">
        <f>ROUNDUP(IF(IFERROR(IF($AHH3="","",IF($AHH3=0,1,1-$AHH3/HLOOKUP(AHR$3,[2]ARBOR_REAJUSTE18!$A:$AE,VLOOKUP($AHH$2,[2]ARBOR_REAJUSTE18!$A:$B,2,0),0))),"")&lt;0.01%,0.01%,(IFERROR(IF($AHH3="","",IF($AHH3=0,1,1-$AHH3/HLOOKUP(AHR$3,[2]ARBOR_REAJUSTE18!$A:$AE,VLOOKUP($AHH$2,[2]ARBOR_REAJUSTE18!$A:$B,2,0),0))),""))),4)</f>
        <v>#VALUE!</v>
      </c>
      <c r="AHS3" s="44" t="e">
        <f>ROUNDUP(IF(IFERROR(IF($AHH3="","",IF($AHH3=0,1,1-$AHH3/HLOOKUP(AHS$3,[2]ARBOR_REAJUSTE18!$A:$AE,VLOOKUP($AHH$2,[2]ARBOR_REAJUSTE18!$A:$B,2,0),0))),"")&lt;0.01%,0.01%,(IFERROR(IF($AHH3="","",IF($AHH3=0,1,1-$AHH3/HLOOKUP(AHS$3,[2]ARBOR_REAJUSTE18!$A:$AE,VLOOKUP($AHH$2,[2]ARBOR_REAJUSTE18!$A:$B,2,0),0))),""))),4)</f>
        <v>#VALUE!</v>
      </c>
      <c r="AHT3" s="44" t="e">
        <f>ROUNDUP(IF(IFERROR(IF($AHH3="","",IF($AHH3=0,1,1-$AHH3/HLOOKUP(AHT$3,[2]ARBOR_REAJUSTE18!$A:$AE,VLOOKUP($AHH$2,[2]ARBOR_REAJUSTE18!$A:$B,2,0),0))),"")&lt;0.01%,0.01%,(IFERROR(IF($AHH3="","",IF($AHH3=0,1,1-$AHH3/HLOOKUP(AHT$3,[2]ARBOR_REAJUSTE18!$A:$AE,VLOOKUP($AHH$2,[2]ARBOR_REAJUSTE18!$A:$B,2,0),0))),""))),4)</f>
        <v>#VALUE!</v>
      </c>
      <c r="AHU3" s="44" t="e">
        <f>ROUNDUP(IF(IFERROR(IF($AHH3="","",IF($AHH3=0,1,1-$AHH3/HLOOKUP(AHU$3,[2]ARBOR_REAJUSTE18!$A:$AE,VLOOKUP($AHH$2,[2]ARBOR_REAJUSTE18!$A:$B,2,0),0))),"")&lt;0.01%,0.01%,(IFERROR(IF($AHH3="","",IF($AHH3=0,1,1-$AHH3/HLOOKUP(AHU$3,[2]ARBOR_REAJUSTE18!$A:$AE,VLOOKUP($AHH$2,[2]ARBOR_REAJUSTE18!$A:$B,2,0),0))),""))),4)</f>
        <v>#VALUE!</v>
      </c>
      <c r="AHV3" s="44" t="e">
        <f>ROUNDUP(IF(IFERROR(IF($AHH3="","",IF($AHH3=0,1,1-$AHH3/HLOOKUP(AHV$3,[2]ARBOR_REAJUSTE18!$A:$AE,VLOOKUP($AHH$2,[2]ARBOR_REAJUSTE18!$A:$B,2,0),0))),"")&lt;0.01%,0.01%,(IFERROR(IF($AHH3="","",IF($AHH3=0,1,1-$AHH3/HLOOKUP(AHV$3,[2]ARBOR_REAJUSTE18!$A:$AE,VLOOKUP($AHH$2,[2]ARBOR_REAJUSTE18!$A:$B,2,0),0))),""))),4)</f>
        <v>#VALUE!</v>
      </c>
      <c r="AHW3" s="44" t="e">
        <f>ROUNDUP(IF(IFERROR(IF($AHH3="","",IF($AHH3=0,1,1-$AHH3/HLOOKUP(AHW$3,[2]ARBOR_REAJUSTE18!$A:$AE,VLOOKUP($AHH$2,[2]ARBOR_REAJUSTE18!$A:$B,2,0),0))),"")&lt;0.01%,0.01%,(IFERROR(IF($AHH3="","",IF($AHH3=0,1,1-$AHH3/HLOOKUP(AHW$3,[2]ARBOR_REAJUSTE18!$A:$AE,VLOOKUP($AHH$2,[2]ARBOR_REAJUSTE18!$A:$B,2,0),0))),""))),4)</f>
        <v>#VALUE!</v>
      </c>
      <c r="AHX3" s="44" t="e">
        <f>ROUNDUP(IF(IFERROR(IF($AHH3="","",IF($AHH3=0,1,1-$AHH3/HLOOKUP(AHX$3,[2]ARBOR_REAJUSTE18!$A:$AE,VLOOKUP($AHH$2,[2]ARBOR_REAJUSTE18!$A:$B,2,0),0))),"")&lt;0.01%,0.01%,(IFERROR(IF($AHH3="","",IF($AHH3=0,1,1-$AHH3/HLOOKUP(AHX$3,[2]ARBOR_REAJUSTE18!$A:$AE,VLOOKUP($AHH$2,[2]ARBOR_REAJUSTE18!$A:$B,2,0),0))),""))),4)</f>
        <v>#VALUE!</v>
      </c>
      <c r="AHY3" s="44" t="e">
        <f>ROUNDUP(IF(IFERROR(IF($AHH3="","",IF($AHH3=0,1,1-$AHH3/HLOOKUP(AHY$3,[2]ARBOR_REAJUSTE18!$A:$AE,VLOOKUP($AHH$2,[2]ARBOR_REAJUSTE18!$A:$B,2,0),0))),"")&lt;0.01%,0.01%,(IFERROR(IF($AHH3="","",IF($AHH3=0,1,1-$AHH3/HLOOKUP(AHY$3,[2]ARBOR_REAJUSTE18!$A:$AE,VLOOKUP($AHH$2,[2]ARBOR_REAJUSTE18!$A:$B,2,0),0))),""))),4)</f>
        <v>#VALUE!</v>
      </c>
      <c r="AHZ3" s="44" t="e">
        <f>ROUNDUP(IF(IFERROR(IF($AHH3="","",IF($AHH3=0,1,1-$AHH3/HLOOKUP(AHZ$3,[2]ARBOR_REAJUSTE18!$A:$AE,VLOOKUP($AHH$2,[2]ARBOR_REAJUSTE18!$A:$B,2,0),0))),"")&lt;0.01%,0.01%,(IFERROR(IF($AHH3="","",IF($AHH3=0,1,1-$AHH3/HLOOKUP(AHZ$3,[2]ARBOR_REAJUSTE18!$A:$AE,VLOOKUP($AHH$2,[2]ARBOR_REAJUSTE18!$A:$B,2,0),0))),""))),4)</f>
        <v>#VALUE!</v>
      </c>
      <c r="AIA3" s="44" t="e">
        <f>ROUNDUP(IF(IFERROR(IF($AHH3="","",IF($AHH3=0,1,1-$AHH3/HLOOKUP(AIA$3,[2]ARBOR_REAJUSTE18!$A:$AE,VLOOKUP($AHH$2,[2]ARBOR_REAJUSTE18!$A:$B,2,0),0))),"")&lt;0.01%,0.01%,(IFERROR(IF($AHH3="","",IF($AHH3=0,1,1-$AHH3/HLOOKUP(AIA$3,[2]ARBOR_REAJUSTE18!$A:$AE,VLOOKUP($AHH$2,[2]ARBOR_REAJUSTE18!$A:$B,2,0),0))),""))),4)</f>
        <v>#VALUE!</v>
      </c>
      <c r="AIB3" s="44" t="e">
        <f>ROUNDUP(IF(IFERROR(IF($AHH3="","",IF($AHH3=0,1,1-$AHH3/HLOOKUP(AIB$3,[2]ARBOR_REAJUSTE18!$A:$AE,VLOOKUP($AHH$2,[2]ARBOR_REAJUSTE18!$A:$B,2,0),0))),"")&lt;0.01%,0.01%,(IFERROR(IF($AHH3="","",IF($AHH3=0,1,1-$AHH3/HLOOKUP(AIB$3,[2]ARBOR_REAJUSTE18!$A:$AE,VLOOKUP($AHH$2,[2]ARBOR_REAJUSTE18!$A:$B,2,0),0))),""))),4)</f>
        <v>#VALUE!</v>
      </c>
      <c r="AIC3" s="44" t="e">
        <f>ROUNDUP(IF(IFERROR(IF($AHH3="","",IF($AHH3=0,1,1-$AHH3/HLOOKUP(AIC$3,[2]ARBOR_REAJUSTE18!$A:$AE,VLOOKUP($AHH$2,[2]ARBOR_REAJUSTE18!$A:$B,2,0),0))),"")&lt;0.01%,0.01%,(IFERROR(IF($AHH3="","",IF($AHH3=0,1,1-$AHH3/HLOOKUP(AIC$3,[2]ARBOR_REAJUSTE18!$A:$AE,VLOOKUP($AHH$2,[2]ARBOR_REAJUSTE18!$A:$B,2,0),0))),""))),4)</f>
        <v>#VALUE!</v>
      </c>
      <c r="AID3" s="44" t="e">
        <f>ROUNDUP(IF(IFERROR(IF($AHH3="","",IF($AHH3=0,1,1-$AHH3/HLOOKUP(AID$3,[2]ARBOR_REAJUSTE18!$A:$AE,VLOOKUP($AHH$2,[2]ARBOR_REAJUSTE18!$A:$B,2,0),0))),"")&lt;0.01%,0.01%,(IFERROR(IF($AHH3="","",IF($AHH3=0,1,1-$AHH3/HLOOKUP(AID$3,[2]ARBOR_REAJUSTE18!$A:$AE,VLOOKUP($AHH$2,[2]ARBOR_REAJUSTE18!$A:$B,2,0),0))),""))),4)</f>
        <v>#VALUE!</v>
      </c>
      <c r="AIE3" s="44" t="e">
        <f>ROUNDUP(IF(IFERROR(IF($AHH3="","",IF($AHH3=0,1,1-$AHH3/HLOOKUP(AIE$3,[2]ARBOR_REAJUSTE18!$A:$AE,VLOOKUP($AHH$2,[2]ARBOR_REAJUSTE18!$A:$B,2,0),0))),"")&lt;0.01%,0.01%,(IFERROR(IF($AHH3="","",IF($AHH3=0,1,1-$AHH3/HLOOKUP(AIE$3,[2]ARBOR_REAJUSTE18!$A:$AE,VLOOKUP($AHH$2,[2]ARBOR_REAJUSTE18!$A:$B,2,0),0))),""))),4)</f>
        <v>#VALUE!</v>
      </c>
      <c r="AIF3" s="44" t="e">
        <f>ROUNDUP(IF(IFERROR(IF($AHH3="","",IF($AHH3=0,1,1-$AHH3/HLOOKUP(AIF$3,[2]ARBOR_REAJUSTE18!$A:$AE,VLOOKUP($AHH$2,[2]ARBOR_REAJUSTE18!$A:$B,2,0),0))),"")&lt;0.01%,0.01%,(IFERROR(IF($AHH3="","",IF($AHH3=0,1,1-$AHH3/HLOOKUP(AIF$3,[2]ARBOR_REAJUSTE18!$A:$AE,VLOOKUP($AHH$2,[2]ARBOR_REAJUSTE18!$A:$B,2,0),0))),""))),4)</f>
        <v>#VALUE!</v>
      </c>
      <c r="AIG3" s="44" t="e">
        <f>ROUNDUP(IF(IFERROR(IF($AHH3="","",IF($AHH3=0,1,1-$AHH3/HLOOKUP(AIG$3,[2]ARBOR_REAJUSTE18!$A:$AE,VLOOKUP($AHH$2,[2]ARBOR_REAJUSTE18!$A:$B,2,0),0))),"")&lt;0.01%,0.01%,(IFERROR(IF($AHH3="","",IF($AHH3=0,1,1-$AHH3/HLOOKUP(AIG$3,[2]ARBOR_REAJUSTE18!$A:$AE,VLOOKUP($AHH$2,[2]ARBOR_REAJUSTE18!$A:$B,2,0),0))),""))),4)</f>
        <v>#VALUE!</v>
      </c>
      <c r="AIH3" s="44" t="e">
        <f>ROUNDUP(IF(IFERROR(IF($AHH3="","",IF($AHH3=0,1,1-$AHH3/HLOOKUP(AIH$3,[2]ARBOR_REAJUSTE18!$A:$AE,VLOOKUP($AHH$2,[2]ARBOR_REAJUSTE18!$A:$B,2,0),0))),"")&lt;0.01%,0.01%,(IFERROR(IF($AHH3="","",IF($AHH3=0,1,1-$AHH3/HLOOKUP(AIH$3,[2]ARBOR_REAJUSTE18!$A:$AE,VLOOKUP($AHH$2,[2]ARBOR_REAJUSTE18!$A:$B,2,0),0))),""))),4)</f>
        <v>#VALUE!</v>
      </c>
      <c r="AII3" s="44" t="e">
        <f>ROUNDUP(IF(IFERROR(IF($AHH3="","",IF($AHH3=0,1,1-$AHH3/HLOOKUP(AII$3,[2]ARBOR_REAJUSTE18!$A:$AE,VLOOKUP($AHH$2,[2]ARBOR_REAJUSTE18!$A:$B,2,0),0))),"")&lt;0.01%,0.01%,(IFERROR(IF($AHH3="","",IF($AHH3=0,1,1-$AHH3/HLOOKUP(AII$3,[2]ARBOR_REAJUSTE18!$A:$AE,VLOOKUP($AHH$2,[2]ARBOR_REAJUSTE18!$A:$B,2,0),0))),""))),4)</f>
        <v>#VALUE!</v>
      </c>
      <c r="AIJ3" s="44" t="e">
        <f>ROUNDUP(IF(IFERROR(IF($AHH3="","",IF($AHH3=0,1,1-$AHH3/HLOOKUP(AIJ$3,[2]ARBOR_REAJUSTE18!$A:$AE,VLOOKUP($AHH$2,[2]ARBOR_REAJUSTE18!$A:$B,2,0),0))),"")&lt;0.01%,0.01%,(IFERROR(IF($AHH3="","",IF($AHH3=0,1,1-$AHH3/HLOOKUP(AIJ$3,[2]ARBOR_REAJUSTE18!$A:$AE,VLOOKUP($AHH$2,[2]ARBOR_REAJUSTE18!$A:$B,2,0),0))),""))),4)</f>
        <v>#VALUE!</v>
      </c>
      <c r="AIK3" s="56"/>
      <c r="AIL3" s="64"/>
      <c r="AIM3" s="44" t="e">
        <f>ROUNDUP(IF(IFERROR(IF($AIK3="","",IF($AIK3=0,1,1-$AIK3/HLOOKUP(AIM$3,[2]ARBOR_REAJUSTE18!$A:$AE,VLOOKUP($AIK$2,[2]ARBOR_REAJUSTE18!$A:$B,2,0),0))),"")&lt;0.01%,0.01%,(IFERROR(IF($AIK3="","",IF($AIK3=0,1,1-$AIK3/HLOOKUP(AIM$3,[2]ARBOR_REAJUSTE18!$A:$AE,VLOOKUP($AIK$2,[2]ARBOR_REAJUSTE18!$A:$B,2,0),0))),""))),4)</f>
        <v>#VALUE!</v>
      </c>
      <c r="AIN3" s="44" t="e">
        <f>ROUNDUP(IF(IFERROR(IF($AIK3="","",IF($AIK3=0,1,1-$AIK3/HLOOKUP(AIN$3,[2]ARBOR_REAJUSTE18!$A:$AE,VLOOKUP($AIK$2,[2]ARBOR_REAJUSTE18!$A:$B,2,0),0))),"")&lt;0.01%,0.01%,(IFERROR(IF($AIK3="","",IF($AIK3=0,1,1-$AIK3/HLOOKUP(AIN$3,[2]ARBOR_REAJUSTE18!$A:$AE,VLOOKUP($AIK$2,[2]ARBOR_REAJUSTE18!$A:$B,2,0),0))),""))),4)</f>
        <v>#VALUE!</v>
      </c>
      <c r="AIO3" s="44" t="e">
        <f>ROUNDUP(IF(IFERROR(IF($AIK3="","",IF($AIK3=0,1,1-$AIK3/HLOOKUP(AIO$3,[2]ARBOR_REAJUSTE18!$A:$AE,VLOOKUP($AIK$2,[2]ARBOR_REAJUSTE18!$A:$B,2,0),0))),"")&lt;0.01%,0.01%,(IFERROR(IF($AIK3="","",IF($AIK3=0,1,1-$AIK3/HLOOKUP(AIO$3,[2]ARBOR_REAJUSTE18!$A:$AE,VLOOKUP($AIK$2,[2]ARBOR_REAJUSTE18!$A:$B,2,0),0))),""))),4)</f>
        <v>#VALUE!</v>
      </c>
      <c r="AIP3" s="44" t="e">
        <f>ROUNDUP(IF(IFERROR(IF($AIK3="","",IF($AIK3=0,1,1-$AIK3/HLOOKUP(AIP$3,[2]ARBOR_REAJUSTE18!$A:$AE,VLOOKUP($AIK$2,[2]ARBOR_REAJUSTE18!$A:$B,2,0),0))),"")&lt;0.01%,0.01%,(IFERROR(IF($AIK3="","",IF($AIK3=0,1,1-$AIK3/HLOOKUP(AIP$3,[2]ARBOR_REAJUSTE18!$A:$AE,VLOOKUP($AIK$2,[2]ARBOR_REAJUSTE18!$A:$B,2,0),0))),""))),4)</f>
        <v>#VALUE!</v>
      </c>
      <c r="AIQ3" s="44" t="e">
        <f>ROUNDUP(IF(IFERROR(IF($AIK3="","",IF($AIK3=0,1,1-$AIK3/HLOOKUP(AIQ$3,[2]ARBOR_REAJUSTE18!$A:$AE,VLOOKUP($AIK$2,[2]ARBOR_REAJUSTE18!$A:$B,2,0),0))),"")&lt;0.01%,0.01%,(IFERROR(IF($AIK3="","",IF($AIK3=0,1,1-$AIK3/HLOOKUP(AIQ$3,[2]ARBOR_REAJUSTE18!$A:$AE,VLOOKUP($AIK$2,[2]ARBOR_REAJUSTE18!$A:$B,2,0),0))),""))),4)</f>
        <v>#VALUE!</v>
      </c>
      <c r="AIR3" s="44" t="e">
        <f>ROUNDUP(IF(IFERROR(IF($AIK3="","",IF($AIK3=0,1,1-$AIK3/HLOOKUP(AIR$3,[2]ARBOR_REAJUSTE18!$A:$AE,VLOOKUP($AIK$2,[2]ARBOR_REAJUSTE18!$A:$B,2,0),0))),"")&lt;0.01%,0.01%,(IFERROR(IF($AIK3="","",IF($AIK3=0,1,1-$AIK3/HLOOKUP(AIR$3,[2]ARBOR_REAJUSTE18!$A:$AE,VLOOKUP($AIK$2,[2]ARBOR_REAJUSTE18!$A:$B,2,0),0))),""))),4)</f>
        <v>#VALUE!</v>
      </c>
      <c r="AIS3" s="44" t="e">
        <f>ROUNDUP(IF(IFERROR(IF($AIK3="","",IF($AIK3=0,1,1-$AIK3/HLOOKUP(AIS$3,[2]ARBOR_REAJUSTE18!$A:$AE,VLOOKUP($AIK$2,[2]ARBOR_REAJUSTE18!$A:$B,2,0),0))),"")&lt;0.01%,0.01%,(IFERROR(IF($AIK3="","",IF($AIK3=0,1,1-$AIK3/HLOOKUP(AIS$3,[2]ARBOR_REAJUSTE18!$A:$AE,VLOOKUP($AIK$2,[2]ARBOR_REAJUSTE18!$A:$B,2,0),0))),""))),4)</f>
        <v>#VALUE!</v>
      </c>
      <c r="AIT3" s="44" t="e">
        <f>ROUNDUP(IF(IFERROR(IF($AIK3="","",IF($AIK3=0,1,1-$AIK3/HLOOKUP(AIT$3,[2]ARBOR_REAJUSTE18!$A:$AE,VLOOKUP($AIK$2,[2]ARBOR_REAJUSTE18!$A:$B,2,0),0))),"")&lt;0.01%,0.01%,(IFERROR(IF($AIK3="","",IF($AIK3=0,1,1-$AIK3/HLOOKUP(AIT$3,[2]ARBOR_REAJUSTE18!$A:$AE,VLOOKUP($AIK$2,[2]ARBOR_REAJUSTE18!$A:$B,2,0),0))),""))),4)</f>
        <v>#VALUE!</v>
      </c>
      <c r="AIU3" s="44" t="e">
        <f>ROUNDUP(IF(IFERROR(IF($AIK3="","",IF($AIK3=0,1,1-$AIK3/HLOOKUP(AIU$3,[2]ARBOR_REAJUSTE18!$A:$AE,VLOOKUP($AIK$2,[2]ARBOR_REAJUSTE18!$A:$B,2,0),0))),"")&lt;0.01%,0.01%,(IFERROR(IF($AIK3="","",IF($AIK3=0,1,1-$AIK3/HLOOKUP(AIU$3,[2]ARBOR_REAJUSTE18!$A:$AE,VLOOKUP($AIK$2,[2]ARBOR_REAJUSTE18!$A:$B,2,0),0))),""))),4)</f>
        <v>#VALUE!</v>
      </c>
      <c r="AIV3" s="44" t="e">
        <f>ROUNDUP(IF(IFERROR(IF($AIK3="","",IF($AIK3=0,1,1-$AIK3/HLOOKUP(AIV$3,[2]ARBOR_REAJUSTE18!$A:$AE,VLOOKUP($AIK$2,[2]ARBOR_REAJUSTE18!$A:$B,2,0),0))),"")&lt;0.01%,0.01%,(IFERROR(IF($AIK3="","",IF($AIK3=0,1,1-$AIK3/HLOOKUP(AIV$3,[2]ARBOR_REAJUSTE18!$A:$AE,VLOOKUP($AIK$2,[2]ARBOR_REAJUSTE18!$A:$B,2,0),0))),""))),4)</f>
        <v>#VALUE!</v>
      </c>
      <c r="AIW3" s="44" t="e">
        <f>ROUNDUP(IF(IFERROR(IF($AIK3="","",IF($AIK3=0,1,1-$AIK3/HLOOKUP(AIW$3,[2]ARBOR_REAJUSTE18!$A:$AE,VLOOKUP($AIK$2,[2]ARBOR_REAJUSTE18!$A:$B,2,0),0))),"")&lt;0.01%,0.01%,(IFERROR(IF($AIK3="","",IF($AIK3=0,1,1-$AIK3/HLOOKUP(AIW$3,[2]ARBOR_REAJUSTE18!$A:$AE,VLOOKUP($AIK$2,[2]ARBOR_REAJUSTE18!$A:$B,2,0),0))),""))),4)</f>
        <v>#VALUE!</v>
      </c>
      <c r="AIX3" s="44" t="e">
        <f>ROUNDUP(IF(IFERROR(IF($AIK3="","",IF($AIK3=0,1,1-$AIK3/HLOOKUP(AIX$3,[2]ARBOR_REAJUSTE18!$A:$AE,VLOOKUP($AIK$2,[2]ARBOR_REAJUSTE18!$A:$B,2,0),0))),"")&lt;0.01%,0.01%,(IFERROR(IF($AIK3="","",IF($AIK3=0,1,1-$AIK3/HLOOKUP(AIX$3,[2]ARBOR_REAJUSTE18!$A:$AE,VLOOKUP($AIK$2,[2]ARBOR_REAJUSTE18!$A:$B,2,0),0))),""))),4)</f>
        <v>#VALUE!</v>
      </c>
      <c r="AIY3" s="44" t="e">
        <f>ROUNDUP(IF(IFERROR(IF($AIK3="","",IF($AIK3=0,1,1-$AIK3/HLOOKUP(AIY$3,[2]ARBOR_REAJUSTE18!$A:$AE,VLOOKUP($AIK$2,[2]ARBOR_REAJUSTE18!$A:$B,2,0),0))),"")&lt;0.01%,0.01%,(IFERROR(IF($AIK3="","",IF($AIK3=0,1,1-$AIK3/HLOOKUP(AIY$3,[2]ARBOR_REAJUSTE18!$A:$AE,VLOOKUP($AIK$2,[2]ARBOR_REAJUSTE18!$A:$B,2,0),0))),""))),4)</f>
        <v>#VALUE!</v>
      </c>
      <c r="AIZ3" s="44" t="e">
        <f>ROUNDUP(IF(IFERROR(IF($AIK3="","",IF($AIK3=0,1,1-$AIK3/HLOOKUP(AIZ$3,[2]ARBOR_REAJUSTE18!$A:$AE,VLOOKUP($AIK$2,[2]ARBOR_REAJUSTE18!$A:$B,2,0),0))),"")&lt;0.01%,0.01%,(IFERROR(IF($AIK3="","",IF($AIK3=0,1,1-$AIK3/HLOOKUP(AIZ$3,[2]ARBOR_REAJUSTE18!$A:$AE,VLOOKUP($AIK$2,[2]ARBOR_REAJUSTE18!$A:$B,2,0),0))),""))),4)</f>
        <v>#VALUE!</v>
      </c>
      <c r="AJA3" s="44" t="e">
        <f>ROUNDUP(IF(IFERROR(IF($AIK3="","",IF($AIK3=0,1,1-$AIK3/HLOOKUP(AJA$3,[2]ARBOR_REAJUSTE18!$A:$AE,VLOOKUP($AIK$2,[2]ARBOR_REAJUSTE18!$A:$B,2,0),0))),"")&lt;0.01%,0.01%,(IFERROR(IF($AIK3="","",IF($AIK3=0,1,1-$AIK3/HLOOKUP(AJA$3,[2]ARBOR_REAJUSTE18!$A:$AE,VLOOKUP($AIK$2,[2]ARBOR_REAJUSTE18!$A:$B,2,0),0))),""))),4)</f>
        <v>#VALUE!</v>
      </c>
      <c r="AJB3" s="44" t="e">
        <f>ROUNDUP(IF(IFERROR(IF($AIK3="","",IF($AIK3=0,1,1-$AIK3/HLOOKUP(AJB$3,[2]ARBOR_REAJUSTE18!$A:$AE,VLOOKUP($AIK$2,[2]ARBOR_REAJUSTE18!$A:$B,2,0),0))),"")&lt;0.01%,0.01%,(IFERROR(IF($AIK3="","",IF($AIK3=0,1,1-$AIK3/HLOOKUP(AJB$3,[2]ARBOR_REAJUSTE18!$A:$AE,VLOOKUP($AIK$2,[2]ARBOR_REAJUSTE18!$A:$B,2,0),0))),""))),4)</f>
        <v>#VALUE!</v>
      </c>
      <c r="AJC3" s="44" t="e">
        <f>ROUNDUP(IF(IFERROR(IF($AIK3="","",IF($AIK3=0,1,1-$AIK3/HLOOKUP(AJC$3,[2]ARBOR_REAJUSTE18!$A:$AE,VLOOKUP($AIK$2,[2]ARBOR_REAJUSTE18!$A:$B,2,0),0))),"")&lt;0.01%,0.01%,(IFERROR(IF($AIK3="","",IF($AIK3=0,1,1-$AIK3/HLOOKUP(AJC$3,[2]ARBOR_REAJUSTE18!$A:$AE,VLOOKUP($AIK$2,[2]ARBOR_REAJUSTE18!$A:$B,2,0),0))),""))),4)</f>
        <v>#VALUE!</v>
      </c>
      <c r="AJD3" s="44" t="e">
        <f>ROUNDUP(IF(IFERROR(IF($AIK3="","",IF($AIK3=0,1,1-$AIK3/HLOOKUP(AJD$3,[2]ARBOR_REAJUSTE18!$A:$AE,VLOOKUP($AIK$2,[2]ARBOR_REAJUSTE18!$A:$B,2,0),0))),"")&lt;0.01%,0.01%,(IFERROR(IF($AIK3="","",IF($AIK3=0,1,1-$AIK3/HLOOKUP(AJD$3,[2]ARBOR_REAJUSTE18!$A:$AE,VLOOKUP($AIK$2,[2]ARBOR_REAJUSTE18!$A:$B,2,0),0))),""))),4)</f>
        <v>#VALUE!</v>
      </c>
      <c r="AJE3" s="44" t="e">
        <f>ROUNDUP(IF(IFERROR(IF($AIK3="","",IF($AIK3=0,1,1-$AIK3/HLOOKUP(AJE$3,[2]ARBOR_REAJUSTE18!$A:$AE,VLOOKUP($AIK$2,[2]ARBOR_REAJUSTE18!$A:$B,2,0),0))),"")&lt;0.01%,0.01%,(IFERROR(IF($AIK3="","",IF($AIK3=0,1,1-$AIK3/HLOOKUP(AJE$3,[2]ARBOR_REAJUSTE18!$A:$AE,VLOOKUP($AIK$2,[2]ARBOR_REAJUSTE18!$A:$B,2,0),0))),""))),4)</f>
        <v>#VALUE!</v>
      </c>
      <c r="AJF3" s="44" t="e">
        <f>ROUNDUP(IF(IFERROR(IF($AIK3="","",IF($AIK3=0,1,1-$AIK3/HLOOKUP(AJF$3,[2]ARBOR_REAJUSTE18!$A:$AE,VLOOKUP($AIK$2,[2]ARBOR_REAJUSTE18!$A:$B,2,0),0))),"")&lt;0.01%,0.01%,(IFERROR(IF($AIK3="","",IF($AIK3=0,1,1-$AIK3/HLOOKUP(AJF$3,[2]ARBOR_REAJUSTE18!$A:$AE,VLOOKUP($AIK$2,[2]ARBOR_REAJUSTE18!$A:$B,2,0),0))),""))),4)</f>
        <v>#VALUE!</v>
      </c>
      <c r="AJG3" s="44" t="e">
        <f>ROUNDUP(IF(IFERROR(IF($AIK3="","",IF($AIK3=0,1,1-$AIK3/HLOOKUP(AJG$3,[2]ARBOR_REAJUSTE18!$A:$AE,VLOOKUP($AIK$2,[2]ARBOR_REAJUSTE18!$A:$B,2,0),0))),"")&lt;0.01%,0.01%,(IFERROR(IF($AIK3="","",IF($AIK3=0,1,1-$AIK3/HLOOKUP(AJG$3,[2]ARBOR_REAJUSTE18!$A:$AE,VLOOKUP($AIK$2,[2]ARBOR_REAJUSTE18!$A:$B,2,0),0))),""))),4)</f>
        <v>#VALUE!</v>
      </c>
      <c r="AJH3" s="44" t="e">
        <f>ROUNDUP(IF(IFERROR(IF($AIK3="","",IF($AIK3=0,1,1-$AIK3/HLOOKUP(AJH$3,[2]ARBOR_REAJUSTE18!$A:$AE,VLOOKUP($AIK$2,[2]ARBOR_REAJUSTE18!$A:$B,2,0),0))),"")&lt;0.01%,0.01%,(IFERROR(IF($AIK3="","",IF($AIK3=0,1,1-$AIK3/HLOOKUP(AJH$3,[2]ARBOR_REAJUSTE18!$A:$AE,VLOOKUP($AIK$2,[2]ARBOR_REAJUSTE18!$A:$B,2,0),0))),""))),4)</f>
        <v>#VALUE!</v>
      </c>
      <c r="AJI3" s="44" t="e">
        <f>ROUNDUP(IF(IFERROR(IF($AIK3="","",IF($AIK3=0,1,1-$AIK3/HLOOKUP(AJI$3,[2]ARBOR_REAJUSTE18!$A:$AE,VLOOKUP($AIK$2,[2]ARBOR_REAJUSTE18!$A:$B,2,0),0))),"")&lt;0.01%,0.01%,(IFERROR(IF($AIK3="","",IF($AIK3=0,1,1-$AIK3/HLOOKUP(AJI$3,[2]ARBOR_REAJUSTE18!$A:$AE,VLOOKUP($AIK$2,[2]ARBOR_REAJUSTE18!$A:$B,2,0),0))),""))),4)</f>
        <v>#VALUE!</v>
      </c>
      <c r="AJJ3" s="44" t="e">
        <f>ROUNDUP(IF(IFERROR(IF($AIK3="","",IF($AIK3=0,1,1-$AIK3/HLOOKUP(AJJ$3,[2]ARBOR_REAJUSTE18!$A:$AE,VLOOKUP($AIK$2,[2]ARBOR_REAJUSTE18!$A:$B,2,0),0))),"")&lt;0.01%,0.01%,(IFERROR(IF($AIK3="","",IF($AIK3=0,1,1-$AIK3/HLOOKUP(AJJ$3,[2]ARBOR_REAJUSTE18!$A:$AE,VLOOKUP($AIK$2,[2]ARBOR_REAJUSTE18!$A:$B,2,0),0))),""))),4)</f>
        <v>#VALUE!</v>
      </c>
      <c r="AJK3" s="44" t="e">
        <f>ROUNDUP(IF(IFERROR(IF($AIK3="","",IF($AIK3=0,1,1-$AIK3/HLOOKUP(AJK$3,[2]ARBOR_REAJUSTE18!$A:$AE,VLOOKUP($AIK$2,[2]ARBOR_REAJUSTE18!$A:$B,2,0),0))),"")&lt;0.01%,0.01%,(IFERROR(IF($AIK3="","",IF($AIK3=0,1,1-$AIK3/HLOOKUP(AJK$3,[2]ARBOR_REAJUSTE18!$A:$AE,VLOOKUP($AIK$2,[2]ARBOR_REAJUSTE18!$A:$B,2,0),0))),""))),4)</f>
        <v>#VALUE!</v>
      </c>
      <c r="AJL3" s="44" t="e">
        <f>ROUNDUP(IF(IFERROR(IF($AIK3="","",IF($AIK3=0,1,1-$AIK3/HLOOKUP(AJL$3,[2]ARBOR_REAJUSTE18!$A:$AE,VLOOKUP($AIK$2,[2]ARBOR_REAJUSTE18!$A:$B,2,0),0))),"")&lt;0.01%,0.01%,(IFERROR(IF($AIK3="","",IF($AIK3=0,1,1-$AIK3/HLOOKUP(AJL$3,[2]ARBOR_REAJUSTE18!$A:$AE,VLOOKUP($AIK$2,[2]ARBOR_REAJUSTE18!$A:$B,2,0),0))),""))),4)</f>
        <v>#VALUE!</v>
      </c>
      <c r="AJM3" s="44" t="e">
        <f>ROUNDUP(IF(IFERROR(IF($AIK3="","",IF($AIK3=0,1,1-$AIK3/HLOOKUP(AJM$3,[2]ARBOR_REAJUSTE18!$A:$AE,VLOOKUP($AIK$2,[2]ARBOR_REAJUSTE18!$A:$B,2,0),0))),"")&lt;0.01%,0.01%,(IFERROR(IF($AIK3="","",IF($AIK3=0,1,1-$AIK3/HLOOKUP(AJM$3,[2]ARBOR_REAJUSTE18!$A:$AE,VLOOKUP($AIK$2,[2]ARBOR_REAJUSTE18!$A:$B,2,0),0))),""))),4)</f>
        <v>#VALUE!</v>
      </c>
      <c r="AJN3" s="56"/>
      <c r="AJO3" s="64"/>
      <c r="AJP3" s="44" t="e">
        <f>ROUNDUP(IF(IFERROR(IF($AJN3="","",IF($AJN3=0,1,1-$AJN3/HLOOKUP(AJP$3,[2]ARBOR_REAJUSTE18!$A:$AE,VLOOKUP($AJN$2,[2]ARBOR_REAJUSTE18!$A:$B,2,0),0))),"")&lt;0.01%,0.01%,(IFERROR(IF($AJN3="","",IF($AJN3=0,1,1-$AJN3/HLOOKUP(AJP$3,[2]ARBOR_REAJUSTE18!$A:$AE,VLOOKUP($AJN$2,[2]ARBOR_REAJUSTE18!$A:$B,2,0),0))),""))),4)</f>
        <v>#VALUE!</v>
      </c>
      <c r="AJQ3" s="44" t="e">
        <f>ROUNDUP(IF(IFERROR(IF($AJN3="","",IF($AJN3=0,1,1-$AJN3/HLOOKUP(AJQ$3,[2]ARBOR_REAJUSTE18!$A:$AE,VLOOKUP($AJN$2,[2]ARBOR_REAJUSTE18!$A:$B,2,0),0))),"")&lt;0.01%,0.01%,(IFERROR(IF($AJN3="","",IF($AJN3=0,1,1-$AJN3/HLOOKUP(AJQ$3,[2]ARBOR_REAJUSTE18!$A:$AE,VLOOKUP($AJN$2,[2]ARBOR_REAJUSTE18!$A:$B,2,0),0))),""))),4)</f>
        <v>#VALUE!</v>
      </c>
      <c r="AJR3" s="44" t="e">
        <f>ROUNDUP(IF(IFERROR(IF($AJN3="","",IF($AJN3=0,1,1-$AJN3/HLOOKUP(AJR$3,[2]ARBOR_REAJUSTE18!$A:$AE,VLOOKUP($AJN$2,[2]ARBOR_REAJUSTE18!$A:$B,2,0),0))),"")&lt;0.01%,0.01%,(IFERROR(IF($AJN3="","",IF($AJN3=0,1,1-$AJN3/HLOOKUP(AJR$3,[2]ARBOR_REAJUSTE18!$A:$AE,VLOOKUP($AJN$2,[2]ARBOR_REAJUSTE18!$A:$B,2,0),0))),""))),4)</f>
        <v>#VALUE!</v>
      </c>
      <c r="AJS3" s="44" t="e">
        <f>ROUNDUP(IF(IFERROR(IF($AJN3="","",IF($AJN3=0,1,1-$AJN3/HLOOKUP(AJS$3,[2]ARBOR_REAJUSTE18!$A:$AE,VLOOKUP($AJN$2,[2]ARBOR_REAJUSTE18!$A:$B,2,0),0))),"")&lt;0.01%,0.01%,(IFERROR(IF($AJN3="","",IF($AJN3=0,1,1-$AJN3/HLOOKUP(AJS$3,[2]ARBOR_REAJUSTE18!$A:$AE,VLOOKUP($AJN$2,[2]ARBOR_REAJUSTE18!$A:$B,2,0),0))),""))),4)</f>
        <v>#VALUE!</v>
      </c>
      <c r="AJT3" s="44" t="e">
        <f>ROUNDUP(IF(IFERROR(IF($AJN3="","",IF($AJN3=0,1,1-$AJN3/HLOOKUP(AJT$3,[2]ARBOR_REAJUSTE18!$A:$AE,VLOOKUP($AJN$2,[2]ARBOR_REAJUSTE18!$A:$B,2,0),0))),"")&lt;0.01%,0.01%,(IFERROR(IF($AJN3="","",IF($AJN3=0,1,1-$AJN3/HLOOKUP(AJT$3,[2]ARBOR_REAJUSTE18!$A:$AE,VLOOKUP($AJN$2,[2]ARBOR_REAJUSTE18!$A:$B,2,0),0))),""))),4)</f>
        <v>#VALUE!</v>
      </c>
      <c r="AJU3" s="44" t="e">
        <f>ROUNDUP(IF(IFERROR(IF($AJN3="","",IF($AJN3=0,1,1-$AJN3/HLOOKUP(AJU$3,[2]ARBOR_REAJUSTE18!$A:$AE,VLOOKUP($AJN$2,[2]ARBOR_REAJUSTE18!$A:$B,2,0),0))),"")&lt;0.01%,0.01%,(IFERROR(IF($AJN3="","",IF($AJN3=0,1,1-$AJN3/HLOOKUP(AJU$3,[2]ARBOR_REAJUSTE18!$A:$AE,VLOOKUP($AJN$2,[2]ARBOR_REAJUSTE18!$A:$B,2,0),0))),""))),4)</f>
        <v>#VALUE!</v>
      </c>
      <c r="AJV3" s="44" t="e">
        <f>ROUNDUP(IF(IFERROR(IF($AJN3="","",IF($AJN3=0,1,1-$AJN3/HLOOKUP(AJV$3,[2]ARBOR_REAJUSTE18!$A:$AE,VLOOKUP($AJN$2,[2]ARBOR_REAJUSTE18!$A:$B,2,0),0))),"")&lt;0.01%,0.01%,(IFERROR(IF($AJN3="","",IF($AJN3=0,1,1-$AJN3/HLOOKUP(AJV$3,[2]ARBOR_REAJUSTE18!$A:$AE,VLOOKUP($AJN$2,[2]ARBOR_REAJUSTE18!$A:$B,2,0),0))),""))),4)</f>
        <v>#VALUE!</v>
      </c>
      <c r="AJW3" s="44" t="e">
        <f>ROUNDUP(IF(IFERROR(IF($AJN3="","",IF($AJN3=0,1,1-$AJN3/HLOOKUP(AJW$3,[2]ARBOR_REAJUSTE18!$A:$AE,VLOOKUP($AJN$2,[2]ARBOR_REAJUSTE18!$A:$B,2,0),0))),"")&lt;0.01%,0.01%,(IFERROR(IF($AJN3="","",IF($AJN3=0,1,1-$AJN3/HLOOKUP(AJW$3,[2]ARBOR_REAJUSTE18!$A:$AE,VLOOKUP($AJN$2,[2]ARBOR_REAJUSTE18!$A:$B,2,0),0))),""))),4)</f>
        <v>#VALUE!</v>
      </c>
      <c r="AJX3" s="44" t="e">
        <f>ROUNDUP(IF(IFERROR(IF($AJN3="","",IF($AJN3=0,1,1-$AJN3/HLOOKUP(AJX$3,[2]ARBOR_REAJUSTE18!$A:$AE,VLOOKUP($AJN$2,[2]ARBOR_REAJUSTE18!$A:$B,2,0),0))),"")&lt;0.01%,0.01%,(IFERROR(IF($AJN3="","",IF($AJN3=0,1,1-$AJN3/HLOOKUP(AJX$3,[2]ARBOR_REAJUSTE18!$A:$AE,VLOOKUP($AJN$2,[2]ARBOR_REAJUSTE18!$A:$B,2,0),0))),""))),4)</f>
        <v>#VALUE!</v>
      </c>
      <c r="AJY3" s="44" t="e">
        <f>ROUNDUP(IF(IFERROR(IF($AJN3="","",IF($AJN3=0,1,1-$AJN3/HLOOKUP(AJY$3,[2]ARBOR_REAJUSTE18!$A:$AE,VLOOKUP($AJN$2,[2]ARBOR_REAJUSTE18!$A:$B,2,0),0))),"")&lt;0.01%,0.01%,(IFERROR(IF($AJN3="","",IF($AJN3=0,1,1-$AJN3/HLOOKUP(AJY$3,[2]ARBOR_REAJUSTE18!$A:$AE,VLOOKUP($AJN$2,[2]ARBOR_REAJUSTE18!$A:$B,2,0),0))),""))),4)</f>
        <v>#VALUE!</v>
      </c>
      <c r="AJZ3" s="44" t="e">
        <f>ROUNDUP(IF(IFERROR(IF($AJN3="","",IF($AJN3=0,1,1-$AJN3/HLOOKUP(AJZ$3,[2]ARBOR_REAJUSTE18!$A:$AE,VLOOKUP($AJN$2,[2]ARBOR_REAJUSTE18!$A:$B,2,0),0))),"")&lt;0.01%,0.01%,(IFERROR(IF($AJN3="","",IF($AJN3=0,1,1-$AJN3/HLOOKUP(AJZ$3,[2]ARBOR_REAJUSTE18!$A:$AE,VLOOKUP($AJN$2,[2]ARBOR_REAJUSTE18!$A:$B,2,0),0))),""))),4)</f>
        <v>#VALUE!</v>
      </c>
      <c r="AKA3" s="44" t="e">
        <f>ROUNDUP(IF(IFERROR(IF($AJN3="","",IF($AJN3=0,1,1-$AJN3/HLOOKUP(AKA$3,[2]ARBOR_REAJUSTE18!$A:$AE,VLOOKUP($AJN$2,[2]ARBOR_REAJUSTE18!$A:$B,2,0),0))),"")&lt;0.01%,0.01%,(IFERROR(IF($AJN3="","",IF($AJN3=0,1,1-$AJN3/HLOOKUP(AKA$3,[2]ARBOR_REAJUSTE18!$A:$AE,VLOOKUP($AJN$2,[2]ARBOR_REAJUSTE18!$A:$B,2,0),0))),""))),4)</f>
        <v>#VALUE!</v>
      </c>
      <c r="AKB3" s="44" t="e">
        <f>ROUNDUP(IF(IFERROR(IF($AJN3="","",IF($AJN3=0,1,1-$AJN3/HLOOKUP(AKB$3,[2]ARBOR_REAJUSTE18!$A:$AE,VLOOKUP($AJN$2,[2]ARBOR_REAJUSTE18!$A:$B,2,0),0))),"")&lt;0.01%,0.01%,(IFERROR(IF($AJN3="","",IF($AJN3=0,1,1-$AJN3/HLOOKUP(AKB$3,[2]ARBOR_REAJUSTE18!$A:$AE,VLOOKUP($AJN$2,[2]ARBOR_REAJUSTE18!$A:$B,2,0),0))),""))),4)</f>
        <v>#VALUE!</v>
      </c>
      <c r="AKC3" s="44" t="e">
        <f>ROUNDUP(IF(IFERROR(IF($AJN3="","",IF($AJN3=0,1,1-$AJN3/HLOOKUP(AKC$3,[2]ARBOR_REAJUSTE18!$A:$AE,VLOOKUP($AJN$2,[2]ARBOR_REAJUSTE18!$A:$B,2,0),0))),"")&lt;0.01%,0.01%,(IFERROR(IF($AJN3="","",IF($AJN3=0,1,1-$AJN3/HLOOKUP(AKC$3,[2]ARBOR_REAJUSTE18!$A:$AE,VLOOKUP($AJN$2,[2]ARBOR_REAJUSTE18!$A:$B,2,0),0))),""))),4)</f>
        <v>#VALUE!</v>
      </c>
      <c r="AKD3" s="44" t="e">
        <f>ROUNDUP(IF(IFERROR(IF($AJN3="","",IF($AJN3=0,1,1-$AJN3/HLOOKUP(AKD$3,[2]ARBOR_REAJUSTE18!$A:$AE,VLOOKUP($AJN$2,[2]ARBOR_REAJUSTE18!$A:$B,2,0),0))),"")&lt;0.01%,0.01%,(IFERROR(IF($AJN3="","",IF($AJN3=0,1,1-$AJN3/HLOOKUP(AKD$3,[2]ARBOR_REAJUSTE18!$A:$AE,VLOOKUP($AJN$2,[2]ARBOR_REAJUSTE18!$A:$B,2,0),0))),""))),4)</f>
        <v>#VALUE!</v>
      </c>
      <c r="AKE3" s="44" t="e">
        <f>ROUNDUP(IF(IFERROR(IF($AJN3="","",IF($AJN3=0,1,1-$AJN3/HLOOKUP(AKE$3,[2]ARBOR_REAJUSTE18!$A:$AE,VLOOKUP($AJN$2,[2]ARBOR_REAJUSTE18!$A:$B,2,0),0))),"")&lt;0.01%,0.01%,(IFERROR(IF($AJN3="","",IF($AJN3=0,1,1-$AJN3/HLOOKUP(AKE$3,[2]ARBOR_REAJUSTE18!$A:$AE,VLOOKUP($AJN$2,[2]ARBOR_REAJUSTE18!$A:$B,2,0),0))),""))),4)</f>
        <v>#VALUE!</v>
      </c>
      <c r="AKF3" s="44" t="e">
        <f>ROUNDUP(IF(IFERROR(IF($AJN3="","",IF($AJN3=0,1,1-$AJN3/HLOOKUP(AKF$3,[2]ARBOR_REAJUSTE18!$A:$AE,VLOOKUP($AJN$2,[2]ARBOR_REAJUSTE18!$A:$B,2,0),0))),"")&lt;0.01%,0.01%,(IFERROR(IF($AJN3="","",IF($AJN3=0,1,1-$AJN3/HLOOKUP(AKF$3,[2]ARBOR_REAJUSTE18!$A:$AE,VLOOKUP($AJN$2,[2]ARBOR_REAJUSTE18!$A:$B,2,0),0))),""))),4)</f>
        <v>#VALUE!</v>
      </c>
      <c r="AKG3" s="44" t="e">
        <f>ROUNDUP(IF(IFERROR(IF($AJN3="","",IF($AJN3=0,1,1-$AJN3/HLOOKUP(AKG$3,[2]ARBOR_REAJUSTE18!$A:$AE,VLOOKUP($AJN$2,[2]ARBOR_REAJUSTE18!$A:$B,2,0),0))),"")&lt;0.01%,0.01%,(IFERROR(IF($AJN3="","",IF($AJN3=0,1,1-$AJN3/HLOOKUP(AKG$3,[2]ARBOR_REAJUSTE18!$A:$AE,VLOOKUP($AJN$2,[2]ARBOR_REAJUSTE18!$A:$B,2,0),0))),""))),4)</f>
        <v>#VALUE!</v>
      </c>
      <c r="AKH3" s="44" t="e">
        <f>ROUNDUP(IF(IFERROR(IF($AJN3="","",IF($AJN3=0,1,1-$AJN3/HLOOKUP(AKH$3,[2]ARBOR_REAJUSTE18!$A:$AE,VLOOKUP($AJN$2,[2]ARBOR_REAJUSTE18!$A:$B,2,0),0))),"")&lt;0.01%,0.01%,(IFERROR(IF($AJN3="","",IF($AJN3=0,1,1-$AJN3/HLOOKUP(AKH$3,[2]ARBOR_REAJUSTE18!$A:$AE,VLOOKUP($AJN$2,[2]ARBOR_REAJUSTE18!$A:$B,2,0),0))),""))),4)</f>
        <v>#VALUE!</v>
      </c>
      <c r="AKI3" s="44" t="e">
        <f>ROUNDUP(IF(IFERROR(IF($AJN3="","",IF($AJN3=0,1,1-$AJN3/HLOOKUP(AKI$3,[2]ARBOR_REAJUSTE18!$A:$AE,VLOOKUP($AJN$2,[2]ARBOR_REAJUSTE18!$A:$B,2,0),0))),"")&lt;0.01%,0.01%,(IFERROR(IF($AJN3="","",IF($AJN3=0,1,1-$AJN3/HLOOKUP(AKI$3,[2]ARBOR_REAJUSTE18!$A:$AE,VLOOKUP($AJN$2,[2]ARBOR_REAJUSTE18!$A:$B,2,0),0))),""))),4)</f>
        <v>#VALUE!</v>
      </c>
      <c r="AKJ3" s="44" t="e">
        <f>ROUNDUP(IF(IFERROR(IF($AJN3="","",IF($AJN3=0,1,1-$AJN3/HLOOKUP(AKJ$3,[2]ARBOR_REAJUSTE18!$A:$AE,VLOOKUP($AJN$2,[2]ARBOR_REAJUSTE18!$A:$B,2,0),0))),"")&lt;0.01%,0.01%,(IFERROR(IF($AJN3="","",IF($AJN3=0,1,1-$AJN3/HLOOKUP(AKJ$3,[2]ARBOR_REAJUSTE18!$A:$AE,VLOOKUP($AJN$2,[2]ARBOR_REAJUSTE18!$A:$B,2,0),0))),""))),4)</f>
        <v>#VALUE!</v>
      </c>
      <c r="AKK3" s="44" t="e">
        <f>ROUNDUP(IF(IFERROR(IF($AJN3="","",IF($AJN3=0,1,1-$AJN3/HLOOKUP(AKK$3,[2]ARBOR_REAJUSTE18!$A:$AE,VLOOKUP($AJN$2,[2]ARBOR_REAJUSTE18!$A:$B,2,0),0))),"")&lt;0.01%,0.01%,(IFERROR(IF($AJN3="","",IF($AJN3=0,1,1-$AJN3/HLOOKUP(AKK$3,[2]ARBOR_REAJUSTE18!$A:$AE,VLOOKUP($AJN$2,[2]ARBOR_REAJUSTE18!$A:$B,2,0),0))),""))),4)</f>
        <v>#VALUE!</v>
      </c>
      <c r="AKL3" s="44" t="e">
        <f>ROUNDUP(IF(IFERROR(IF($AJN3="","",IF($AJN3=0,1,1-$AJN3/HLOOKUP(AKL$3,[2]ARBOR_REAJUSTE18!$A:$AE,VLOOKUP($AJN$2,[2]ARBOR_REAJUSTE18!$A:$B,2,0),0))),"")&lt;0.01%,0.01%,(IFERROR(IF($AJN3="","",IF($AJN3=0,1,1-$AJN3/HLOOKUP(AKL$3,[2]ARBOR_REAJUSTE18!$A:$AE,VLOOKUP($AJN$2,[2]ARBOR_REAJUSTE18!$A:$B,2,0),0))),""))),4)</f>
        <v>#VALUE!</v>
      </c>
      <c r="AKM3" s="44" t="e">
        <f>ROUNDUP(IF(IFERROR(IF($AJN3="","",IF($AJN3=0,1,1-$AJN3/HLOOKUP(AKM$3,[2]ARBOR_REAJUSTE18!$A:$AE,VLOOKUP($AJN$2,[2]ARBOR_REAJUSTE18!$A:$B,2,0),0))),"")&lt;0.01%,0.01%,(IFERROR(IF($AJN3="","",IF($AJN3=0,1,1-$AJN3/HLOOKUP(AKM$3,[2]ARBOR_REAJUSTE18!$A:$AE,VLOOKUP($AJN$2,[2]ARBOR_REAJUSTE18!$A:$B,2,0),0))),""))),4)</f>
        <v>#VALUE!</v>
      </c>
      <c r="AKN3" s="44" t="e">
        <f>ROUNDUP(IF(IFERROR(IF($AJN3="","",IF($AJN3=0,1,1-$AJN3/HLOOKUP(AKN$3,[2]ARBOR_REAJUSTE18!$A:$AE,VLOOKUP($AJN$2,[2]ARBOR_REAJUSTE18!$A:$B,2,0),0))),"")&lt;0.01%,0.01%,(IFERROR(IF($AJN3="","",IF($AJN3=0,1,1-$AJN3/HLOOKUP(AKN$3,[2]ARBOR_REAJUSTE18!$A:$AE,VLOOKUP($AJN$2,[2]ARBOR_REAJUSTE18!$A:$B,2,0),0))),""))),4)</f>
        <v>#VALUE!</v>
      </c>
      <c r="AKO3" s="44" t="e">
        <f>ROUNDUP(IF(IFERROR(IF($AJN3="","",IF($AJN3=0,1,1-$AJN3/HLOOKUP(AKO$3,[2]ARBOR_REAJUSTE18!$A:$AE,VLOOKUP($AJN$2,[2]ARBOR_REAJUSTE18!$A:$B,2,0),0))),"")&lt;0.01%,0.01%,(IFERROR(IF($AJN3="","",IF($AJN3=0,1,1-$AJN3/HLOOKUP(AKO$3,[2]ARBOR_REAJUSTE18!$A:$AE,VLOOKUP($AJN$2,[2]ARBOR_REAJUSTE18!$A:$B,2,0),0))),""))),4)</f>
        <v>#VALUE!</v>
      </c>
      <c r="AKP3" s="44" t="e">
        <f>ROUNDUP(IF(IFERROR(IF($AJN3="","",IF($AJN3=0,1,1-$AJN3/HLOOKUP(AKP$3,[2]ARBOR_REAJUSTE18!$A:$AE,VLOOKUP($AJN$2,[2]ARBOR_REAJUSTE18!$A:$B,2,0),0))),"")&lt;0.01%,0.01%,(IFERROR(IF($AJN3="","",IF($AJN3=0,1,1-$AJN3/HLOOKUP(AKP$3,[2]ARBOR_REAJUSTE18!$A:$AE,VLOOKUP($AJN$2,[2]ARBOR_REAJUSTE18!$A:$B,2,0),0))),""))),4)</f>
        <v>#VALUE!</v>
      </c>
      <c r="AKQ3" s="56"/>
      <c r="AKR3" s="64"/>
      <c r="AKS3" s="44" t="e">
        <f>ROUNDUP(IF(IFERROR(IF($AKQ3="","",IF($AKQ3=0,1,1-$AKQ3/HLOOKUP(AKS$3,[2]ARBOR_REAJUSTE18!$A:$AE,VLOOKUP($AKQ$2,[2]ARBOR_REAJUSTE18!$A:$B,2,0),0))),"")&lt;0.01%,0.01%,(IFERROR(IF($AKQ3="","",IF($AKQ3=0,1,1-$AKQ3/HLOOKUP(AKS$3,[2]ARBOR_REAJUSTE18!$A:$AE,VLOOKUP($AKQ$2,[2]ARBOR_REAJUSTE18!$A:$B,2,0),0))),""))),4)</f>
        <v>#VALUE!</v>
      </c>
      <c r="AKT3" s="44" t="e">
        <f>ROUNDUP(IF(IFERROR(IF($AKQ3="","",IF($AKQ3=0,1,1-$AKQ3/HLOOKUP(AKT$3,[2]ARBOR_REAJUSTE18!$A:$AE,VLOOKUP($AKQ$2,[2]ARBOR_REAJUSTE18!$A:$B,2,0),0))),"")&lt;0.01%,0.01%,(IFERROR(IF($AKQ3="","",IF($AKQ3=0,1,1-$AKQ3/HLOOKUP(AKT$3,[2]ARBOR_REAJUSTE18!$A:$AE,VLOOKUP($AKQ$2,[2]ARBOR_REAJUSTE18!$A:$B,2,0),0))),""))),4)</f>
        <v>#VALUE!</v>
      </c>
      <c r="AKU3" s="44" t="e">
        <f>ROUNDUP(IF(IFERROR(IF($AKQ3="","",IF($AKQ3=0,1,1-$AKQ3/HLOOKUP(AKU$3,[2]ARBOR_REAJUSTE18!$A:$AE,VLOOKUP($AKQ$2,[2]ARBOR_REAJUSTE18!$A:$B,2,0),0))),"")&lt;0.01%,0.01%,(IFERROR(IF($AKQ3="","",IF($AKQ3=0,1,1-$AKQ3/HLOOKUP(AKU$3,[2]ARBOR_REAJUSTE18!$A:$AE,VLOOKUP($AKQ$2,[2]ARBOR_REAJUSTE18!$A:$B,2,0),0))),""))),4)</f>
        <v>#VALUE!</v>
      </c>
      <c r="AKV3" s="44" t="e">
        <f>ROUNDUP(IF(IFERROR(IF($AKQ3="","",IF($AKQ3=0,1,1-$AKQ3/HLOOKUP(AKV$3,[2]ARBOR_REAJUSTE18!$A:$AE,VLOOKUP($AKQ$2,[2]ARBOR_REAJUSTE18!$A:$B,2,0),0))),"")&lt;0.01%,0.01%,(IFERROR(IF($AKQ3="","",IF($AKQ3=0,1,1-$AKQ3/HLOOKUP(AKV$3,[2]ARBOR_REAJUSTE18!$A:$AE,VLOOKUP($AKQ$2,[2]ARBOR_REAJUSTE18!$A:$B,2,0),0))),""))),4)</f>
        <v>#VALUE!</v>
      </c>
      <c r="AKW3" s="44" t="e">
        <f>ROUNDUP(IF(IFERROR(IF($AKQ3="","",IF($AKQ3=0,1,1-$AKQ3/HLOOKUP(AKW$3,[2]ARBOR_REAJUSTE18!$A:$AE,VLOOKUP($AKQ$2,[2]ARBOR_REAJUSTE18!$A:$B,2,0),0))),"")&lt;0.01%,0.01%,(IFERROR(IF($AKQ3="","",IF($AKQ3=0,1,1-$AKQ3/HLOOKUP(AKW$3,[2]ARBOR_REAJUSTE18!$A:$AE,VLOOKUP($AKQ$2,[2]ARBOR_REAJUSTE18!$A:$B,2,0),0))),""))),4)</f>
        <v>#VALUE!</v>
      </c>
      <c r="AKX3" s="44" t="e">
        <f>ROUNDUP(IF(IFERROR(IF($AKQ3="","",IF($AKQ3=0,1,1-$AKQ3/HLOOKUP(AKX$3,[2]ARBOR_REAJUSTE18!$A:$AE,VLOOKUP($AKQ$2,[2]ARBOR_REAJUSTE18!$A:$B,2,0),0))),"")&lt;0.01%,0.01%,(IFERROR(IF($AKQ3="","",IF($AKQ3=0,1,1-$AKQ3/HLOOKUP(AKX$3,[2]ARBOR_REAJUSTE18!$A:$AE,VLOOKUP($AKQ$2,[2]ARBOR_REAJUSTE18!$A:$B,2,0),0))),""))),4)</f>
        <v>#VALUE!</v>
      </c>
      <c r="AKY3" s="44" t="e">
        <f>ROUNDUP(IF(IFERROR(IF($AKQ3="","",IF($AKQ3=0,1,1-$AKQ3/HLOOKUP(AKY$3,[2]ARBOR_REAJUSTE18!$A:$AE,VLOOKUP($AKQ$2,[2]ARBOR_REAJUSTE18!$A:$B,2,0),0))),"")&lt;0.01%,0.01%,(IFERROR(IF($AKQ3="","",IF($AKQ3=0,1,1-$AKQ3/HLOOKUP(AKY$3,[2]ARBOR_REAJUSTE18!$A:$AE,VLOOKUP($AKQ$2,[2]ARBOR_REAJUSTE18!$A:$B,2,0),0))),""))),4)</f>
        <v>#VALUE!</v>
      </c>
      <c r="AKZ3" s="44" t="e">
        <f>ROUNDUP(IF(IFERROR(IF($AKQ3="","",IF($AKQ3=0,1,1-$AKQ3/HLOOKUP(AKZ$3,[2]ARBOR_REAJUSTE18!$A:$AE,VLOOKUP($AKQ$2,[2]ARBOR_REAJUSTE18!$A:$B,2,0),0))),"")&lt;0.01%,0.01%,(IFERROR(IF($AKQ3="","",IF($AKQ3=0,1,1-$AKQ3/HLOOKUP(AKZ$3,[2]ARBOR_REAJUSTE18!$A:$AE,VLOOKUP($AKQ$2,[2]ARBOR_REAJUSTE18!$A:$B,2,0),0))),""))),4)</f>
        <v>#VALUE!</v>
      </c>
      <c r="ALA3" s="44" t="e">
        <f>ROUNDUP(IF(IFERROR(IF($AKQ3="","",IF($AKQ3=0,1,1-$AKQ3/HLOOKUP(ALA$3,[2]ARBOR_REAJUSTE18!$A:$AE,VLOOKUP($AKQ$2,[2]ARBOR_REAJUSTE18!$A:$B,2,0),0))),"")&lt;0.01%,0.01%,(IFERROR(IF($AKQ3="","",IF($AKQ3=0,1,1-$AKQ3/HLOOKUP(ALA$3,[2]ARBOR_REAJUSTE18!$A:$AE,VLOOKUP($AKQ$2,[2]ARBOR_REAJUSTE18!$A:$B,2,0),0))),""))),4)</f>
        <v>#VALUE!</v>
      </c>
      <c r="ALB3" s="44" t="e">
        <f>ROUNDUP(IF(IFERROR(IF($AKQ3="","",IF($AKQ3=0,1,1-$AKQ3/HLOOKUP(ALB$3,[2]ARBOR_REAJUSTE18!$A:$AE,VLOOKUP($AKQ$2,[2]ARBOR_REAJUSTE18!$A:$B,2,0),0))),"")&lt;0.01%,0.01%,(IFERROR(IF($AKQ3="","",IF($AKQ3=0,1,1-$AKQ3/HLOOKUP(ALB$3,[2]ARBOR_REAJUSTE18!$A:$AE,VLOOKUP($AKQ$2,[2]ARBOR_REAJUSTE18!$A:$B,2,0),0))),""))),4)</f>
        <v>#VALUE!</v>
      </c>
      <c r="ALC3" s="44" t="e">
        <f>ROUNDUP(IF(IFERROR(IF($AKQ3="","",IF($AKQ3=0,1,1-$AKQ3/HLOOKUP(ALC$3,[2]ARBOR_REAJUSTE18!$A:$AE,VLOOKUP($AKQ$2,[2]ARBOR_REAJUSTE18!$A:$B,2,0),0))),"")&lt;0.01%,0.01%,(IFERROR(IF($AKQ3="","",IF($AKQ3=0,1,1-$AKQ3/HLOOKUP(ALC$3,[2]ARBOR_REAJUSTE18!$A:$AE,VLOOKUP($AKQ$2,[2]ARBOR_REAJUSTE18!$A:$B,2,0),0))),""))),4)</f>
        <v>#VALUE!</v>
      </c>
      <c r="ALD3" s="44" t="e">
        <f>ROUNDUP(IF(IFERROR(IF($AKQ3="","",IF($AKQ3=0,1,1-$AKQ3/HLOOKUP(ALD$3,[2]ARBOR_REAJUSTE18!$A:$AE,VLOOKUP($AKQ$2,[2]ARBOR_REAJUSTE18!$A:$B,2,0),0))),"")&lt;0.01%,0.01%,(IFERROR(IF($AKQ3="","",IF($AKQ3=0,1,1-$AKQ3/HLOOKUP(ALD$3,[2]ARBOR_REAJUSTE18!$A:$AE,VLOOKUP($AKQ$2,[2]ARBOR_REAJUSTE18!$A:$B,2,0),0))),""))),4)</f>
        <v>#VALUE!</v>
      </c>
      <c r="ALE3" s="44" t="e">
        <f>ROUNDUP(IF(IFERROR(IF($AKQ3="","",IF($AKQ3=0,1,1-$AKQ3/HLOOKUP(ALE$3,[2]ARBOR_REAJUSTE18!$A:$AE,VLOOKUP($AKQ$2,[2]ARBOR_REAJUSTE18!$A:$B,2,0),0))),"")&lt;0.01%,0.01%,(IFERROR(IF($AKQ3="","",IF($AKQ3=0,1,1-$AKQ3/HLOOKUP(ALE$3,[2]ARBOR_REAJUSTE18!$A:$AE,VLOOKUP($AKQ$2,[2]ARBOR_REAJUSTE18!$A:$B,2,0),0))),""))),4)</f>
        <v>#VALUE!</v>
      </c>
      <c r="ALF3" s="44" t="e">
        <f>ROUNDUP(IF(IFERROR(IF($AKQ3="","",IF($AKQ3=0,1,1-$AKQ3/HLOOKUP(ALF$3,[2]ARBOR_REAJUSTE18!$A:$AE,VLOOKUP($AKQ$2,[2]ARBOR_REAJUSTE18!$A:$B,2,0),0))),"")&lt;0.01%,0.01%,(IFERROR(IF($AKQ3="","",IF($AKQ3=0,1,1-$AKQ3/HLOOKUP(ALF$3,[2]ARBOR_REAJUSTE18!$A:$AE,VLOOKUP($AKQ$2,[2]ARBOR_REAJUSTE18!$A:$B,2,0),0))),""))),4)</f>
        <v>#VALUE!</v>
      </c>
      <c r="ALG3" s="44" t="e">
        <f>ROUNDUP(IF(IFERROR(IF($AKQ3="","",IF($AKQ3=0,1,1-$AKQ3/HLOOKUP(ALG$3,[2]ARBOR_REAJUSTE18!$A:$AE,VLOOKUP($AKQ$2,[2]ARBOR_REAJUSTE18!$A:$B,2,0),0))),"")&lt;0.01%,0.01%,(IFERROR(IF($AKQ3="","",IF($AKQ3=0,1,1-$AKQ3/HLOOKUP(ALG$3,[2]ARBOR_REAJUSTE18!$A:$AE,VLOOKUP($AKQ$2,[2]ARBOR_REAJUSTE18!$A:$B,2,0),0))),""))),4)</f>
        <v>#VALUE!</v>
      </c>
      <c r="ALH3" s="44" t="e">
        <f>ROUNDUP(IF(IFERROR(IF($AKQ3="","",IF($AKQ3=0,1,1-$AKQ3/HLOOKUP(ALH$3,[2]ARBOR_REAJUSTE18!$A:$AE,VLOOKUP($AKQ$2,[2]ARBOR_REAJUSTE18!$A:$B,2,0),0))),"")&lt;0.01%,0.01%,(IFERROR(IF($AKQ3="","",IF($AKQ3=0,1,1-$AKQ3/HLOOKUP(ALH$3,[2]ARBOR_REAJUSTE18!$A:$AE,VLOOKUP($AKQ$2,[2]ARBOR_REAJUSTE18!$A:$B,2,0),0))),""))),4)</f>
        <v>#VALUE!</v>
      </c>
      <c r="ALI3" s="44" t="e">
        <f>ROUNDUP(IF(IFERROR(IF($AKQ3="","",IF($AKQ3=0,1,1-$AKQ3/HLOOKUP(ALI$3,[2]ARBOR_REAJUSTE18!$A:$AE,VLOOKUP($AKQ$2,[2]ARBOR_REAJUSTE18!$A:$B,2,0),0))),"")&lt;0.01%,0.01%,(IFERROR(IF($AKQ3="","",IF($AKQ3=0,1,1-$AKQ3/HLOOKUP(ALI$3,[2]ARBOR_REAJUSTE18!$A:$AE,VLOOKUP($AKQ$2,[2]ARBOR_REAJUSTE18!$A:$B,2,0),0))),""))),4)</f>
        <v>#VALUE!</v>
      </c>
      <c r="ALJ3" s="44" t="e">
        <f>ROUNDUP(IF(IFERROR(IF($AKQ3="","",IF($AKQ3=0,1,1-$AKQ3/HLOOKUP(ALJ$3,[2]ARBOR_REAJUSTE18!$A:$AE,VLOOKUP($AKQ$2,[2]ARBOR_REAJUSTE18!$A:$B,2,0),0))),"")&lt;0.01%,0.01%,(IFERROR(IF($AKQ3="","",IF($AKQ3=0,1,1-$AKQ3/HLOOKUP(ALJ$3,[2]ARBOR_REAJUSTE18!$A:$AE,VLOOKUP($AKQ$2,[2]ARBOR_REAJUSTE18!$A:$B,2,0),0))),""))),4)</f>
        <v>#VALUE!</v>
      </c>
      <c r="ALK3" s="44" t="e">
        <f>ROUNDUP(IF(IFERROR(IF($AKQ3="","",IF($AKQ3=0,1,1-$AKQ3/HLOOKUP(ALK$3,[2]ARBOR_REAJUSTE18!$A:$AE,VLOOKUP($AKQ$2,[2]ARBOR_REAJUSTE18!$A:$B,2,0),0))),"")&lt;0.01%,0.01%,(IFERROR(IF($AKQ3="","",IF($AKQ3=0,1,1-$AKQ3/HLOOKUP(ALK$3,[2]ARBOR_REAJUSTE18!$A:$AE,VLOOKUP($AKQ$2,[2]ARBOR_REAJUSTE18!$A:$B,2,0),0))),""))),4)</f>
        <v>#VALUE!</v>
      </c>
      <c r="ALL3" s="44" t="e">
        <f>ROUNDUP(IF(IFERROR(IF($AKQ3="","",IF($AKQ3=0,1,1-$AKQ3/HLOOKUP(ALL$3,[2]ARBOR_REAJUSTE18!$A:$AE,VLOOKUP($AKQ$2,[2]ARBOR_REAJUSTE18!$A:$B,2,0),0))),"")&lt;0.01%,0.01%,(IFERROR(IF($AKQ3="","",IF($AKQ3=0,1,1-$AKQ3/HLOOKUP(ALL$3,[2]ARBOR_REAJUSTE18!$A:$AE,VLOOKUP($AKQ$2,[2]ARBOR_REAJUSTE18!$A:$B,2,0),0))),""))),4)</f>
        <v>#VALUE!</v>
      </c>
      <c r="ALM3" s="44" t="e">
        <f>ROUNDUP(IF(IFERROR(IF($AKQ3="","",IF($AKQ3=0,1,1-$AKQ3/HLOOKUP(ALM$3,[2]ARBOR_REAJUSTE18!$A:$AE,VLOOKUP($AKQ$2,[2]ARBOR_REAJUSTE18!$A:$B,2,0),0))),"")&lt;0.01%,0.01%,(IFERROR(IF($AKQ3="","",IF($AKQ3=0,1,1-$AKQ3/HLOOKUP(ALM$3,[2]ARBOR_REAJUSTE18!$A:$AE,VLOOKUP($AKQ$2,[2]ARBOR_REAJUSTE18!$A:$B,2,0),0))),""))),4)</f>
        <v>#VALUE!</v>
      </c>
      <c r="ALN3" s="44" t="e">
        <f>ROUNDUP(IF(IFERROR(IF($AKQ3="","",IF($AKQ3=0,1,1-$AKQ3/HLOOKUP(ALN$3,[2]ARBOR_REAJUSTE18!$A:$AE,VLOOKUP($AKQ$2,[2]ARBOR_REAJUSTE18!$A:$B,2,0),0))),"")&lt;0.01%,0.01%,(IFERROR(IF($AKQ3="","",IF($AKQ3=0,1,1-$AKQ3/HLOOKUP(ALN$3,[2]ARBOR_REAJUSTE18!$A:$AE,VLOOKUP($AKQ$2,[2]ARBOR_REAJUSTE18!$A:$B,2,0),0))),""))),4)</f>
        <v>#VALUE!</v>
      </c>
      <c r="ALO3" s="44" t="e">
        <f>ROUNDUP(IF(IFERROR(IF($AKQ3="","",IF($AKQ3=0,1,1-$AKQ3/HLOOKUP(ALO$3,[2]ARBOR_REAJUSTE18!$A:$AE,VLOOKUP($AKQ$2,[2]ARBOR_REAJUSTE18!$A:$B,2,0),0))),"")&lt;0.01%,0.01%,(IFERROR(IF($AKQ3="","",IF($AKQ3=0,1,1-$AKQ3/HLOOKUP(ALO$3,[2]ARBOR_REAJUSTE18!$A:$AE,VLOOKUP($AKQ$2,[2]ARBOR_REAJUSTE18!$A:$B,2,0),0))),""))),4)</f>
        <v>#VALUE!</v>
      </c>
      <c r="ALP3" s="44" t="e">
        <f>ROUNDUP(IF(IFERROR(IF($AKQ3="","",IF($AKQ3=0,1,1-$AKQ3/HLOOKUP(ALP$3,[2]ARBOR_REAJUSTE18!$A:$AE,VLOOKUP($AKQ$2,[2]ARBOR_REAJUSTE18!$A:$B,2,0),0))),"")&lt;0.01%,0.01%,(IFERROR(IF($AKQ3="","",IF($AKQ3=0,1,1-$AKQ3/HLOOKUP(ALP$3,[2]ARBOR_REAJUSTE18!$A:$AE,VLOOKUP($AKQ$2,[2]ARBOR_REAJUSTE18!$A:$B,2,0),0))),""))),4)</f>
        <v>#VALUE!</v>
      </c>
      <c r="ALQ3" s="44" t="e">
        <f>ROUNDUP(IF(IFERROR(IF($AKQ3="","",IF($AKQ3=0,1,1-$AKQ3/HLOOKUP(ALQ$3,[2]ARBOR_REAJUSTE18!$A:$AE,VLOOKUP($AKQ$2,[2]ARBOR_REAJUSTE18!$A:$B,2,0),0))),"")&lt;0.01%,0.01%,(IFERROR(IF($AKQ3="","",IF($AKQ3=0,1,1-$AKQ3/HLOOKUP(ALQ$3,[2]ARBOR_REAJUSTE18!$A:$AE,VLOOKUP($AKQ$2,[2]ARBOR_REAJUSTE18!$A:$B,2,0),0))),""))),4)</f>
        <v>#VALUE!</v>
      </c>
      <c r="ALR3" s="44" t="e">
        <f>ROUNDUP(IF(IFERROR(IF($AKQ3="","",IF($AKQ3=0,1,1-$AKQ3/HLOOKUP(ALR$3,[2]ARBOR_REAJUSTE18!$A:$AE,VLOOKUP($AKQ$2,[2]ARBOR_REAJUSTE18!$A:$B,2,0),0))),"")&lt;0.01%,0.01%,(IFERROR(IF($AKQ3="","",IF($AKQ3=0,1,1-$AKQ3/HLOOKUP(ALR$3,[2]ARBOR_REAJUSTE18!$A:$AE,VLOOKUP($AKQ$2,[2]ARBOR_REAJUSTE18!$A:$B,2,0),0))),""))),4)</f>
        <v>#VALUE!</v>
      </c>
      <c r="ALS3" s="44" t="e">
        <f>ROUNDUP(IF(IFERROR(IF($AKQ3="","",IF($AKQ3=0,1,1-$AKQ3/HLOOKUP(ALS$3,[2]ARBOR_REAJUSTE18!$A:$AE,VLOOKUP($AKQ$2,[2]ARBOR_REAJUSTE18!$A:$B,2,0),0))),"")&lt;0.01%,0.01%,(IFERROR(IF($AKQ3="","",IF($AKQ3=0,1,1-$AKQ3/HLOOKUP(ALS$3,[2]ARBOR_REAJUSTE18!$A:$AE,VLOOKUP($AKQ$2,[2]ARBOR_REAJUSTE18!$A:$B,2,0),0))),""))),4)</f>
        <v>#VALUE!</v>
      </c>
      <c r="ALT3" s="56"/>
      <c r="ALU3" s="64"/>
      <c r="ALV3" s="44" t="e">
        <f>ROUNDUP(IF(IFERROR(IF($ALT3="","",IF($ALT3=0,1,1-$ALT3/HLOOKUP(ALV$3,[2]ARBOR_REAJUSTE18!$A:$AE,VLOOKUP($ALT$2,[2]ARBOR_REAJUSTE18!$A:$B,2,0),0))),"")&lt;0.01%,0.01%,(IFERROR(IF($ALT3="","",IF($ALT3=0,1,1-$ALT3/HLOOKUP(ALV$3,[2]ARBOR_REAJUSTE18!$A:$AE,VLOOKUP($ALT$2,[2]ARBOR_REAJUSTE18!$A:$B,2,0),0))),""))),4)</f>
        <v>#VALUE!</v>
      </c>
      <c r="ALW3" s="44" t="e">
        <f>ROUNDUP(IF(IFERROR(IF($ALT3="","",IF($ALT3=0,1,1-$ALT3/HLOOKUP(ALW$3,[2]ARBOR_REAJUSTE18!$A:$AE,VLOOKUP($ALT$2,[2]ARBOR_REAJUSTE18!$A:$B,2,0),0))),"")&lt;0.01%,0.01%,(IFERROR(IF($ALT3="","",IF($ALT3=0,1,1-$ALT3/HLOOKUP(ALW$3,[2]ARBOR_REAJUSTE18!$A:$AE,VLOOKUP($ALT$2,[2]ARBOR_REAJUSTE18!$A:$B,2,0),0))),""))),4)</f>
        <v>#VALUE!</v>
      </c>
      <c r="ALX3" s="44" t="e">
        <f>ROUNDUP(IF(IFERROR(IF($ALT3="","",IF($ALT3=0,1,1-$ALT3/HLOOKUP(ALX$3,[2]ARBOR_REAJUSTE18!$A:$AE,VLOOKUP($ALT$2,[2]ARBOR_REAJUSTE18!$A:$B,2,0),0))),"")&lt;0.01%,0.01%,(IFERROR(IF($ALT3="","",IF($ALT3=0,1,1-$ALT3/HLOOKUP(ALX$3,[2]ARBOR_REAJUSTE18!$A:$AE,VLOOKUP($ALT$2,[2]ARBOR_REAJUSTE18!$A:$B,2,0),0))),""))),4)</f>
        <v>#VALUE!</v>
      </c>
      <c r="ALY3" s="44" t="e">
        <f>ROUNDUP(IF(IFERROR(IF($ALT3="","",IF($ALT3=0,1,1-$ALT3/HLOOKUP(ALY$3,[2]ARBOR_REAJUSTE18!$A:$AE,VLOOKUP($ALT$2,[2]ARBOR_REAJUSTE18!$A:$B,2,0),0))),"")&lt;0.01%,0.01%,(IFERROR(IF($ALT3="","",IF($ALT3=0,1,1-$ALT3/HLOOKUP(ALY$3,[2]ARBOR_REAJUSTE18!$A:$AE,VLOOKUP($ALT$2,[2]ARBOR_REAJUSTE18!$A:$B,2,0),0))),""))),4)</f>
        <v>#VALUE!</v>
      </c>
      <c r="ALZ3" s="44" t="e">
        <f>ROUNDUP(IF(IFERROR(IF($ALT3="","",IF($ALT3=0,1,1-$ALT3/HLOOKUP(ALZ$3,[2]ARBOR_REAJUSTE18!$A:$AE,VLOOKUP($ALT$2,[2]ARBOR_REAJUSTE18!$A:$B,2,0),0))),"")&lt;0.01%,0.01%,(IFERROR(IF($ALT3="","",IF($ALT3=0,1,1-$ALT3/HLOOKUP(ALZ$3,[2]ARBOR_REAJUSTE18!$A:$AE,VLOOKUP($ALT$2,[2]ARBOR_REAJUSTE18!$A:$B,2,0),0))),""))),4)</f>
        <v>#VALUE!</v>
      </c>
      <c r="AMA3" s="44" t="e">
        <f>ROUNDUP(IF(IFERROR(IF($ALT3="","",IF($ALT3=0,1,1-$ALT3/HLOOKUP(AMA$3,[2]ARBOR_REAJUSTE18!$A:$AE,VLOOKUP($ALT$2,[2]ARBOR_REAJUSTE18!$A:$B,2,0),0))),"")&lt;0.01%,0.01%,(IFERROR(IF($ALT3="","",IF($ALT3=0,1,1-$ALT3/HLOOKUP(AMA$3,[2]ARBOR_REAJUSTE18!$A:$AE,VLOOKUP($ALT$2,[2]ARBOR_REAJUSTE18!$A:$B,2,0),0))),""))),4)</f>
        <v>#VALUE!</v>
      </c>
      <c r="AMB3" s="44" t="e">
        <f>ROUNDUP(IF(IFERROR(IF($ALT3="","",IF($ALT3=0,1,1-$ALT3/HLOOKUP(AMB$3,[2]ARBOR_REAJUSTE18!$A:$AE,VLOOKUP($ALT$2,[2]ARBOR_REAJUSTE18!$A:$B,2,0),0))),"")&lt;0.01%,0.01%,(IFERROR(IF($ALT3="","",IF($ALT3=0,1,1-$ALT3/HLOOKUP(AMB$3,[2]ARBOR_REAJUSTE18!$A:$AE,VLOOKUP($ALT$2,[2]ARBOR_REAJUSTE18!$A:$B,2,0),0))),""))),4)</f>
        <v>#VALUE!</v>
      </c>
      <c r="AMC3" s="44" t="e">
        <f>ROUNDUP(IF(IFERROR(IF($ALT3="","",IF($ALT3=0,1,1-$ALT3/HLOOKUP(AMC$3,[2]ARBOR_REAJUSTE18!$A:$AE,VLOOKUP($ALT$2,[2]ARBOR_REAJUSTE18!$A:$B,2,0),0))),"")&lt;0.01%,0.01%,(IFERROR(IF($ALT3="","",IF($ALT3=0,1,1-$ALT3/HLOOKUP(AMC$3,[2]ARBOR_REAJUSTE18!$A:$AE,VLOOKUP($ALT$2,[2]ARBOR_REAJUSTE18!$A:$B,2,0),0))),""))),4)</f>
        <v>#VALUE!</v>
      </c>
      <c r="AMD3" s="44" t="e">
        <f>ROUNDUP(IF(IFERROR(IF($ALT3="","",IF($ALT3=0,1,1-$ALT3/HLOOKUP(AMD$3,[2]ARBOR_REAJUSTE18!$A:$AE,VLOOKUP($ALT$2,[2]ARBOR_REAJUSTE18!$A:$B,2,0),0))),"")&lt;0.01%,0.01%,(IFERROR(IF($ALT3="","",IF($ALT3=0,1,1-$ALT3/HLOOKUP(AMD$3,[2]ARBOR_REAJUSTE18!$A:$AE,VLOOKUP($ALT$2,[2]ARBOR_REAJUSTE18!$A:$B,2,0),0))),""))),4)</f>
        <v>#VALUE!</v>
      </c>
      <c r="AME3" s="44" t="e">
        <f>ROUNDUP(IF(IFERROR(IF($ALT3="","",IF($ALT3=0,1,1-$ALT3/HLOOKUP(AME$3,[2]ARBOR_REAJUSTE18!$A:$AE,VLOOKUP($ALT$2,[2]ARBOR_REAJUSTE18!$A:$B,2,0),0))),"")&lt;0.01%,0.01%,(IFERROR(IF($ALT3="","",IF($ALT3=0,1,1-$ALT3/HLOOKUP(AME$3,[2]ARBOR_REAJUSTE18!$A:$AE,VLOOKUP($ALT$2,[2]ARBOR_REAJUSTE18!$A:$B,2,0),0))),""))),4)</f>
        <v>#VALUE!</v>
      </c>
      <c r="AMF3" s="44" t="e">
        <f>ROUNDUP(IF(IFERROR(IF($ALT3="","",IF($ALT3=0,1,1-$ALT3/HLOOKUP(AMF$3,[2]ARBOR_REAJUSTE18!$A:$AE,VLOOKUP($ALT$2,[2]ARBOR_REAJUSTE18!$A:$B,2,0),0))),"")&lt;0.01%,0.01%,(IFERROR(IF($ALT3="","",IF($ALT3=0,1,1-$ALT3/HLOOKUP(AMF$3,[2]ARBOR_REAJUSTE18!$A:$AE,VLOOKUP($ALT$2,[2]ARBOR_REAJUSTE18!$A:$B,2,0),0))),""))),4)</f>
        <v>#VALUE!</v>
      </c>
      <c r="AMG3" s="44" t="e">
        <f>ROUNDUP(IF(IFERROR(IF($ALT3="","",IF($ALT3=0,1,1-$ALT3/HLOOKUP(AMG$3,[2]ARBOR_REAJUSTE18!$A:$AE,VLOOKUP($ALT$2,[2]ARBOR_REAJUSTE18!$A:$B,2,0),0))),"")&lt;0.01%,0.01%,(IFERROR(IF($ALT3="","",IF($ALT3=0,1,1-$ALT3/HLOOKUP(AMG$3,[2]ARBOR_REAJUSTE18!$A:$AE,VLOOKUP($ALT$2,[2]ARBOR_REAJUSTE18!$A:$B,2,0),0))),""))),4)</f>
        <v>#VALUE!</v>
      </c>
      <c r="AMH3" s="44" t="e">
        <f>ROUNDUP(IF(IFERROR(IF($ALT3="","",IF($ALT3=0,1,1-$ALT3/HLOOKUP(AMH$3,[2]ARBOR_REAJUSTE18!$A:$AE,VLOOKUP($ALT$2,[2]ARBOR_REAJUSTE18!$A:$B,2,0),0))),"")&lt;0.01%,0.01%,(IFERROR(IF($ALT3="","",IF($ALT3=0,1,1-$ALT3/HLOOKUP(AMH$3,[2]ARBOR_REAJUSTE18!$A:$AE,VLOOKUP($ALT$2,[2]ARBOR_REAJUSTE18!$A:$B,2,0),0))),""))),4)</f>
        <v>#VALUE!</v>
      </c>
      <c r="AMI3" s="44" t="e">
        <f>ROUNDUP(IF(IFERROR(IF($ALT3="","",IF($ALT3=0,1,1-$ALT3/HLOOKUP(AMI$3,[2]ARBOR_REAJUSTE18!$A:$AE,VLOOKUP($ALT$2,[2]ARBOR_REAJUSTE18!$A:$B,2,0),0))),"")&lt;0.01%,0.01%,(IFERROR(IF($ALT3="","",IF($ALT3=0,1,1-$ALT3/HLOOKUP(AMI$3,[2]ARBOR_REAJUSTE18!$A:$AE,VLOOKUP($ALT$2,[2]ARBOR_REAJUSTE18!$A:$B,2,0),0))),""))),4)</f>
        <v>#VALUE!</v>
      </c>
      <c r="AMJ3" s="44" t="e">
        <f>ROUNDUP(IF(IFERROR(IF($ALT3="","",IF($ALT3=0,1,1-$ALT3/HLOOKUP(AMJ$3,[2]ARBOR_REAJUSTE18!$A:$AE,VLOOKUP($ALT$2,[2]ARBOR_REAJUSTE18!$A:$B,2,0),0))),"")&lt;0.01%,0.01%,(IFERROR(IF($ALT3="","",IF($ALT3=0,1,1-$ALT3/HLOOKUP(AMJ$3,[2]ARBOR_REAJUSTE18!$A:$AE,VLOOKUP($ALT$2,[2]ARBOR_REAJUSTE18!$A:$B,2,0),0))),""))),4)</f>
        <v>#VALUE!</v>
      </c>
      <c r="AMK3" s="44" t="e">
        <f>ROUNDUP(IF(IFERROR(IF($ALT3="","",IF($ALT3=0,1,1-$ALT3/HLOOKUP(AMK$3,[2]ARBOR_REAJUSTE18!$A:$AE,VLOOKUP($ALT$2,[2]ARBOR_REAJUSTE18!$A:$B,2,0),0))),"")&lt;0.01%,0.01%,(IFERROR(IF($ALT3="","",IF($ALT3=0,1,1-$ALT3/HLOOKUP(AMK$3,[2]ARBOR_REAJUSTE18!$A:$AE,VLOOKUP($ALT$2,[2]ARBOR_REAJUSTE18!$A:$B,2,0),0))),""))),4)</f>
        <v>#VALUE!</v>
      </c>
      <c r="AML3" s="44" t="e">
        <f>ROUNDUP(IF(IFERROR(IF($ALT3="","",IF($ALT3=0,1,1-$ALT3/HLOOKUP(AML$3,[2]ARBOR_REAJUSTE18!$A:$AE,VLOOKUP($ALT$2,[2]ARBOR_REAJUSTE18!$A:$B,2,0),0))),"")&lt;0.01%,0.01%,(IFERROR(IF($ALT3="","",IF($ALT3=0,1,1-$ALT3/HLOOKUP(AML$3,[2]ARBOR_REAJUSTE18!$A:$AE,VLOOKUP($ALT$2,[2]ARBOR_REAJUSTE18!$A:$B,2,0),0))),""))),4)</f>
        <v>#VALUE!</v>
      </c>
      <c r="AMM3" s="44" t="e">
        <f>ROUNDUP(IF(IFERROR(IF($ALT3="","",IF($ALT3=0,1,1-$ALT3/HLOOKUP(AMM$3,[2]ARBOR_REAJUSTE18!$A:$AE,VLOOKUP($ALT$2,[2]ARBOR_REAJUSTE18!$A:$B,2,0),0))),"")&lt;0.01%,0.01%,(IFERROR(IF($ALT3="","",IF($ALT3=0,1,1-$ALT3/HLOOKUP(AMM$3,[2]ARBOR_REAJUSTE18!$A:$AE,VLOOKUP($ALT$2,[2]ARBOR_REAJUSTE18!$A:$B,2,0),0))),""))),4)</f>
        <v>#VALUE!</v>
      </c>
      <c r="AMN3" s="44" t="e">
        <f>ROUNDUP(IF(IFERROR(IF($ALT3="","",IF($ALT3=0,1,1-$ALT3/HLOOKUP(AMN$3,[2]ARBOR_REAJUSTE18!$A:$AE,VLOOKUP($ALT$2,[2]ARBOR_REAJUSTE18!$A:$B,2,0),0))),"")&lt;0.01%,0.01%,(IFERROR(IF($ALT3="","",IF($ALT3=0,1,1-$ALT3/HLOOKUP(AMN$3,[2]ARBOR_REAJUSTE18!$A:$AE,VLOOKUP($ALT$2,[2]ARBOR_REAJUSTE18!$A:$B,2,0),0))),""))),4)</f>
        <v>#VALUE!</v>
      </c>
      <c r="AMO3" s="44" t="e">
        <f>ROUNDUP(IF(IFERROR(IF($ALT3="","",IF($ALT3=0,1,1-$ALT3/HLOOKUP(AMO$3,[2]ARBOR_REAJUSTE18!$A:$AE,VLOOKUP($ALT$2,[2]ARBOR_REAJUSTE18!$A:$B,2,0),0))),"")&lt;0.01%,0.01%,(IFERROR(IF($ALT3="","",IF($ALT3=0,1,1-$ALT3/HLOOKUP(AMO$3,[2]ARBOR_REAJUSTE18!$A:$AE,VLOOKUP($ALT$2,[2]ARBOR_REAJUSTE18!$A:$B,2,0),0))),""))),4)</f>
        <v>#VALUE!</v>
      </c>
      <c r="AMP3" s="44" t="e">
        <f>ROUNDUP(IF(IFERROR(IF($ALT3="","",IF($ALT3=0,1,1-$ALT3/HLOOKUP(AMP$3,[2]ARBOR_REAJUSTE18!$A:$AE,VLOOKUP($ALT$2,[2]ARBOR_REAJUSTE18!$A:$B,2,0),0))),"")&lt;0.01%,0.01%,(IFERROR(IF($ALT3="","",IF($ALT3=0,1,1-$ALT3/HLOOKUP(AMP$3,[2]ARBOR_REAJUSTE18!$A:$AE,VLOOKUP($ALT$2,[2]ARBOR_REAJUSTE18!$A:$B,2,0),0))),""))),4)</f>
        <v>#VALUE!</v>
      </c>
      <c r="AMQ3" s="44" t="e">
        <f>ROUNDUP(IF(IFERROR(IF($ALT3="","",IF($ALT3=0,1,1-$ALT3/HLOOKUP(AMQ$3,[2]ARBOR_REAJUSTE18!$A:$AE,VLOOKUP($ALT$2,[2]ARBOR_REAJUSTE18!$A:$B,2,0),0))),"")&lt;0.01%,0.01%,(IFERROR(IF($ALT3="","",IF($ALT3=0,1,1-$ALT3/HLOOKUP(AMQ$3,[2]ARBOR_REAJUSTE18!$A:$AE,VLOOKUP($ALT$2,[2]ARBOR_REAJUSTE18!$A:$B,2,0),0))),""))),4)</f>
        <v>#VALUE!</v>
      </c>
      <c r="AMR3" s="44" t="e">
        <f>ROUNDUP(IF(IFERROR(IF($ALT3="","",IF($ALT3=0,1,1-$ALT3/HLOOKUP(AMR$3,[2]ARBOR_REAJUSTE18!$A:$AE,VLOOKUP($ALT$2,[2]ARBOR_REAJUSTE18!$A:$B,2,0),0))),"")&lt;0.01%,0.01%,(IFERROR(IF($ALT3="","",IF($ALT3=0,1,1-$ALT3/HLOOKUP(AMR$3,[2]ARBOR_REAJUSTE18!$A:$AE,VLOOKUP($ALT$2,[2]ARBOR_REAJUSTE18!$A:$B,2,0),0))),""))),4)</f>
        <v>#VALUE!</v>
      </c>
      <c r="AMS3" s="44" t="e">
        <f>ROUNDUP(IF(IFERROR(IF($ALT3="","",IF($ALT3=0,1,1-$ALT3/HLOOKUP(AMS$3,[2]ARBOR_REAJUSTE18!$A:$AE,VLOOKUP($ALT$2,[2]ARBOR_REAJUSTE18!$A:$B,2,0),0))),"")&lt;0.01%,0.01%,(IFERROR(IF($ALT3="","",IF($ALT3=0,1,1-$ALT3/HLOOKUP(AMS$3,[2]ARBOR_REAJUSTE18!$A:$AE,VLOOKUP($ALT$2,[2]ARBOR_REAJUSTE18!$A:$B,2,0),0))),""))),4)</f>
        <v>#VALUE!</v>
      </c>
      <c r="AMT3" s="44" t="e">
        <f>ROUNDUP(IF(IFERROR(IF($ALT3="","",IF($ALT3=0,1,1-$ALT3/HLOOKUP(AMT$3,[2]ARBOR_REAJUSTE18!$A:$AE,VLOOKUP($ALT$2,[2]ARBOR_REAJUSTE18!$A:$B,2,0),0))),"")&lt;0.01%,0.01%,(IFERROR(IF($ALT3="","",IF($ALT3=0,1,1-$ALT3/HLOOKUP(AMT$3,[2]ARBOR_REAJUSTE18!$A:$AE,VLOOKUP($ALT$2,[2]ARBOR_REAJUSTE18!$A:$B,2,0),0))),""))),4)</f>
        <v>#VALUE!</v>
      </c>
      <c r="AMU3" s="44" t="e">
        <f>ROUNDUP(IF(IFERROR(IF($ALT3="","",IF($ALT3=0,1,1-$ALT3/HLOOKUP(AMU$3,[2]ARBOR_REAJUSTE18!$A:$AE,VLOOKUP($ALT$2,[2]ARBOR_REAJUSTE18!$A:$B,2,0),0))),"")&lt;0.01%,0.01%,(IFERROR(IF($ALT3="","",IF($ALT3=0,1,1-$ALT3/HLOOKUP(AMU$3,[2]ARBOR_REAJUSTE18!$A:$AE,VLOOKUP($ALT$2,[2]ARBOR_REAJUSTE18!$A:$B,2,0),0))),""))),4)</f>
        <v>#VALUE!</v>
      </c>
      <c r="AMV3" s="44" t="e">
        <f>ROUNDUP(IF(IFERROR(IF($ALT3="","",IF($ALT3=0,1,1-$ALT3/HLOOKUP(AMV$3,[2]ARBOR_REAJUSTE18!$A:$AE,VLOOKUP($ALT$2,[2]ARBOR_REAJUSTE18!$A:$B,2,0),0))),"")&lt;0.01%,0.01%,(IFERROR(IF($ALT3="","",IF($ALT3=0,1,1-$ALT3/HLOOKUP(AMV$3,[2]ARBOR_REAJUSTE18!$A:$AE,VLOOKUP($ALT$2,[2]ARBOR_REAJUSTE18!$A:$B,2,0),0))),""))),4)</f>
        <v>#VALUE!</v>
      </c>
      <c r="AMW3" s="56"/>
      <c r="AMX3" s="64"/>
      <c r="AMY3" s="44" t="e">
        <f>ROUNDUP(IF(IFERROR(IF($AMW3="","",IF($AMW3=0,1,1-$AMW3/HLOOKUP(AMY$3,[2]ARBOR_REAJUSTE18!$A:$AE,VLOOKUP($AMW$2,[2]ARBOR_REAJUSTE18!$A:$B,2,0),0))),"")&lt;0.01%,0.01%,(IFERROR(IF($AMW3="","",IF($AMW3=0,1,1-$AMW3/HLOOKUP(AMY$3,[2]ARBOR_REAJUSTE18!$A:$AE,VLOOKUP($AMW$2,[2]ARBOR_REAJUSTE18!$A:$B,2,0),0))),""))),4)</f>
        <v>#VALUE!</v>
      </c>
      <c r="AMZ3" s="44" t="e">
        <f>ROUNDUP(IF(IFERROR(IF($AMW3="","",IF($AMW3=0,1,1-$AMW3/HLOOKUP(AMZ$3,[2]ARBOR_REAJUSTE18!$A:$AE,VLOOKUP($AMW$2,[2]ARBOR_REAJUSTE18!$A:$B,2,0),0))),"")&lt;0.01%,0.01%,(IFERROR(IF($AMW3="","",IF($AMW3=0,1,1-$AMW3/HLOOKUP(AMZ$3,[2]ARBOR_REAJUSTE18!$A:$AE,VLOOKUP($AMW$2,[2]ARBOR_REAJUSTE18!$A:$B,2,0),0))),""))),4)</f>
        <v>#VALUE!</v>
      </c>
      <c r="ANA3" s="44" t="e">
        <f>ROUNDUP(IF(IFERROR(IF($AMW3="","",IF($AMW3=0,1,1-$AMW3/HLOOKUP(ANA$3,[2]ARBOR_REAJUSTE18!$A:$AE,VLOOKUP($AMW$2,[2]ARBOR_REAJUSTE18!$A:$B,2,0),0))),"")&lt;0.01%,0.01%,(IFERROR(IF($AMW3="","",IF($AMW3=0,1,1-$AMW3/HLOOKUP(ANA$3,[2]ARBOR_REAJUSTE18!$A:$AE,VLOOKUP($AMW$2,[2]ARBOR_REAJUSTE18!$A:$B,2,0),0))),""))),4)</f>
        <v>#VALUE!</v>
      </c>
      <c r="ANB3" s="44" t="e">
        <f>ROUNDUP(IF(IFERROR(IF($AMW3="","",IF($AMW3=0,1,1-$AMW3/HLOOKUP(ANB$3,[2]ARBOR_REAJUSTE18!$A:$AE,VLOOKUP($AMW$2,[2]ARBOR_REAJUSTE18!$A:$B,2,0),0))),"")&lt;0.01%,0.01%,(IFERROR(IF($AMW3="","",IF($AMW3=0,1,1-$AMW3/HLOOKUP(ANB$3,[2]ARBOR_REAJUSTE18!$A:$AE,VLOOKUP($AMW$2,[2]ARBOR_REAJUSTE18!$A:$B,2,0),0))),""))),4)</f>
        <v>#VALUE!</v>
      </c>
      <c r="ANC3" s="44" t="e">
        <f>ROUNDUP(IF(IFERROR(IF($AMW3="","",IF($AMW3=0,1,1-$AMW3/HLOOKUP(ANC$3,[2]ARBOR_REAJUSTE18!$A:$AE,VLOOKUP($AMW$2,[2]ARBOR_REAJUSTE18!$A:$B,2,0),0))),"")&lt;0.01%,0.01%,(IFERROR(IF($AMW3="","",IF($AMW3=0,1,1-$AMW3/HLOOKUP(ANC$3,[2]ARBOR_REAJUSTE18!$A:$AE,VLOOKUP($AMW$2,[2]ARBOR_REAJUSTE18!$A:$B,2,0),0))),""))),4)</f>
        <v>#VALUE!</v>
      </c>
      <c r="AND3" s="44" t="e">
        <f>ROUNDUP(IF(IFERROR(IF($AMW3="","",IF($AMW3=0,1,1-$AMW3/HLOOKUP(AND$3,[2]ARBOR_REAJUSTE18!$A:$AE,VLOOKUP($AMW$2,[2]ARBOR_REAJUSTE18!$A:$B,2,0),0))),"")&lt;0.01%,0.01%,(IFERROR(IF($AMW3="","",IF($AMW3=0,1,1-$AMW3/HLOOKUP(AND$3,[2]ARBOR_REAJUSTE18!$A:$AE,VLOOKUP($AMW$2,[2]ARBOR_REAJUSTE18!$A:$B,2,0),0))),""))),4)</f>
        <v>#VALUE!</v>
      </c>
      <c r="ANE3" s="44" t="e">
        <f>ROUNDUP(IF(IFERROR(IF($AMW3="","",IF($AMW3=0,1,1-$AMW3/HLOOKUP(ANE$3,[2]ARBOR_REAJUSTE18!$A:$AE,VLOOKUP($AMW$2,[2]ARBOR_REAJUSTE18!$A:$B,2,0),0))),"")&lt;0.01%,0.01%,(IFERROR(IF($AMW3="","",IF($AMW3=0,1,1-$AMW3/HLOOKUP(ANE$3,[2]ARBOR_REAJUSTE18!$A:$AE,VLOOKUP($AMW$2,[2]ARBOR_REAJUSTE18!$A:$B,2,0),0))),""))),4)</f>
        <v>#VALUE!</v>
      </c>
      <c r="ANF3" s="44" t="e">
        <f>ROUNDUP(IF(IFERROR(IF($AMW3="","",IF($AMW3=0,1,1-$AMW3/HLOOKUP(ANF$3,[2]ARBOR_REAJUSTE18!$A:$AE,VLOOKUP($AMW$2,[2]ARBOR_REAJUSTE18!$A:$B,2,0),0))),"")&lt;0.01%,0.01%,(IFERROR(IF($AMW3="","",IF($AMW3=0,1,1-$AMW3/HLOOKUP(ANF$3,[2]ARBOR_REAJUSTE18!$A:$AE,VLOOKUP($AMW$2,[2]ARBOR_REAJUSTE18!$A:$B,2,0),0))),""))),4)</f>
        <v>#VALUE!</v>
      </c>
      <c r="ANG3" s="44" t="e">
        <f>ROUNDUP(IF(IFERROR(IF($AMW3="","",IF($AMW3=0,1,1-$AMW3/HLOOKUP(ANG$3,[2]ARBOR_REAJUSTE18!$A:$AE,VLOOKUP($AMW$2,[2]ARBOR_REAJUSTE18!$A:$B,2,0),0))),"")&lt;0.01%,0.01%,(IFERROR(IF($AMW3="","",IF($AMW3=0,1,1-$AMW3/HLOOKUP(ANG$3,[2]ARBOR_REAJUSTE18!$A:$AE,VLOOKUP($AMW$2,[2]ARBOR_REAJUSTE18!$A:$B,2,0),0))),""))),4)</f>
        <v>#VALUE!</v>
      </c>
      <c r="ANH3" s="44" t="e">
        <f>ROUNDUP(IF(IFERROR(IF($AMW3="","",IF($AMW3=0,1,1-$AMW3/HLOOKUP(ANH$3,[2]ARBOR_REAJUSTE18!$A:$AE,VLOOKUP($AMW$2,[2]ARBOR_REAJUSTE18!$A:$B,2,0),0))),"")&lt;0.01%,0.01%,(IFERROR(IF($AMW3="","",IF($AMW3=0,1,1-$AMW3/HLOOKUP(ANH$3,[2]ARBOR_REAJUSTE18!$A:$AE,VLOOKUP($AMW$2,[2]ARBOR_REAJUSTE18!$A:$B,2,0),0))),""))),4)</f>
        <v>#VALUE!</v>
      </c>
      <c r="ANI3" s="44" t="e">
        <f>ROUNDUP(IF(IFERROR(IF($AMW3="","",IF($AMW3=0,1,1-$AMW3/HLOOKUP(ANI$3,[2]ARBOR_REAJUSTE18!$A:$AE,VLOOKUP($AMW$2,[2]ARBOR_REAJUSTE18!$A:$B,2,0),0))),"")&lt;0.01%,0.01%,(IFERROR(IF($AMW3="","",IF($AMW3=0,1,1-$AMW3/HLOOKUP(ANI$3,[2]ARBOR_REAJUSTE18!$A:$AE,VLOOKUP($AMW$2,[2]ARBOR_REAJUSTE18!$A:$B,2,0),0))),""))),4)</f>
        <v>#VALUE!</v>
      </c>
      <c r="ANJ3" s="44" t="e">
        <f>ROUNDUP(IF(IFERROR(IF($AMW3="","",IF($AMW3=0,1,1-$AMW3/HLOOKUP(ANJ$3,[2]ARBOR_REAJUSTE18!$A:$AE,VLOOKUP($AMW$2,[2]ARBOR_REAJUSTE18!$A:$B,2,0),0))),"")&lt;0.01%,0.01%,(IFERROR(IF($AMW3="","",IF($AMW3=0,1,1-$AMW3/HLOOKUP(ANJ$3,[2]ARBOR_REAJUSTE18!$A:$AE,VLOOKUP($AMW$2,[2]ARBOR_REAJUSTE18!$A:$B,2,0),0))),""))),4)</f>
        <v>#VALUE!</v>
      </c>
      <c r="ANK3" s="44" t="e">
        <f>ROUNDUP(IF(IFERROR(IF($AMW3="","",IF($AMW3=0,1,1-$AMW3/HLOOKUP(ANK$3,[2]ARBOR_REAJUSTE18!$A:$AE,VLOOKUP($AMW$2,[2]ARBOR_REAJUSTE18!$A:$B,2,0),0))),"")&lt;0.01%,0.01%,(IFERROR(IF($AMW3="","",IF($AMW3=0,1,1-$AMW3/HLOOKUP(ANK$3,[2]ARBOR_REAJUSTE18!$A:$AE,VLOOKUP($AMW$2,[2]ARBOR_REAJUSTE18!$A:$B,2,0),0))),""))),4)</f>
        <v>#VALUE!</v>
      </c>
      <c r="ANL3" s="44" t="e">
        <f>ROUNDUP(IF(IFERROR(IF($AMW3="","",IF($AMW3=0,1,1-$AMW3/HLOOKUP(ANL$3,[2]ARBOR_REAJUSTE18!$A:$AE,VLOOKUP($AMW$2,[2]ARBOR_REAJUSTE18!$A:$B,2,0),0))),"")&lt;0.01%,0.01%,(IFERROR(IF($AMW3="","",IF($AMW3=0,1,1-$AMW3/HLOOKUP(ANL$3,[2]ARBOR_REAJUSTE18!$A:$AE,VLOOKUP($AMW$2,[2]ARBOR_REAJUSTE18!$A:$B,2,0),0))),""))),4)</f>
        <v>#VALUE!</v>
      </c>
      <c r="ANM3" s="44" t="e">
        <f>ROUNDUP(IF(IFERROR(IF($AMW3="","",IF($AMW3=0,1,1-$AMW3/HLOOKUP(ANM$3,[2]ARBOR_REAJUSTE18!$A:$AE,VLOOKUP($AMW$2,[2]ARBOR_REAJUSTE18!$A:$B,2,0),0))),"")&lt;0.01%,0.01%,(IFERROR(IF($AMW3="","",IF($AMW3=0,1,1-$AMW3/HLOOKUP(ANM$3,[2]ARBOR_REAJUSTE18!$A:$AE,VLOOKUP($AMW$2,[2]ARBOR_REAJUSTE18!$A:$B,2,0),0))),""))),4)</f>
        <v>#VALUE!</v>
      </c>
      <c r="ANN3" s="44" t="e">
        <f>ROUNDUP(IF(IFERROR(IF($AMW3="","",IF($AMW3=0,1,1-$AMW3/HLOOKUP(ANN$3,[2]ARBOR_REAJUSTE18!$A:$AE,VLOOKUP($AMW$2,[2]ARBOR_REAJUSTE18!$A:$B,2,0),0))),"")&lt;0.01%,0.01%,(IFERROR(IF($AMW3="","",IF($AMW3=0,1,1-$AMW3/HLOOKUP(ANN$3,[2]ARBOR_REAJUSTE18!$A:$AE,VLOOKUP($AMW$2,[2]ARBOR_REAJUSTE18!$A:$B,2,0),0))),""))),4)</f>
        <v>#VALUE!</v>
      </c>
      <c r="ANO3" s="44" t="e">
        <f>ROUNDUP(IF(IFERROR(IF($AMW3="","",IF($AMW3=0,1,1-$AMW3/HLOOKUP(ANO$3,[2]ARBOR_REAJUSTE18!$A:$AE,VLOOKUP($AMW$2,[2]ARBOR_REAJUSTE18!$A:$B,2,0),0))),"")&lt;0.01%,0.01%,(IFERROR(IF($AMW3="","",IF($AMW3=0,1,1-$AMW3/HLOOKUP(ANO$3,[2]ARBOR_REAJUSTE18!$A:$AE,VLOOKUP($AMW$2,[2]ARBOR_REAJUSTE18!$A:$B,2,0),0))),""))),4)</f>
        <v>#VALUE!</v>
      </c>
      <c r="ANP3" s="44" t="e">
        <f>ROUNDUP(IF(IFERROR(IF($AMW3="","",IF($AMW3=0,1,1-$AMW3/HLOOKUP(ANP$3,[2]ARBOR_REAJUSTE18!$A:$AE,VLOOKUP($AMW$2,[2]ARBOR_REAJUSTE18!$A:$B,2,0),0))),"")&lt;0.01%,0.01%,(IFERROR(IF($AMW3="","",IF($AMW3=0,1,1-$AMW3/HLOOKUP(ANP$3,[2]ARBOR_REAJUSTE18!$A:$AE,VLOOKUP($AMW$2,[2]ARBOR_REAJUSTE18!$A:$B,2,0),0))),""))),4)</f>
        <v>#VALUE!</v>
      </c>
      <c r="ANQ3" s="44" t="e">
        <f>ROUNDUP(IF(IFERROR(IF($AMW3="","",IF($AMW3=0,1,1-$AMW3/HLOOKUP(ANQ$3,[2]ARBOR_REAJUSTE18!$A:$AE,VLOOKUP($AMW$2,[2]ARBOR_REAJUSTE18!$A:$B,2,0),0))),"")&lt;0.01%,0.01%,(IFERROR(IF($AMW3="","",IF($AMW3=0,1,1-$AMW3/HLOOKUP(ANQ$3,[2]ARBOR_REAJUSTE18!$A:$AE,VLOOKUP($AMW$2,[2]ARBOR_REAJUSTE18!$A:$B,2,0),0))),""))),4)</f>
        <v>#VALUE!</v>
      </c>
      <c r="ANR3" s="44" t="e">
        <f>ROUNDUP(IF(IFERROR(IF($AMW3="","",IF($AMW3=0,1,1-$AMW3/HLOOKUP(ANR$3,[2]ARBOR_REAJUSTE18!$A:$AE,VLOOKUP($AMW$2,[2]ARBOR_REAJUSTE18!$A:$B,2,0),0))),"")&lt;0.01%,0.01%,(IFERROR(IF($AMW3="","",IF($AMW3=0,1,1-$AMW3/HLOOKUP(ANR$3,[2]ARBOR_REAJUSTE18!$A:$AE,VLOOKUP($AMW$2,[2]ARBOR_REAJUSTE18!$A:$B,2,0),0))),""))),4)</f>
        <v>#VALUE!</v>
      </c>
      <c r="ANS3" s="44" t="e">
        <f>ROUNDUP(IF(IFERROR(IF($AMW3="","",IF($AMW3=0,1,1-$AMW3/HLOOKUP(ANS$3,[2]ARBOR_REAJUSTE18!$A:$AE,VLOOKUP($AMW$2,[2]ARBOR_REAJUSTE18!$A:$B,2,0),0))),"")&lt;0.01%,0.01%,(IFERROR(IF($AMW3="","",IF($AMW3=0,1,1-$AMW3/HLOOKUP(ANS$3,[2]ARBOR_REAJUSTE18!$A:$AE,VLOOKUP($AMW$2,[2]ARBOR_REAJUSTE18!$A:$B,2,0),0))),""))),4)</f>
        <v>#VALUE!</v>
      </c>
      <c r="ANT3" s="44" t="e">
        <f>ROUNDUP(IF(IFERROR(IF($AMW3="","",IF($AMW3=0,1,1-$AMW3/HLOOKUP(ANT$3,[2]ARBOR_REAJUSTE18!$A:$AE,VLOOKUP($AMW$2,[2]ARBOR_REAJUSTE18!$A:$B,2,0),0))),"")&lt;0.01%,0.01%,(IFERROR(IF($AMW3="","",IF($AMW3=0,1,1-$AMW3/HLOOKUP(ANT$3,[2]ARBOR_REAJUSTE18!$A:$AE,VLOOKUP($AMW$2,[2]ARBOR_REAJUSTE18!$A:$B,2,0),0))),""))),4)</f>
        <v>#VALUE!</v>
      </c>
      <c r="ANU3" s="44" t="e">
        <f>ROUNDUP(IF(IFERROR(IF($AMW3="","",IF($AMW3=0,1,1-$AMW3/HLOOKUP(ANU$3,[2]ARBOR_REAJUSTE18!$A:$AE,VLOOKUP($AMW$2,[2]ARBOR_REAJUSTE18!$A:$B,2,0),0))),"")&lt;0.01%,0.01%,(IFERROR(IF($AMW3="","",IF($AMW3=0,1,1-$AMW3/HLOOKUP(ANU$3,[2]ARBOR_REAJUSTE18!$A:$AE,VLOOKUP($AMW$2,[2]ARBOR_REAJUSTE18!$A:$B,2,0),0))),""))),4)</f>
        <v>#VALUE!</v>
      </c>
      <c r="ANV3" s="44" t="e">
        <f>ROUNDUP(IF(IFERROR(IF($AMW3="","",IF($AMW3=0,1,1-$AMW3/HLOOKUP(ANV$3,[2]ARBOR_REAJUSTE18!$A:$AE,VLOOKUP($AMW$2,[2]ARBOR_REAJUSTE18!$A:$B,2,0),0))),"")&lt;0.01%,0.01%,(IFERROR(IF($AMW3="","",IF($AMW3=0,1,1-$AMW3/HLOOKUP(ANV$3,[2]ARBOR_REAJUSTE18!$A:$AE,VLOOKUP($AMW$2,[2]ARBOR_REAJUSTE18!$A:$B,2,0),0))),""))),4)</f>
        <v>#VALUE!</v>
      </c>
      <c r="ANW3" s="44" t="e">
        <f>ROUNDUP(IF(IFERROR(IF($AMW3="","",IF($AMW3=0,1,1-$AMW3/HLOOKUP(ANW$3,[2]ARBOR_REAJUSTE18!$A:$AE,VLOOKUP($AMW$2,[2]ARBOR_REAJUSTE18!$A:$B,2,0),0))),"")&lt;0.01%,0.01%,(IFERROR(IF($AMW3="","",IF($AMW3=0,1,1-$AMW3/HLOOKUP(ANW$3,[2]ARBOR_REAJUSTE18!$A:$AE,VLOOKUP($AMW$2,[2]ARBOR_REAJUSTE18!$A:$B,2,0),0))),""))),4)</f>
        <v>#VALUE!</v>
      </c>
      <c r="ANX3" s="44" t="e">
        <f>ROUNDUP(IF(IFERROR(IF($AMW3="","",IF($AMW3=0,1,1-$AMW3/HLOOKUP(ANX$3,[2]ARBOR_REAJUSTE18!$A:$AE,VLOOKUP($AMW$2,[2]ARBOR_REAJUSTE18!$A:$B,2,0),0))),"")&lt;0.01%,0.01%,(IFERROR(IF($AMW3="","",IF($AMW3=0,1,1-$AMW3/HLOOKUP(ANX$3,[2]ARBOR_REAJUSTE18!$A:$AE,VLOOKUP($AMW$2,[2]ARBOR_REAJUSTE18!$A:$B,2,0),0))),""))),4)</f>
        <v>#VALUE!</v>
      </c>
      <c r="ANY3" s="44" t="e">
        <f>ROUNDUP(IF(IFERROR(IF($AMW3="","",IF($AMW3=0,1,1-$AMW3/HLOOKUP(ANY$3,[2]ARBOR_REAJUSTE18!$A:$AE,VLOOKUP($AMW$2,[2]ARBOR_REAJUSTE18!$A:$B,2,0),0))),"")&lt;0.01%,0.01%,(IFERROR(IF($AMW3="","",IF($AMW3=0,1,1-$AMW3/HLOOKUP(ANY$3,[2]ARBOR_REAJUSTE18!$A:$AE,VLOOKUP($AMW$2,[2]ARBOR_REAJUSTE18!$A:$B,2,0),0))),""))),4)</f>
        <v>#VALUE!</v>
      </c>
      <c r="ANZ3" s="56"/>
      <c r="AOA3" s="64"/>
      <c r="AOB3" s="44" t="e">
        <f>ROUNDUP(IF(IFERROR(IF($ANZ3="","",IF($ANZ3=0,1,1-$ANZ3/HLOOKUP(AOB$3,[2]ARBOR_REAJUSTE18!$A:$AE,VLOOKUP($ANZ$2,[2]ARBOR_REAJUSTE18!$A:$B,2,0),0))),"")&lt;0.01%,0.01%,(IFERROR(IF($ANZ3="","",IF($ANZ3=0,1,1-$ANZ3/HLOOKUP(AOB$3,[2]ARBOR_REAJUSTE18!$A:$AE,VLOOKUP($ANZ$2,[2]ARBOR_REAJUSTE18!$A:$B,2,0),0))),""))),4)</f>
        <v>#VALUE!</v>
      </c>
      <c r="AOC3" s="44" t="e">
        <f>ROUNDUP(IF(IFERROR(IF($ANZ3="","",IF($ANZ3=0,1,1-$ANZ3/HLOOKUP(AOC$3,[2]ARBOR_REAJUSTE18!$A:$AE,VLOOKUP($ANZ$2,[2]ARBOR_REAJUSTE18!$A:$B,2,0),0))),"")&lt;0.01%,0.01%,(IFERROR(IF($ANZ3="","",IF($ANZ3=0,1,1-$ANZ3/HLOOKUP(AOC$3,[2]ARBOR_REAJUSTE18!$A:$AE,VLOOKUP($ANZ$2,[2]ARBOR_REAJUSTE18!$A:$B,2,0),0))),""))),4)</f>
        <v>#VALUE!</v>
      </c>
      <c r="AOD3" s="44" t="e">
        <f>ROUNDUP(IF(IFERROR(IF($ANZ3="","",IF($ANZ3=0,1,1-$ANZ3/HLOOKUP(AOD$3,[2]ARBOR_REAJUSTE18!$A:$AE,VLOOKUP($ANZ$2,[2]ARBOR_REAJUSTE18!$A:$B,2,0),0))),"")&lt;0.01%,0.01%,(IFERROR(IF($ANZ3="","",IF($ANZ3=0,1,1-$ANZ3/HLOOKUP(AOD$3,[2]ARBOR_REAJUSTE18!$A:$AE,VLOOKUP($ANZ$2,[2]ARBOR_REAJUSTE18!$A:$B,2,0),0))),""))),4)</f>
        <v>#VALUE!</v>
      </c>
      <c r="AOE3" s="44" t="e">
        <f>ROUNDUP(IF(IFERROR(IF($ANZ3="","",IF($ANZ3=0,1,1-$ANZ3/HLOOKUP(AOE$3,[2]ARBOR_REAJUSTE18!$A:$AE,VLOOKUP($ANZ$2,[2]ARBOR_REAJUSTE18!$A:$B,2,0),0))),"")&lt;0.01%,0.01%,(IFERROR(IF($ANZ3="","",IF($ANZ3=0,1,1-$ANZ3/HLOOKUP(AOE$3,[2]ARBOR_REAJUSTE18!$A:$AE,VLOOKUP($ANZ$2,[2]ARBOR_REAJUSTE18!$A:$B,2,0),0))),""))),4)</f>
        <v>#VALUE!</v>
      </c>
      <c r="AOF3" s="44" t="e">
        <f>ROUNDUP(IF(IFERROR(IF($ANZ3="","",IF($ANZ3=0,1,1-$ANZ3/HLOOKUP(AOF$3,[2]ARBOR_REAJUSTE18!$A:$AE,VLOOKUP($ANZ$2,[2]ARBOR_REAJUSTE18!$A:$B,2,0),0))),"")&lt;0.01%,0.01%,(IFERROR(IF($ANZ3="","",IF($ANZ3=0,1,1-$ANZ3/HLOOKUP(AOF$3,[2]ARBOR_REAJUSTE18!$A:$AE,VLOOKUP($ANZ$2,[2]ARBOR_REAJUSTE18!$A:$B,2,0),0))),""))),4)</f>
        <v>#VALUE!</v>
      </c>
      <c r="AOG3" s="44" t="e">
        <f>ROUNDUP(IF(IFERROR(IF($ANZ3="","",IF($ANZ3=0,1,1-$ANZ3/HLOOKUP(AOG$3,[2]ARBOR_REAJUSTE18!$A:$AE,VLOOKUP($ANZ$2,[2]ARBOR_REAJUSTE18!$A:$B,2,0),0))),"")&lt;0.01%,0.01%,(IFERROR(IF($ANZ3="","",IF($ANZ3=0,1,1-$ANZ3/HLOOKUP(AOG$3,[2]ARBOR_REAJUSTE18!$A:$AE,VLOOKUP($ANZ$2,[2]ARBOR_REAJUSTE18!$A:$B,2,0),0))),""))),4)</f>
        <v>#VALUE!</v>
      </c>
      <c r="AOH3" s="44" t="e">
        <f>ROUNDUP(IF(IFERROR(IF($ANZ3="","",IF($ANZ3=0,1,1-$ANZ3/HLOOKUP(AOH$3,[2]ARBOR_REAJUSTE18!$A:$AE,VLOOKUP($ANZ$2,[2]ARBOR_REAJUSTE18!$A:$B,2,0),0))),"")&lt;0.01%,0.01%,(IFERROR(IF($ANZ3="","",IF($ANZ3=0,1,1-$ANZ3/HLOOKUP(AOH$3,[2]ARBOR_REAJUSTE18!$A:$AE,VLOOKUP($ANZ$2,[2]ARBOR_REAJUSTE18!$A:$B,2,0),0))),""))),4)</f>
        <v>#VALUE!</v>
      </c>
      <c r="AOI3" s="44" t="e">
        <f>ROUNDUP(IF(IFERROR(IF($ANZ3="","",IF($ANZ3=0,1,1-$ANZ3/HLOOKUP(AOI$3,[2]ARBOR_REAJUSTE18!$A:$AE,VLOOKUP($ANZ$2,[2]ARBOR_REAJUSTE18!$A:$B,2,0),0))),"")&lt;0.01%,0.01%,(IFERROR(IF($ANZ3="","",IF($ANZ3=0,1,1-$ANZ3/HLOOKUP(AOI$3,[2]ARBOR_REAJUSTE18!$A:$AE,VLOOKUP($ANZ$2,[2]ARBOR_REAJUSTE18!$A:$B,2,0),0))),""))),4)</f>
        <v>#VALUE!</v>
      </c>
      <c r="AOJ3" s="44" t="e">
        <f>ROUNDUP(IF(IFERROR(IF($ANZ3="","",IF($ANZ3=0,1,1-$ANZ3/HLOOKUP(AOJ$3,[2]ARBOR_REAJUSTE18!$A:$AE,VLOOKUP($ANZ$2,[2]ARBOR_REAJUSTE18!$A:$B,2,0),0))),"")&lt;0.01%,0.01%,(IFERROR(IF($ANZ3="","",IF($ANZ3=0,1,1-$ANZ3/HLOOKUP(AOJ$3,[2]ARBOR_REAJUSTE18!$A:$AE,VLOOKUP($ANZ$2,[2]ARBOR_REAJUSTE18!$A:$B,2,0),0))),""))),4)</f>
        <v>#VALUE!</v>
      </c>
      <c r="AOK3" s="44" t="e">
        <f>ROUNDUP(IF(IFERROR(IF($ANZ3="","",IF($ANZ3=0,1,1-$ANZ3/HLOOKUP(AOK$3,[2]ARBOR_REAJUSTE18!$A:$AE,VLOOKUP($ANZ$2,[2]ARBOR_REAJUSTE18!$A:$B,2,0),0))),"")&lt;0.01%,0.01%,(IFERROR(IF($ANZ3="","",IF($ANZ3=0,1,1-$ANZ3/HLOOKUP(AOK$3,[2]ARBOR_REAJUSTE18!$A:$AE,VLOOKUP($ANZ$2,[2]ARBOR_REAJUSTE18!$A:$B,2,0),0))),""))),4)</f>
        <v>#VALUE!</v>
      </c>
      <c r="AOL3" s="44" t="e">
        <f>ROUNDUP(IF(IFERROR(IF($ANZ3="","",IF($ANZ3=0,1,1-$ANZ3/HLOOKUP(AOL$3,[2]ARBOR_REAJUSTE18!$A:$AE,VLOOKUP($ANZ$2,[2]ARBOR_REAJUSTE18!$A:$B,2,0),0))),"")&lt;0.01%,0.01%,(IFERROR(IF($ANZ3="","",IF($ANZ3=0,1,1-$ANZ3/HLOOKUP(AOL$3,[2]ARBOR_REAJUSTE18!$A:$AE,VLOOKUP($ANZ$2,[2]ARBOR_REAJUSTE18!$A:$B,2,0),0))),""))),4)</f>
        <v>#VALUE!</v>
      </c>
      <c r="AOM3" s="44" t="e">
        <f>ROUNDUP(IF(IFERROR(IF($ANZ3="","",IF($ANZ3=0,1,1-$ANZ3/HLOOKUP(AOM$3,[2]ARBOR_REAJUSTE18!$A:$AE,VLOOKUP($ANZ$2,[2]ARBOR_REAJUSTE18!$A:$B,2,0),0))),"")&lt;0.01%,0.01%,(IFERROR(IF($ANZ3="","",IF($ANZ3=0,1,1-$ANZ3/HLOOKUP(AOM$3,[2]ARBOR_REAJUSTE18!$A:$AE,VLOOKUP($ANZ$2,[2]ARBOR_REAJUSTE18!$A:$B,2,0),0))),""))),4)</f>
        <v>#VALUE!</v>
      </c>
      <c r="AON3" s="44" t="e">
        <f>ROUNDUP(IF(IFERROR(IF($ANZ3="","",IF($ANZ3=0,1,1-$ANZ3/HLOOKUP(AON$3,[2]ARBOR_REAJUSTE18!$A:$AE,VLOOKUP($ANZ$2,[2]ARBOR_REAJUSTE18!$A:$B,2,0),0))),"")&lt;0.01%,0.01%,(IFERROR(IF($ANZ3="","",IF($ANZ3=0,1,1-$ANZ3/HLOOKUP(AON$3,[2]ARBOR_REAJUSTE18!$A:$AE,VLOOKUP($ANZ$2,[2]ARBOR_REAJUSTE18!$A:$B,2,0),0))),""))),4)</f>
        <v>#VALUE!</v>
      </c>
      <c r="AOO3" s="44" t="e">
        <f>ROUNDUP(IF(IFERROR(IF($ANZ3="","",IF($ANZ3=0,1,1-$ANZ3/HLOOKUP(AOO$3,[2]ARBOR_REAJUSTE18!$A:$AE,VLOOKUP($ANZ$2,[2]ARBOR_REAJUSTE18!$A:$B,2,0),0))),"")&lt;0.01%,0.01%,(IFERROR(IF($ANZ3="","",IF($ANZ3=0,1,1-$ANZ3/HLOOKUP(AOO$3,[2]ARBOR_REAJUSTE18!$A:$AE,VLOOKUP($ANZ$2,[2]ARBOR_REAJUSTE18!$A:$B,2,0),0))),""))),4)</f>
        <v>#VALUE!</v>
      </c>
      <c r="AOP3" s="44" t="e">
        <f>ROUNDUP(IF(IFERROR(IF($ANZ3="","",IF($ANZ3=0,1,1-$ANZ3/HLOOKUP(AOP$3,[2]ARBOR_REAJUSTE18!$A:$AE,VLOOKUP($ANZ$2,[2]ARBOR_REAJUSTE18!$A:$B,2,0),0))),"")&lt;0.01%,0.01%,(IFERROR(IF($ANZ3="","",IF($ANZ3=0,1,1-$ANZ3/HLOOKUP(AOP$3,[2]ARBOR_REAJUSTE18!$A:$AE,VLOOKUP($ANZ$2,[2]ARBOR_REAJUSTE18!$A:$B,2,0),0))),""))),4)</f>
        <v>#VALUE!</v>
      </c>
      <c r="AOQ3" s="44" t="e">
        <f>ROUNDUP(IF(IFERROR(IF($ANZ3="","",IF($ANZ3=0,1,1-$ANZ3/HLOOKUP(AOQ$3,[2]ARBOR_REAJUSTE18!$A:$AE,VLOOKUP($ANZ$2,[2]ARBOR_REAJUSTE18!$A:$B,2,0),0))),"")&lt;0.01%,0.01%,(IFERROR(IF($ANZ3="","",IF($ANZ3=0,1,1-$ANZ3/HLOOKUP(AOQ$3,[2]ARBOR_REAJUSTE18!$A:$AE,VLOOKUP($ANZ$2,[2]ARBOR_REAJUSTE18!$A:$B,2,0),0))),""))),4)</f>
        <v>#VALUE!</v>
      </c>
      <c r="AOR3" s="44" t="e">
        <f>ROUNDUP(IF(IFERROR(IF($ANZ3="","",IF($ANZ3=0,1,1-$ANZ3/HLOOKUP(AOR$3,[2]ARBOR_REAJUSTE18!$A:$AE,VLOOKUP($ANZ$2,[2]ARBOR_REAJUSTE18!$A:$B,2,0),0))),"")&lt;0.01%,0.01%,(IFERROR(IF($ANZ3="","",IF($ANZ3=0,1,1-$ANZ3/HLOOKUP(AOR$3,[2]ARBOR_REAJUSTE18!$A:$AE,VLOOKUP($ANZ$2,[2]ARBOR_REAJUSTE18!$A:$B,2,0),0))),""))),4)</f>
        <v>#VALUE!</v>
      </c>
      <c r="AOS3" s="44" t="e">
        <f>ROUNDUP(IF(IFERROR(IF($ANZ3="","",IF($ANZ3=0,1,1-$ANZ3/HLOOKUP(AOS$3,[2]ARBOR_REAJUSTE18!$A:$AE,VLOOKUP($ANZ$2,[2]ARBOR_REAJUSTE18!$A:$B,2,0),0))),"")&lt;0.01%,0.01%,(IFERROR(IF($ANZ3="","",IF($ANZ3=0,1,1-$ANZ3/HLOOKUP(AOS$3,[2]ARBOR_REAJUSTE18!$A:$AE,VLOOKUP($ANZ$2,[2]ARBOR_REAJUSTE18!$A:$B,2,0),0))),""))),4)</f>
        <v>#VALUE!</v>
      </c>
      <c r="AOT3" s="44" t="e">
        <f>ROUNDUP(IF(IFERROR(IF($ANZ3="","",IF($ANZ3=0,1,1-$ANZ3/HLOOKUP(AOT$3,[2]ARBOR_REAJUSTE18!$A:$AE,VLOOKUP($ANZ$2,[2]ARBOR_REAJUSTE18!$A:$B,2,0),0))),"")&lt;0.01%,0.01%,(IFERROR(IF($ANZ3="","",IF($ANZ3=0,1,1-$ANZ3/HLOOKUP(AOT$3,[2]ARBOR_REAJUSTE18!$A:$AE,VLOOKUP($ANZ$2,[2]ARBOR_REAJUSTE18!$A:$B,2,0),0))),""))),4)</f>
        <v>#VALUE!</v>
      </c>
      <c r="AOU3" s="44" t="e">
        <f>ROUNDUP(IF(IFERROR(IF($ANZ3="","",IF($ANZ3=0,1,1-$ANZ3/HLOOKUP(AOU$3,[2]ARBOR_REAJUSTE18!$A:$AE,VLOOKUP($ANZ$2,[2]ARBOR_REAJUSTE18!$A:$B,2,0),0))),"")&lt;0.01%,0.01%,(IFERROR(IF($ANZ3="","",IF($ANZ3=0,1,1-$ANZ3/HLOOKUP(AOU$3,[2]ARBOR_REAJUSTE18!$A:$AE,VLOOKUP($ANZ$2,[2]ARBOR_REAJUSTE18!$A:$B,2,0),0))),""))),4)</f>
        <v>#VALUE!</v>
      </c>
      <c r="AOV3" s="44" t="e">
        <f>ROUNDUP(IF(IFERROR(IF($ANZ3="","",IF($ANZ3=0,1,1-$ANZ3/HLOOKUP(AOV$3,[2]ARBOR_REAJUSTE18!$A:$AE,VLOOKUP($ANZ$2,[2]ARBOR_REAJUSTE18!$A:$B,2,0),0))),"")&lt;0.01%,0.01%,(IFERROR(IF($ANZ3="","",IF($ANZ3=0,1,1-$ANZ3/HLOOKUP(AOV$3,[2]ARBOR_REAJUSTE18!$A:$AE,VLOOKUP($ANZ$2,[2]ARBOR_REAJUSTE18!$A:$B,2,0),0))),""))),4)</f>
        <v>#VALUE!</v>
      </c>
      <c r="AOW3" s="44" t="e">
        <f>ROUNDUP(IF(IFERROR(IF($ANZ3="","",IF($ANZ3=0,1,1-$ANZ3/HLOOKUP(AOW$3,[2]ARBOR_REAJUSTE18!$A:$AE,VLOOKUP($ANZ$2,[2]ARBOR_REAJUSTE18!$A:$B,2,0),0))),"")&lt;0.01%,0.01%,(IFERROR(IF($ANZ3="","",IF($ANZ3=0,1,1-$ANZ3/HLOOKUP(AOW$3,[2]ARBOR_REAJUSTE18!$A:$AE,VLOOKUP($ANZ$2,[2]ARBOR_REAJUSTE18!$A:$B,2,0),0))),""))),4)</f>
        <v>#VALUE!</v>
      </c>
      <c r="AOX3" s="44" t="e">
        <f>ROUNDUP(IF(IFERROR(IF($ANZ3="","",IF($ANZ3=0,1,1-$ANZ3/HLOOKUP(AOX$3,[2]ARBOR_REAJUSTE18!$A:$AE,VLOOKUP($ANZ$2,[2]ARBOR_REAJUSTE18!$A:$B,2,0),0))),"")&lt;0.01%,0.01%,(IFERROR(IF($ANZ3="","",IF($ANZ3=0,1,1-$ANZ3/HLOOKUP(AOX$3,[2]ARBOR_REAJUSTE18!$A:$AE,VLOOKUP($ANZ$2,[2]ARBOR_REAJUSTE18!$A:$B,2,0),0))),""))),4)</f>
        <v>#VALUE!</v>
      </c>
      <c r="AOY3" s="44" t="e">
        <f>ROUNDUP(IF(IFERROR(IF($ANZ3="","",IF($ANZ3=0,1,1-$ANZ3/HLOOKUP(AOY$3,[2]ARBOR_REAJUSTE18!$A:$AE,VLOOKUP($ANZ$2,[2]ARBOR_REAJUSTE18!$A:$B,2,0),0))),"")&lt;0.01%,0.01%,(IFERROR(IF($ANZ3="","",IF($ANZ3=0,1,1-$ANZ3/HLOOKUP(AOY$3,[2]ARBOR_REAJUSTE18!$A:$AE,VLOOKUP($ANZ$2,[2]ARBOR_REAJUSTE18!$A:$B,2,0),0))),""))),4)</f>
        <v>#VALUE!</v>
      </c>
      <c r="AOZ3" s="44" t="e">
        <f>ROUNDUP(IF(IFERROR(IF($ANZ3="","",IF($ANZ3=0,1,1-$ANZ3/HLOOKUP(AOZ$3,[2]ARBOR_REAJUSTE18!$A:$AE,VLOOKUP($ANZ$2,[2]ARBOR_REAJUSTE18!$A:$B,2,0),0))),"")&lt;0.01%,0.01%,(IFERROR(IF($ANZ3="","",IF($ANZ3=0,1,1-$ANZ3/HLOOKUP(AOZ$3,[2]ARBOR_REAJUSTE18!$A:$AE,VLOOKUP($ANZ$2,[2]ARBOR_REAJUSTE18!$A:$B,2,0),0))),""))),4)</f>
        <v>#VALUE!</v>
      </c>
      <c r="APA3" s="44" t="e">
        <f>ROUNDUP(IF(IFERROR(IF($ANZ3="","",IF($ANZ3=0,1,1-$ANZ3/HLOOKUP(APA$3,[2]ARBOR_REAJUSTE18!$A:$AE,VLOOKUP($ANZ$2,[2]ARBOR_REAJUSTE18!$A:$B,2,0),0))),"")&lt;0.01%,0.01%,(IFERROR(IF($ANZ3="","",IF($ANZ3=0,1,1-$ANZ3/HLOOKUP(APA$3,[2]ARBOR_REAJUSTE18!$A:$AE,VLOOKUP($ANZ$2,[2]ARBOR_REAJUSTE18!$A:$B,2,0),0))),""))),4)</f>
        <v>#VALUE!</v>
      </c>
      <c r="APB3" s="44" t="e">
        <f>ROUNDUP(IF(IFERROR(IF($ANZ3="","",IF($ANZ3=0,1,1-$ANZ3/HLOOKUP(APB$3,[2]ARBOR_REAJUSTE18!$A:$AE,VLOOKUP($ANZ$2,[2]ARBOR_REAJUSTE18!$A:$B,2,0),0))),"")&lt;0.01%,0.01%,(IFERROR(IF($ANZ3="","",IF($ANZ3=0,1,1-$ANZ3/HLOOKUP(APB$3,[2]ARBOR_REAJUSTE18!$A:$AE,VLOOKUP($ANZ$2,[2]ARBOR_REAJUSTE18!$A:$B,2,0),0))),""))),4)</f>
        <v>#VALUE!</v>
      </c>
      <c r="APC3" s="56"/>
      <c r="APD3" s="64"/>
      <c r="APE3" s="44" t="e">
        <f>ROUNDUP(IF(IFERROR(IF($APC3="","",IF($APC3=0,1,1-$APC3/HLOOKUP(APE$3,[2]ARBOR_REAJUSTE18!$A:$AE,VLOOKUP($APC$2,[2]ARBOR_REAJUSTE18!$A:$B,2,0),0))),"")&lt;0.01%,0.01%,(IFERROR(IF($APC3="","",IF($APC3=0,1,1-$APC3/HLOOKUP(APE$3,[2]ARBOR_REAJUSTE18!$A:$AE,VLOOKUP($APC$2,[2]ARBOR_REAJUSTE18!$A:$B,2,0),0))),""))),4)</f>
        <v>#VALUE!</v>
      </c>
      <c r="APF3" s="44" t="e">
        <f>ROUNDUP(IF(IFERROR(IF($APC3="","",IF($APC3=0,1,1-$APC3/HLOOKUP(APF$3,[2]ARBOR_REAJUSTE18!$A:$AE,VLOOKUP($APC$2,[2]ARBOR_REAJUSTE18!$A:$B,2,0),0))),"")&lt;0.01%,0.01%,(IFERROR(IF($APC3="","",IF($APC3=0,1,1-$APC3/HLOOKUP(APF$3,[2]ARBOR_REAJUSTE18!$A:$AE,VLOOKUP($APC$2,[2]ARBOR_REAJUSTE18!$A:$B,2,0),0))),""))),4)</f>
        <v>#VALUE!</v>
      </c>
      <c r="APG3" s="44" t="e">
        <f>ROUNDUP(IF(IFERROR(IF($APC3="","",IF($APC3=0,1,1-$APC3/HLOOKUP(APG$3,[2]ARBOR_REAJUSTE18!$A:$AE,VLOOKUP($APC$2,[2]ARBOR_REAJUSTE18!$A:$B,2,0),0))),"")&lt;0.01%,0.01%,(IFERROR(IF($APC3="","",IF($APC3=0,1,1-$APC3/HLOOKUP(APG$3,[2]ARBOR_REAJUSTE18!$A:$AE,VLOOKUP($APC$2,[2]ARBOR_REAJUSTE18!$A:$B,2,0),0))),""))),4)</f>
        <v>#VALUE!</v>
      </c>
      <c r="APH3" s="44" t="e">
        <f>ROUNDUP(IF(IFERROR(IF($APC3="","",IF($APC3=0,1,1-$APC3/HLOOKUP(APH$3,[2]ARBOR_REAJUSTE18!$A:$AE,VLOOKUP($APC$2,[2]ARBOR_REAJUSTE18!$A:$B,2,0),0))),"")&lt;0.01%,0.01%,(IFERROR(IF($APC3="","",IF($APC3=0,1,1-$APC3/HLOOKUP(APH$3,[2]ARBOR_REAJUSTE18!$A:$AE,VLOOKUP($APC$2,[2]ARBOR_REAJUSTE18!$A:$B,2,0),0))),""))),4)</f>
        <v>#VALUE!</v>
      </c>
      <c r="API3" s="44" t="e">
        <f>ROUNDUP(IF(IFERROR(IF($APC3="","",IF($APC3=0,1,1-$APC3/HLOOKUP(API$3,[2]ARBOR_REAJUSTE18!$A:$AE,VLOOKUP($APC$2,[2]ARBOR_REAJUSTE18!$A:$B,2,0),0))),"")&lt;0.01%,0.01%,(IFERROR(IF($APC3="","",IF($APC3=0,1,1-$APC3/HLOOKUP(API$3,[2]ARBOR_REAJUSTE18!$A:$AE,VLOOKUP($APC$2,[2]ARBOR_REAJUSTE18!$A:$B,2,0),0))),""))),4)</f>
        <v>#VALUE!</v>
      </c>
      <c r="APJ3" s="44" t="e">
        <f>ROUNDUP(IF(IFERROR(IF($APC3="","",IF($APC3=0,1,1-$APC3/HLOOKUP(APJ$3,[2]ARBOR_REAJUSTE18!$A:$AE,VLOOKUP($APC$2,[2]ARBOR_REAJUSTE18!$A:$B,2,0),0))),"")&lt;0.01%,0.01%,(IFERROR(IF($APC3="","",IF($APC3=0,1,1-$APC3/HLOOKUP(APJ$3,[2]ARBOR_REAJUSTE18!$A:$AE,VLOOKUP($APC$2,[2]ARBOR_REAJUSTE18!$A:$B,2,0),0))),""))),4)</f>
        <v>#VALUE!</v>
      </c>
      <c r="APK3" s="44" t="e">
        <f>ROUNDUP(IF(IFERROR(IF($APC3="","",IF($APC3=0,1,1-$APC3/HLOOKUP(APK$3,[2]ARBOR_REAJUSTE18!$A:$AE,VLOOKUP($APC$2,[2]ARBOR_REAJUSTE18!$A:$B,2,0),0))),"")&lt;0.01%,0.01%,(IFERROR(IF($APC3="","",IF($APC3=0,1,1-$APC3/HLOOKUP(APK$3,[2]ARBOR_REAJUSTE18!$A:$AE,VLOOKUP($APC$2,[2]ARBOR_REAJUSTE18!$A:$B,2,0),0))),""))),4)</f>
        <v>#VALUE!</v>
      </c>
      <c r="APL3" s="44" t="e">
        <f>ROUNDUP(IF(IFERROR(IF($APC3="","",IF($APC3=0,1,1-$APC3/HLOOKUP(APL$3,[2]ARBOR_REAJUSTE18!$A:$AE,VLOOKUP($APC$2,[2]ARBOR_REAJUSTE18!$A:$B,2,0),0))),"")&lt;0.01%,0.01%,(IFERROR(IF($APC3="","",IF($APC3=0,1,1-$APC3/HLOOKUP(APL$3,[2]ARBOR_REAJUSTE18!$A:$AE,VLOOKUP($APC$2,[2]ARBOR_REAJUSTE18!$A:$B,2,0),0))),""))),4)</f>
        <v>#VALUE!</v>
      </c>
      <c r="APM3" s="44" t="e">
        <f>ROUNDUP(IF(IFERROR(IF($APC3="","",IF($APC3=0,1,1-$APC3/HLOOKUP(APM$3,[2]ARBOR_REAJUSTE18!$A:$AE,VLOOKUP($APC$2,[2]ARBOR_REAJUSTE18!$A:$B,2,0),0))),"")&lt;0.01%,0.01%,(IFERROR(IF($APC3="","",IF($APC3=0,1,1-$APC3/HLOOKUP(APM$3,[2]ARBOR_REAJUSTE18!$A:$AE,VLOOKUP($APC$2,[2]ARBOR_REAJUSTE18!$A:$B,2,0),0))),""))),4)</f>
        <v>#VALUE!</v>
      </c>
      <c r="APN3" s="44" t="e">
        <f>ROUNDUP(IF(IFERROR(IF($APC3="","",IF($APC3=0,1,1-$APC3/HLOOKUP(APN$3,[2]ARBOR_REAJUSTE18!$A:$AE,VLOOKUP($APC$2,[2]ARBOR_REAJUSTE18!$A:$B,2,0),0))),"")&lt;0.01%,0.01%,(IFERROR(IF($APC3="","",IF($APC3=0,1,1-$APC3/HLOOKUP(APN$3,[2]ARBOR_REAJUSTE18!$A:$AE,VLOOKUP($APC$2,[2]ARBOR_REAJUSTE18!$A:$B,2,0),0))),""))),4)</f>
        <v>#VALUE!</v>
      </c>
      <c r="APO3" s="44" t="e">
        <f>ROUNDUP(IF(IFERROR(IF($APC3="","",IF($APC3=0,1,1-$APC3/HLOOKUP(APO$3,[2]ARBOR_REAJUSTE18!$A:$AE,VLOOKUP($APC$2,[2]ARBOR_REAJUSTE18!$A:$B,2,0),0))),"")&lt;0.01%,0.01%,(IFERROR(IF($APC3="","",IF($APC3=0,1,1-$APC3/HLOOKUP(APO$3,[2]ARBOR_REAJUSTE18!$A:$AE,VLOOKUP($APC$2,[2]ARBOR_REAJUSTE18!$A:$B,2,0),0))),""))),4)</f>
        <v>#VALUE!</v>
      </c>
      <c r="APP3" s="44" t="e">
        <f>ROUNDUP(IF(IFERROR(IF($APC3="","",IF($APC3=0,1,1-$APC3/HLOOKUP(APP$3,[2]ARBOR_REAJUSTE18!$A:$AE,VLOOKUP($APC$2,[2]ARBOR_REAJUSTE18!$A:$B,2,0),0))),"")&lt;0.01%,0.01%,(IFERROR(IF($APC3="","",IF($APC3=0,1,1-$APC3/HLOOKUP(APP$3,[2]ARBOR_REAJUSTE18!$A:$AE,VLOOKUP($APC$2,[2]ARBOR_REAJUSTE18!$A:$B,2,0),0))),""))),4)</f>
        <v>#VALUE!</v>
      </c>
      <c r="APQ3" s="44" t="e">
        <f>ROUNDUP(IF(IFERROR(IF($APC3="","",IF($APC3=0,1,1-$APC3/HLOOKUP(APQ$3,[2]ARBOR_REAJUSTE18!$A:$AE,VLOOKUP($APC$2,[2]ARBOR_REAJUSTE18!$A:$B,2,0),0))),"")&lt;0.01%,0.01%,(IFERROR(IF($APC3="","",IF($APC3=0,1,1-$APC3/HLOOKUP(APQ$3,[2]ARBOR_REAJUSTE18!$A:$AE,VLOOKUP($APC$2,[2]ARBOR_REAJUSTE18!$A:$B,2,0),0))),""))),4)</f>
        <v>#VALUE!</v>
      </c>
      <c r="APR3" s="44" t="e">
        <f>ROUNDUP(IF(IFERROR(IF($APC3="","",IF($APC3=0,1,1-$APC3/HLOOKUP(APR$3,[2]ARBOR_REAJUSTE18!$A:$AE,VLOOKUP($APC$2,[2]ARBOR_REAJUSTE18!$A:$B,2,0),0))),"")&lt;0.01%,0.01%,(IFERROR(IF($APC3="","",IF($APC3=0,1,1-$APC3/HLOOKUP(APR$3,[2]ARBOR_REAJUSTE18!$A:$AE,VLOOKUP($APC$2,[2]ARBOR_REAJUSTE18!$A:$B,2,0),0))),""))),4)</f>
        <v>#VALUE!</v>
      </c>
      <c r="APS3" s="44" t="e">
        <f>ROUNDUP(IF(IFERROR(IF($APC3="","",IF($APC3=0,1,1-$APC3/HLOOKUP(APS$3,[2]ARBOR_REAJUSTE18!$A:$AE,VLOOKUP($APC$2,[2]ARBOR_REAJUSTE18!$A:$B,2,0),0))),"")&lt;0.01%,0.01%,(IFERROR(IF($APC3="","",IF($APC3=0,1,1-$APC3/HLOOKUP(APS$3,[2]ARBOR_REAJUSTE18!$A:$AE,VLOOKUP($APC$2,[2]ARBOR_REAJUSTE18!$A:$B,2,0),0))),""))),4)</f>
        <v>#VALUE!</v>
      </c>
      <c r="APT3" s="44" t="e">
        <f>ROUNDUP(IF(IFERROR(IF($APC3="","",IF($APC3=0,1,1-$APC3/HLOOKUP(APT$3,[2]ARBOR_REAJUSTE18!$A:$AE,VLOOKUP($APC$2,[2]ARBOR_REAJUSTE18!$A:$B,2,0),0))),"")&lt;0.01%,0.01%,(IFERROR(IF($APC3="","",IF($APC3=0,1,1-$APC3/HLOOKUP(APT$3,[2]ARBOR_REAJUSTE18!$A:$AE,VLOOKUP($APC$2,[2]ARBOR_REAJUSTE18!$A:$B,2,0),0))),""))),4)</f>
        <v>#VALUE!</v>
      </c>
      <c r="APU3" s="44" t="e">
        <f>ROUNDUP(IF(IFERROR(IF($APC3="","",IF($APC3=0,1,1-$APC3/HLOOKUP(APU$3,[2]ARBOR_REAJUSTE18!$A:$AE,VLOOKUP($APC$2,[2]ARBOR_REAJUSTE18!$A:$B,2,0),0))),"")&lt;0.01%,0.01%,(IFERROR(IF($APC3="","",IF($APC3=0,1,1-$APC3/HLOOKUP(APU$3,[2]ARBOR_REAJUSTE18!$A:$AE,VLOOKUP($APC$2,[2]ARBOR_REAJUSTE18!$A:$B,2,0),0))),""))),4)</f>
        <v>#VALUE!</v>
      </c>
      <c r="APV3" s="44" t="e">
        <f>ROUNDUP(IF(IFERROR(IF($APC3="","",IF($APC3=0,1,1-$APC3/HLOOKUP(APV$3,[2]ARBOR_REAJUSTE18!$A:$AE,VLOOKUP($APC$2,[2]ARBOR_REAJUSTE18!$A:$B,2,0),0))),"")&lt;0.01%,0.01%,(IFERROR(IF($APC3="","",IF($APC3=0,1,1-$APC3/HLOOKUP(APV$3,[2]ARBOR_REAJUSTE18!$A:$AE,VLOOKUP($APC$2,[2]ARBOR_REAJUSTE18!$A:$B,2,0),0))),""))),4)</f>
        <v>#VALUE!</v>
      </c>
      <c r="APW3" s="44" t="e">
        <f>ROUNDUP(IF(IFERROR(IF($APC3="","",IF($APC3=0,1,1-$APC3/HLOOKUP(APW$3,[2]ARBOR_REAJUSTE18!$A:$AE,VLOOKUP($APC$2,[2]ARBOR_REAJUSTE18!$A:$B,2,0),0))),"")&lt;0.01%,0.01%,(IFERROR(IF($APC3="","",IF($APC3=0,1,1-$APC3/HLOOKUP(APW$3,[2]ARBOR_REAJUSTE18!$A:$AE,VLOOKUP($APC$2,[2]ARBOR_REAJUSTE18!$A:$B,2,0),0))),""))),4)</f>
        <v>#VALUE!</v>
      </c>
      <c r="APX3" s="44" t="e">
        <f>ROUNDUP(IF(IFERROR(IF($APC3="","",IF($APC3=0,1,1-$APC3/HLOOKUP(APX$3,[2]ARBOR_REAJUSTE18!$A:$AE,VLOOKUP($APC$2,[2]ARBOR_REAJUSTE18!$A:$B,2,0),0))),"")&lt;0.01%,0.01%,(IFERROR(IF($APC3="","",IF($APC3=0,1,1-$APC3/HLOOKUP(APX$3,[2]ARBOR_REAJUSTE18!$A:$AE,VLOOKUP($APC$2,[2]ARBOR_REAJUSTE18!$A:$B,2,0),0))),""))),4)</f>
        <v>#VALUE!</v>
      </c>
      <c r="APY3" s="44" t="e">
        <f>ROUNDUP(IF(IFERROR(IF($APC3="","",IF($APC3=0,1,1-$APC3/HLOOKUP(APY$3,[2]ARBOR_REAJUSTE18!$A:$AE,VLOOKUP($APC$2,[2]ARBOR_REAJUSTE18!$A:$B,2,0),0))),"")&lt;0.01%,0.01%,(IFERROR(IF($APC3="","",IF($APC3=0,1,1-$APC3/HLOOKUP(APY$3,[2]ARBOR_REAJUSTE18!$A:$AE,VLOOKUP($APC$2,[2]ARBOR_REAJUSTE18!$A:$B,2,0),0))),""))),4)</f>
        <v>#VALUE!</v>
      </c>
      <c r="APZ3" s="44" t="e">
        <f>ROUNDUP(IF(IFERROR(IF($APC3="","",IF($APC3=0,1,1-$APC3/HLOOKUP(APZ$3,[2]ARBOR_REAJUSTE18!$A:$AE,VLOOKUP($APC$2,[2]ARBOR_REAJUSTE18!$A:$B,2,0),0))),"")&lt;0.01%,0.01%,(IFERROR(IF($APC3="","",IF($APC3=0,1,1-$APC3/HLOOKUP(APZ$3,[2]ARBOR_REAJUSTE18!$A:$AE,VLOOKUP($APC$2,[2]ARBOR_REAJUSTE18!$A:$B,2,0),0))),""))),4)</f>
        <v>#VALUE!</v>
      </c>
      <c r="AQA3" s="44" t="e">
        <f>ROUNDUP(IF(IFERROR(IF($APC3="","",IF($APC3=0,1,1-$APC3/HLOOKUP(AQA$3,[2]ARBOR_REAJUSTE18!$A:$AE,VLOOKUP($APC$2,[2]ARBOR_REAJUSTE18!$A:$B,2,0),0))),"")&lt;0.01%,0.01%,(IFERROR(IF($APC3="","",IF($APC3=0,1,1-$APC3/HLOOKUP(AQA$3,[2]ARBOR_REAJUSTE18!$A:$AE,VLOOKUP($APC$2,[2]ARBOR_REAJUSTE18!$A:$B,2,0),0))),""))),4)</f>
        <v>#VALUE!</v>
      </c>
      <c r="AQB3" s="44" t="e">
        <f>ROUNDUP(IF(IFERROR(IF($APC3="","",IF($APC3=0,1,1-$APC3/HLOOKUP(AQB$3,[2]ARBOR_REAJUSTE18!$A:$AE,VLOOKUP($APC$2,[2]ARBOR_REAJUSTE18!$A:$B,2,0),0))),"")&lt;0.01%,0.01%,(IFERROR(IF($APC3="","",IF($APC3=0,1,1-$APC3/HLOOKUP(AQB$3,[2]ARBOR_REAJUSTE18!$A:$AE,VLOOKUP($APC$2,[2]ARBOR_REAJUSTE18!$A:$B,2,0),0))),""))),4)</f>
        <v>#VALUE!</v>
      </c>
      <c r="AQC3" s="44" t="e">
        <f>ROUNDUP(IF(IFERROR(IF($APC3="","",IF($APC3=0,1,1-$APC3/HLOOKUP(AQC$3,[2]ARBOR_REAJUSTE18!$A:$AE,VLOOKUP($APC$2,[2]ARBOR_REAJUSTE18!$A:$B,2,0),0))),"")&lt;0.01%,0.01%,(IFERROR(IF($APC3="","",IF($APC3=0,1,1-$APC3/HLOOKUP(AQC$3,[2]ARBOR_REAJUSTE18!$A:$AE,VLOOKUP($APC$2,[2]ARBOR_REAJUSTE18!$A:$B,2,0),0))),""))),4)</f>
        <v>#VALUE!</v>
      </c>
      <c r="AQD3" s="44" t="e">
        <f>ROUNDUP(IF(IFERROR(IF($APC3="","",IF($APC3=0,1,1-$APC3/HLOOKUP(AQD$3,[2]ARBOR_REAJUSTE18!$A:$AE,VLOOKUP($APC$2,[2]ARBOR_REAJUSTE18!$A:$B,2,0),0))),"")&lt;0.01%,0.01%,(IFERROR(IF($APC3="","",IF($APC3=0,1,1-$APC3/HLOOKUP(AQD$3,[2]ARBOR_REAJUSTE18!$A:$AE,VLOOKUP($APC$2,[2]ARBOR_REAJUSTE18!$A:$B,2,0),0))),""))),4)</f>
        <v>#VALUE!</v>
      </c>
      <c r="AQE3" s="44" t="e">
        <f>ROUNDUP(IF(IFERROR(IF($APC3="","",IF($APC3=0,1,1-$APC3/HLOOKUP(AQE$3,[2]ARBOR_REAJUSTE18!$A:$AE,VLOOKUP($APC$2,[2]ARBOR_REAJUSTE18!$A:$B,2,0),0))),"")&lt;0.01%,0.01%,(IFERROR(IF($APC3="","",IF($APC3=0,1,1-$APC3/HLOOKUP(AQE$3,[2]ARBOR_REAJUSTE18!$A:$AE,VLOOKUP($APC$2,[2]ARBOR_REAJUSTE18!$A:$B,2,0),0))),""))),4)</f>
        <v>#VALUE!</v>
      </c>
      <c r="AQF3" s="56"/>
      <c r="AQG3" s="64"/>
      <c r="AQH3" s="44" t="e">
        <f>ROUNDUP(IF(IFERROR(IF($AQF3="","",IF($AQF3=0,1,1-$AQF3/HLOOKUP(AQH$3,[2]ARBOR_REAJUSTE18!$A:$AE,VLOOKUP($AQF$2,[2]ARBOR_REAJUSTE18!$A:$B,2,0),0))),"")&lt;0.01%,0.01%,(IFERROR(IF($AQF3="","",IF($AQF3=0,1,1-$AQF3/HLOOKUP(AQH$3,[2]ARBOR_REAJUSTE18!$A:$AE,VLOOKUP($AQF$2,[2]ARBOR_REAJUSTE18!$A:$B,2,0),0))),""))),4)</f>
        <v>#VALUE!</v>
      </c>
      <c r="AQI3" s="44" t="e">
        <f>ROUNDUP(IF(IFERROR(IF($AQF3="","",IF($AQF3=0,1,1-$AQF3/HLOOKUP(AQI$3,[2]ARBOR_REAJUSTE18!$A:$AE,VLOOKUP($AQF$2,[2]ARBOR_REAJUSTE18!$A:$B,2,0),0))),"")&lt;0.01%,0.01%,(IFERROR(IF($AQF3="","",IF($AQF3=0,1,1-$AQF3/HLOOKUP(AQI$3,[2]ARBOR_REAJUSTE18!$A:$AE,VLOOKUP($AQF$2,[2]ARBOR_REAJUSTE18!$A:$B,2,0),0))),""))),4)</f>
        <v>#VALUE!</v>
      </c>
      <c r="AQJ3" s="44" t="e">
        <f>ROUNDUP(IF(IFERROR(IF($AQF3="","",IF($AQF3=0,1,1-$AQF3/HLOOKUP(AQJ$3,[2]ARBOR_REAJUSTE18!$A:$AE,VLOOKUP($AQF$2,[2]ARBOR_REAJUSTE18!$A:$B,2,0),0))),"")&lt;0.01%,0.01%,(IFERROR(IF($AQF3="","",IF($AQF3=0,1,1-$AQF3/HLOOKUP(AQJ$3,[2]ARBOR_REAJUSTE18!$A:$AE,VLOOKUP($AQF$2,[2]ARBOR_REAJUSTE18!$A:$B,2,0),0))),""))),4)</f>
        <v>#VALUE!</v>
      </c>
      <c r="AQK3" s="44" t="e">
        <f>ROUNDUP(IF(IFERROR(IF($AQF3="","",IF($AQF3=0,1,1-$AQF3/HLOOKUP(AQK$3,[2]ARBOR_REAJUSTE18!$A:$AE,VLOOKUP($AQF$2,[2]ARBOR_REAJUSTE18!$A:$B,2,0),0))),"")&lt;0.01%,0.01%,(IFERROR(IF($AQF3="","",IF($AQF3=0,1,1-$AQF3/HLOOKUP(AQK$3,[2]ARBOR_REAJUSTE18!$A:$AE,VLOOKUP($AQF$2,[2]ARBOR_REAJUSTE18!$A:$B,2,0),0))),""))),4)</f>
        <v>#VALUE!</v>
      </c>
      <c r="AQL3" s="44" t="e">
        <f>ROUNDUP(IF(IFERROR(IF($AQF3="","",IF($AQF3=0,1,1-$AQF3/HLOOKUP(AQL$3,[2]ARBOR_REAJUSTE18!$A:$AE,VLOOKUP($AQF$2,[2]ARBOR_REAJUSTE18!$A:$B,2,0),0))),"")&lt;0.01%,0.01%,(IFERROR(IF($AQF3="","",IF($AQF3=0,1,1-$AQF3/HLOOKUP(AQL$3,[2]ARBOR_REAJUSTE18!$A:$AE,VLOOKUP($AQF$2,[2]ARBOR_REAJUSTE18!$A:$B,2,0),0))),""))),4)</f>
        <v>#VALUE!</v>
      </c>
      <c r="AQM3" s="44" t="e">
        <f>ROUNDUP(IF(IFERROR(IF($AQF3="","",IF($AQF3=0,1,1-$AQF3/HLOOKUP(AQM$3,[2]ARBOR_REAJUSTE18!$A:$AE,VLOOKUP($AQF$2,[2]ARBOR_REAJUSTE18!$A:$B,2,0),0))),"")&lt;0.01%,0.01%,(IFERROR(IF($AQF3="","",IF($AQF3=0,1,1-$AQF3/HLOOKUP(AQM$3,[2]ARBOR_REAJUSTE18!$A:$AE,VLOOKUP($AQF$2,[2]ARBOR_REAJUSTE18!$A:$B,2,0),0))),""))),4)</f>
        <v>#VALUE!</v>
      </c>
      <c r="AQN3" s="44" t="e">
        <f>ROUNDUP(IF(IFERROR(IF($AQF3="","",IF($AQF3=0,1,1-$AQF3/HLOOKUP(AQN$3,[2]ARBOR_REAJUSTE18!$A:$AE,VLOOKUP($AQF$2,[2]ARBOR_REAJUSTE18!$A:$B,2,0),0))),"")&lt;0.01%,0.01%,(IFERROR(IF($AQF3="","",IF($AQF3=0,1,1-$AQF3/HLOOKUP(AQN$3,[2]ARBOR_REAJUSTE18!$A:$AE,VLOOKUP($AQF$2,[2]ARBOR_REAJUSTE18!$A:$B,2,0),0))),""))),4)</f>
        <v>#VALUE!</v>
      </c>
      <c r="AQO3" s="44" t="e">
        <f>ROUNDUP(IF(IFERROR(IF($AQF3="","",IF($AQF3=0,1,1-$AQF3/HLOOKUP(AQO$3,[2]ARBOR_REAJUSTE18!$A:$AE,VLOOKUP($AQF$2,[2]ARBOR_REAJUSTE18!$A:$B,2,0),0))),"")&lt;0.01%,0.01%,(IFERROR(IF($AQF3="","",IF($AQF3=0,1,1-$AQF3/HLOOKUP(AQO$3,[2]ARBOR_REAJUSTE18!$A:$AE,VLOOKUP($AQF$2,[2]ARBOR_REAJUSTE18!$A:$B,2,0),0))),""))),4)</f>
        <v>#VALUE!</v>
      </c>
      <c r="AQP3" s="44" t="e">
        <f>ROUNDUP(IF(IFERROR(IF($AQF3="","",IF($AQF3=0,1,1-$AQF3/HLOOKUP(AQP$3,[2]ARBOR_REAJUSTE18!$A:$AE,VLOOKUP($AQF$2,[2]ARBOR_REAJUSTE18!$A:$B,2,0),0))),"")&lt;0.01%,0.01%,(IFERROR(IF($AQF3="","",IF($AQF3=0,1,1-$AQF3/HLOOKUP(AQP$3,[2]ARBOR_REAJUSTE18!$A:$AE,VLOOKUP($AQF$2,[2]ARBOR_REAJUSTE18!$A:$B,2,0),0))),""))),4)</f>
        <v>#VALUE!</v>
      </c>
      <c r="AQQ3" s="44" t="e">
        <f>ROUNDUP(IF(IFERROR(IF($AQF3="","",IF($AQF3=0,1,1-$AQF3/HLOOKUP(AQQ$3,[2]ARBOR_REAJUSTE18!$A:$AE,VLOOKUP($AQF$2,[2]ARBOR_REAJUSTE18!$A:$B,2,0),0))),"")&lt;0.01%,0.01%,(IFERROR(IF($AQF3="","",IF($AQF3=0,1,1-$AQF3/HLOOKUP(AQQ$3,[2]ARBOR_REAJUSTE18!$A:$AE,VLOOKUP($AQF$2,[2]ARBOR_REAJUSTE18!$A:$B,2,0),0))),""))),4)</f>
        <v>#VALUE!</v>
      </c>
      <c r="AQR3" s="44" t="e">
        <f>ROUNDUP(IF(IFERROR(IF($AQF3="","",IF($AQF3=0,1,1-$AQF3/HLOOKUP(AQR$3,[2]ARBOR_REAJUSTE18!$A:$AE,VLOOKUP($AQF$2,[2]ARBOR_REAJUSTE18!$A:$B,2,0),0))),"")&lt;0.01%,0.01%,(IFERROR(IF($AQF3="","",IF($AQF3=0,1,1-$AQF3/HLOOKUP(AQR$3,[2]ARBOR_REAJUSTE18!$A:$AE,VLOOKUP($AQF$2,[2]ARBOR_REAJUSTE18!$A:$B,2,0),0))),""))),4)</f>
        <v>#VALUE!</v>
      </c>
      <c r="AQS3" s="44" t="e">
        <f>ROUNDUP(IF(IFERROR(IF($AQF3="","",IF($AQF3=0,1,1-$AQF3/HLOOKUP(AQS$3,[2]ARBOR_REAJUSTE18!$A:$AE,VLOOKUP($AQF$2,[2]ARBOR_REAJUSTE18!$A:$B,2,0),0))),"")&lt;0.01%,0.01%,(IFERROR(IF($AQF3="","",IF($AQF3=0,1,1-$AQF3/HLOOKUP(AQS$3,[2]ARBOR_REAJUSTE18!$A:$AE,VLOOKUP($AQF$2,[2]ARBOR_REAJUSTE18!$A:$B,2,0),0))),""))),4)</f>
        <v>#VALUE!</v>
      </c>
      <c r="AQT3" s="44" t="e">
        <f>ROUNDUP(IF(IFERROR(IF($AQF3="","",IF($AQF3=0,1,1-$AQF3/HLOOKUP(AQT$3,[2]ARBOR_REAJUSTE18!$A:$AE,VLOOKUP($AQF$2,[2]ARBOR_REAJUSTE18!$A:$B,2,0),0))),"")&lt;0.01%,0.01%,(IFERROR(IF($AQF3="","",IF($AQF3=0,1,1-$AQF3/HLOOKUP(AQT$3,[2]ARBOR_REAJUSTE18!$A:$AE,VLOOKUP($AQF$2,[2]ARBOR_REAJUSTE18!$A:$B,2,0),0))),""))),4)</f>
        <v>#VALUE!</v>
      </c>
      <c r="AQU3" s="44" t="e">
        <f>ROUNDUP(IF(IFERROR(IF($AQF3="","",IF($AQF3=0,1,1-$AQF3/HLOOKUP(AQU$3,[2]ARBOR_REAJUSTE18!$A:$AE,VLOOKUP($AQF$2,[2]ARBOR_REAJUSTE18!$A:$B,2,0),0))),"")&lt;0.01%,0.01%,(IFERROR(IF($AQF3="","",IF($AQF3=0,1,1-$AQF3/HLOOKUP(AQU$3,[2]ARBOR_REAJUSTE18!$A:$AE,VLOOKUP($AQF$2,[2]ARBOR_REAJUSTE18!$A:$B,2,0),0))),""))),4)</f>
        <v>#VALUE!</v>
      </c>
      <c r="AQV3" s="44" t="e">
        <f>ROUNDUP(IF(IFERROR(IF($AQF3="","",IF($AQF3=0,1,1-$AQF3/HLOOKUP(AQV$3,[2]ARBOR_REAJUSTE18!$A:$AE,VLOOKUP($AQF$2,[2]ARBOR_REAJUSTE18!$A:$B,2,0),0))),"")&lt;0.01%,0.01%,(IFERROR(IF($AQF3="","",IF($AQF3=0,1,1-$AQF3/HLOOKUP(AQV$3,[2]ARBOR_REAJUSTE18!$A:$AE,VLOOKUP($AQF$2,[2]ARBOR_REAJUSTE18!$A:$B,2,0),0))),""))),4)</f>
        <v>#VALUE!</v>
      </c>
      <c r="AQW3" s="44" t="e">
        <f>ROUNDUP(IF(IFERROR(IF($AQF3="","",IF($AQF3=0,1,1-$AQF3/HLOOKUP(AQW$3,[2]ARBOR_REAJUSTE18!$A:$AE,VLOOKUP($AQF$2,[2]ARBOR_REAJUSTE18!$A:$B,2,0),0))),"")&lt;0.01%,0.01%,(IFERROR(IF($AQF3="","",IF($AQF3=0,1,1-$AQF3/HLOOKUP(AQW$3,[2]ARBOR_REAJUSTE18!$A:$AE,VLOOKUP($AQF$2,[2]ARBOR_REAJUSTE18!$A:$B,2,0),0))),""))),4)</f>
        <v>#VALUE!</v>
      </c>
      <c r="AQX3" s="44" t="e">
        <f>ROUNDUP(IF(IFERROR(IF($AQF3="","",IF($AQF3=0,1,1-$AQF3/HLOOKUP(AQX$3,[2]ARBOR_REAJUSTE18!$A:$AE,VLOOKUP($AQF$2,[2]ARBOR_REAJUSTE18!$A:$B,2,0),0))),"")&lt;0.01%,0.01%,(IFERROR(IF($AQF3="","",IF($AQF3=0,1,1-$AQF3/HLOOKUP(AQX$3,[2]ARBOR_REAJUSTE18!$A:$AE,VLOOKUP($AQF$2,[2]ARBOR_REAJUSTE18!$A:$B,2,0),0))),""))),4)</f>
        <v>#VALUE!</v>
      </c>
      <c r="AQY3" s="44" t="e">
        <f>ROUNDUP(IF(IFERROR(IF($AQF3="","",IF($AQF3=0,1,1-$AQF3/HLOOKUP(AQY$3,[2]ARBOR_REAJUSTE18!$A:$AE,VLOOKUP($AQF$2,[2]ARBOR_REAJUSTE18!$A:$B,2,0),0))),"")&lt;0.01%,0.01%,(IFERROR(IF($AQF3="","",IF($AQF3=0,1,1-$AQF3/HLOOKUP(AQY$3,[2]ARBOR_REAJUSTE18!$A:$AE,VLOOKUP($AQF$2,[2]ARBOR_REAJUSTE18!$A:$B,2,0),0))),""))),4)</f>
        <v>#VALUE!</v>
      </c>
      <c r="AQZ3" s="44" t="e">
        <f>ROUNDUP(IF(IFERROR(IF($AQF3="","",IF($AQF3=0,1,1-$AQF3/HLOOKUP(AQZ$3,[2]ARBOR_REAJUSTE18!$A:$AE,VLOOKUP($AQF$2,[2]ARBOR_REAJUSTE18!$A:$B,2,0),0))),"")&lt;0.01%,0.01%,(IFERROR(IF($AQF3="","",IF($AQF3=0,1,1-$AQF3/HLOOKUP(AQZ$3,[2]ARBOR_REAJUSTE18!$A:$AE,VLOOKUP($AQF$2,[2]ARBOR_REAJUSTE18!$A:$B,2,0),0))),""))),4)</f>
        <v>#VALUE!</v>
      </c>
      <c r="ARA3" s="44" t="e">
        <f>ROUNDUP(IF(IFERROR(IF($AQF3="","",IF($AQF3=0,1,1-$AQF3/HLOOKUP(ARA$3,[2]ARBOR_REAJUSTE18!$A:$AE,VLOOKUP($AQF$2,[2]ARBOR_REAJUSTE18!$A:$B,2,0),0))),"")&lt;0.01%,0.01%,(IFERROR(IF($AQF3="","",IF($AQF3=0,1,1-$AQF3/HLOOKUP(ARA$3,[2]ARBOR_REAJUSTE18!$A:$AE,VLOOKUP($AQF$2,[2]ARBOR_REAJUSTE18!$A:$B,2,0),0))),""))),4)</f>
        <v>#VALUE!</v>
      </c>
      <c r="ARB3" s="44" t="e">
        <f>ROUNDUP(IF(IFERROR(IF($AQF3="","",IF($AQF3=0,1,1-$AQF3/HLOOKUP(ARB$3,[2]ARBOR_REAJUSTE18!$A:$AE,VLOOKUP($AQF$2,[2]ARBOR_REAJUSTE18!$A:$B,2,0),0))),"")&lt;0.01%,0.01%,(IFERROR(IF($AQF3="","",IF($AQF3=0,1,1-$AQF3/HLOOKUP(ARB$3,[2]ARBOR_REAJUSTE18!$A:$AE,VLOOKUP($AQF$2,[2]ARBOR_REAJUSTE18!$A:$B,2,0),0))),""))),4)</f>
        <v>#VALUE!</v>
      </c>
      <c r="ARC3" s="44" t="e">
        <f>ROUNDUP(IF(IFERROR(IF($AQF3="","",IF($AQF3=0,1,1-$AQF3/HLOOKUP(ARC$3,[2]ARBOR_REAJUSTE18!$A:$AE,VLOOKUP($AQF$2,[2]ARBOR_REAJUSTE18!$A:$B,2,0),0))),"")&lt;0.01%,0.01%,(IFERROR(IF($AQF3="","",IF($AQF3=0,1,1-$AQF3/HLOOKUP(ARC$3,[2]ARBOR_REAJUSTE18!$A:$AE,VLOOKUP($AQF$2,[2]ARBOR_REAJUSTE18!$A:$B,2,0),0))),""))),4)</f>
        <v>#VALUE!</v>
      </c>
      <c r="ARD3" s="44" t="e">
        <f>ROUNDUP(IF(IFERROR(IF($AQF3="","",IF($AQF3=0,1,1-$AQF3/HLOOKUP(ARD$3,[2]ARBOR_REAJUSTE18!$A:$AE,VLOOKUP($AQF$2,[2]ARBOR_REAJUSTE18!$A:$B,2,0),0))),"")&lt;0.01%,0.01%,(IFERROR(IF($AQF3="","",IF($AQF3=0,1,1-$AQF3/HLOOKUP(ARD$3,[2]ARBOR_REAJUSTE18!$A:$AE,VLOOKUP($AQF$2,[2]ARBOR_REAJUSTE18!$A:$B,2,0),0))),""))),4)</f>
        <v>#VALUE!</v>
      </c>
      <c r="ARE3" s="44" t="e">
        <f>ROUNDUP(IF(IFERROR(IF($AQF3="","",IF($AQF3=0,1,1-$AQF3/HLOOKUP(ARE$3,[2]ARBOR_REAJUSTE18!$A:$AE,VLOOKUP($AQF$2,[2]ARBOR_REAJUSTE18!$A:$B,2,0),0))),"")&lt;0.01%,0.01%,(IFERROR(IF($AQF3="","",IF($AQF3=0,1,1-$AQF3/HLOOKUP(ARE$3,[2]ARBOR_REAJUSTE18!$A:$AE,VLOOKUP($AQF$2,[2]ARBOR_REAJUSTE18!$A:$B,2,0),0))),""))),4)</f>
        <v>#VALUE!</v>
      </c>
      <c r="ARF3" s="44" t="e">
        <f>ROUNDUP(IF(IFERROR(IF($AQF3="","",IF($AQF3=0,1,1-$AQF3/HLOOKUP(ARF$3,[2]ARBOR_REAJUSTE18!$A:$AE,VLOOKUP($AQF$2,[2]ARBOR_REAJUSTE18!$A:$B,2,0),0))),"")&lt;0.01%,0.01%,(IFERROR(IF($AQF3="","",IF($AQF3=0,1,1-$AQF3/HLOOKUP(ARF$3,[2]ARBOR_REAJUSTE18!$A:$AE,VLOOKUP($AQF$2,[2]ARBOR_REAJUSTE18!$A:$B,2,0),0))),""))),4)</f>
        <v>#VALUE!</v>
      </c>
      <c r="ARG3" s="44" t="e">
        <f>ROUNDUP(IF(IFERROR(IF($AQF3="","",IF($AQF3=0,1,1-$AQF3/HLOOKUP(ARG$3,[2]ARBOR_REAJUSTE18!$A:$AE,VLOOKUP($AQF$2,[2]ARBOR_REAJUSTE18!$A:$B,2,0),0))),"")&lt;0.01%,0.01%,(IFERROR(IF($AQF3="","",IF($AQF3=0,1,1-$AQF3/HLOOKUP(ARG$3,[2]ARBOR_REAJUSTE18!$A:$AE,VLOOKUP($AQF$2,[2]ARBOR_REAJUSTE18!$A:$B,2,0),0))),""))),4)</f>
        <v>#VALUE!</v>
      </c>
      <c r="ARH3" s="44" t="e">
        <f>ROUNDUP(IF(IFERROR(IF($AQF3="","",IF($AQF3=0,1,1-$AQF3/HLOOKUP(ARH$3,[2]ARBOR_REAJUSTE18!$A:$AE,VLOOKUP($AQF$2,[2]ARBOR_REAJUSTE18!$A:$B,2,0),0))),"")&lt;0.01%,0.01%,(IFERROR(IF($AQF3="","",IF($AQF3=0,1,1-$AQF3/HLOOKUP(ARH$3,[2]ARBOR_REAJUSTE18!$A:$AE,VLOOKUP($AQF$2,[2]ARBOR_REAJUSTE18!$A:$B,2,0),0))),""))),4)</f>
        <v>#VALUE!</v>
      </c>
      <c r="ARI3" s="56"/>
      <c r="ARJ3" s="64"/>
      <c r="ARK3" s="44" t="e">
        <f>ROUNDUP(IF(IFERROR(IF($ARI3="","",IF($ARI3=0,1,1-$ARI3/HLOOKUP(ARK$3,[2]ARBOR_REAJUSTE18!$A:$AE,VLOOKUP($ARI$2,[2]ARBOR_REAJUSTE18!$A:$B,2,0),0))),"")&lt;0.01%,0.01%,(IFERROR(IF($ARI3="","",IF($ARI3=0,1,1-$ARI3/HLOOKUP(ARK$3,[2]ARBOR_REAJUSTE18!$A:$AE,VLOOKUP($ARI$2,[2]ARBOR_REAJUSTE18!$A:$B,2,0),0))),""))),4)</f>
        <v>#VALUE!</v>
      </c>
      <c r="ARL3" s="44" t="e">
        <f>ROUNDUP(IF(IFERROR(IF($ARI3="","",IF($ARI3=0,1,1-$ARI3/HLOOKUP(ARL$3,[2]ARBOR_REAJUSTE18!$A:$AE,VLOOKUP($ARI$2,[2]ARBOR_REAJUSTE18!$A:$B,2,0),0))),"")&lt;0.01%,0.01%,(IFERROR(IF($ARI3="","",IF($ARI3=0,1,1-$ARI3/HLOOKUP(ARL$3,[2]ARBOR_REAJUSTE18!$A:$AE,VLOOKUP($ARI$2,[2]ARBOR_REAJUSTE18!$A:$B,2,0),0))),""))),4)</f>
        <v>#VALUE!</v>
      </c>
      <c r="ARM3" s="44" t="e">
        <f>ROUNDUP(IF(IFERROR(IF($ARI3="","",IF($ARI3=0,1,1-$ARI3/HLOOKUP(ARM$3,[2]ARBOR_REAJUSTE18!$A:$AE,VLOOKUP($ARI$2,[2]ARBOR_REAJUSTE18!$A:$B,2,0),0))),"")&lt;0.01%,0.01%,(IFERROR(IF($ARI3="","",IF($ARI3=0,1,1-$ARI3/HLOOKUP(ARM$3,[2]ARBOR_REAJUSTE18!$A:$AE,VLOOKUP($ARI$2,[2]ARBOR_REAJUSTE18!$A:$B,2,0),0))),""))),4)</f>
        <v>#VALUE!</v>
      </c>
      <c r="ARN3" s="44" t="e">
        <f>ROUNDUP(IF(IFERROR(IF($ARI3="","",IF($ARI3=0,1,1-$ARI3/HLOOKUP(ARN$3,[2]ARBOR_REAJUSTE18!$A:$AE,VLOOKUP($ARI$2,[2]ARBOR_REAJUSTE18!$A:$B,2,0),0))),"")&lt;0.01%,0.01%,(IFERROR(IF($ARI3="","",IF($ARI3=0,1,1-$ARI3/HLOOKUP(ARN$3,[2]ARBOR_REAJUSTE18!$A:$AE,VLOOKUP($ARI$2,[2]ARBOR_REAJUSTE18!$A:$B,2,0),0))),""))),4)</f>
        <v>#VALUE!</v>
      </c>
      <c r="ARO3" s="44" t="e">
        <f>ROUNDUP(IF(IFERROR(IF($ARI3="","",IF($ARI3=0,1,1-$ARI3/HLOOKUP(ARO$3,[2]ARBOR_REAJUSTE18!$A:$AE,VLOOKUP($ARI$2,[2]ARBOR_REAJUSTE18!$A:$B,2,0),0))),"")&lt;0.01%,0.01%,(IFERROR(IF($ARI3="","",IF($ARI3=0,1,1-$ARI3/HLOOKUP(ARO$3,[2]ARBOR_REAJUSTE18!$A:$AE,VLOOKUP($ARI$2,[2]ARBOR_REAJUSTE18!$A:$B,2,0),0))),""))),4)</f>
        <v>#VALUE!</v>
      </c>
      <c r="ARP3" s="44" t="e">
        <f>ROUNDUP(IF(IFERROR(IF($ARI3="","",IF($ARI3=0,1,1-$ARI3/HLOOKUP(ARP$3,[2]ARBOR_REAJUSTE18!$A:$AE,VLOOKUP($ARI$2,[2]ARBOR_REAJUSTE18!$A:$B,2,0),0))),"")&lt;0.01%,0.01%,(IFERROR(IF($ARI3="","",IF($ARI3=0,1,1-$ARI3/HLOOKUP(ARP$3,[2]ARBOR_REAJUSTE18!$A:$AE,VLOOKUP($ARI$2,[2]ARBOR_REAJUSTE18!$A:$B,2,0),0))),""))),4)</f>
        <v>#VALUE!</v>
      </c>
      <c r="ARQ3" s="44" t="e">
        <f>ROUNDUP(IF(IFERROR(IF($ARI3="","",IF($ARI3=0,1,1-$ARI3/HLOOKUP(ARQ$3,[2]ARBOR_REAJUSTE18!$A:$AE,VLOOKUP($ARI$2,[2]ARBOR_REAJUSTE18!$A:$B,2,0),0))),"")&lt;0.01%,0.01%,(IFERROR(IF($ARI3="","",IF($ARI3=0,1,1-$ARI3/HLOOKUP(ARQ$3,[2]ARBOR_REAJUSTE18!$A:$AE,VLOOKUP($ARI$2,[2]ARBOR_REAJUSTE18!$A:$B,2,0),0))),""))),4)</f>
        <v>#VALUE!</v>
      </c>
      <c r="ARR3" s="44" t="e">
        <f>ROUNDUP(IF(IFERROR(IF($ARI3="","",IF($ARI3=0,1,1-$ARI3/HLOOKUP(ARR$3,[2]ARBOR_REAJUSTE18!$A:$AE,VLOOKUP($ARI$2,[2]ARBOR_REAJUSTE18!$A:$B,2,0),0))),"")&lt;0.01%,0.01%,(IFERROR(IF($ARI3="","",IF($ARI3=0,1,1-$ARI3/HLOOKUP(ARR$3,[2]ARBOR_REAJUSTE18!$A:$AE,VLOOKUP($ARI$2,[2]ARBOR_REAJUSTE18!$A:$B,2,0),0))),""))),4)</f>
        <v>#VALUE!</v>
      </c>
      <c r="ARS3" s="44" t="e">
        <f>ROUNDUP(IF(IFERROR(IF($ARI3="","",IF($ARI3=0,1,1-$ARI3/HLOOKUP(ARS$3,[2]ARBOR_REAJUSTE18!$A:$AE,VLOOKUP($ARI$2,[2]ARBOR_REAJUSTE18!$A:$B,2,0),0))),"")&lt;0.01%,0.01%,(IFERROR(IF($ARI3="","",IF($ARI3=0,1,1-$ARI3/HLOOKUP(ARS$3,[2]ARBOR_REAJUSTE18!$A:$AE,VLOOKUP($ARI$2,[2]ARBOR_REAJUSTE18!$A:$B,2,0),0))),""))),4)</f>
        <v>#VALUE!</v>
      </c>
      <c r="ART3" s="44" t="e">
        <f>ROUNDUP(IF(IFERROR(IF($ARI3="","",IF($ARI3=0,1,1-$ARI3/HLOOKUP(ART$3,[2]ARBOR_REAJUSTE18!$A:$AE,VLOOKUP($ARI$2,[2]ARBOR_REAJUSTE18!$A:$B,2,0),0))),"")&lt;0.01%,0.01%,(IFERROR(IF($ARI3="","",IF($ARI3=0,1,1-$ARI3/HLOOKUP(ART$3,[2]ARBOR_REAJUSTE18!$A:$AE,VLOOKUP($ARI$2,[2]ARBOR_REAJUSTE18!$A:$B,2,0),0))),""))),4)</f>
        <v>#VALUE!</v>
      </c>
      <c r="ARU3" s="44" t="e">
        <f>ROUNDUP(IF(IFERROR(IF($ARI3="","",IF($ARI3=0,1,1-$ARI3/HLOOKUP(ARU$3,[2]ARBOR_REAJUSTE18!$A:$AE,VLOOKUP($ARI$2,[2]ARBOR_REAJUSTE18!$A:$B,2,0),0))),"")&lt;0.01%,0.01%,(IFERROR(IF($ARI3="","",IF($ARI3=0,1,1-$ARI3/HLOOKUP(ARU$3,[2]ARBOR_REAJUSTE18!$A:$AE,VLOOKUP($ARI$2,[2]ARBOR_REAJUSTE18!$A:$B,2,0),0))),""))),4)</f>
        <v>#VALUE!</v>
      </c>
      <c r="ARV3" s="44" t="e">
        <f>ROUNDUP(IF(IFERROR(IF($ARI3="","",IF($ARI3=0,1,1-$ARI3/HLOOKUP(ARV$3,[2]ARBOR_REAJUSTE18!$A:$AE,VLOOKUP($ARI$2,[2]ARBOR_REAJUSTE18!$A:$B,2,0),0))),"")&lt;0.01%,0.01%,(IFERROR(IF($ARI3="","",IF($ARI3=0,1,1-$ARI3/HLOOKUP(ARV$3,[2]ARBOR_REAJUSTE18!$A:$AE,VLOOKUP($ARI$2,[2]ARBOR_REAJUSTE18!$A:$B,2,0),0))),""))),4)</f>
        <v>#VALUE!</v>
      </c>
      <c r="ARW3" s="44" t="e">
        <f>ROUNDUP(IF(IFERROR(IF($ARI3="","",IF($ARI3=0,1,1-$ARI3/HLOOKUP(ARW$3,[2]ARBOR_REAJUSTE18!$A:$AE,VLOOKUP($ARI$2,[2]ARBOR_REAJUSTE18!$A:$B,2,0),0))),"")&lt;0.01%,0.01%,(IFERROR(IF($ARI3="","",IF($ARI3=0,1,1-$ARI3/HLOOKUP(ARW$3,[2]ARBOR_REAJUSTE18!$A:$AE,VLOOKUP($ARI$2,[2]ARBOR_REAJUSTE18!$A:$B,2,0),0))),""))),4)</f>
        <v>#VALUE!</v>
      </c>
      <c r="ARX3" s="44" t="e">
        <f>ROUNDUP(IF(IFERROR(IF($ARI3="","",IF($ARI3=0,1,1-$ARI3/HLOOKUP(ARX$3,[2]ARBOR_REAJUSTE18!$A:$AE,VLOOKUP($ARI$2,[2]ARBOR_REAJUSTE18!$A:$B,2,0),0))),"")&lt;0.01%,0.01%,(IFERROR(IF($ARI3="","",IF($ARI3=0,1,1-$ARI3/HLOOKUP(ARX$3,[2]ARBOR_REAJUSTE18!$A:$AE,VLOOKUP($ARI$2,[2]ARBOR_REAJUSTE18!$A:$B,2,0),0))),""))),4)</f>
        <v>#VALUE!</v>
      </c>
      <c r="ARY3" s="44" t="e">
        <f>ROUNDUP(IF(IFERROR(IF($ARI3="","",IF($ARI3=0,1,1-$ARI3/HLOOKUP(ARY$3,[2]ARBOR_REAJUSTE18!$A:$AE,VLOOKUP($ARI$2,[2]ARBOR_REAJUSTE18!$A:$B,2,0),0))),"")&lt;0.01%,0.01%,(IFERROR(IF($ARI3="","",IF($ARI3=0,1,1-$ARI3/HLOOKUP(ARY$3,[2]ARBOR_REAJUSTE18!$A:$AE,VLOOKUP($ARI$2,[2]ARBOR_REAJUSTE18!$A:$B,2,0),0))),""))),4)</f>
        <v>#VALUE!</v>
      </c>
      <c r="ARZ3" s="44" t="e">
        <f>ROUNDUP(IF(IFERROR(IF($ARI3="","",IF($ARI3=0,1,1-$ARI3/HLOOKUP(ARZ$3,[2]ARBOR_REAJUSTE18!$A:$AE,VLOOKUP($ARI$2,[2]ARBOR_REAJUSTE18!$A:$B,2,0),0))),"")&lt;0.01%,0.01%,(IFERROR(IF($ARI3="","",IF($ARI3=0,1,1-$ARI3/HLOOKUP(ARZ$3,[2]ARBOR_REAJUSTE18!$A:$AE,VLOOKUP($ARI$2,[2]ARBOR_REAJUSTE18!$A:$B,2,0),0))),""))),4)</f>
        <v>#VALUE!</v>
      </c>
      <c r="ASA3" s="44" t="e">
        <f>ROUNDUP(IF(IFERROR(IF($ARI3="","",IF($ARI3=0,1,1-$ARI3/HLOOKUP(ASA$3,[2]ARBOR_REAJUSTE18!$A:$AE,VLOOKUP($ARI$2,[2]ARBOR_REAJUSTE18!$A:$B,2,0),0))),"")&lt;0.01%,0.01%,(IFERROR(IF($ARI3="","",IF($ARI3=0,1,1-$ARI3/HLOOKUP(ASA$3,[2]ARBOR_REAJUSTE18!$A:$AE,VLOOKUP($ARI$2,[2]ARBOR_REAJUSTE18!$A:$B,2,0),0))),""))),4)</f>
        <v>#VALUE!</v>
      </c>
      <c r="ASB3" s="44" t="e">
        <f>ROUNDUP(IF(IFERROR(IF($ARI3="","",IF($ARI3=0,1,1-$ARI3/HLOOKUP(ASB$3,[2]ARBOR_REAJUSTE18!$A:$AE,VLOOKUP($ARI$2,[2]ARBOR_REAJUSTE18!$A:$B,2,0),0))),"")&lt;0.01%,0.01%,(IFERROR(IF($ARI3="","",IF($ARI3=0,1,1-$ARI3/HLOOKUP(ASB$3,[2]ARBOR_REAJUSTE18!$A:$AE,VLOOKUP($ARI$2,[2]ARBOR_REAJUSTE18!$A:$B,2,0),0))),""))),4)</f>
        <v>#VALUE!</v>
      </c>
      <c r="ASC3" s="44" t="e">
        <f>ROUNDUP(IF(IFERROR(IF($ARI3="","",IF($ARI3=0,1,1-$ARI3/HLOOKUP(ASC$3,[2]ARBOR_REAJUSTE18!$A:$AE,VLOOKUP($ARI$2,[2]ARBOR_REAJUSTE18!$A:$B,2,0),0))),"")&lt;0.01%,0.01%,(IFERROR(IF($ARI3="","",IF($ARI3=0,1,1-$ARI3/HLOOKUP(ASC$3,[2]ARBOR_REAJUSTE18!$A:$AE,VLOOKUP($ARI$2,[2]ARBOR_REAJUSTE18!$A:$B,2,0),0))),""))),4)</f>
        <v>#VALUE!</v>
      </c>
      <c r="ASD3" s="44" t="e">
        <f>ROUNDUP(IF(IFERROR(IF($ARI3="","",IF($ARI3=0,1,1-$ARI3/HLOOKUP(ASD$3,[2]ARBOR_REAJUSTE18!$A:$AE,VLOOKUP($ARI$2,[2]ARBOR_REAJUSTE18!$A:$B,2,0),0))),"")&lt;0.01%,0.01%,(IFERROR(IF($ARI3="","",IF($ARI3=0,1,1-$ARI3/HLOOKUP(ASD$3,[2]ARBOR_REAJUSTE18!$A:$AE,VLOOKUP($ARI$2,[2]ARBOR_REAJUSTE18!$A:$B,2,0),0))),""))),4)</f>
        <v>#VALUE!</v>
      </c>
      <c r="ASE3" s="44" t="e">
        <f>ROUNDUP(IF(IFERROR(IF($ARI3="","",IF($ARI3=0,1,1-$ARI3/HLOOKUP(ASE$3,[2]ARBOR_REAJUSTE18!$A:$AE,VLOOKUP($ARI$2,[2]ARBOR_REAJUSTE18!$A:$B,2,0),0))),"")&lt;0.01%,0.01%,(IFERROR(IF($ARI3="","",IF($ARI3=0,1,1-$ARI3/HLOOKUP(ASE$3,[2]ARBOR_REAJUSTE18!$A:$AE,VLOOKUP($ARI$2,[2]ARBOR_REAJUSTE18!$A:$B,2,0),0))),""))),4)</f>
        <v>#VALUE!</v>
      </c>
      <c r="ASF3" s="44" t="e">
        <f>ROUNDUP(IF(IFERROR(IF($ARI3="","",IF($ARI3=0,1,1-$ARI3/HLOOKUP(ASF$3,[2]ARBOR_REAJUSTE18!$A:$AE,VLOOKUP($ARI$2,[2]ARBOR_REAJUSTE18!$A:$B,2,0),0))),"")&lt;0.01%,0.01%,(IFERROR(IF($ARI3="","",IF($ARI3=0,1,1-$ARI3/HLOOKUP(ASF$3,[2]ARBOR_REAJUSTE18!$A:$AE,VLOOKUP($ARI$2,[2]ARBOR_REAJUSTE18!$A:$B,2,0),0))),""))),4)</f>
        <v>#VALUE!</v>
      </c>
      <c r="ASG3" s="44" t="e">
        <f>ROUNDUP(IF(IFERROR(IF($ARI3="","",IF($ARI3=0,1,1-$ARI3/HLOOKUP(ASG$3,[2]ARBOR_REAJUSTE18!$A:$AE,VLOOKUP($ARI$2,[2]ARBOR_REAJUSTE18!$A:$B,2,0),0))),"")&lt;0.01%,0.01%,(IFERROR(IF($ARI3="","",IF($ARI3=0,1,1-$ARI3/HLOOKUP(ASG$3,[2]ARBOR_REAJUSTE18!$A:$AE,VLOOKUP($ARI$2,[2]ARBOR_REAJUSTE18!$A:$B,2,0),0))),""))),4)</f>
        <v>#VALUE!</v>
      </c>
      <c r="ASH3" s="44" t="e">
        <f>ROUNDUP(IF(IFERROR(IF($ARI3="","",IF($ARI3=0,1,1-$ARI3/HLOOKUP(ASH$3,[2]ARBOR_REAJUSTE18!$A:$AE,VLOOKUP($ARI$2,[2]ARBOR_REAJUSTE18!$A:$B,2,0),0))),"")&lt;0.01%,0.01%,(IFERROR(IF($ARI3="","",IF($ARI3=0,1,1-$ARI3/HLOOKUP(ASH$3,[2]ARBOR_REAJUSTE18!$A:$AE,VLOOKUP($ARI$2,[2]ARBOR_REAJUSTE18!$A:$B,2,0),0))),""))),4)</f>
        <v>#VALUE!</v>
      </c>
      <c r="ASI3" s="44" t="e">
        <f>ROUNDUP(IF(IFERROR(IF($ARI3="","",IF($ARI3=0,1,1-$ARI3/HLOOKUP(ASI$3,[2]ARBOR_REAJUSTE18!$A:$AE,VLOOKUP($ARI$2,[2]ARBOR_REAJUSTE18!$A:$B,2,0),0))),"")&lt;0.01%,0.01%,(IFERROR(IF($ARI3="","",IF($ARI3=0,1,1-$ARI3/HLOOKUP(ASI$3,[2]ARBOR_REAJUSTE18!$A:$AE,VLOOKUP($ARI$2,[2]ARBOR_REAJUSTE18!$A:$B,2,0),0))),""))),4)</f>
        <v>#VALUE!</v>
      </c>
      <c r="ASJ3" s="44" t="e">
        <f>ROUNDUP(IF(IFERROR(IF($ARI3="","",IF($ARI3=0,1,1-$ARI3/HLOOKUP(ASJ$3,[2]ARBOR_REAJUSTE18!$A:$AE,VLOOKUP($ARI$2,[2]ARBOR_REAJUSTE18!$A:$B,2,0),0))),"")&lt;0.01%,0.01%,(IFERROR(IF($ARI3="","",IF($ARI3=0,1,1-$ARI3/HLOOKUP(ASJ$3,[2]ARBOR_REAJUSTE18!$A:$AE,VLOOKUP($ARI$2,[2]ARBOR_REAJUSTE18!$A:$B,2,0),0))),""))),4)</f>
        <v>#VALUE!</v>
      </c>
      <c r="ASK3" s="44" t="e">
        <f>ROUNDUP(IF(IFERROR(IF($ARI3="","",IF($ARI3=0,1,1-$ARI3/HLOOKUP(ASK$3,[2]ARBOR_REAJUSTE18!$A:$AE,VLOOKUP($ARI$2,[2]ARBOR_REAJUSTE18!$A:$B,2,0),0))),"")&lt;0.01%,0.01%,(IFERROR(IF($ARI3="","",IF($ARI3=0,1,1-$ARI3/HLOOKUP(ASK$3,[2]ARBOR_REAJUSTE18!$A:$AE,VLOOKUP($ARI$2,[2]ARBOR_REAJUSTE18!$A:$B,2,0),0))),""))),4)</f>
        <v>#VALUE!</v>
      </c>
      <c r="ASL3" s="56"/>
      <c r="ASM3" s="64"/>
      <c r="ASN3" s="44" t="e">
        <f>ROUNDUP(IF(IFERROR(IF($ASL3="","",IF($ASL3=0,1,1-$ASL3/HLOOKUP(ASN$3,[2]ARBOR_REAJUSTE18!$A:$AE,VLOOKUP($ASL$2,[2]ARBOR_REAJUSTE18!$A:$B,2,0),0))),"")&lt;0.01%,0.01%,(IFERROR(IF($ASL3="","",IF($ASL3=0,1,1-$ASL3/HLOOKUP(ASN$3,[2]ARBOR_REAJUSTE18!$A:$AE,VLOOKUP($ASL$2,[2]ARBOR_REAJUSTE18!$A:$B,2,0),0))),""))),4)</f>
        <v>#VALUE!</v>
      </c>
      <c r="ASO3" s="44" t="e">
        <f>ROUNDUP(IF(IFERROR(IF($ASL3="","",IF($ASL3=0,1,1-$ASL3/HLOOKUP(ASO$3,[2]ARBOR_REAJUSTE18!$A:$AE,VLOOKUP($ASL$2,[2]ARBOR_REAJUSTE18!$A:$B,2,0),0))),"")&lt;0.01%,0.01%,(IFERROR(IF($ASL3="","",IF($ASL3=0,1,1-$ASL3/HLOOKUP(ASO$3,[2]ARBOR_REAJUSTE18!$A:$AE,VLOOKUP($ASL$2,[2]ARBOR_REAJUSTE18!$A:$B,2,0),0))),""))),4)</f>
        <v>#VALUE!</v>
      </c>
      <c r="ASP3" s="44" t="e">
        <f>ROUNDUP(IF(IFERROR(IF($ASL3="","",IF($ASL3=0,1,1-$ASL3/HLOOKUP(ASP$3,[2]ARBOR_REAJUSTE18!$A:$AE,VLOOKUP($ASL$2,[2]ARBOR_REAJUSTE18!$A:$B,2,0),0))),"")&lt;0.01%,0.01%,(IFERROR(IF($ASL3="","",IF($ASL3=0,1,1-$ASL3/HLOOKUP(ASP$3,[2]ARBOR_REAJUSTE18!$A:$AE,VLOOKUP($ASL$2,[2]ARBOR_REAJUSTE18!$A:$B,2,0),0))),""))),4)</f>
        <v>#VALUE!</v>
      </c>
      <c r="ASQ3" s="44" t="e">
        <f>ROUNDUP(IF(IFERROR(IF($ASL3="","",IF($ASL3=0,1,1-$ASL3/HLOOKUP(ASQ$3,[2]ARBOR_REAJUSTE18!$A:$AE,VLOOKUP($ASL$2,[2]ARBOR_REAJUSTE18!$A:$B,2,0),0))),"")&lt;0.01%,0.01%,(IFERROR(IF($ASL3="","",IF($ASL3=0,1,1-$ASL3/HLOOKUP(ASQ$3,[2]ARBOR_REAJUSTE18!$A:$AE,VLOOKUP($ASL$2,[2]ARBOR_REAJUSTE18!$A:$B,2,0),0))),""))),4)</f>
        <v>#VALUE!</v>
      </c>
      <c r="ASR3" s="44" t="e">
        <f>ROUNDUP(IF(IFERROR(IF($ASL3="","",IF($ASL3=0,1,1-$ASL3/HLOOKUP(ASR$3,[2]ARBOR_REAJUSTE18!$A:$AE,VLOOKUP($ASL$2,[2]ARBOR_REAJUSTE18!$A:$B,2,0),0))),"")&lt;0.01%,0.01%,(IFERROR(IF($ASL3="","",IF($ASL3=0,1,1-$ASL3/HLOOKUP(ASR$3,[2]ARBOR_REAJUSTE18!$A:$AE,VLOOKUP($ASL$2,[2]ARBOR_REAJUSTE18!$A:$B,2,0),0))),""))),4)</f>
        <v>#VALUE!</v>
      </c>
      <c r="ASS3" s="44" t="e">
        <f>ROUNDUP(IF(IFERROR(IF($ASL3="","",IF($ASL3=0,1,1-$ASL3/HLOOKUP(ASS$3,[2]ARBOR_REAJUSTE18!$A:$AE,VLOOKUP($ASL$2,[2]ARBOR_REAJUSTE18!$A:$B,2,0),0))),"")&lt;0.01%,0.01%,(IFERROR(IF($ASL3="","",IF($ASL3=0,1,1-$ASL3/HLOOKUP(ASS$3,[2]ARBOR_REAJUSTE18!$A:$AE,VLOOKUP($ASL$2,[2]ARBOR_REAJUSTE18!$A:$B,2,0),0))),""))),4)</f>
        <v>#VALUE!</v>
      </c>
      <c r="AST3" s="44" t="e">
        <f>ROUNDUP(IF(IFERROR(IF($ASL3="","",IF($ASL3=0,1,1-$ASL3/HLOOKUP(AST$3,[2]ARBOR_REAJUSTE18!$A:$AE,VLOOKUP($ASL$2,[2]ARBOR_REAJUSTE18!$A:$B,2,0),0))),"")&lt;0.01%,0.01%,(IFERROR(IF($ASL3="","",IF($ASL3=0,1,1-$ASL3/HLOOKUP(AST$3,[2]ARBOR_REAJUSTE18!$A:$AE,VLOOKUP($ASL$2,[2]ARBOR_REAJUSTE18!$A:$B,2,0),0))),""))),4)</f>
        <v>#VALUE!</v>
      </c>
      <c r="ASU3" s="44" t="e">
        <f>ROUNDUP(IF(IFERROR(IF($ASL3="","",IF($ASL3=0,1,1-$ASL3/HLOOKUP(ASU$3,[2]ARBOR_REAJUSTE18!$A:$AE,VLOOKUP($ASL$2,[2]ARBOR_REAJUSTE18!$A:$B,2,0),0))),"")&lt;0.01%,0.01%,(IFERROR(IF($ASL3="","",IF($ASL3=0,1,1-$ASL3/HLOOKUP(ASU$3,[2]ARBOR_REAJUSTE18!$A:$AE,VLOOKUP($ASL$2,[2]ARBOR_REAJUSTE18!$A:$B,2,0),0))),""))),4)</f>
        <v>#VALUE!</v>
      </c>
      <c r="ASV3" s="44" t="e">
        <f>ROUNDUP(IF(IFERROR(IF($ASL3="","",IF($ASL3=0,1,1-$ASL3/HLOOKUP(ASV$3,[2]ARBOR_REAJUSTE18!$A:$AE,VLOOKUP($ASL$2,[2]ARBOR_REAJUSTE18!$A:$B,2,0),0))),"")&lt;0.01%,0.01%,(IFERROR(IF($ASL3="","",IF($ASL3=0,1,1-$ASL3/HLOOKUP(ASV$3,[2]ARBOR_REAJUSTE18!$A:$AE,VLOOKUP($ASL$2,[2]ARBOR_REAJUSTE18!$A:$B,2,0),0))),""))),4)</f>
        <v>#VALUE!</v>
      </c>
      <c r="ASW3" s="44" t="e">
        <f>ROUNDUP(IF(IFERROR(IF($ASL3="","",IF($ASL3=0,1,1-$ASL3/HLOOKUP(ASW$3,[2]ARBOR_REAJUSTE18!$A:$AE,VLOOKUP($ASL$2,[2]ARBOR_REAJUSTE18!$A:$B,2,0),0))),"")&lt;0.01%,0.01%,(IFERROR(IF($ASL3="","",IF($ASL3=0,1,1-$ASL3/HLOOKUP(ASW$3,[2]ARBOR_REAJUSTE18!$A:$AE,VLOOKUP($ASL$2,[2]ARBOR_REAJUSTE18!$A:$B,2,0),0))),""))),4)</f>
        <v>#VALUE!</v>
      </c>
      <c r="ASX3" s="44" t="e">
        <f>ROUNDUP(IF(IFERROR(IF($ASL3="","",IF($ASL3=0,1,1-$ASL3/HLOOKUP(ASX$3,[2]ARBOR_REAJUSTE18!$A:$AE,VLOOKUP($ASL$2,[2]ARBOR_REAJUSTE18!$A:$B,2,0),0))),"")&lt;0.01%,0.01%,(IFERROR(IF($ASL3="","",IF($ASL3=0,1,1-$ASL3/HLOOKUP(ASX$3,[2]ARBOR_REAJUSTE18!$A:$AE,VLOOKUP($ASL$2,[2]ARBOR_REAJUSTE18!$A:$B,2,0),0))),""))),4)</f>
        <v>#VALUE!</v>
      </c>
      <c r="ASY3" s="44" t="e">
        <f>ROUNDUP(IF(IFERROR(IF($ASL3="","",IF($ASL3=0,1,1-$ASL3/HLOOKUP(ASY$3,[2]ARBOR_REAJUSTE18!$A:$AE,VLOOKUP($ASL$2,[2]ARBOR_REAJUSTE18!$A:$B,2,0),0))),"")&lt;0.01%,0.01%,(IFERROR(IF($ASL3="","",IF($ASL3=0,1,1-$ASL3/HLOOKUP(ASY$3,[2]ARBOR_REAJUSTE18!$A:$AE,VLOOKUP($ASL$2,[2]ARBOR_REAJUSTE18!$A:$B,2,0),0))),""))),4)</f>
        <v>#VALUE!</v>
      </c>
      <c r="ASZ3" s="44" t="e">
        <f>ROUNDUP(IF(IFERROR(IF($ASL3="","",IF($ASL3=0,1,1-$ASL3/HLOOKUP(ASZ$3,[2]ARBOR_REAJUSTE18!$A:$AE,VLOOKUP($ASL$2,[2]ARBOR_REAJUSTE18!$A:$B,2,0),0))),"")&lt;0.01%,0.01%,(IFERROR(IF($ASL3="","",IF($ASL3=0,1,1-$ASL3/HLOOKUP(ASZ$3,[2]ARBOR_REAJUSTE18!$A:$AE,VLOOKUP($ASL$2,[2]ARBOR_REAJUSTE18!$A:$B,2,0),0))),""))),4)</f>
        <v>#VALUE!</v>
      </c>
      <c r="ATA3" s="44" t="e">
        <f>ROUNDUP(IF(IFERROR(IF($ASL3="","",IF($ASL3=0,1,1-$ASL3/HLOOKUP(ATA$3,[2]ARBOR_REAJUSTE18!$A:$AE,VLOOKUP($ASL$2,[2]ARBOR_REAJUSTE18!$A:$B,2,0),0))),"")&lt;0.01%,0.01%,(IFERROR(IF($ASL3="","",IF($ASL3=0,1,1-$ASL3/HLOOKUP(ATA$3,[2]ARBOR_REAJUSTE18!$A:$AE,VLOOKUP($ASL$2,[2]ARBOR_REAJUSTE18!$A:$B,2,0),0))),""))),4)</f>
        <v>#VALUE!</v>
      </c>
      <c r="ATB3" s="44" t="e">
        <f>ROUNDUP(IF(IFERROR(IF($ASL3="","",IF($ASL3=0,1,1-$ASL3/HLOOKUP(ATB$3,[2]ARBOR_REAJUSTE18!$A:$AE,VLOOKUP($ASL$2,[2]ARBOR_REAJUSTE18!$A:$B,2,0),0))),"")&lt;0.01%,0.01%,(IFERROR(IF($ASL3="","",IF($ASL3=0,1,1-$ASL3/HLOOKUP(ATB$3,[2]ARBOR_REAJUSTE18!$A:$AE,VLOOKUP($ASL$2,[2]ARBOR_REAJUSTE18!$A:$B,2,0),0))),""))),4)</f>
        <v>#VALUE!</v>
      </c>
      <c r="ATC3" s="44" t="e">
        <f>ROUNDUP(IF(IFERROR(IF($ASL3="","",IF($ASL3=0,1,1-$ASL3/HLOOKUP(ATC$3,[2]ARBOR_REAJUSTE18!$A:$AE,VLOOKUP($ASL$2,[2]ARBOR_REAJUSTE18!$A:$B,2,0),0))),"")&lt;0.01%,0.01%,(IFERROR(IF($ASL3="","",IF($ASL3=0,1,1-$ASL3/HLOOKUP(ATC$3,[2]ARBOR_REAJUSTE18!$A:$AE,VLOOKUP($ASL$2,[2]ARBOR_REAJUSTE18!$A:$B,2,0),0))),""))),4)</f>
        <v>#VALUE!</v>
      </c>
      <c r="ATD3" s="44" t="e">
        <f>ROUNDUP(IF(IFERROR(IF($ASL3="","",IF($ASL3=0,1,1-$ASL3/HLOOKUP(ATD$3,[2]ARBOR_REAJUSTE18!$A:$AE,VLOOKUP($ASL$2,[2]ARBOR_REAJUSTE18!$A:$B,2,0),0))),"")&lt;0.01%,0.01%,(IFERROR(IF($ASL3="","",IF($ASL3=0,1,1-$ASL3/HLOOKUP(ATD$3,[2]ARBOR_REAJUSTE18!$A:$AE,VLOOKUP($ASL$2,[2]ARBOR_REAJUSTE18!$A:$B,2,0),0))),""))),4)</f>
        <v>#VALUE!</v>
      </c>
      <c r="ATE3" s="44" t="e">
        <f>ROUNDUP(IF(IFERROR(IF($ASL3="","",IF($ASL3=0,1,1-$ASL3/HLOOKUP(ATE$3,[2]ARBOR_REAJUSTE18!$A:$AE,VLOOKUP($ASL$2,[2]ARBOR_REAJUSTE18!$A:$B,2,0),0))),"")&lt;0.01%,0.01%,(IFERROR(IF($ASL3="","",IF($ASL3=0,1,1-$ASL3/HLOOKUP(ATE$3,[2]ARBOR_REAJUSTE18!$A:$AE,VLOOKUP($ASL$2,[2]ARBOR_REAJUSTE18!$A:$B,2,0),0))),""))),4)</f>
        <v>#VALUE!</v>
      </c>
      <c r="ATF3" s="44" t="e">
        <f>ROUNDUP(IF(IFERROR(IF($ASL3="","",IF($ASL3=0,1,1-$ASL3/HLOOKUP(ATF$3,[2]ARBOR_REAJUSTE18!$A:$AE,VLOOKUP($ASL$2,[2]ARBOR_REAJUSTE18!$A:$B,2,0),0))),"")&lt;0.01%,0.01%,(IFERROR(IF($ASL3="","",IF($ASL3=0,1,1-$ASL3/HLOOKUP(ATF$3,[2]ARBOR_REAJUSTE18!$A:$AE,VLOOKUP($ASL$2,[2]ARBOR_REAJUSTE18!$A:$B,2,0),0))),""))),4)</f>
        <v>#VALUE!</v>
      </c>
      <c r="ATG3" s="44" t="e">
        <f>ROUNDUP(IF(IFERROR(IF($ASL3="","",IF($ASL3=0,1,1-$ASL3/HLOOKUP(ATG$3,[2]ARBOR_REAJUSTE18!$A:$AE,VLOOKUP($ASL$2,[2]ARBOR_REAJUSTE18!$A:$B,2,0),0))),"")&lt;0.01%,0.01%,(IFERROR(IF($ASL3="","",IF($ASL3=0,1,1-$ASL3/HLOOKUP(ATG$3,[2]ARBOR_REAJUSTE18!$A:$AE,VLOOKUP($ASL$2,[2]ARBOR_REAJUSTE18!$A:$B,2,0),0))),""))),4)</f>
        <v>#VALUE!</v>
      </c>
      <c r="ATH3" s="44" t="e">
        <f>ROUNDUP(IF(IFERROR(IF($ASL3="","",IF($ASL3=0,1,1-$ASL3/HLOOKUP(ATH$3,[2]ARBOR_REAJUSTE18!$A:$AE,VLOOKUP($ASL$2,[2]ARBOR_REAJUSTE18!$A:$B,2,0),0))),"")&lt;0.01%,0.01%,(IFERROR(IF($ASL3="","",IF($ASL3=0,1,1-$ASL3/HLOOKUP(ATH$3,[2]ARBOR_REAJUSTE18!$A:$AE,VLOOKUP($ASL$2,[2]ARBOR_REAJUSTE18!$A:$B,2,0),0))),""))),4)</f>
        <v>#VALUE!</v>
      </c>
      <c r="ATI3" s="44" t="e">
        <f>ROUNDUP(IF(IFERROR(IF($ASL3="","",IF($ASL3=0,1,1-$ASL3/HLOOKUP(ATI$3,[2]ARBOR_REAJUSTE18!$A:$AE,VLOOKUP($ASL$2,[2]ARBOR_REAJUSTE18!$A:$B,2,0),0))),"")&lt;0.01%,0.01%,(IFERROR(IF($ASL3="","",IF($ASL3=0,1,1-$ASL3/HLOOKUP(ATI$3,[2]ARBOR_REAJUSTE18!$A:$AE,VLOOKUP($ASL$2,[2]ARBOR_REAJUSTE18!$A:$B,2,0),0))),""))),4)</f>
        <v>#VALUE!</v>
      </c>
      <c r="ATJ3" s="44" t="e">
        <f>ROUNDUP(IF(IFERROR(IF($ASL3="","",IF($ASL3=0,1,1-$ASL3/HLOOKUP(ATJ$3,[2]ARBOR_REAJUSTE18!$A:$AE,VLOOKUP($ASL$2,[2]ARBOR_REAJUSTE18!$A:$B,2,0),0))),"")&lt;0.01%,0.01%,(IFERROR(IF($ASL3="","",IF($ASL3=0,1,1-$ASL3/HLOOKUP(ATJ$3,[2]ARBOR_REAJUSTE18!$A:$AE,VLOOKUP($ASL$2,[2]ARBOR_REAJUSTE18!$A:$B,2,0),0))),""))),4)</f>
        <v>#VALUE!</v>
      </c>
      <c r="ATK3" s="44" t="e">
        <f>ROUNDUP(IF(IFERROR(IF($ASL3="","",IF($ASL3=0,1,1-$ASL3/HLOOKUP(ATK$3,[2]ARBOR_REAJUSTE18!$A:$AE,VLOOKUP($ASL$2,[2]ARBOR_REAJUSTE18!$A:$B,2,0),0))),"")&lt;0.01%,0.01%,(IFERROR(IF($ASL3="","",IF($ASL3=0,1,1-$ASL3/HLOOKUP(ATK$3,[2]ARBOR_REAJUSTE18!$A:$AE,VLOOKUP($ASL$2,[2]ARBOR_REAJUSTE18!$A:$B,2,0),0))),""))),4)</f>
        <v>#VALUE!</v>
      </c>
      <c r="ATL3" s="44" t="e">
        <f>ROUNDUP(IF(IFERROR(IF($ASL3="","",IF($ASL3=0,1,1-$ASL3/HLOOKUP(ATL$3,[2]ARBOR_REAJUSTE18!$A:$AE,VLOOKUP($ASL$2,[2]ARBOR_REAJUSTE18!$A:$B,2,0),0))),"")&lt;0.01%,0.01%,(IFERROR(IF($ASL3="","",IF($ASL3=0,1,1-$ASL3/HLOOKUP(ATL$3,[2]ARBOR_REAJUSTE18!$A:$AE,VLOOKUP($ASL$2,[2]ARBOR_REAJUSTE18!$A:$B,2,0),0))),""))),4)</f>
        <v>#VALUE!</v>
      </c>
      <c r="ATM3" s="44" t="e">
        <f>ROUNDUP(IF(IFERROR(IF($ASL3="","",IF($ASL3=0,1,1-$ASL3/HLOOKUP(ATM$3,[2]ARBOR_REAJUSTE18!$A:$AE,VLOOKUP($ASL$2,[2]ARBOR_REAJUSTE18!$A:$B,2,0),0))),"")&lt;0.01%,0.01%,(IFERROR(IF($ASL3="","",IF($ASL3=0,1,1-$ASL3/HLOOKUP(ATM$3,[2]ARBOR_REAJUSTE18!$A:$AE,VLOOKUP($ASL$2,[2]ARBOR_REAJUSTE18!$A:$B,2,0),0))),""))),4)</f>
        <v>#VALUE!</v>
      </c>
      <c r="ATN3" s="44" t="e">
        <f>ROUNDUP(IF(IFERROR(IF($ASL3="","",IF($ASL3=0,1,1-$ASL3/HLOOKUP(ATN$3,[2]ARBOR_REAJUSTE18!$A:$AE,VLOOKUP($ASL$2,[2]ARBOR_REAJUSTE18!$A:$B,2,0),0))),"")&lt;0.01%,0.01%,(IFERROR(IF($ASL3="","",IF($ASL3=0,1,1-$ASL3/HLOOKUP(ATN$3,[2]ARBOR_REAJUSTE18!$A:$AE,VLOOKUP($ASL$2,[2]ARBOR_REAJUSTE18!$A:$B,2,0),0))),""))),4)</f>
        <v>#VALUE!</v>
      </c>
      <c r="ATO3" s="56"/>
      <c r="ATP3" s="64"/>
      <c r="ATQ3" s="44" t="e">
        <f>ROUNDUP(IF(IFERROR(IF($ATO3="","",IF($ATO3=0,1,1-$ATO3/HLOOKUP(ATQ$3,[2]ARBOR_REAJUSTE18!$A:$AE,VLOOKUP($ATO$2,[2]ARBOR_REAJUSTE18!$A:$B,2,0),0))),"")&lt;0.01%,0.01%,(IFERROR(IF($ATO3="","",IF($ATO3=0,1,1-$ATO3/HLOOKUP(ATQ$3,[2]ARBOR_REAJUSTE18!$A:$AE,VLOOKUP($ATO$2,[2]ARBOR_REAJUSTE18!$A:$B,2,0),0))),""))),4)</f>
        <v>#VALUE!</v>
      </c>
      <c r="ATR3" s="44" t="e">
        <f>ROUNDUP(IF(IFERROR(IF($ATO3="","",IF($ATO3=0,1,1-$ATO3/HLOOKUP(ATR$3,[2]ARBOR_REAJUSTE18!$A:$AE,VLOOKUP($ATO$2,[2]ARBOR_REAJUSTE18!$A:$B,2,0),0))),"")&lt;0.01%,0.01%,(IFERROR(IF($ATO3="","",IF($ATO3=0,1,1-$ATO3/HLOOKUP(ATR$3,[2]ARBOR_REAJUSTE18!$A:$AE,VLOOKUP($ATO$2,[2]ARBOR_REAJUSTE18!$A:$B,2,0),0))),""))),4)</f>
        <v>#VALUE!</v>
      </c>
      <c r="ATS3" s="44" t="e">
        <f>ROUNDUP(IF(IFERROR(IF($ATO3="","",IF($ATO3=0,1,1-$ATO3/HLOOKUP(ATS$3,[2]ARBOR_REAJUSTE18!$A:$AE,VLOOKUP($ATO$2,[2]ARBOR_REAJUSTE18!$A:$B,2,0),0))),"")&lt;0.01%,0.01%,(IFERROR(IF($ATO3="","",IF($ATO3=0,1,1-$ATO3/HLOOKUP(ATS$3,[2]ARBOR_REAJUSTE18!$A:$AE,VLOOKUP($ATO$2,[2]ARBOR_REAJUSTE18!$A:$B,2,0),0))),""))),4)</f>
        <v>#VALUE!</v>
      </c>
      <c r="ATT3" s="44" t="e">
        <f>ROUNDUP(IF(IFERROR(IF($ATO3="","",IF($ATO3=0,1,1-$ATO3/HLOOKUP(ATT$3,[2]ARBOR_REAJUSTE18!$A:$AE,VLOOKUP($ATO$2,[2]ARBOR_REAJUSTE18!$A:$B,2,0),0))),"")&lt;0.01%,0.01%,(IFERROR(IF($ATO3="","",IF($ATO3=0,1,1-$ATO3/HLOOKUP(ATT$3,[2]ARBOR_REAJUSTE18!$A:$AE,VLOOKUP($ATO$2,[2]ARBOR_REAJUSTE18!$A:$B,2,0),0))),""))),4)</f>
        <v>#VALUE!</v>
      </c>
      <c r="ATU3" s="44" t="e">
        <f>ROUNDUP(IF(IFERROR(IF($ATO3="","",IF($ATO3=0,1,1-$ATO3/HLOOKUP(ATU$3,[2]ARBOR_REAJUSTE18!$A:$AE,VLOOKUP($ATO$2,[2]ARBOR_REAJUSTE18!$A:$B,2,0),0))),"")&lt;0.01%,0.01%,(IFERROR(IF($ATO3="","",IF($ATO3=0,1,1-$ATO3/HLOOKUP(ATU$3,[2]ARBOR_REAJUSTE18!$A:$AE,VLOOKUP($ATO$2,[2]ARBOR_REAJUSTE18!$A:$B,2,0),0))),""))),4)</f>
        <v>#VALUE!</v>
      </c>
      <c r="ATV3" s="44" t="e">
        <f>ROUNDUP(IF(IFERROR(IF($ATO3="","",IF($ATO3=0,1,1-$ATO3/HLOOKUP(ATV$3,[2]ARBOR_REAJUSTE18!$A:$AE,VLOOKUP($ATO$2,[2]ARBOR_REAJUSTE18!$A:$B,2,0),0))),"")&lt;0.01%,0.01%,(IFERROR(IF($ATO3="","",IF($ATO3=0,1,1-$ATO3/HLOOKUP(ATV$3,[2]ARBOR_REAJUSTE18!$A:$AE,VLOOKUP($ATO$2,[2]ARBOR_REAJUSTE18!$A:$B,2,0),0))),""))),4)</f>
        <v>#VALUE!</v>
      </c>
      <c r="ATW3" s="44" t="e">
        <f>ROUNDUP(IF(IFERROR(IF($ATO3="","",IF($ATO3=0,1,1-$ATO3/HLOOKUP(ATW$3,[2]ARBOR_REAJUSTE18!$A:$AE,VLOOKUP($ATO$2,[2]ARBOR_REAJUSTE18!$A:$B,2,0),0))),"")&lt;0.01%,0.01%,(IFERROR(IF($ATO3="","",IF($ATO3=0,1,1-$ATO3/HLOOKUP(ATW$3,[2]ARBOR_REAJUSTE18!$A:$AE,VLOOKUP($ATO$2,[2]ARBOR_REAJUSTE18!$A:$B,2,0),0))),""))),4)</f>
        <v>#VALUE!</v>
      </c>
      <c r="ATX3" s="44" t="e">
        <f>ROUNDUP(IF(IFERROR(IF($ATO3="","",IF($ATO3=0,1,1-$ATO3/HLOOKUP(ATX$3,[2]ARBOR_REAJUSTE18!$A:$AE,VLOOKUP($ATO$2,[2]ARBOR_REAJUSTE18!$A:$B,2,0),0))),"")&lt;0.01%,0.01%,(IFERROR(IF($ATO3="","",IF($ATO3=0,1,1-$ATO3/HLOOKUP(ATX$3,[2]ARBOR_REAJUSTE18!$A:$AE,VLOOKUP($ATO$2,[2]ARBOR_REAJUSTE18!$A:$B,2,0),0))),""))),4)</f>
        <v>#VALUE!</v>
      </c>
      <c r="ATY3" s="44" t="e">
        <f>ROUNDUP(IF(IFERROR(IF($ATO3="","",IF($ATO3=0,1,1-$ATO3/HLOOKUP(ATY$3,[2]ARBOR_REAJUSTE18!$A:$AE,VLOOKUP($ATO$2,[2]ARBOR_REAJUSTE18!$A:$B,2,0),0))),"")&lt;0.01%,0.01%,(IFERROR(IF($ATO3="","",IF($ATO3=0,1,1-$ATO3/HLOOKUP(ATY$3,[2]ARBOR_REAJUSTE18!$A:$AE,VLOOKUP($ATO$2,[2]ARBOR_REAJUSTE18!$A:$B,2,0),0))),""))),4)</f>
        <v>#VALUE!</v>
      </c>
      <c r="ATZ3" s="44" t="e">
        <f>ROUNDUP(IF(IFERROR(IF($ATO3="","",IF($ATO3=0,1,1-$ATO3/HLOOKUP(ATZ$3,[2]ARBOR_REAJUSTE18!$A:$AE,VLOOKUP($ATO$2,[2]ARBOR_REAJUSTE18!$A:$B,2,0),0))),"")&lt;0.01%,0.01%,(IFERROR(IF($ATO3="","",IF($ATO3=0,1,1-$ATO3/HLOOKUP(ATZ$3,[2]ARBOR_REAJUSTE18!$A:$AE,VLOOKUP($ATO$2,[2]ARBOR_REAJUSTE18!$A:$B,2,0),0))),""))),4)</f>
        <v>#VALUE!</v>
      </c>
      <c r="AUA3" s="44" t="e">
        <f>ROUNDUP(IF(IFERROR(IF($ATO3="","",IF($ATO3=0,1,1-$ATO3/HLOOKUP(AUA$3,[2]ARBOR_REAJUSTE18!$A:$AE,VLOOKUP($ATO$2,[2]ARBOR_REAJUSTE18!$A:$B,2,0),0))),"")&lt;0.01%,0.01%,(IFERROR(IF($ATO3="","",IF($ATO3=0,1,1-$ATO3/HLOOKUP(AUA$3,[2]ARBOR_REAJUSTE18!$A:$AE,VLOOKUP($ATO$2,[2]ARBOR_REAJUSTE18!$A:$B,2,0),0))),""))),4)</f>
        <v>#VALUE!</v>
      </c>
      <c r="AUB3" s="44" t="e">
        <f>ROUNDUP(IF(IFERROR(IF($ATO3="","",IF($ATO3=0,1,1-$ATO3/HLOOKUP(AUB$3,[2]ARBOR_REAJUSTE18!$A:$AE,VLOOKUP($ATO$2,[2]ARBOR_REAJUSTE18!$A:$B,2,0),0))),"")&lt;0.01%,0.01%,(IFERROR(IF($ATO3="","",IF($ATO3=0,1,1-$ATO3/HLOOKUP(AUB$3,[2]ARBOR_REAJUSTE18!$A:$AE,VLOOKUP($ATO$2,[2]ARBOR_REAJUSTE18!$A:$B,2,0),0))),""))),4)</f>
        <v>#VALUE!</v>
      </c>
      <c r="AUC3" s="44" t="e">
        <f>ROUNDUP(IF(IFERROR(IF($ATO3="","",IF($ATO3=0,1,1-$ATO3/HLOOKUP(AUC$3,[2]ARBOR_REAJUSTE18!$A:$AE,VLOOKUP($ATO$2,[2]ARBOR_REAJUSTE18!$A:$B,2,0),0))),"")&lt;0.01%,0.01%,(IFERROR(IF($ATO3="","",IF($ATO3=0,1,1-$ATO3/HLOOKUP(AUC$3,[2]ARBOR_REAJUSTE18!$A:$AE,VLOOKUP($ATO$2,[2]ARBOR_REAJUSTE18!$A:$B,2,0),0))),""))),4)</f>
        <v>#VALUE!</v>
      </c>
      <c r="AUD3" s="44" t="e">
        <f>ROUNDUP(IF(IFERROR(IF($ATO3="","",IF($ATO3=0,1,1-$ATO3/HLOOKUP(AUD$3,[2]ARBOR_REAJUSTE18!$A:$AE,VLOOKUP($ATO$2,[2]ARBOR_REAJUSTE18!$A:$B,2,0),0))),"")&lt;0.01%,0.01%,(IFERROR(IF($ATO3="","",IF($ATO3=0,1,1-$ATO3/HLOOKUP(AUD$3,[2]ARBOR_REAJUSTE18!$A:$AE,VLOOKUP($ATO$2,[2]ARBOR_REAJUSTE18!$A:$B,2,0),0))),""))),4)</f>
        <v>#VALUE!</v>
      </c>
      <c r="AUE3" s="44" t="e">
        <f>ROUNDUP(IF(IFERROR(IF($ATO3="","",IF($ATO3=0,1,1-$ATO3/HLOOKUP(AUE$3,[2]ARBOR_REAJUSTE18!$A:$AE,VLOOKUP($ATO$2,[2]ARBOR_REAJUSTE18!$A:$B,2,0),0))),"")&lt;0.01%,0.01%,(IFERROR(IF($ATO3="","",IF($ATO3=0,1,1-$ATO3/HLOOKUP(AUE$3,[2]ARBOR_REAJUSTE18!$A:$AE,VLOOKUP($ATO$2,[2]ARBOR_REAJUSTE18!$A:$B,2,0),0))),""))),4)</f>
        <v>#VALUE!</v>
      </c>
      <c r="AUF3" s="44" t="e">
        <f>ROUNDUP(IF(IFERROR(IF($ATO3="","",IF($ATO3=0,1,1-$ATO3/HLOOKUP(AUF$3,[2]ARBOR_REAJUSTE18!$A:$AE,VLOOKUP($ATO$2,[2]ARBOR_REAJUSTE18!$A:$B,2,0),0))),"")&lt;0.01%,0.01%,(IFERROR(IF($ATO3="","",IF($ATO3=0,1,1-$ATO3/HLOOKUP(AUF$3,[2]ARBOR_REAJUSTE18!$A:$AE,VLOOKUP($ATO$2,[2]ARBOR_REAJUSTE18!$A:$B,2,0),0))),""))),4)</f>
        <v>#VALUE!</v>
      </c>
      <c r="AUG3" s="44" t="e">
        <f>ROUNDUP(IF(IFERROR(IF($ATO3="","",IF($ATO3=0,1,1-$ATO3/HLOOKUP(AUG$3,[2]ARBOR_REAJUSTE18!$A:$AE,VLOOKUP($ATO$2,[2]ARBOR_REAJUSTE18!$A:$B,2,0),0))),"")&lt;0.01%,0.01%,(IFERROR(IF($ATO3="","",IF($ATO3=0,1,1-$ATO3/HLOOKUP(AUG$3,[2]ARBOR_REAJUSTE18!$A:$AE,VLOOKUP($ATO$2,[2]ARBOR_REAJUSTE18!$A:$B,2,0),0))),""))),4)</f>
        <v>#VALUE!</v>
      </c>
      <c r="AUH3" s="44" t="e">
        <f>ROUNDUP(IF(IFERROR(IF($ATO3="","",IF($ATO3=0,1,1-$ATO3/HLOOKUP(AUH$3,[2]ARBOR_REAJUSTE18!$A:$AE,VLOOKUP($ATO$2,[2]ARBOR_REAJUSTE18!$A:$B,2,0),0))),"")&lt;0.01%,0.01%,(IFERROR(IF($ATO3="","",IF($ATO3=0,1,1-$ATO3/HLOOKUP(AUH$3,[2]ARBOR_REAJUSTE18!$A:$AE,VLOOKUP($ATO$2,[2]ARBOR_REAJUSTE18!$A:$B,2,0),0))),""))),4)</f>
        <v>#VALUE!</v>
      </c>
      <c r="AUI3" s="44" t="e">
        <f>ROUNDUP(IF(IFERROR(IF($ATO3="","",IF($ATO3=0,1,1-$ATO3/HLOOKUP(AUI$3,[2]ARBOR_REAJUSTE18!$A:$AE,VLOOKUP($ATO$2,[2]ARBOR_REAJUSTE18!$A:$B,2,0),0))),"")&lt;0.01%,0.01%,(IFERROR(IF($ATO3="","",IF($ATO3=0,1,1-$ATO3/HLOOKUP(AUI$3,[2]ARBOR_REAJUSTE18!$A:$AE,VLOOKUP($ATO$2,[2]ARBOR_REAJUSTE18!$A:$B,2,0),0))),""))),4)</f>
        <v>#VALUE!</v>
      </c>
      <c r="AUJ3" s="44" t="e">
        <f>ROUNDUP(IF(IFERROR(IF($ATO3="","",IF($ATO3=0,1,1-$ATO3/HLOOKUP(AUJ$3,[2]ARBOR_REAJUSTE18!$A:$AE,VLOOKUP($ATO$2,[2]ARBOR_REAJUSTE18!$A:$B,2,0),0))),"")&lt;0.01%,0.01%,(IFERROR(IF($ATO3="","",IF($ATO3=0,1,1-$ATO3/HLOOKUP(AUJ$3,[2]ARBOR_REAJUSTE18!$A:$AE,VLOOKUP($ATO$2,[2]ARBOR_REAJUSTE18!$A:$B,2,0),0))),""))),4)</f>
        <v>#VALUE!</v>
      </c>
      <c r="AUK3" s="44" t="e">
        <f>ROUNDUP(IF(IFERROR(IF($ATO3="","",IF($ATO3=0,1,1-$ATO3/HLOOKUP(AUK$3,[2]ARBOR_REAJUSTE18!$A:$AE,VLOOKUP($ATO$2,[2]ARBOR_REAJUSTE18!$A:$B,2,0),0))),"")&lt;0.01%,0.01%,(IFERROR(IF($ATO3="","",IF($ATO3=0,1,1-$ATO3/HLOOKUP(AUK$3,[2]ARBOR_REAJUSTE18!$A:$AE,VLOOKUP($ATO$2,[2]ARBOR_REAJUSTE18!$A:$B,2,0),0))),""))),4)</f>
        <v>#VALUE!</v>
      </c>
      <c r="AUL3" s="44" t="e">
        <f>ROUNDUP(IF(IFERROR(IF($ATO3="","",IF($ATO3=0,1,1-$ATO3/HLOOKUP(AUL$3,[2]ARBOR_REAJUSTE18!$A:$AE,VLOOKUP($ATO$2,[2]ARBOR_REAJUSTE18!$A:$B,2,0),0))),"")&lt;0.01%,0.01%,(IFERROR(IF($ATO3="","",IF($ATO3=0,1,1-$ATO3/HLOOKUP(AUL$3,[2]ARBOR_REAJUSTE18!$A:$AE,VLOOKUP($ATO$2,[2]ARBOR_REAJUSTE18!$A:$B,2,0),0))),""))),4)</f>
        <v>#VALUE!</v>
      </c>
      <c r="AUM3" s="44" t="e">
        <f>ROUNDUP(IF(IFERROR(IF($ATO3="","",IF($ATO3=0,1,1-$ATO3/HLOOKUP(AUM$3,[2]ARBOR_REAJUSTE18!$A:$AE,VLOOKUP($ATO$2,[2]ARBOR_REAJUSTE18!$A:$B,2,0),0))),"")&lt;0.01%,0.01%,(IFERROR(IF($ATO3="","",IF($ATO3=0,1,1-$ATO3/HLOOKUP(AUM$3,[2]ARBOR_REAJUSTE18!$A:$AE,VLOOKUP($ATO$2,[2]ARBOR_REAJUSTE18!$A:$B,2,0),0))),""))),4)</f>
        <v>#VALUE!</v>
      </c>
      <c r="AUN3" s="44" t="e">
        <f>ROUNDUP(IF(IFERROR(IF($ATO3="","",IF($ATO3=0,1,1-$ATO3/HLOOKUP(AUN$3,[2]ARBOR_REAJUSTE18!$A:$AE,VLOOKUP($ATO$2,[2]ARBOR_REAJUSTE18!$A:$B,2,0),0))),"")&lt;0.01%,0.01%,(IFERROR(IF($ATO3="","",IF($ATO3=0,1,1-$ATO3/HLOOKUP(AUN$3,[2]ARBOR_REAJUSTE18!$A:$AE,VLOOKUP($ATO$2,[2]ARBOR_REAJUSTE18!$A:$B,2,0),0))),""))),4)</f>
        <v>#VALUE!</v>
      </c>
      <c r="AUO3" s="44" t="e">
        <f>ROUNDUP(IF(IFERROR(IF($ATO3="","",IF($ATO3=0,1,1-$ATO3/HLOOKUP(AUO$3,[2]ARBOR_REAJUSTE18!$A:$AE,VLOOKUP($ATO$2,[2]ARBOR_REAJUSTE18!$A:$B,2,0),0))),"")&lt;0.01%,0.01%,(IFERROR(IF($ATO3="","",IF($ATO3=0,1,1-$ATO3/HLOOKUP(AUO$3,[2]ARBOR_REAJUSTE18!$A:$AE,VLOOKUP($ATO$2,[2]ARBOR_REAJUSTE18!$A:$B,2,0),0))),""))),4)</f>
        <v>#VALUE!</v>
      </c>
      <c r="AUP3" s="44" t="e">
        <f>ROUNDUP(IF(IFERROR(IF($ATO3="","",IF($ATO3=0,1,1-$ATO3/HLOOKUP(AUP$3,[2]ARBOR_REAJUSTE18!$A:$AE,VLOOKUP($ATO$2,[2]ARBOR_REAJUSTE18!$A:$B,2,0),0))),"")&lt;0.01%,0.01%,(IFERROR(IF($ATO3="","",IF($ATO3=0,1,1-$ATO3/HLOOKUP(AUP$3,[2]ARBOR_REAJUSTE18!$A:$AE,VLOOKUP($ATO$2,[2]ARBOR_REAJUSTE18!$A:$B,2,0),0))),""))),4)</f>
        <v>#VALUE!</v>
      </c>
      <c r="AUQ3" s="44" t="e">
        <f>ROUNDUP(IF(IFERROR(IF($ATO3="","",IF($ATO3=0,1,1-$ATO3/HLOOKUP(AUQ$3,[2]ARBOR_REAJUSTE18!$A:$AE,VLOOKUP($ATO$2,[2]ARBOR_REAJUSTE18!$A:$B,2,0),0))),"")&lt;0.01%,0.01%,(IFERROR(IF($ATO3="","",IF($ATO3=0,1,1-$ATO3/HLOOKUP(AUQ$3,[2]ARBOR_REAJUSTE18!$A:$AE,VLOOKUP($ATO$2,[2]ARBOR_REAJUSTE18!$A:$B,2,0),0))),""))),4)</f>
        <v>#VALUE!</v>
      </c>
      <c r="AUR3" s="56"/>
      <c r="AUS3" s="64"/>
      <c r="AUT3" s="44" t="e">
        <f>ROUNDUP(IF(IFERROR(IF($AUR3="","",IF($AUR3=0,1,1-$AUR3/HLOOKUP(AUT$3,[2]ARBOR_REAJUSTE18!$A:$AE,VLOOKUP($AUR$2,[2]ARBOR_REAJUSTE18!$A:$B,2,0),0))),"")&lt;0.01%,0.01%,(IFERROR(IF($AUR3="","",IF($AUR3=0,1,1-$AUR3/HLOOKUP(AUT$3,[2]ARBOR_REAJUSTE18!$A:$AE,VLOOKUP($AUR$2,[2]ARBOR_REAJUSTE18!$A:$B,2,0),0))),""))),4)</f>
        <v>#VALUE!</v>
      </c>
      <c r="AUU3" s="44" t="e">
        <f>ROUNDUP(IF(IFERROR(IF($AUR3="","",IF($AUR3=0,1,1-$AUR3/HLOOKUP(AUU$3,[2]ARBOR_REAJUSTE18!$A:$AE,VLOOKUP($AUR$2,[2]ARBOR_REAJUSTE18!$A:$B,2,0),0))),"")&lt;0.01%,0.01%,(IFERROR(IF($AUR3="","",IF($AUR3=0,1,1-$AUR3/HLOOKUP(AUU$3,[2]ARBOR_REAJUSTE18!$A:$AE,VLOOKUP($AUR$2,[2]ARBOR_REAJUSTE18!$A:$B,2,0),0))),""))),4)</f>
        <v>#VALUE!</v>
      </c>
      <c r="AUV3" s="44" t="e">
        <f>ROUNDUP(IF(IFERROR(IF($AUR3="","",IF($AUR3=0,1,1-$AUR3/HLOOKUP(AUV$3,[2]ARBOR_REAJUSTE18!$A:$AE,VLOOKUP($AUR$2,[2]ARBOR_REAJUSTE18!$A:$B,2,0),0))),"")&lt;0.01%,0.01%,(IFERROR(IF($AUR3="","",IF($AUR3=0,1,1-$AUR3/HLOOKUP(AUV$3,[2]ARBOR_REAJUSTE18!$A:$AE,VLOOKUP($AUR$2,[2]ARBOR_REAJUSTE18!$A:$B,2,0),0))),""))),4)</f>
        <v>#VALUE!</v>
      </c>
      <c r="AUW3" s="44" t="e">
        <f>ROUNDUP(IF(IFERROR(IF($AUR3="","",IF($AUR3=0,1,1-$AUR3/HLOOKUP(AUW$3,[2]ARBOR_REAJUSTE18!$A:$AE,VLOOKUP($AUR$2,[2]ARBOR_REAJUSTE18!$A:$B,2,0),0))),"")&lt;0.01%,0.01%,(IFERROR(IF($AUR3="","",IF($AUR3=0,1,1-$AUR3/HLOOKUP(AUW$3,[2]ARBOR_REAJUSTE18!$A:$AE,VLOOKUP($AUR$2,[2]ARBOR_REAJUSTE18!$A:$B,2,0),0))),""))),4)</f>
        <v>#VALUE!</v>
      </c>
      <c r="AUX3" s="44" t="e">
        <f>ROUNDUP(IF(IFERROR(IF($AUR3="","",IF($AUR3=0,1,1-$AUR3/HLOOKUP(AUX$3,[2]ARBOR_REAJUSTE18!$A:$AE,VLOOKUP($AUR$2,[2]ARBOR_REAJUSTE18!$A:$B,2,0),0))),"")&lt;0.01%,0.01%,(IFERROR(IF($AUR3="","",IF($AUR3=0,1,1-$AUR3/HLOOKUP(AUX$3,[2]ARBOR_REAJUSTE18!$A:$AE,VLOOKUP($AUR$2,[2]ARBOR_REAJUSTE18!$A:$B,2,0),0))),""))),4)</f>
        <v>#VALUE!</v>
      </c>
      <c r="AUY3" s="44" t="e">
        <f>ROUNDUP(IF(IFERROR(IF($AUR3="","",IF($AUR3=0,1,1-$AUR3/HLOOKUP(AUY$3,[2]ARBOR_REAJUSTE18!$A:$AE,VLOOKUP($AUR$2,[2]ARBOR_REAJUSTE18!$A:$B,2,0),0))),"")&lt;0.01%,0.01%,(IFERROR(IF($AUR3="","",IF($AUR3=0,1,1-$AUR3/HLOOKUP(AUY$3,[2]ARBOR_REAJUSTE18!$A:$AE,VLOOKUP($AUR$2,[2]ARBOR_REAJUSTE18!$A:$B,2,0),0))),""))),4)</f>
        <v>#VALUE!</v>
      </c>
      <c r="AUZ3" s="44" t="e">
        <f>ROUNDUP(IF(IFERROR(IF($AUR3="","",IF($AUR3=0,1,1-$AUR3/HLOOKUP(AUZ$3,[2]ARBOR_REAJUSTE18!$A:$AE,VLOOKUP($AUR$2,[2]ARBOR_REAJUSTE18!$A:$B,2,0),0))),"")&lt;0.01%,0.01%,(IFERROR(IF($AUR3="","",IF($AUR3=0,1,1-$AUR3/HLOOKUP(AUZ$3,[2]ARBOR_REAJUSTE18!$A:$AE,VLOOKUP($AUR$2,[2]ARBOR_REAJUSTE18!$A:$B,2,0),0))),""))),4)</f>
        <v>#VALUE!</v>
      </c>
      <c r="AVA3" s="44" t="e">
        <f>ROUNDUP(IF(IFERROR(IF($AUR3="","",IF($AUR3=0,1,1-$AUR3/HLOOKUP(AVA$3,[2]ARBOR_REAJUSTE18!$A:$AE,VLOOKUP($AUR$2,[2]ARBOR_REAJUSTE18!$A:$B,2,0),0))),"")&lt;0.01%,0.01%,(IFERROR(IF($AUR3="","",IF($AUR3=0,1,1-$AUR3/HLOOKUP(AVA$3,[2]ARBOR_REAJUSTE18!$A:$AE,VLOOKUP($AUR$2,[2]ARBOR_REAJUSTE18!$A:$B,2,0),0))),""))),4)</f>
        <v>#VALUE!</v>
      </c>
      <c r="AVB3" s="44" t="e">
        <f>ROUNDUP(IF(IFERROR(IF($AUR3="","",IF($AUR3=0,1,1-$AUR3/HLOOKUP(AVB$3,[2]ARBOR_REAJUSTE18!$A:$AE,VLOOKUP($AUR$2,[2]ARBOR_REAJUSTE18!$A:$B,2,0),0))),"")&lt;0.01%,0.01%,(IFERROR(IF($AUR3="","",IF($AUR3=0,1,1-$AUR3/HLOOKUP(AVB$3,[2]ARBOR_REAJUSTE18!$A:$AE,VLOOKUP($AUR$2,[2]ARBOR_REAJUSTE18!$A:$B,2,0),0))),""))),4)</f>
        <v>#VALUE!</v>
      </c>
      <c r="AVC3" s="44" t="e">
        <f>ROUNDUP(IF(IFERROR(IF($AUR3="","",IF($AUR3=0,1,1-$AUR3/HLOOKUP(AVC$3,[2]ARBOR_REAJUSTE18!$A:$AE,VLOOKUP($AUR$2,[2]ARBOR_REAJUSTE18!$A:$B,2,0),0))),"")&lt;0.01%,0.01%,(IFERROR(IF($AUR3="","",IF($AUR3=0,1,1-$AUR3/HLOOKUP(AVC$3,[2]ARBOR_REAJUSTE18!$A:$AE,VLOOKUP($AUR$2,[2]ARBOR_REAJUSTE18!$A:$B,2,0),0))),""))),4)</f>
        <v>#VALUE!</v>
      </c>
      <c r="AVD3" s="44" t="e">
        <f>ROUNDUP(IF(IFERROR(IF($AUR3="","",IF($AUR3=0,1,1-$AUR3/HLOOKUP(AVD$3,[2]ARBOR_REAJUSTE18!$A:$AE,VLOOKUP($AUR$2,[2]ARBOR_REAJUSTE18!$A:$B,2,0),0))),"")&lt;0.01%,0.01%,(IFERROR(IF($AUR3="","",IF($AUR3=0,1,1-$AUR3/HLOOKUP(AVD$3,[2]ARBOR_REAJUSTE18!$A:$AE,VLOOKUP($AUR$2,[2]ARBOR_REAJUSTE18!$A:$B,2,0),0))),""))),4)</f>
        <v>#VALUE!</v>
      </c>
      <c r="AVE3" s="44" t="e">
        <f>ROUNDUP(IF(IFERROR(IF($AUR3="","",IF($AUR3=0,1,1-$AUR3/HLOOKUP(AVE$3,[2]ARBOR_REAJUSTE18!$A:$AE,VLOOKUP($AUR$2,[2]ARBOR_REAJUSTE18!$A:$B,2,0),0))),"")&lt;0.01%,0.01%,(IFERROR(IF($AUR3="","",IF($AUR3=0,1,1-$AUR3/HLOOKUP(AVE$3,[2]ARBOR_REAJUSTE18!$A:$AE,VLOOKUP($AUR$2,[2]ARBOR_REAJUSTE18!$A:$B,2,0),0))),""))),4)</f>
        <v>#VALUE!</v>
      </c>
      <c r="AVF3" s="44" t="e">
        <f>ROUNDUP(IF(IFERROR(IF($AUR3="","",IF($AUR3=0,1,1-$AUR3/HLOOKUP(AVF$3,[2]ARBOR_REAJUSTE18!$A:$AE,VLOOKUP($AUR$2,[2]ARBOR_REAJUSTE18!$A:$B,2,0),0))),"")&lt;0.01%,0.01%,(IFERROR(IF($AUR3="","",IF($AUR3=0,1,1-$AUR3/HLOOKUP(AVF$3,[2]ARBOR_REAJUSTE18!$A:$AE,VLOOKUP($AUR$2,[2]ARBOR_REAJUSTE18!$A:$B,2,0),0))),""))),4)</f>
        <v>#VALUE!</v>
      </c>
      <c r="AVG3" s="44" t="e">
        <f>ROUNDUP(IF(IFERROR(IF($AUR3="","",IF($AUR3=0,1,1-$AUR3/HLOOKUP(AVG$3,[2]ARBOR_REAJUSTE18!$A:$AE,VLOOKUP($AUR$2,[2]ARBOR_REAJUSTE18!$A:$B,2,0),0))),"")&lt;0.01%,0.01%,(IFERROR(IF($AUR3="","",IF($AUR3=0,1,1-$AUR3/HLOOKUP(AVG$3,[2]ARBOR_REAJUSTE18!$A:$AE,VLOOKUP($AUR$2,[2]ARBOR_REAJUSTE18!$A:$B,2,0),0))),""))),4)</f>
        <v>#VALUE!</v>
      </c>
      <c r="AVH3" s="44" t="e">
        <f>ROUNDUP(IF(IFERROR(IF($AUR3="","",IF($AUR3=0,1,1-$AUR3/HLOOKUP(AVH$3,[2]ARBOR_REAJUSTE18!$A:$AE,VLOOKUP($AUR$2,[2]ARBOR_REAJUSTE18!$A:$B,2,0),0))),"")&lt;0.01%,0.01%,(IFERROR(IF($AUR3="","",IF($AUR3=0,1,1-$AUR3/HLOOKUP(AVH$3,[2]ARBOR_REAJUSTE18!$A:$AE,VLOOKUP($AUR$2,[2]ARBOR_REAJUSTE18!$A:$B,2,0),0))),""))),4)</f>
        <v>#VALUE!</v>
      </c>
      <c r="AVI3" s="44" t="e">
        <f>ROUNDUP(IF(IFERROR(IF($AUR3="","",IF($AUR3=0,1,1-$AUR3/HLOOKUP(AVI$3,[2]ARBOR_REAJUSTE18!$A:$AE,VLOOKUP($AUR$2,[2]ARBOR_REAJUSTE18!$A:$B,2,0),0))),"")&lt;0.01%,0.01%,(IFERROR(IF($AUR3="","",IF($AUR3=0,1,1-$AUR3/HLOOKUP(AVI$3,[2]ARBOR_REAJUSTE18!$A:$AE,VLOOKUP($AUR$2,[2]ARBOR_REAJUSTE18!$A:$B,2,0),0))),""))),4)</f>
        <v>#VALUE!</v>
      </c>
      <c r="AVJ3" s="44" t="e">
        <f>ROUNDUP(IF(IFERROR(IF($AUR3="","",IF($AUR3=0,1,1-$AUR3/HLOOKUP(AVJ$3,[2]ARBOR_REAJUSTE18!$A:$AE,VLOOKUP($AUR$2,[2]ARBOR_REAJUSTE18!$A:$B,2,0),0))),"")&lt;0.01%,0.01%,(IFERROR(IF($AUR3="","",IF($AUR3=0,1,1-$AUR3/HLOOKUP(AVJ$3,[2]ARBOR_REAJUSTE18!$A:$AE,VLOOKUP($AUR$2,[2]ARBOR_REAJUSTE18!$A:$B,2,0),0))),""))),4)</f>
        <v>#VALUE!</v>
      </c>
      <c r="AVK3" s="44" t="e">
        <f>ROUNDUP(IF(IFERROR(IF($AUR3="","",IF($AUR3=0,1,1-$AUR3/HLOOKUP(AVK$3,[2]ARBOR_REAJUSTE18!$A:$AE,VLOOKUP($AUR$2,[2]ARBOR_REAJUSTE18!$A:$B,2,0),0))),"")&lt;0.01%,0.01%,(IFERROR(IF($AUR3="","",IF($AUR3=0,1,1-$AUR3/HLOOKUP(AVK$3,[2]ARBOR_REAJUSTE18!$A:$AE,VLOOKUP($AUR$2,[2]ARBOR_REAJUSTE18!$A:$B,2,0),0))),""))),4)</f>
        <v>#VALUE!</v>
      </c>
      <c r="AVL3" s="44" t="e">
        <f>ROUNDUP(IF(IFERROR(IF($AUR3="","",IF($AUR3=0,1,1-$AUR3/HLOOKUP(AVL$3,[2]ARBOR_REAJUSTE18!$A:$AE,VLOOKUP($AUR$2,[2]ARBOR_REAJUSTE18!$A:$B,2,0),0))),"")&lt;0.01%,0.01%,(IFERROR(IF($AUR3="","",IF($AUR3=0,1,1-$AUR3/HLOOKUP(AVL$3,[2]ARBOR_REAJUSTE18!$A:$AE,VLOOKUP($AUR$2,[2]ARBOR_REAJUSTE18!$A:$B,2,0),0))),""))),4)</f>
        <v>#VALUE!</v>
      </c>
      <c r="AVM3" s="44" t="e">
        <f>ROUNDUP(IF(IFERROR(IF($AUR3="","",IF($AUR3=0,1,1-$AUR3/HLOOKUP(AVM$3,[2]ARBOR_REAJUSTE18!$A:$AE,VLOOKUP($AUR$2,[2]ARBOR_REAJUSTE18!$A:$B,2,0),0))),"")&lt;0.01%,0.01%,(IFERROR(IF($AUR3="","",IF($AUR3=0,1,1-$AUR3/HLOOKUP(AVM$3,[2]ARBOR_REAJUSTE18!$A:$AE,VLOOKUP($AUR$2,[2]ARBOR_REAJUSTE18!$A:$B,2,0),0))),""))),4)</f>
        <v>#VALUE!</v>
      </c>
      <c r="AVN3" s="44" t="e">
        <f>ROUNDUP(IF(IFERROR(IF($AUR3="","",IF($AUR3=0,1,1-$AUR3/HLOOKUP(AVN$3,[2]ARBOR_REAJUSTE18!$A:$AE,VLOOKUP($AUR$2,[2]ARBOR_REAJUSTE18!$A:$B,2,0),0))),"")&lt;0.01%,0.01%,(IFERROR(IF($AUR3="","",IF($AUR3=0,1,1-$AUR3/HLOOKUP(AVN$3,[2]ARBOR_REAJUSTE18!$A:$AE,VLOOKUP($AUR$2,[2]ARBOR_REAJUSTE18!$A:$B,2,0),0))),""))),4)</f>
        <v>#VALUE!</v>
      </c>
      <c r="AVO3" s="44" t="e">
        <f>ROUNDUP(IF(IFERROR(IF($AUR3="","",IF($AUR3=0,1,1-$AUR3/HLOOKUP(AVO$3,[2]ARBOR_REAJUSTE18!$A:$AE,VLOOKUP($AUR$2,[2]ARBOR_REAJUSTE18!$A:$B,2,0),0))),"")&lt;0.01%,0.01%,(IFERROR(IF($AUR3="","",IF($AUR3=0,1,1-$AUR3/HLOOKUP(AVO$3,[2]ARBOR_REAJUSTE18!$A:$AE,VLOOKUP($AUR$2,[2]ARBOR_REAJUSTE18!$A:$B,2,0),0))),""))),4)</f>
        <v>#VALUE!</v>
      </c>
      <c r="AVP3" s="44" t="e">
        <f>ROUNDUP(IF(IFERROR(IF($AUR3="","",IF($AUR3=0,1,1-$AUR3/HLOOKUP(AVP$3,[2]ARBOR_REAJUSTE18!$A:$AE,VLOOKUP($AUR$2,[2]ARBOR_REAJUSTE18!$A:$B,2,0),0))),"")&lt;0.01%,0.01%,(IFERROR(IF($AUR3="","",IF($AUR3=0,1,1-$AUR3/HLOOKUP(AVP$3,[2]ARBOR_REAJUSTE18!$A:$AE,VLOOKUP($AUR$2,[2]ARBOR_REAJUSTE18!$A:$B,2,0),0))),""))),4)</f>
        <v>#VALUE!</v>
      </c>
      <c r="AVQ3" s="44" t="e">
        <f>ROUNDUP(IF(IFERROR(IF($AUR3="","",IF($AUR3=0,1,1-$AUR3/HLOOKUP(AVQ$3,[2]ARBOR_REAJUSTE18!$A:$AE,VLOOKUP($AUR$2,[2]ARBOR_REAJUSTE18!$A:$B,2,0),0))),"")&lt;0.01%,0.01%,(IFERROR(IF($AUR3="","",IF($AUR3=0,1,1-$AUR3/HLOOKUP(AVQ$3,[2]ARBOR_REAJUSTE18!$A:$AE,VLOOKUP($AUR$2,[2]ARBOR_REAJUSTE18!$A:$B,2,0),0))),""))),4)</f>
        <v>#VALUE!</v>
      </c>
      <c r="AVR3" s="44" t="e">
        <f>ROUNDUP(IF(IFERROR(IF($AUR3="","",IF($AUR3=0,1,1-$AUR3/HLOOKUP(AVR$3,[2]ARBOR_REAJUSTE18!$A:$AE,VLOOKUP($AUR$2,[2]ARBOR_REAJUSTE18!$A:$B,2,0),0))),"")&lt;0.01%,0.01%,(IFERROR(IF($AUR3="","",IF($AUR3=0,1,1-$AUR3/HLOOKUP(AVR$3,[2]ARBOR_REAJUSTE18!$A:$AE,VLOOKUP($AUR$2,[2]ARBOR_REAJUSTE18!$A:$B,2,0),0))),""))),4)</f>
        <v>#VALUE!</v>
      </c>
      <c r="AVS3" s="44" t="e">
        <f>ROUNDUP(IF(IFERROR(IF($AUR3="","",IF($AUR3=0,1,1-$AUR3/HLOOKUP(AVS$3,[2]ARBOR_REAJUSTE18!$A:$AE,VLOOKUP($AUR$2,[2]ARBOR_REAJUSTE18!$A:$B,2,0),0))),"")&lt;0.01%,0.01%,(IFERROR(IF($AUR3="","",IF($AUR3=0,1,1-$AUR3/HLOOKUP(AVS$3,[2]ARBOR_REAJUSTE18!$A:$AE,VLOOKUP($AUR$2,[2]ARBOR_REAJUSTE18!$A:$B,2,0),0))),""))),4)</f>
        <v>#VALUE!</v>
      </c>
      <c r="AVT3" s="44" t="e">
        <f>ROUNDUP(IF(IFERROR(IF($AUR3="","",IF($AUR3=0,1,1-$AUR3/HLOOKUP(AVT$3,[2]ARBOR_REAJUSTE18!$A:$AE,VLOOKUP($AUR$2,[2]ARBOR_REAJUSTE18!$A:$B,2,0),0))),"")&lt;0.01%,0.01%,(IFERROR(IF($AUR3="","",IF($AUR3=0,1,1-$AUR3/HLOOKUP(AVT$3,[2]ARBOR_REAJUSTE18!$A:$AE,VLOOKUP($AUR$2,[2]ARBOR_REAJUSTE18!$A:$B,2,0),0))),""))),4)</f>
        <v>#VALUE!</v>
      </c>
      <c r="AVU3" s="56"/>
      <c r="AVV3" s="64"/>
      <c r="AVW3" s="44" t="e">
        <f>ROUNDUP(IF(IFERROR(IF($AVU3="","",IF($AVU3=0,1,1-$AVU3/HLOOKUP(AVW$3,[2]ARBOR_REAJUSTE18!$A:$AE,VLOOKUP($AVU$2,[2]ARBOR_REAJUSTE18!$A:$B,2,0),0))),"")&lt;0.01%,0.01%,(IFERROR(IF($AVU3="","",IF($AVU3=0,1,1-$AVU3/HLOOKUP(AVW$3,[2]ARBOR_REAJUSTE18!$A:$AE,VLOOKUP($AVU$2,[2]ARBOR_REAJUSTE18!$A:$B,2,0),0))),""))),4)</f>
        <v>#VALUE!</v>
      </c>
      <c r="AVX3" s="44" t="e">
        <f>ROUNDUP(IF(IFERROR(IF($AVU3="","",IF($AVU3=0,1,1-$AVU3/HLOOKUP(AVX$3,[2]ARBOR_REAJUSTE18!$A:$AE,VLOOKUP($AVU$2,[2]ARBOR_REAJUSTE18!$A:$B,2,0),0))),"")&lt;0.01%,0.01%,(IFERROR(IF($AVU3="","",IF($AVU3=0,1,1-$AVU3/HLOOKUP(AVX$3,[2]ARBOR_REAJUSTE18!$A:$AE,VLOOKUP($AVU$2,[2]ARBOR_REAJUSTE18!$A:$B,2,0),0))),""))),4)</f>
        <v>#VALUE!</v>
      </c>
      <c r="AVY3" s="44" t="e">
        <f>ROUNDUP(IF(IFERROR(IF($AVU3="","",IF($AVU3=0,1,1-$AVU3/HLOOKUP(AVY$3,[2]ARBOR_REAJUSTE18!$A:$AE,VLOOKUP($AVU$2,[2]ARBOR_REAJUSTE18!$A:$B,2,0),0))),"")&lt;0.01%,0.01%,(IFERROR(IF($AVU3="","",IF($AVU3=0,1,1-$AVU3/HLOOKUP(AVY$3,[2]ARBOR_REAJUSTE18!$A:$AE,VLOOKUP($AVU$2,[2]ARBOR_REAJUSTE18!$A:$B,2,0),0))),""))),4)</f>
        <v>#VALUE!</v>
      </c>
      <c r="AVZ3" s="44" t="e">
        <f>ROUNDUP(IF(IFERROR(IF($AVU3="","",IF($AVU3=0,1,1-$AVU3/HLOOKUP(AVZ$3,[2]ARBOR_REAJUSTE18!$A:$AE,VLOOKUP($AVU$2,[2]ARBOR_REAJUSTE18!$A:$B,2,0),0))),"")&lt;0.01%,0.01%,(IFERROR(IF($AVU3="","",IF($AVU3=0,1,1-$AVU3/HLOOKUP(AVZ$3,[2]ARBOR_REAJUSTE18!$A:$AE,VLOOKUP($AVU$2,[2]ARBOR_REAJUSTE18!$A:$B,2,0),0))),""))),4)</f>
        <v>#VALUE!</v>
      </c>
      <c r="AWA3" s="44" t="e">
        <f>ROUNDUP(IF(IFERROR(IF($AVU3="","",IF($AVU3=0,1,1-$AVU3/HLOOKUP(AWA$3,[2]ARBOR_REAJUSTE18!$A:$AE,VLOOKUP($AVU$2,[2]ARBOR_REAJUSTE18!$A:$B,2,0),0))),"")&lt;0.01%,0.01%,(IFERROR(IF($AVU3="","",IF($AVU3=0,1,1-$AVU3/HLOOKUP(AWA$3,[2]ARBOR_REAJUSTE18!$A:$AE,VLOOKUP($AVU$2,[2]ARBOR_REAJUSTE18!$A:$B,2,0),0))),""))),4)</f>
        <v>#VALUE!</v>
      </c>
      <c r="AWB3" s="44" t="e">
        <f>ROUNDUP(IF(IFERROR(IF($AVU3="","",IF($AVU3=0,1,1-$AVU3/HLOOKUP(AWB$3,[2]ARBOR_REAJUSTE18!$A:$AE,VLOOKUP($AVU$2,[2]ARBOR_REAJUSTE18!$A:$B,2,0),0))),"")&lt;0.01%,0.01%,(IFERROR(IF($AVU3="","",IF($AVU3=0,1,1-$AVU3/HLOOKUP(AWB$3,[2]ARBOR_REAJUSTE18!$A:$AE,VLOOKUP($AVU$2,[2]ARBOR_REAJUSTE18!$A:$B,2,0),0))),""))),4)</f>
        <v>#VALUE!</v>
      </c>
      <c r="AWC3" s="44" t="e">
        <f>ROUNDUP(IF(IFERROR(IF($AVU3="","",IF($AVU3=0,1,1-$AVU3/HLOOKUP(AWC$3,[2]ARBOR_REAJUSTE18!$A:$AE,VLOOKUP($AVU$2,[2]ARBOR_REAJUSTE18!$A:$B,2,0),0))),"")&lt;0.01%,0.01%,(IFERROR(IF($AVU3="","",IF($AVU3=0,1,1-$AVU3/HLOOKUP(AWC$3,[2]ARBOR_REAJUSTE18!$A:$AE,VLOOKUP($AVU$2,[2]ARBOR_REAJUSTE18!$A:$B,2,0),0))),""))),4)</f>
        <v>#VALUE!</v>
      </c>
      <c r="AWD3" s="44" t="e">
        <f>ROUNDUP(IF(IFERROR(IF($AVU3="","",IF($AVU3=0,1,1-$AVU3/HLOOKUP(AWD$3,[2]ARBOR_REAJUSTE18!$A:$AE,VLOOKUP($AVU$2,[2]ARBOR_REAJUSTE18!$A:$B,2,0),0))),"")&lt;0.01%,0.01%,(IFERROR(IF($AVU3="","",IF($AVU3=0,1,1-$AVU3/HLOOKUP(AWD$3,[2]ARBOR_REAJUSTE18!$A:$AE,VLOOKUP($AVU$2,[2]ARBOR_REAJUSTE18!$A:$B,2,0),0))),""))),4)</f>
        <v>#VALUE!</v>
      </c>
      <c r="AWE3" s="44" t="e">
        <f>ROUNDUP(IF(IFERROR(IF($AVU3="","",IF($AVU3=0,1,1-$AVU3/HLOOKUP(AWE$3,[2]ARBOR_REAJUSTE18!$A:$AE,VLOOKUP($AVU$2,[2]ARBOR_REAJUSTE18!$A:$B,2,0),0))),"")&lt;0.01%,0.01%,(IFERROR(IF($AVU3="","",IF($AVU3=0,1,1-$AVU3/HLOOKUP(AWE$3,[2]ARBOR_REAJUSTE18!$A:$AE,VLOOKUP($AVU$2,[2]ARBOR_REAJUSTE18!$A:$B,2,0),0))),""))),4)</f>
        <v>#VALUE!</v>
      </c>
      <c r="AWF3" s="44" t="e">
        <f>ROUNDUP(IF(IFERROR(IF($AVU3="","",IF($AVU3=0,1,1-$AVU3/HLOOKUP(AWF$3,[2]ARBOR_REAJUSTE18!$A:$AE,VLOOKUP($AVU$2,[2]ARBOR_REAJUSTE18!$A:$B,2,0),0))),"")&lt;0.01%,0.01%,(IFERROR(IF($AVU3="","",IF($AVU3=0,1,1-$AVU3/HLOOKUP(AWF$3,[2]ARBOR_REAJUSTE18!$A:$AE,VLOOKUP($AVU$2,[2]ARBOR_REAJUSTE18!$A:$B,2,0),0))),""))),4)</f>
        <v>#VALUE!</v>
      </c>
      <c r="AWG3" s="44" t="e">
        <f>ROUNDUP(IF(IFERROR(IF($AVU3="","",IF($AVU3=0,1,1-$AVU3/HLOOKUP(AWG$3,[2]ARBOR_REAJUSTE18!$A:$AE,VLOOKUP($AVU$2,[2]ARBOR_REAJUSTE18!$A:$B,2,0),0))),"")&lt;0.01%,0.01%,(IFERROR(IF($AVU3="","",IF($AVU3=0,1,1-$AVU3/HLOOKUP(AWG$3,[2]ARBOR_REAJUSTE18!$A:$AE,VLOOKUP($AVU$2,[2]ARBOR_REAJUSTE18!$A:$B,2,0),0))),""))),4)</f>
        <v>#VALUE!</v>
      </c>
      <c r="AWH3" s="44" t="e">
        <f>ROUNDUP(IF(IFERROR(IF($AVU3="","",IF($AVU3=0,1,1-$AVU3/HLOOKUP(AWH$3,[2]ARBOR_REAJUSTE18!$A:$AE,VLOOKUP($AVU$2,[2]ARBOR_REAJUSTE18!$A:$B,2,0),0))),"")&lt;0.01%,0.01%,(IFERROR(IF($AVU3="","",IF($AVU3=0,1,1-$AVU3/HLOOKUP(AWH$3,[2]ARBOR_REAJUSTE18!$A:$AE,VLOOKUP($AVU$2,[2]ARBOR_REAJUSTE18!$A:$B,2,0),0))),""))),4)</f>
        <v>#VALUE!</v>
      </c>
      <c r="AWI3" s="44" t="e">
        <f>ROUNDUP(IF(IFERROR(IF($AVU3="","",IF($AVU3=0,1,1-$AVU3/HLOOKUP(AWI$3,[2]ARBOR_REAJUSTE18!$A:$AE,VLOOKUP($AVU$2,[2]ARBOR_REAJUSTE18!$A:$B,2,0),0))),"")&lt;0.01%,0.01%,(IFERROR(IF($AVU3="","",IF($AVU3=0,1,1-$AVU3/HLOOKUP(AWI$3,[2]ARBOR_REAJUSTE18!$A:$AE,VLOOKUP($AVU$2,[2]ARBOR_REAJUSTE18!$A:$B,2,0),0))),""))),4)</f>
        <v>#VALUE!</v>
      </c>
      <c r="AWJ3" s="44" t="e">
        <f>ROUNDUP(IF(IFERROR(IF($AVU3="","",IF($AVU3=0,1,1-$AVU3/HLOOKUP(AWJ$3,[2]ARBOR_REAJUSTE18!$A:$AE,VLOOKUP($AVU$2,[2]ARBOR_REAJUSTE18!$A:$B,2,0),0))),"")&lt;0.01%,0.01%,(IFERROR(IF($AVU3="","",IF($AVU3=0,1,1-$AVU3/HLOOKUP(AWJ$3,[2]ARBOR_REAJUSTE18!$A:$AE,VLOOKUP($AVU$2,[2]ARBOR_REAJUSTE18!$A:$B,2,0),0))),""))),4)</f>
        <v>#VALUE!</v>
      </c>
      <c r="AWK3" s="44" t="e">
        <f>ROUNDUP(IF(IFERROR(IF($AVU3="","",IF($AVU3=0,1,1-$AVU3/HLOOKUP(AWK$3,[2]ARBOR_REAJUSTE18!$A:$AE,VLOOKUP($AVU$2,[2]ARBOR_REAJUSTE18!$A:$B,2,0),0))),"")&lt;0.01%,0.01%,(IFERROR(IF($AVU3="","",IF($AVU3=0,1,1-$AVU3/HLOOKUP(AWK$3,[2]ARBOR_REAJUSTE18!$A:$AE,VLOOKUP($AVU$2,[2]ARBOR_REAJUSTE18!$A:$B,2,0),0))),""))),4)</f>
        <v>#VALUE!</v>
      </c>
      <c r="AWL3" s="44" t="e">
        <f>ROUNDUP(IF(IFERROR(IF($AVU3="","",IF($AVU3=0,1,1-$AVU3/HLOOKUP(AWL$3,[2]ARBOR_REAJUSTE18!$A:$AE,VLOOKUP($AVU$2,[2]ARBOR_REAJUSTE18!$A:$B,2,0),0))),"")&lt;0.01%,0.01%,(IFERROR(IF($AVU3="","",IF($AVU3=0,1,1-$AVU3/HLOOKUP(AWL$3,[2]ARBOR_REAJUSTE18!$A:$AE,VLOOKUP($AVU$2,[2]ARBOR_REAJUSTE18!$A:$B,2,0),0))),""))),4)</f>
        <v>#VALUE!</v>
      </c>
      <c r="AWM3" s="44" t="e">
        <f>ROUNDUP(IF(IFERROR(IF($AVU3="","",IF($AVU3=0,1,1-$AVU3/HLOOKUP(AWM$3,[2]ARBOR_REAJUSTE18!$A:$AE,VLOOKUP($AVU$2,[2]ARBOR_REAJUSTE18!$A:$B,2,0),0))),"")&lt;0.01%,0.01%,(IFERROR(IF($AVU3="","",IF($AVU3=0,1,1-$AVU3/HLOOKUP(AWM$3,[2]ARBOR_REAJUSTE18!$A:$AE,VLOOKUP($AVU$2,[2]ARBOR_REAJUSTE18!$A:$B,2,0),0))),""))),4)</f>
        <v>#VALUE!</v>
      </c>
      <c r="AWN3" s="44" t="e">
        <f>ROUNDUP(IF(IFERROR(IF($AVU3="","",IF($AVU3=0,1,1-$AVU3/HLOOKUP(AWN$3,[2]ARBOR_REAJUSTE18!$A:$AE,VLOOKUP($AVU$2,[2]ARBOR_REAJUSTE18!$A:$B,2,0),0))),"")&lt;0.01%,0.01%,(IFERROR(IF($AVU3="","",IF($AVU3=0,1,1-$AVU3/HLOOKUP(AWN$3,[2]ARBOR_REAJUSTE18!$A:$AE,VLOOKUP($AVU$2,[2]ARBOR_REAJUSTE18!$A:$B,2,0),0))),""))),4)</f>
        <v>#VALUE!</v>
      </c>
      <c r="AWO3" s="44" t="e">
        <f>ROUNDUP(IF(IFERROR(IF($AVU3="","",IF($AVU3=0,1,1-$AVU3/HLOOKUP(AWO$3,[2]ARBOR_REAJUSTE18!$A:$AE,VLOOKUP($AVU$2,[2]ARBOR_REAJUSTE18!$A:$B,2,0),0))),"")&lt;0.01%,0.01%,(IFERROR(IF($AVU3="","",IF($AVU3=0,1,1-$AVU3/HLOOKUP(AWO$3,[2]ARBOR_REAJUSTE18!$A:$AE,VLOOKUP($AVU$2,[2]ARBOR_REAJUSTE18!$A:$B,2,0),0))),""))),4)</f>
        <v>#VALUE!</v>
      </c>
      <c r="AWP3" s="44" t="e">
        <f>ROUNDUP(IF(IFERROR(IF($AVU3="","",IF($AVU3=0,1,1-$AVU3/HLOOKUP(AWP$3,[2]ARBOR_REAJUSTE18!$A:$AE,VLOOKUP($AVU$2,[2]ARBOR_REAJUSTE18!$A:$B,2,0),0))),"")&lt;0.01%,0.01%,(IFERROR(IF($AVU3="","",IF($AVU3=0,1,1-$AVU3/HLOOKUP(AWP$3,[2]ARBOR_REAJUSTE18!$A:$AE,VLOOKUP($AVU$2,[2]ARBOR_REAJUSTE18!$A:$B,2,0),0))),""))),4)</f>
        <v>#VALUE!</v>
      </c>
      <c r="AWQ3" s="44" t="e">
        <f>ROUNDUP(IF(IFERROR(IF($AVU3="","",IF($AVU3=0,1,1-$AVU3/HLOOKUP(AWQ$3,[2]ARBOR_REAJUSTE18!$A:$AE,VLOOKUP($AVU$2,[2]ARBOR_REAJUSTE18!$A:$B,2,0),0))),"")&lt;0.01%,0.01%,(IFERROR(IF($AVU3="","",IF($AVU3=0,1,1-$AVU3/HLOOKUP(AWQ$3,[2]ARBOR_REAJUSTE18!$A:$AE,VLOOKUP($AVU$2,[2]ARBOR_REAJUSTE18!$A:$B,2,0),0))),""))),4)</f>
        <v>#VALUE!</v>
      </c>
      <c r="AWR3" s="44" t="e">
        <f>ROUNDUP(IF(IFERROR(IF($AVU3="","",IF($AVU3=0,1,1-$AVU3/HLOOKUP(AWR$3,[2]ARBOR_REAJUSTE18!$A:$AE,VLOOKUP($AVU$2,[2]ARBOR_REAJUSTE18!$A:$B,2,0),0))),"")&lt;0.01%,0.01%,(IFERROR(IF($AVU3="","",IF($AVU3=0,1,1-$AVU3/HLOOKUP(AWR$3,[2]ARBOR_REAJUSTE18!$A:$AE,VLOOKUP($AVU$2,[2]ARBOR_REAJUSTE18!$A:$B,2,0),0))),""))),4)</f>
        <v>#VALUE!</v>
      </c>
      <c r="AWS3" s="44" t="e">
        <f>ROUNDUP(IF(IFERROR(IF($AVU3="","",IF($AVU3=0,1,1-$AVU3/HLOOKUP(AWS$3,[2]ARBOR_REAJUSTE18!$A:$AE,VLOOKUP($AVU$2,[2]ARBOR_REAJUSTE18!$A:$B,2,0),0))),"")&lt;0.01%,0.01%,(IFERROR(IF($AVU3="","",IF($AVU3=0,1,1-$AVU3/HLOOKUP(AWS$3,[2]ARBOR_REAJUSTE18!$A:$AE,VLOOKUP($AVU$2,[2]ARBOR_REAJUSTE18!$A:$B,2,0),0))),""))),4)</f>
        <v>#VALUE!</v>
      </c>
      <c r="AWT3" s="44" t="e">
        <f>ROUNDUP(IF(IFERROR(IF($AVU3="","",IF($AVU3=0,1,1-$AVU3/HLOOKUP(AWT$3,[2]ARBOR_REAJUSTE18!$A:$AE,VLOOKUP($AVU$2,[2]ARBOR_REAJUSTE18!$A:$B,2,0),0))),"")&lt;0.01%,0.01%,(IFERROR(IF($AVU3="","",IF($AVU3=0,1,1-$AVU3/HLOOKUP(AWT$3,[2]ARBOR_REAJUSTE18!$A:$AE,VLOOKUP($AVU$2,[2]ARBOR_REAJUSTE18!$A:$B,2,0),0))),""))),4)</f>
        <v>#VALUE!</v>
      </c>
      <c r="AWU3" s="44" t="e">
        <f>ROUNDUP(IF(IFERROR(IF($AVU3="","",IF($AVU3=0,1,1-$AVU3/HLOOKUP(AWU$3,[2]ARBOR_REAJUSTE18!$A:$AE,VLOOKUP($AVU$2,[2]ARBOR_REAJUSTE18!$A:$B,2,0),0))),"")&lt;0.01%,0.01%,(IFERROR(IF($AVU3="","",IF($AVU3=0,1,1-$AVU3/HLOOKUP(AWU$3,[2]ARBOR_REAJUSTE18!$A:$AE,VLOOKUP($AVU$2,[2]ARBOR_REAJUSTE18!$A:$B,2,0),0))),""))),4)</f>
        <v>#VALUE!</v>
      </c>
      <c r="AWV3" s="44" t="e">
        <f>ROUNDUP(IF(IFERROR(IF($AVU3="","",IF($AVU3=0,1,1-$AVU3/HLOOKUP(AWV$3,[2]ARBOR_REAJUSTE18!$A:$AE,VLOOKUP($AVU$2,[2]ARBOR_REAJUSTE18!$A:$B,2,0),0))),"")&lt;0.01%,0.01%,(IFERROR(IF($AVU3="","",IF($AVU3=0,1,1-$AVU3/HLOOKUP(AWV$3,[2]ARBOR_REAJUSTE18!$A:$AE,VLOOKUP($AVU$2,[2]ARBOR_REAJUSTE18!$A:$B,2,0),0))),""))),4)</f>
        <v>#VALUE!</v>
      </c>
      <c r="AWW3" s="44" t="e">
        <f>ROUNDUP(IF(IFERROR(IF($AVU3="","",IF($AVU3=0,1,1-$AVU3/HLOOKUP(AWW$3,[2]ARBOR_REAJUSTE18!$A:$AE,VLOOKUP($AVU$2,[2]ARBOR_REAJUSTE18!$A:$B,2,0),0))),"")&lt;0.01%,0.01%,(IFERROR(IF($AVU3="","",IF($AVU3=0,1,1-$AVU3/HLOOKUP(AWW$3,[2]ARBOR_REAJUSTE18!$A:$AE,VLOOKUP($AVU$2,[2]ARBOR_REAJUSTE18!$A:$B,2,0),0))),""))),4)</f>
        <v>#VALUE!</v>
      </c>
      <c r="AWX3" s="56"/>
      <c r="AWY3" s="64"/>
      <c r="AWZ3" s="44" t="e">
        <f>ROUNDUP(IF(IFERROR(IF($AWX3="","",IF($AWX3=0,1,1-$AWX3/HLOOKUP(AWZ$3,[2]ARBOR_REAJUSTE18!$A:$AE,VLOOKUP($AWX$2,[2]ARBOR_REAJUSTE18!$A:$B,2,0),0))),"")&lt;0.01%,0.01%,(IFERROR(IF($AWX3="","",IF($AWX3=0,1,1-$AWX3/HLOOKUP(AWZ$3,[2]ARBOR_REAJUSTE18!$A:$AE,VLOOKUP($AWX$2,[2]ARBOR_REAJUSTE18!$A:$B,2,0),0))),""))),4)</f>
        <v>#VALUE!</v>
      </c>
      <c r="AXA3" s="44" t="e">
        <f>ROUNDUP(IF(IFERROR(IF($AWX3="","",IF($AWX3=0,1,1-$AWX3/HLOOKUP(AXA$3,[2]ARBOR_REAJUSTE18!$A:$AE,VLOOKUP($AWX$2,[2]ARBOR_REAJUSTE18!$A:$B,2,0),0))),"")&lt;0.01%,0.01%,(IFERROR(IF($AWX3="","",IF($AWX3=0,1,1-$AWX3/HLOOKUP(AXA$3,[2]ARBOR_REAJUSTE18!$A:$AE,VLOOKUP($AWX$2,[2]ARBOR_REAJUSTE18!$A:$B,2,0),0))),""))),4)</f>
        <v>#VALUE!</v>
      </c>
      <c r="AXB3" s="44" t="e">
        <f>ROUNDUP(IF(IFERROR(IF($AWX3="","",IF($AWX3=0,1,1-$AWX3/HLOOKUP(AXB$3,[2]ARBOR_REAJUSTE18!$A:$AE,VLOOKUP($AWX$2,[2]ARBOR_REAJUSTE18!$A:$B,2,0),0))),"")&lt;0.01%,0.01%,(IFERROR(IF($AWX3="","",IF($AWX3=0,1,1-$AWX3/HLOOKUP(AXB$3,[2]ARBOR_REAJUSTE18!$A:$AE,VLOOKUP($AWX$2,[2]ARBOR_REAJUSTE18!$A:$B,2,0),0))),""))),4)</f>
        <v>#VALUE!</v>
      </c>
      <c r="AXC3" s="44" t="e">
        <f>ROUNDUP(IF(IFERROR(IF($AWX3="","",IF($AWX3=0,1,1-$AWX3/HLOOKUP(AXC$3,[2]ARBOR_REAJUSTE18!$A:$AE,VLOOKUP($AWX$2,[2]ARBOR_REAJUSTE18!$A:$B,2,0),0))),"")&lt;0.01%,0.01%,(IFERROR(IF($AWX3="","",IF($AWX3=0,1,1-$AWX3/HLOOKUP(AXC$3,[2]ARBOR_REAJUSTE18!$A:$AE,VLOOKUP($AWX$2,[2]ARBOR_REAJUSTE18!$A:$B,2,0),0))),""))),4)</f>
        <v>#VALUE!</v>
      </c>
      <c r="AXD3" s="44" t="e">
        <f>ROUNDUP(IF(IFERROR(IF($AWX3="","",IF($AWX3=0,1,1-$AWX3/HLOOKUP(AXD$3,[2]ARBOR_REAJUSTE18!$A:$AE,VLOOKUP($AWX$2,[2]ARBOR_REAJUSTE18!$A:$B,2,0),0))),"")&lt;0.01%,0.01%,(IFERROR(IF($AWX3="","",IF($AWX3=0,1,1-$AWX3/HLOOKUP(AXD$3,[2]ARBOR_REAJUSTE18!$A:$AE,VLOOKUP($AWX$2,[2]ARBOR_REAJUSTE18!$A:$B,2,0),0))),""))),4)</f>
        <v>#VALUE!</v>
      </c>
      <c r="AXE3" s="44" t="e">
        <f>ROUNDUP(IF(IFERROR(IF($AWX3="","",IF($AWX3=0,1,1-$AWX3/HLOOKUP(AXE$3,[2]ARBOR_REAJUSTE18!$A:$AE,VLOOKUP($AWX$2,[2]ARBOR_REAJUSTE18!$A:$B,2,0),0))),"")&lt;0.01%,0.01%,(IFERROR(IF($AWX3="","",IF($AWX3=0,1,1-$AWX3/HLOOKUP(AXE$3,[2]ARBOR_REAJUSTE18!$A:$AE,VLOOKUP($AWX$2,[2]ARBOR_REAJUSTE18!$A:$B,2,0),0))),""))),4)</f>
        <v>#VALUE!</v>
      </c>
      <c r="AXF3" s="44" t="e">
        <f>ROUNDUP(IF(IFERROR(IF($AWX3="","",IF($AWX3=0,1,1-$AWX3/HLOOKUP(AXF$3,[2]ARBOR_REAJUSTE18!$A:$AE,VLOOKUP($AWX$2,[2]ARBOR_REAJUSTE18!$A:$B,2,0),0))),"")&lt;0.01%,0.01%,(IFERROR(IF($AWX3="","",IF($AWX3=0,1,1-$AWX3/HLOOKUP(AXF$3,[2]ARBOR_REAJUSTE18!$A:$AE,VLOOKUP($AWX$2,[2]ARBOR_REAJUSTE18!$A:$B,2,0),0))),""))),4)</f>
        <v>#VALUE!</v>
      </c>
      <c r="AXG3" s="44" t="e">
        <f>ROUNDUP(IF(IFERROR(IF($AWX3="","",IF($AWX3=0,1,1-$AWX3/HLOOKUP(AXG$3,[2]ARBOR_REAJUSTE18!$A:$AE,VLOOKUP($AWX$2,[2]ARBOR_REAJUSTE18!$A:$B,2,0),0))),"")&lt;0.01%,0.01%,(IFERROR(IF($AWX3="","",IF($AWX3=0,1,1-$AWX3/HLOOKUP(AXG$3,[2]ARBOR_REAJUSTE18!$A:$AE,VLOOKUP($AWX$2,[2]ARBOR_REAJUSTE18!$A:$B,2,0),0))),""))),4)</f>
        <v>#VALUE!</v>
      </c>
      <c r="AXH3" s="44" t="e">
        <f>ROUNDUP(IF(IFERROR(IF($AWX3="","",IF($AWX3=0,1,1-$AWX3/HLOOKUP(AXH$3,[2]ARBOR_REAJUSTE18!$A:$AE,VLOOKUP($AWX$2,[2]ARBOR_REAJUSTE18!$A:$B,2,0),0))),"")&lt;0.01%,0.01%,(IFERROR(IF($AWX3="","",IF($AWX3=0,1,1-$AWX3/HLOOKUP(AXH$3,[2]ARBOR_REAJUSTE18!$A:$AE,VLOOKUP($AWX$2,[2]ARBOR_REAJUSTE18!$A:$B,2,0),0))),""))),4)</f>
        <v>#VALUE!</v>
      </c>
      <c r="AXI3" s="44" t="e">
        <f>ROUNDUP(IF(IFERROR(IF($AWX3="","",IF($AWX3=0,1,1-$AWX3/HLOOKUP(AXI$3,[2]ARBOR_REAJUSTE18!$A:$AE,VLOOKUP($AWX$2,[2]ARBOR_REAJUSTE18!$A:$B,2,0),0))),"")&lt;0.01%,0.01%,(IFERROR(IF($AWX3="","",IF($AWX3=0,1,1-$AWX3/HLOOKUP(AXI$3,[2]ARBOR_REAJUSTE18!$A:$AE,VLOOKUP($AWX$2,[2]ARBOR_REAJUSTE18!$A:$B,2,0),0))),""))),4)</f>
        <v>#VALUE!</v>
      </c>
      <c r="AXJ3" s="44" t="e">
        <f>ROUNDUP(IF(IFERROR(IF($AWX3="","",IF($AWX3=0,1,1-$AWX3/HLOOKUP(AXJ$3,[2]ARBOR_REAJUSTE18!$A:$AE,VLOOKUP($AWX$2,[2]ARBOR_REAJUSTE18!$A:$B,2,0),0))),"")&lt;0.01%,0.01%,(IFERROR(IF($AWX3="","",IF($AWX3=0,1,1-$AWX3/HLOOKUP(AXJ$3,[2]ARBOR_REAJUSTE18!$A:$AE,VLOOKUP($AWX$2,[2]ARBOR_REAJUSTE18!$A:$B,2,0),0))),""))),4)</f>
        <v>#VALUE!</v>
      </c>
      <c r="AXK3" s="44" t="e">
        <f>ROUNDUP(IF(IFERROR(IF($AWX3="","",IF($AWX3=0,1,1-$AWX3/HLOOKUP(AXK$3,[2]ARBOR_REAJUSTE18!$A:$AE,VLOOKUP($AWX$2,[2]ARBOR_REAJUSTE18!$A:$B,2,0),0))),"")&lt;0.01%,0.01%,(IFERROR(IF($AWX3="","",IF($AWX3=0,1,1-$AWX3/HLOOKUP(AXK$3,[2]ARBOR_REAJUSTE18!$A:$AE,VLOOKUP($AWX$2,[2]ARBOR_REAJUSTE18!$A:$B,2,0),0))),""))),4)</f>
        <v>#VALUE!</v>
      </c>
      <c r="AXL3" s="44" t="e">
        <f>ROUNDUP(IF(IFERROR(IF($AWX3="","",IF($AWX3=0,1,1-$AWX3/HLOOKUP(AXL$3,[2]ARBOR_REAJUSTE18!$A:$AE,VLOOKUP($AWX$2,[2]ARBOR_REAJUSTE18!$A:$B,2,0),0))),"")&lt;0.01%,0.01%,(IFERROR(IF($AWX3="","",IF($AWX3=0,1,1-$AWX3/HLOOKUP(AXL$3,[2]ARBOR_REAJUSTE18!$A:$AE,VLOOKUP($AWX$2,[2]ARBOR_REAJUSTE18!$A:$B,2,0),0))),""))),4)</f>
        <v>#VALUE!</v>
      </c>
      <c r="AXM3" s="44" t="e">
        <f>ROUNDUP(IF(IFERROR(IF($AWX3="","",IF($AWX3=0,1,1-$AWX3/HLOOKUP(AXM$3,[2]ARBOR_REAJUSTE18!$A:$AE,VLOOKUP($AWX$2,[2]ARBOR_REAJUSTE18!$A:$B,2,0),0))),"")&lt;0.01%,0.01%,(IFERROR(IF($AWX3="","",IF($AWX3=0,1,1-$AWX3/HLOOKUP(AXM$3,[2]ARBOR_REAJUSTE18!$A:$AE,VLOOKUP($AWX$2,[2]ARBOR_REAJUSTE18!$A:$B,2,0),0))),""))),4)</f>
        <v>#VALUE!</v>
      </c>
      <c r="AXN3" s="44" t="e">
        <f>ROUNDUP(IF(IFERROR(IF($AWX3="","",IF($AWX3=0,1,1-$AWX3/HLOOKUP(AXN$3,[2]ARBOR_REAJUSTE18!$A:$AE,VLOOKUP($AWX$2,[2]ARBOR_REAJUSTE18!$A:$B,2,0),0))),"")&lt;0.01%,0.01%,(IFERROR(IF($AWX3="","",IF($AWX3=0,1,1-$AWX3/HLOOKUP(AXN$3,[2]ARBOR_REAJUSTE18!$A:$AE,VLOOKUP($AWX$2,[2]ARBOR_REAJUSTE18!$A:$B,2,0),0))),""))),4)</f>
        <v>#VALUE!</v>
      </c>
      <c r="AXO3" s="44" t="e">
        <f>ROUNDUP(IF(IFERROR(IF($AWX3="","",IF($AWX3=0,1,1-$AWX3/HLOOKUP(AXO$3,[2]ARBOR_REAJUSTE18!$A:$AE,VLOOKUP($AWX$2,[2]ARBOR_REAJUSTE18!$A:$B,2,0),0))),"")&lt;0.01%,0.01%,(IFERROR(IF($AWX3="","",IF($AWX3=0,1,1-$AWX3/HLOOKUP(AXO$3,[2]ARBOR_REAJUSTE18!$A:$AE,VLOOKUP($AWX$2,[2]ARBOR_REAJUSTE18!$A:$B,2,0),0))),""))),4)</f>
        <v>#VALUE!</v>
      </c>
      <c r="AXP3" s="44" t="e">
        <f>ROUNDUP(IF(IFERROR(IF($AWX3="","",IF($AWX3=0,1,1-$AWX3/HLOOKUP(AXP$3,[2]ARBOR_REAJUSTE18!$A:$AE,VLOOKUP($AWX$2,[2]ARBOR_REAJUSTE18!$A:$B,2,0),0))),"")&lt;0.01%,0.01%,(IFERROR(IF($AWX3="","",IF($AWX3=0,1,1-$AWX3/HLOOKUP(AXP$3,[2]ARBOR_REAJUSTE18!$A:$AE,VLOOKUP($AWX$2,[2]ARBOR_REAJUSTE18!$A:$B,2,0),0))),""))),4)</f>
        <v>#VALUE!</v>
      </c>
      <c r="AXQ3" s="44" t="e">
        <f>ROUNDUP(IF(IFERROR(IF($AWX3="","",IF($AWX3=0,1,1-$AWX3/HLOOKUP(AXQ$3,[2]ARBOR_REAJUSTE18!$A:$AE,VLOOKUP($AWX$2,[2]ARBOR_REAJUSTE18!$A:$B,2,0),0))),"")&lt;0.01%,0.01%,(IFERROR(IF($AWX3="","",IF($AWX3=0,1,1-$AWX3/HLOOKUP(AXQ$3,[2]ARBOR_REAJUSTE18!$A:$AE,VLOOKUP($AWX$2,[2]ARBOR_REAJUSTE18!$A:$B,2,0),0))),""))),4)</f>
        <v>#VALUE!</v>
      </c>
      <c r="AXR3" s="44" t="e">
        <f>ROUNDUP(IF(IFERROR(IF($AWX3="","",IF($AWX3=0,1,1-$AWX3/HLOOKUP(AXR$3,[2]ARBOR_REAJUSTE18!$A:$AE,VLOOKUP($AWX$2,[2]ARBOR_REAJUSTE18!$A:$B,2,0),0))),"")&lt;0.01%,0.01%,(IFERROR(IF($AWX3="","",IF($AWX3=0,1,1-$AWX3/HLOOKUP(AXR$3,[2]ARBOR_REAJUSTE18!$A:$AE,VLOOKUP($AWX$2,[2]ARBOR_REAJUSTE18!$A:$B,2,0),0))),""))),4)</f>
        <v>#VALUE!</v>
      </c>
      <c r="AXS3" s="44" t="e">
        <f>ROUNDUP(IF(IFERROR(IF($AWX3="","",IF($AWX3=0,1,1-$AWX3/HLOOKUP(AXS$3,[2]ARBOR_REAJUSTE18!$A:$AE,VLOOKUP($AWX$2,[2]ARBOR_REAJUSTE18!$A:$B,2,0),0))),"")&lt;0.01%,0.01%,(IFERROR(IF($AWX3="","",IF($AWX3=0,1,1-$AWX3/HLOOKUP(AXS$3,[2]ARBOR_REAJUSTE18!$A:$AE,VLOOKUP($AWX$2,[2]ARBOR_REAJUSTE18!$A:$B,2,0),0))),""))),4)</f>
        <v>#VALUE!</v>
      </c>
      <c r="AXT3" s="44" t="e">
        <f>ROUNDUP(IF(IFERROR(IF($AWX3="","",IF($AWX3=0,1,1-$AWX3/HLOOKUP(AXT$3,[2]ARBOR_REAJUSTE18!$A:$AE,VLOOKUP($AWX$2,[2]ARBOR_REAJUSTE18!$A:$B,2,0),0))),"")&lt;0.01%,0.01%,(IFERROR(IF($AWX3="","",IF($AWX3=0,1,1-$AWX3/HLOOKUP(AXT$3,[2]ARBOR_REAJUSTE18!$A:$AE,VLOOKUP($AWX$2,[2]ARBOR_REAJUSTE18!$A:$B,2,0),0))),""))),4)</f>
        <v>#VALUE!</v>
      </c>
      <c r="AXU3" s="44" t="e">
        <f>ROUNDUP(IF(IFERROR(IF($AWX3="","",IF($AWX3=0,1,1-$AWX3/HLOOKUP(AXU$3,[2]ARBOR_REAJUSTE18!$A:$AE,VLOOKUP($AWX$2,[2]ARBOR_REAJUSTE18!$A:$B,2,0),0))),"")&lt;0.01%,0.01%,(IFERROR(IF($AWX3="","",IF($AWX3=0,1,1-$AWX3/HLOOKUP(AXU$3,[2]ARBOR_REAJUSTE18!$A:$AE,VLOOKUP($AWX$2,[2]ARBOR_REAJUSTE18!$A:$B,2,0),0))),""))),4)</f>
        <v>#VALUE!</v>
      </c>
      <c r="AXV3" s="44" t="e">
        <f>ROUNDUP(IF(IFERROR(IF($AWX3="","",IF($AWX3=0,1,1-$AWX3/HLOOKUP(AXV$3,[2]ARBOR_REAJUSTE18!$A:$AE,VLOOKUP($AWX$2,[2]ARBOR_REAJUSTE18!$A:$B,2,0),0))),"")&lt;0.01%,0.01%,(IFERROR(IF($AWX3="","",IF($AWX3=0,1,1-$AWX3/HLOOKUP(AXV$3,[2]ARBOR_REAJUSTE18!$A:$AE,VLOOKUP($AWX$2,[2]ARBOR_REAJUSTE18!$A:$B,2,0),0))),""))),4)</f>
        <v>#VALUE!</v>
      </c>
      <c r="AXW3" s="44" t="e">
        <f>ROUNDUP(IF(IFERROR(IF($AWX3="","",IF($AWX3=0,1,1-$AWX3/HLOOKUP(AXW$3,[2]ARBOR_REAJUSTE18!$A:$AE,VLOOKUP($AWX$2,[2]ARBOR_REAJUSTE18!$A:$B,2,0),0))),"")&lt;0.01%,0.01%,(IFERROR(IF($AWX3="","",IF($AWX3=0,1,1-$AWX3/HLOOKUP(AXW$3,[2]ARBOR_REAJUSTE18!$A:$AE,VLOOKUP($AWX$2,[2]ARBOR_REAJUSTE18!$A:$B,2,0),0))),""))),4)</f>
        <v>#VALUE!</v>
      </c>
      <c r="AXX3" s="44" t="e">
        <f>ROUNDUP(IF(IFERROR(IF($AWX3="","",IF($AWX3=0,1,1-$AWX3/HLOOKUP(AXX$3,[2]ARBOR_REAJUSTE18!$A:$AE,VLOOKUP($AWX$2,[2]ARBOR_REAJUSTE18!$A:$B,2,0),0))),"")&lt;0.01%,0.01%,(IFERROR(IF($AWX3="","",IF($AWX3=0,1,1-$AWX3/HLOOKUP(AXX$3,[2]ARBOR_REAJUSTE18!$A:$AE,VLOOKUP($AWX$2,[2]ARBOR_REAJUSTE18!$A:$B,2,0),0))),""))),4)</f>
        <v>#VALUE!</v>
      </c>
      <c r="AXY3" s="44" t="e">
        <f>ROUNDUP(IF(IFERROR(IF($AWX3="","",IF($AWX3=0,1,1-$AWX3/HLOOKUP(AXY$3,[2]ARBOR_REAJUSTE18!$A:$AE,VLOOKUP($AWX$2,[2]ARBOR_REAJUSTE18!$A:$B,2,0),0))),"")&lt;0.01%,0.01%,(IFERROR(IF($AWX3="","",IF($AWX3=0,1,1-$AWX3/HLOOKUP(AXY$3,[2]ARBOR_REAJUSTE18!$A:$AE,VLOOKUP($AWX$2,[2]ARBOR_REAJUSTE18!$A:$B,2,0),0))),""))),4)</f>
        <v>#VALUE!</v>
      </c>
      <c r="AXZ3" s="44" t="e">
        <f>ROUNDUP(IF(IFERROR(IF($AWX3="","",IF($AWX3=0,1,1-$AWX3/HLOOKUP(AXZ$3,[2]ARBOR_REAJUSTE18!$A:$AE,VLOOKUP($AWX$2,[2]ARBOR_REAJUSTE18!$A:$B,2,0),0))),"")&lt;0.01%,0.01%,(IFERROR(IF($AWX3="","",IF($AWX3=0,1,1-$AWX3/HLOOKUP(AXZ$3,[2]ARBOR_REAJUSTE18!$A:$AE,VLOOKUP($AWX$2,[2]ARBOR_REAJUSTE18!$A:$B,2,0),0))),""))),4)</f>
        <v>#VALUE!</v>
      </c>
      <c r="AYA3" s="56"/>
      <c r="AYB3" s="64"/>
      <c r="AYC3" s="44" t="e">
        <f>ROUNDUP(IF(IFERROR(IF($AYA3="","",IF($AYA3=0,1,1-$AYA3/HLOOKUP(AYC$3,[2]ARBOR_REAJUSTE18!$A:$AE,VLOOKUP($AYA$2,[2]ARBOR_REAJUSTE18!$A:$B,2,0),0))),"")&lt;0.01%,0.01%,(IFERROR(IF($AYA3="","",IF($AYA3=0,1,1-$AYA3/HLOOKUP(AYC$3,[2]ARBOR_REAJUSTE18!$A:$AE,VLOOKUP($AYA$2,[2]ARBOR_REAJUSTE18!$A:$B,2,0),0))),""))),4)</f>
        <v>#VALUE!</v>
      </c>
      <c r="AYD3" s="44" t="e">
        <f>ROUNDUP(IF(IFERROR(IF($AYA3="","",IF($AYA3=0,1,1-$AYA3/HLOOKUP(AYD$3,[2]ARBOR_REAJUSTE18!$A:$AE,VLOOKUP($AYA$2,[2]ARBOR_REAJUSTE18!$A:$B,2,0),0))),"")&lt;0.01%,0.01%,(IFERROR(IF($AYA3="","",IF($AYA3=0,1,1-$AYA3/HLOOKUP(AYD$3,[2]ARBOR_REAJUSTE18!$A:$AE,VLOOKUP($AYA$2,[2]ARBOR_REAJUSTE18!$A:$B,2,0),0))),""))),4)</f>
        <v>#VALUE!</v>
      </c>
      <c r="AYE3" s="44" t="e">
        <f>ROUNDUP(IF(IFERROR(IF($AYA3="","",IF($AYA3=0,1,1-$AYA3/HLOOKUP(AYE$3,[2]ARBOR_REAJUSTE18!$A:$AE,VLOOKUP($AYA$2,[2]ARBOR_REAJUSTE18!$A:$B,2,0),0))),"")&lt;0.01%,0.01%,(IFERROR(IF($AYA3="","",IF($AYA3=0,1,1-$AYA3/HLOOKUP(AYE$3,[2]ARBOR_REAJUSTE18!$A:$AE,VLOOKUP($AYA$2,[2]ARBOR_REAJUSTE18!$A:$B,2,0),0))),""))),4)</f>
        <v>#VALUE!</v>
      </c>
      <c r="AYF3" s="44" t="e">
        <f>ROUNDUP(IF(IFERROR(IF($AYA3="","",IF($AYA3=0,1,1-$AYA3/HLOOKUP(AYF$3,[2]ARBOR_REAJUSTE18!$A:$AE,VLOOKUP($AYA$2,[2]ARBOR_REAJUSTE18!$A:$B,2,0),0))),"")&lt;0.01%,0.01%,(IFERROR(IF($AYA3="","",IF($AYA3=0,1,1-$AYA3/HLOOKUP(AYF$3,[2]ARBOR_REAJUSTE18!$A:$AE,VLOOKUP($AYA$2,[2]ARBOR_REAJUSTE18!$A:$B,2,0),0))),""))),4)</f>
        <v>#VALUE!</v>
      </c>
      <c r="AYG3" s="44" t="e">
        <f>ROUNDUP(IF(IFERROR(IF($AYA3="","",IF($AYA3=0,1,1-$AYA3/HLOOKUP(AYG$3,[2]ARBOR_REAJUSTE18!$A:$AE,VLOOKUP($AYA$2,[2]ARBOR_REAJUSTE18!$A:$B,2,0),0))),"")&lt;0.01%,0.01%,(IFERROR(IF($AYA3="","",IF($AYA3=0,1,1-$AYA3/HLOOKUP(AYG$3,[2]ARBOR_REAJUSTE18!$A:$AE,VLOOKUP($AYA$2,[2]ARBOR_REAJUSTE18!$A:$B,2,0),0))),""))),4)</f>
        <v>#VALUE!</v>
      </c>
      <c r="AYH3" s="44" t="e">
        <f>ROUNDUP(IF(IFERROR(IF($AYA3="","",IF($AYA3=0,1,1-$AYA3/HLOOKUP(AYH$3,[2]ARBOR_REAJUSTE18!$A:$AE,VLOOKUP($AYA$2,[2]ARBOR_REAJUSTE18!$A:$B,2,0),0))),"")&lt;0.01%,0.01%,(IFERROR(IF($AYA3="","",IF($AYA3=0,1,1-$AYA3/HLOOKUP(AYH$3,[2]ARBOR_REAJUSTE18!$A:$AE,VLOOKUP($AYA$2,[2]ARBOR_REAJUSTE18!$A:$B,2,0),0))),""))),4)</f>
        <v>#VALUE!</v>
      </c>
      <c r="AYI3" s="44" t="e">
        <f>ROUNDUP(IF(IFERROR(IF($AYA3="","",IF($AYA3=0,1,1-$AYA3/HLOOKUP(AYI$3,[2]ARBOR_REAJUSTE18!$A:$AE,VLOOKUP($AYA$2,[2]ARBOR_REAJUSTE18!$A:$B,2,0),0))),"")&lt;0.01%,0.01%,(IFERROR(IF($AYA3="","",IF($AYA3=0,1,1-$AYA3/HLOOKUP(AYI$3,[2]ARBOR_REAJUSTE18!$A:$AE,VLOOKUP($AYA$2,[2]ARBOR_REAJUSTE18!$A:$B,2,0),0))),""))),4)</f>
        <v>#VALUE!</v>
      </c>
      <c r="AYJ3" s="44" t="e">
        <f>ROUNDUP(IF(IFERROR(IF($AYA3="","",IF($AYA3=0,1,1-$AYA3/HLOOKUP(AYJ$3,[2]ARBOR_REAJUSTE18!$A:$AE,VLOOKUP($AYA$2,[2]ARBOR_REAJUSTE18!$A:$B,2,0),0))),"")&lt;0.01%,0.01%,(IFERROR(IF($AYA3="","",IF($AYA3=0,1,1-$AYA3/HLOOKUP(AYJ$3,[2]ARBOR_REAJUSTE18!$A:$AE,VLOOKUP($AYA$2,[2]ARBOR_REAJUSTE18!$A:$B,2,0),0))),""))),4)</f>
        <v>#VALUE!</v>
      </c>
      <c r="AYK3" s="44" t="e">
        <f>ROUNDUP(IF(IFERROR(IF($AYA3="","",IF($AYA3=0,1,1-$AYA3/HLOOKUP(AYK$3,[2]ARBOR_REAJUSTE18!$A:$AE,VLOOKUP($AYA$2,[2]ARBOR_REAJUSTE18!$A:$B,2,0),0))),"")&lt;0.01%,0.01%,(IFERROR(IF($AYA3="","",IF($AYA3=0,1,1-$AYA3/HLOOKUP(AYK$3,[2]ARBOR_REAJUSTE18!$A:$AE,VLOOKUP($AYA$2,[2]ARBOR_REAJUSTE18!$A:$B,2,0),0))),""))),4)</f>
        <v>#VALUE!</v>
      </c>
      <c r="AYL3" s="44" t="e">
        <f>ROUNDUP(IF(IFERROR(IF($AYA3="","",IF($AYA3=0,1,1-$AYA3/HLOOKUP(AYL$3,[2]ARBOR_REAJUSTE18!$A:$AE,VLOOKUP($AYA$2,[2]ARBOR_REAJUSTE18!$A:$B,2,0),0))),"")&lt;0.01%,0.01%,(IFERROR(IF($AYA3="","",IF($AYA3=0,1,1-$AYA3/HLOOKUP(AYL$3,[2]ARBOR_REAJUSTE18!$A:$AE,VLOOKUP($AYA$2,[2]ARBOR_REAJUSTE18!$A:$B,2,0),0))),""))),4)</f>
        <v>#VALUE!</v>
      </c>
      <c r="AYM3" s="44" t="e">
        <f>ROUNDUP(IF(IFERROR(IF($AYA3="","",IF($AYA3=0,1,1-$AYA3/HLOOKUP(AYM$3,[2]ARBOR_REAJUSTE18!$A:$AE,VLOOKUP($AYA$2,[2]ARBOR_REAJUSTE18!$A:$B,2,0),0))),"")&lt;0.01%,0.01%,(IFERROR(IF($AYA3="","",IF($AYA3=0,1,1-$AYA3/HLOOKUP(AYM$3,[2]ARBOR_REAJUSTE18!$A:$AE,VLOOKUP($AYA$2,[2]ARBOR_REAJUSTE18!$A:$B,2,0),0))),""))),4)</f>
        <v>#VALUE!</v>
      </c>
      <c r="AYN3" s="44" t="e">
        <f>ROUNDUP(IF(IFERROR(IF($AYA3="","",IF($AYA3=0,1,1-$AYA3/HLOOKUP(AYN$3,[2]ARBOR_REAJUSTE18!$A:$AE,VLOOKUP($AYA$2,[2]ARBOR_REAJUSTE18!$A:$B,2,0),0))),"")&lt;0.01%,0.01%,(IFERROR(IF($AYA3="","",IF($AYA3=0,1,1-$AYA3/HLOOKUP(AYN$3,[2]ARBOR_REAJUSTE18!$A:$AE,VLOOKUP($AYA$2,[2]ARBOR_REAJUSTE18!$A:$B,2,0),0))),""))),4)</f>
        <v>#VALUE!</v>
      </c>
      <c r="AYO3" s="44" t="e">
        <f>ROUNDUP(IF(IFERROR(IF($AYA3="","",IF($AYA3=0,1,1-$AYA3/HLOOKUP(AYO$3,[2]ARBOR_REAJUSTE18!$A:$AE,VLOOKUP($AYA$2,[2]ARBOR_REAJUSTE18!$A:$B,2,0),0))),"")&lt;0.01%,0.01%,(IFERROR(IF($AYA3="","",IF($AYA3=0,1,1-$AYA3/HLOOKUP(AYO$3,[2]ARBOR_REAJUSTE18!$A:$AE,VLOOKUP($AYA$2,[2]ARBOR_REAJUSTE18!$A:$B,2,0),0))),""))),4)</f>
        <v>#VALUE!</v>
      </c>
      <c r="AYP3" s="44" t="e">
        <f>ROUNDUP(IF(IFERROR(IF($AYA3="","",IF($AYA3=0,1,1-$AYA3/HLOOKUP(AYP$3,[2]ARBOR_REAJUSTE18!$A:$AE,VLOOKUP($AYA$2,[2]ARBOR_REAJUSTE18!$A:$B,2,0),0))),"")&lt;0.01%,0.01%,(IFERROR(IF($AYA3="","",IF($AYA3=0,1,1-$AYA3/HLOOKUP(AYP$3,[2]ARBOR_REAJUSTE18!$A:$AE,VLOOKUP($AYA$2,[2]ARBOR_REAJUSTE18!$A:$B,2,0),0))),""))),4)</f>
        <v>#VALUE!</v>
      </c>
      <c r="AYQ3" s="44" t="e">
        <f>ROUNDUP(IF(IFERROR(IF($AYA3="","",IF($AYA3=0,1,1-$AYA3/HLOOKUP(AYQ$3,[2]ARBOR_REAJUSTE18!$A:$AE,VLOOKUP($AYA$2,[2]ARBOR_REAJUSTE18!$A:$B,2,0),0))),"")&lt;0.01%,0.01%,(IFERROR(IF($AYA3="","",IF($AYA3=0,1,1-$AYA3/HLOOKUP(AYQ$3,[2]ARBOR_REAJUSTE18!$A:$AE,VLOOKUP($AYA$2,[2]ARBOR_REAJUSTE18!$A:$B,2,0),0))),""))),4)</f>
        <v>#VALUE!</v>
      </c>
      <c r="AYR3" s="44" t="e">
        <f>ROUNDUP(IF(IFERROR(IF($AYA3="","",IF($AYA3=0,1,1-$AYA3/HLOOKUP(AYR$3,[2]ARBOR_REAJUSTE18!$A:$AE,VLOOKUP($AYA$2,[2]ARBOR_REAJUSTE18!$A:$B,2,0),0))),"")&lt;0.01%,0.01%,(IFERROR(IF($AYA3="","",IF($AYA3=0,1,1-$AYA3/HLOOKUP(AYR$3,[2]ARBOR_REAJUSTE18!$A:$AE,VLOOKUP($AYA$2,[2]ARBOR_REAJUSTE18!$A:$B,2,0),0))),""))),4)</f>
        <v>#VALUE!</v>
      </c>
      <c r="AYS3" s="44" t="e">
        <f>ROUNDUP(IF(IFERROR(IF($AYA3="","",IF($AYA3=0,1,1-$AYA3/HLOOKUP(AYS$3,[2]ARBOR_REAJUSTE18!$A:$AE,VLOOKUP($AYA$2,[2]ARBOR_REAJUSTE18!$A:$B,2,0),0))),"")&lt;0.01%,0.01%,(IFERROR(IF($AYA3="","",IF($AYA3=0,1,1-$AYA3/HLOOKUP(AYS$3,[2]ARBOR_REAJUSTE18!$A:$AE,VLOOKUP($AYA$2,[2]ARBOR_REAJUSTE18!$A:$B,2,0),0))),""))),4)</f>
        <v>#VALUE!</v>
      </c>
      <c r="AYT3" s="44" t="e">
        <f>ROUNDUP(IF(IFERROR(IF($AYA3="","",IF($AYA3=0,1,1-$AYA3/HLOOKUP(AYT$3,[2]ARBOR_REAJUSTE18!$A:$AE,VLOOKUP($AYA$2,[2]ARBOR_REAJUSTE18!$A:$B,2,0),0))),"")&lt;0.01%,0.01%,(IFERROR(IF($AYA3="","",IF($AYA3=0,1,1-$AYA3/HLOOKUP(AYT$3,[2]ARBOR_REAJUSTE18!$A:$AE,VLOOKUP($AYA$2,[2]ARBOR_REAJUSTE18!$A:$B,2,0),0))),""))),4)</f>
        <v>#VALUE!</v>
      </c>
      <c r="AYU3" s="44" t="e">
        <f>ROUNDUP(IF(IFERROR(IF($AYA3="","",IF($AYA3=0,1,1-$AYA3/HLOOKUP(AYU$3,[2]ARBOR_REAJUSTE18!$A:$AE,VLOOKUP($AYA$2,[2]ARBOR_REAJUSTE18!$A:$B,2,0),0))),"")&lt;0.01%,0.01%,(IFERROR(IF($AYA3="","",IF($AYA3=0,1,1-$AYA3/HLOOKUP(AYU$3,[2]ARBOR_REAJUSTE18!$A:$AE,VLOOKUP($AYA$2,[2]ARBOR_REAJUSTE18!$A:$B,2,0),0))),""))),4)</f>
        <v>#VALUE!</v>
      </c>
      <c r="AYV3" s="44" t="e">
        <f>ROUNDUP(IF(IFERROR(IF($AYA3="","",IF($AYA3=0,1,1-$AYA3/HLOOKUP(AYV$3,[2]ARBOR_REAJUSTE18!$A:$AE,VLOOKUP($AYA$2,[2]ARBOR_REAJUSTE18!$A:$B,2,0),0))),"")&lt;0.01%,0.01%,(IFERROR(IF($AYA3="","",IF($AYA3=0,1,1-$AYA3/HLOOKUP(AYV$3,[2]ARBOR_REAJUSTE18!$A:$AE,VLOOKUP($AYA$2,[2]ARBOR_REAJUSTE18!$A:$B,2,0),0))),""))),4)</f>
        <v>#VALUE!</v>
      </c>
      <c r="AYW3" s="44" t="e">
        <f>ROUNDUP(IF(IFERROR(IF($AYA3="","",IF($AYA3=0,1,1-$AYA3/HLOOKUP(AYW$3,[2]ARBOR_REAJUSTE18!$A:$AE,VLOOKUP($AYA$2,[2]ARBOR_REAJUSTE18!$A:$B,2,0),0))),"")&lt;0.01%,0.01%,(IFERROR(IF($AYA3="","",IF($AYA3=0,1,1-$AYA3/HLOOKUP(AYW$3,[2]ARBOR_REAJUSTE18!$A:$AE,VLOOKUP($AYA$2,[2]ARBOR_REAJUSTE18!$A:$B,2,0),0))),""))),4)</f>
        <v>#VALUE!</v>
      </c>
      <c r="AYX3" s="44" t="e">
        <f>ROUNDUP(IF(IFERROR(IF($AYA3="","",IF($AYA3=0,1,1-$AYA3/HLOOKUP(AYX$3,[2]ARBOR_REAJUSTE18!$A:$AE,VLOOKUP($AYA$2,[2]ARBOR_REAJUSTE18!$A:$B,2,0),0))),"")&lt;0.01%,0.01%,(IFERROR(IF($AYA3="","",IF($AYA3=0,1,1-$AYA3/HLOOKUP(AYX$3,[2]ARBOR_REAJUSTE18!$A:$AE,VLOOKUP($AYA$2,[2]ARBOR_REAJUSTE18!$A:$B,2,0),0))),""))),4)</f>
        <v>#VALUE!</v>
      </c>
      <c r="AYY3" s="44" t="e">
        <f>ROUNDUP(IF(IFERROR(IF($AYA3="","",IF($AYA3=0,1,1-$AYA3/HLOOKUP(AYY$3,[2]ARBOR_REAJUSTE18!$A:$AE,VLOOKUP($AYA$2,[2]ARBOR_REAJUSTE18!$A:$B,2,0),0))),"")&lt;0.01%,0.01%,(IFERROR(IF($AYA3="","",IF($AYA3=0,1,1-$AYA3/HLOOKUP(AYY$3,[2]ARBOR_REAJUSTE18!$A:$AE,VLOOKUP($AYA$2,[2]ARBOR_REAJUSTE18!$A:$B,2,0),0))),""))),4)</f>
        <v>#VALUE!</v>
      </c>
      <c r="AYZ3" s="44" t="e">
        <f>ROUNDUP(IF(IFERROR(IF($AYA3="","",IF($AYA3=0,1,1-$AYA3/HLOOKUP(AYZ$3,[2]ARBOR_REAJUSTE18!$A:$AE,VLOOKUP($AYA$2,[2]ARBOR_REAJUSTE18!$A:$B,2,0),0))),"")&lt;0.01%,0.01%,(IFERROR(IF($AYA3="","",IF($AYA3=0,1,1-$AYA3/HLOOKUP(AYZ$3,[2]ARBOR_REAJUSTE18!$A:$AE,VLOOKUP($AYA$2,[2]ARBOR_REAJUSTE18!$A:$B,2,0),0))),""))),4)</f>
        <v>#VALUE!</v>
      </c>
      <c r="AZA3" s="44" t="e">
        <f>ROUNDUP(IF(IFERROR(IF($AYA3="","",IF($AYA3=0,1,1-$AYA3/HLOOKUP(AZA$3,[2]ARBOR_REAJUSTE18!$A:$AE,VLOOKUP($AYA$2,[2]ARBOR_REAJUSTE18!$A:$B,2,0),0))),"")&lt;0.01%,0.01%,(IFERROR(IF($AYA3="","",IF($AYA3=0,1,1-$AYA3/HLOOKUP(AZA$3,[2]ARBOR_REAJUSTE18!$A:$AE,VLOOKUP($AYA$2,[2]ARBOR_REAJUSTE18!$A:$B,2,0),0))),""))),4)</f>
        <v>#VALUE!</v>
      </c>
      <c r="AZB3" s="44" t="e">
        <f>ROUNDUP(IF(IFERROR(IF($AYA3="","",IF($AYA3=0,1,1-$AYA3/HLOOKUP(AZB$3,[2]ARBOR_REAJUSTE18!$A:$AE,VLOOKUP($AYA$2,[2]ARBOR_REAJUSTE18!$A:$B,2,0),0))),"")&lt;0.01%,0.01%,(IFERROR(IF($AYA3="","",IF($AYA3=0,1,1-$AYA3/HLOOKUP(AZB$3,[2]ARBOR_REAJUSTE18!$A:$AE,VLOOKUP($AYA$2,[2]ARBOR_REAJUSTE18!$A:$B,2,0),0))),""))),4)</f>
        <v>#VALUE!</v>
      </c>
      <c r="AZC3" s="44" t="e">
        <f>ROUNDUP(IF(IFERROR(IF($AYA3="","",IF($AYA3=0,1,1-$AYA3/HLOOKUP(AZC$3,[2]ARBOR_REAJUSTE18!$A:$AE,VLOOKUP($AYA$2,[2]ARBOR_REAJUSTE18!$A:$B,2,0),0))),"")&lt;0.01%,0.01%,(IFERROR(IF($AYA3="","",IF($AYA3=0,1,1-$AYA3/HLOOKUP(AZC$3,[2]ARBOR_REAJUSTE18!$A:$AE,VLOOKUP($AYA$2,[2]ARBOR_REAJUSTE18!$A:$B,2,0),0))),""))),4)</f>
        <v>#VALUE!</v>
      </c>
      <c r="AZD3" s="56"/>
      <c r="AZE3" s="64"/>
      <c r="AZF3" s="44" t="e">
        <f>ROUNDUP(IF(IFERROR(IF($AZD3="","",IF($AZD3=0,1,1-$AZD3/HLOOKUP(AZF$3,[2]ARBOR_REAJUSTE18!$A:$AE,VLOOKUP($AZD$2,[2]ARBOR_REAJUSTE18!$A:$B,2,0),0))),"")&lt;0.01%,0.01%,(IFERROR(IF($AZD3="","",IF($AZD3=0,1,1-$AZD3/HLOOKUP(AZF$3,[2]ARBOR_REAJUSTE18!$A:$AE,VLOOKUP($AZD$2,[2]ARBOR_REAJUSTE18!$A:$B,2,0),0))),""))),4)</f>
        <v>#VALUE!</v>
      </c>
      <c r="AZG3" s="44" t="e">
        <f>ROUNDUP(IF(IFERROR(IF($AZD3="","",IF($AZD3=0,1,1-$AZD3/HLOOKUP(AZG$3,[2]ARBOR_REAJUSTE18!$A:$AE,VLOOKUP($AZD$2,[2]ARBOR_REAJUSTE18!$A:$B,2,0),0))),"")&lt;0.01%,0.01%,(IFERROR(IF($AZD3="","",IF($AZD3=0,1,1-$AZD3/HLOOKUP(AZG$3,[2]ARBOR_REAJUSTE18!$A:$AE,VLOOKUP($AZD$2,[2]ARBOR_REAJUSTE18!$A:$B,2,0),0))),""))),4)</f>
        <v>#VALUE!</v>
      </c>
      <c r="AZH3" s="44" t="e">
        <f>ROUNDUP(IF(IFERROR(IF($AZD3="","",IF($AZD3=0,1,1-$AZD3/HLOOKUP(AZH$3,[2]ARBOR_REAJUSTE18!$A:$AE,VLOOKUP($AZD$2,[2]ARBOR_REAJUSTE18!$A:$B,2,0),0))),"")&lt;0.01%,0.01%,(IFERROR(IF($AZD3="","",IF($AZD3=0,1,1-$AZD3/HLOOKUP(AZH$3,[2]ARBOR_REAJUSTE18!$A:$AE,VLOOKUP($AZD$2,[2]ARBOR_REAJUSTE18!$A:$B,2,0),0))),""))),4)</f>
        <v>#VALUE!</v>
      </c>
      <c r="AZI3" s="44" t="e">
        <f>ROUNDUP(IF(IFERROR(IF($AZD3="","",IF($AZD3=0,1,1-$AZD3/HLOOKUP(AZI$3,[2]ARBOR_REAJUSTE18!$A:$AE,VLOOKUP($AZD$2,[2]ARBOR_REAJUSTE18!$A:$B,2,0),0))),"")&lt;0.01%,0.01%,(IFERROR(IF($AZD3="","",IF($AZD3=0,1,1-$AZD3/HLOOKUP(AZI$3,[2]ARBOR_REAJUSTE18!$A:$AE,VLOOKUP($AZD$2,[2]ARBOR_REAJUSTE18!$A:$B,2,0),0))),""))),4)</f>
        <v>#VALUE!</v>
      </c>
      <c r="AZJ3" s="44" t="e">
        <f>ROUNDUP(IF(IFERROR(IF($AZD3="","",IF($AZD3=0,1,1-$AZD3/HLOOKUP(AZJ$3,[2]ARBOR_REAJUSTE18!$A:$AE,VLOOKUP($AZD$2,[2]ARBOR_REAJUSTE18!$A:$B,2,0),0))),"")&lt;0.01%,0.01%,(IFERROR(IF($AZD3="","",IF($AZD3=0,1,1-$AZD3/HLOOKUP(AZJ$3,[2]ARBOR_REAJUSTE18!$A:$AE,VLOOKUP($AZD$2,[2]ARBOR_REAJUSTE18!$A:$B,2,0),0))),""))),4)</f>
        <v>#VALUE!</v>
      </c>
      <c r="AZK3" s="44" t="e">
        <f>ROUNDUP(IF(IFERROR(IF($AZD3="","",IF($AZD3=0,1,1-$AZD3/HLOOKUP(AZK$3,[2]ARBOR_REAJUSTE18!$A:$AE,VLOOKUP($AZD$2,[2]ARBOR_REAJUSTE18!$A:$B,2,0),0))),"")&lt;0.01%,0.01%,(IFERROR(IF($AZD3="","",IF($AZD3=0,1,1-$AZD3/HLOOKUP(AZK$3,[2]ARBOR_REAJUSTE18!$A:$AE,VLOOKUP($AZD$2,[2]ARBOR_REAJUSTE18!$A:$B,2,0),0))),""))),4)</f>
        <v>#VALUE!</v>
      </c>
      <c r="AZL3" s="44" t="e">
        <f>ROUNDUP(IF(IFERROR(IF($AZD3="","",IF($AZD3=0,1,1-$AZD3/HLOOKUP(AZL$3,[2]ARBOR_REAJUSTE18!$A:$AE,VLOOKUP($AZD$2,[2]ARBOR_REAJUSTE18!$A:$B,2,0),0))),"")&lt;0.01%,0.01%,(IFERROR(IF($AZD3="","",IF($AZD3=0,1,1-$AZD3/HLOOKUP(AZL$3,[2]ARBOR_REAJUSTE18!$A:$AE,VLOOKUP($AZD$2,[2]ARBOR_REAJUSTE18!$A:$B,2,0),0))),""))),4)</f>
        <v>#VALUE!</v>
      </c>
      <c r="AZM3" s="44" t="e">
        <f>ROUNDUP(IF(IFERROR(IF($AZD3="","",IF($AZD3=0,1,1-$AZD3/HLOOKUP(AZM$3,[2]ARBOR_REAJUSTE18!$A:$AE,VLOOKUP($AZD$2,[2]ARBOR_REAJUSTE18!$A:$B,2,0),0))),"")&lt;0.01%,0.01%,(IFERROR(IF($AZD3="","",IF($AZD3=0,1,1-$AZD3/HLOOKUP(AZM$3,[2]ARBOR_REAJUSTE18!$A:$AE,VLOOKUP($AZD$2,[2]ARBOR_REAJUSTE18!$A:$B,2,0),0))),""))),4)</f>
        <v>#VALUE!</v>
      </c>
      <c r="AZN3" s="44" t="e">
        <f>ROUNDUP(IF(IFERROR(IF($AZD3="","",IF($AZD3=0,1,1-$AZD3/HLOOKUP(AZN$3,[2]ARBOR_REAJUSTE18!$A:$AE,VLOOKUP($AZD$2,[2]ARBOR_REAJUSTE18!$A:$B,2,0),0))),"")&lt;0.01%,0.01%,(IFERROR(IF($AZD3="","",IF($AZD3=0,1,1-$AZD3/HLOOKUP(AZN$3,[2]ARBOR_REAJUSTE18!$A:$AE,VLOOKUP($AZD$2,[2]ARBOR_REAJUSTE18!$A:$B,2,0),0))),""))),4)</f>
        <v>#VALUE!</v>
      </c>
      <c r="AZO3" s="44" t="e">
        <f>ROUNDUP(IF(IFERROR(IF($AZD3="","",IF($AZD3=0,1,1-$AZD3/HLOOKUP(AZO$3,[2]ARBOR_REAJUSTE18!$A:$AE,VLOOKUP($AZD$2,[2]ARBOR_REAJUSTE18!$A:$B,2,0),0))),"")&lt;0.01%,0.01%,(IFERROR(IF($AZD3="","",IF($AZD3=0,1,1-$AZD3/HLOOKUP(AZO$3,[2]ARBOR_REAJUSTE18!$A:$AE,VLOOKUP($AZD$2,[2]ARBOR_REAJUSTE18!$A:$B,2,0),0))),""))),4)</f>
        <v>#VALUE!</v>
      </c>
      <c r="AZP3" s="44" t="e">
        <f>ROUNDUP(IF(IFERROR(IF($AZD3="","",IF($AZD3=0,1,1-$AZD3/HLOOKUP(AZP$3,[2]ARBOR_REAJUSTE18!$A:$AE,VLOOKUP($AZD$2,[2]ARBOR_REAJUSTE18!$A:$B,2,0),0))),"")&lt;0.01%,0.01%,(IFERROR(IF($AZD3="","",IF($AZD3=0,1,1-$AZD3/HLOOKUP(AZP$3,[2]ARBOR_REAJUSTE18!$A:$AE,VLOOKUP($AZD$2,[2]ARBOR_REAJUSTE18!$A:$B,2,0),0))),""))),4)</f>
        <v>#VALUE!</v>
      </c>
      <c r="AZQ3" s="44" t="e">
        <f>ROUNDUP(IF(IFERROR(IF($AZD3="","",IF($AZD3=0,1,1-$AZD3/HLOOKUP(AZQ$3,[2]ARBOR_REAJUSTE18!$A:$AE,VLOOKUP($AZD$2,[2]ARBOR_REAJUSTE18!$A:$B,2,0),0))),"")&lt;0.01%,0.01%,(IFERROR(IF($AZD3="","",IF($AZD3=0,1,1-$AZD3/HLOOKUP(AZQ$3,[2]ARBOR_REAJUSTE18!$A:$AE,VLOOKUP($AZD$2,[2]ARBOR_REAJUSTE18!$A:$B,2,0),0))),""))),4)</f>
        <v>#VALUE!</v>
      </c>
      <c r="AZR3" s="44" t="e">
        <f>ROUNDUP(IF(IFERROR(IF($AZD3="","",IF($AZD3=0,1,1-$AZD3/HLOOKUP(AZR$3,[2]ARBOR_REAJUSTE18!$A:$AE,VLOOKUP($AZD$2,[2]ARBOR_REAJUSTE18!$A:$B,2,0),0))),"")&lt;0.01%,0.01%,(IFERROR(IF($AZD3="","",IF($AZD3=0,1,1-$AZD3/HLOOKUP(AZR$3,[2]ARBOR_REAJUSTE18!$A:$AE,VLOOKUP($AZD$2,[2]ARBOR_REAJUSTE18!$A:$B,2,0),0))),""))),4)</f>
        <v>#VALUE!</v>
      </c>
      <c r="AZS3" s="44" t="e">
        <f>ROUNDUP(IF(IFERROR(IF($AZD3="","",IF($AZD3=0,1,1-$AZD3/HLOOKUP(AZS$3,[2]ARBOR_REAJUSTE18!$A:$AE,VLOOKUP($AZD$2,[2]ARBOR_REAJUSTE18!$A:$B,2,0),0))),"")&lt;0.01%,0.01%,(IFERROR(IF($AZD3="","",IF($AZD3=0,1,1-$AZD3/HLOOKUP(AZS$3,[2]ARBOR_REAJUSTE18!$A:$AE,VLOOKUP($AZD$2,[2]ARBOR_REAJUSTE18!$A:$B,2,0),0))),""))),4)</f>
        <v>#VALUE!</v>
      </c>
      <c r="AZT3" s="44" t="e">
        <f>ROUNDUP(IF(IFERROR(IF($AZD3="","",IF($AZD3=0,1,1-$AZD3/HLOOKUP(AZT$3,[2]ARBOR_REAJUSTE18!$A:$AE,VLOOKUP($AZD$2,[2]ARBOR_REAJUSTE18!$A:$B,2,0),0))),"")&lt;0.01%,0.01%,(IFERROR(IF($AZD3="","",IF($AZD3=0,1,1-$AZD3/HLOOKUP(AZT$3,[2]ARBOR_REAJUSTE18!$A:$AE,VLOOKUP($AZD$2,[2]ARBOR_REAJUSTE18!$A:$B,2,0),0))),""))),4)</f>
        <v>#VALUE!</v>
      </c>
      <c r="AZU3" s="44" t="e">
        <f>ROUNDUP(IF(IFERROR(IF($AZD3="","",IF($AZD3=0,1,1-$AZD3/HLOOKUP(AZU$3,[2]ARBOR_REAJUSTE18!$A:$AE,VLOOKUP($AZD$2,[2]ARBOR_REAJUSTE18!$A:$B,2,0),0))),"")&lt;0.01%,0.01%,(IFERROR(IF($AZD3="","",IF($AZD3=0,1,1-$AZD3/HLOOKUP(AZU$3,[2]ARBOR_REAJUSTE18!$A:$AE,VLOOKUP($AZD$2,[2]ARBOR_REAJUSTE18!$A:$B,2,0),0))),""))),4)</f>
        <v>#VALUE!</v>
      </c>
      <c r="AZV3" s="44" t="e">
        <f>ROUNDUP(IF(IFERROR(IF($AZD3="","",IF($AZD3=0,1,1-$AZD3/HLOOKUP(AZV$3,[2]ARBOR_REAJUSTE18!$A:$AE,VLOOKUP($AZD$2,[2]ARBOR_REAJUSTE18!$A:$B,2,0),0))),"")&lt;0.01%,0.01%,(IFERROR(IF($AZD3="","",IF($AZD3=0,1,1-$AZD3/HLOOKUP(AZV$3,[2]ARBOR_REAJUSTE18!$A:$AE,VLOOKUP($AZD$2,[2]ARBOR_REAJUSTE18!$A:$B,2,0),0))),""))),4)</f>
        <v>#VALUE!</v>
      </c>
      <c r="AZW3" s="44" t="e">
        <f>ROUNDUP(IF(IFERROR(IF($AZD3="","",IF($AZD3=0,1,1-$AZD3/HLOOKUP(AZW$3,[2]ARBOR_REAJUSTE18!$A:$AE,VLOOKUP($AZD$2,[2]ARBOR_REAJUSTE18!$A:$B,2,0),0))),"")&lt;0.01%,0.01%,(IFERROR(IF($AZD3="","",IF($AZD3=0,1,1-$AZD3/HLOOKUP(AZW$3,[2]ARBOR_REAJUSTE18!$A:$AE,VLOOKUP($AZD$2,[2]ARBOR_REAJUSTE18!$A:$B,2,0),0))),""))),4)</f>
        <v>#VALUE!</v>
      </c>
      <c r="AZX3" s="44" t="e">
        <f>ROUNDUP(IF(IFERROR(IF($AZD3="","",IF($AZD3=0,1,1-$AZD3/HLOOKUP(AZX$3,[2]ARBOR_REAJUSTE18!$A:$AE,VLOOKUP($AZD$2,[2]ARBOR_REAJUSTE18!$A:$B,2,0),0))),"")&lt;0.01%,0.01%,(IFERROR(IF($AZD3="","",IF($AZD3=0,1,1-$AZD3/HLOOKUP(AZX$3,[2]ARBOR_REAJUSTE18!$A:$AE,VLOOKUP($AZD$2,[2]ARBOR_REAJUSTE18!$A:$B,2,0),0))),""))),4)</f>
        <v>#VALUE!</v>
      </c>
      <c r="AZY3" s="44" t="e">
        <f>ROUNDUP(IF(IFERROR(IF($AZD3="","",IF($AZD3=0,1,1-$AZD3/HLOOKUP(AZY$3,[2]ARBOR_REAJUSTE18!$A:$AE,VLOOKUP($AZD$2,[2]ARBOR_REAJUSTE18!$A:$B,2,0),0))),"")&lt;0.01%,0.01%,(IFERROR(IF($AZD3="","",IF($AZD3=0,1,1-$AZD3/HLOOKUP(AZY$3,[2]ARBOR_REAJUSTE18!$A:$AE,VLOOKUP($AZD$2,[2]ARBOR_REAJUSTE18!$A:$B,2,0),0))),""))),4)</f>
        <v>#VALUE!</v>
      </c>
      <c r="AZZ3" s="44" t="e">
        <f>ROUNDUP(IF(IFERROR(IF($AZD3="","",IF($AZD3=0,1,1-$AZD3/HLOOKUP(AZZ$3,[2]ARBOR_REAJUSTE18!$A:$AE,VLOOKUP($AZD$2,[2]ARBOR_REAJUSTE18!$A:$B,2,0),0))),"")&lt;0.01%,0.01%,(IFERROR(IF($AZD3="","",IF($AZD3=0,1,1-$AZD3/HLOOKUP(AZZ$3,[2]ARBOR_REAJUSTE18!$A:$AE,VLOOKUP($AZD$2,[2]ARBOR_REAJUSTE18!$A:$B,2,0),0))),""))),4)</f>
        <v>#VALUE!</v>
      </c>
      <c r="BAA3" s="44" t="e">
        <f>ROUNDUP(IF(IFERROR(IF($AZD3="","",IF($AZD3=0,1,1-$AZD3/HLOOKUP(BAA$3,[2]ARBOR_REAJUSTE18!$A:$AE,VLOOKUP($AZD$2,[2]ARBOR_REAJUSTE18!$A:$B,2,0),0))),"")&lt;0.01%,0.01%,(IFERROR(IF($AZD3="","",IF($AZD3=0,1,1-$AZD3/HLOOKUP(BAA$3,[2]ARBOR_REAJUSTE18!$A:$AE,VLOOKUP($AZD$2,[2]ARBOR_REAJUSTE18!$A:$B,2,0),0))),""))),4)</f>
        <v>#VALUE!</v>
      </c>
      <c r="BAB3" s="44" t="e">
        <f>ROUNDUP(IF(IFERROR(IF($AZD3="","",IF($AZD3=0,1,1-$AZD3/HLOOKUP(BAB$3,[2]ARBOR_REAJUSTE18!$A:$AE,VLOOKUP($AZD$2,[2]ARBOR_REAJUSTE18!$A:$B,2,0),0))),"")&lt;0.01%,0.01%,(IFERROR(IF($AZD3="","",IF($AZD3=0,1,1-$AZD3/HLOOKUP(BAB$3,[2]ARBOR_REAJUSTE18!$A:$AE,VLOOKUP($AZD$2,[2]ARBOR_REAJUSTE18!$A:$B,2,0),0))),""))),4)</f>
        <v>#VALUE!</v>
      </c>
      <c r="BAC3" s="44" t="e">
        <f>ROUNDUP(IF(IFERROR(IF($AZD3="","",IF($AZD3=0,1,1-$AZD3/HLOOKUP(BAC$3,[2]ARBOR_REAJUSTE18!$A:$AE,VLOOKUP($AZD$2,[2]ARBOR_REAJUSTE18!$A:$B,2,0),0))),"")&lt;0.01%,0.01%,(IFERROR(IF($AZD3="","",IF($AZD3=0,1,1-$AZD3/HLOOKUP(BAC$3,[2]ARBOR_REAJUSTE18!$A:$AE,VLOOKUP($AZD$2,[2]ARBOR_REAJUSTE18!$A:$B,2,0),0))),""))),4)</f>
        <v>#VALUE!</v>
      </c>
      <c r="BAD3" s="44" t="e">
        <f>ROUNDUP(IF(IFERROR(IF($AZD3="","",IF($AZD3=0,1,1-$AZD3/HLOOKUP(BAD$3,[2]ARBOR_REAJUSTE18!$A:$AE,VLOOKUP($AZD$2,[2]ARBOR_REAJUSTE18!$A:$B,2,0),0))),"")&lt;0.01%,0.01%,(IFERROR(IF($AZD3="","",IF($AZD3=0,1,1-$AZD3/HLOOKUP(BAD$3,[2]ARBOR_REAJUSTE18!$A:$AE,VLOOKUP($AZD$2,[2]ARBOR_REAJUSTE18!$A:$B,2,0),0))),""))),4)</f>
        <v>#VALUE!</v>
      </c>
      <c r="BAE3" s="44" t="e">
        <f>ROUNDUP(IF(IFERROR(IF($AZD3="","",IF($AZD3=0,1,1-$AZD3/HLOOKUP(BAE$3,[2]ARBOR_REAJUSTE18!$A:$AE,VLOOKUP($AZD$2,[2]ARBOR_REAJUSTE18!$A:$B,2,0),0))),"")&lt;0.01%,0.01%,(IFERROR(IF($AZD3="","",IF($AZD3=0,1,1-$AZD3/HLOOKUP(BAE$3,[2]ARBOR_REAJUSTE18!$A:$AE,VLOOKUP($AZD$2,[2]ARBOR_REAJUSTE18!$A:$B,2,0),0))),""))),4)</f>
        <v>#VALUE!</v>
      </c>
      <c r="BAF3" s="44" t="e">
        <f>ROUNDUP(IF(IFERROR(IF($AZD3="","",IF($AZD3=0,1,1-$AZD3/HLOOKUP(BAF$3,[2]ARBOR_REAJUSTE18!$A:$AE,VLOOKUP($AZD$2,[2]ARBOR_REAJUSTE18!$A:$B,2,0),0))),"")&lt;0.01%,0.01%,(IFERROR(IF($AZD3="","",IF($AZD3=0,1,1-$AZD3/HLOOKUP(BAF$3,[2]ARBOR_REAJUSTE18!$A:$AE,VLOOKUP($AZD$2,[2]ARBOR_REAJUSTE18!$A:$B,2,0),0))),""))),4)</f>
        <v>#VALUE!</v>
      </c>
      <c r="BAG3" s="56"/>
      <c r="BAH3" s="64"/>
      <c r="BAI3" s="44" t="e">
        <f>ROUNDUP(IF(IFERROR(IF($BAG3="","",IF($BAG3=0,1,1-$BAG3/HLOOKUP(BAI$3,[2]ARBOR_REAJUSTE18!$A:$AE,VLOOKUP($BAG$2,[2]ARBOR_REAJUSTE18!$A:$B,2,0),0))),"")&lt;0.01%,0.01%,(IFERROR(IF($BAG3="","",IF($BAG3=0,1,1-$BAG3/HLOOKUP(BAI$3,[2]ARBOR_REAJUSTE18!$A:$AE,VLOOKUP($BAG$2,[2]ARBOR_REAJUSTE18!$A:$B,2,0),0))),""))),4)</f>
        <v>#VALUE!</v>
      </c>
      <c r="BAJ3" s="44" t="e">
        <f>ROUNDUP(IF(IFERROR(IF($BAG3="","",IF($BAG3=0,1,1-$BAG3/HLOOKUP(BAJ$3,[2]ARBOR_REAJUSTE18!$A:$AE,VLOOKUP($BAG$2,[2]ARBOR_REAJUSTE18!$A:$B,2,0),0))),"")&lt;0.01%,0.01%,(IFERROR(IF($BAG3="","",IF($BAG3=0,1,1-$BAG3/HLOOKUP(BAJ$3,[2]ARBOR_REAJUSTE18!$A:$AE,VLOOKUP($BAG$2,[2]ARBOR_REAJUSTE18!$A:$B,2,0),0))),""))),4)</f>
        <v>#VALUE!</v>
      </c>
      <c r="BAK3" s="44" t="e">
        <f>ROUNDUP(IF(IFERROR(IF($BAG3="","",IF($BAG3=0,1,1-$BAG3/HLOOKUP(BAK$3,[2]ARBOR_REAJUSTE18!$A:$AE,VLOOKUP($BAG$2,[2]ARBOR_REAJUSTE18!$A:$B,2,0),0))),"")&lt;0.01%,0.01%,(IFERROR(IF($BAG3="","",IF($BAG3=0,1,1-$BAG3/HLOOKUP(BAK$3,[2]ARBOR_REAJUSTE18!$A:$AE,VLOOKUP($BAG$2,[2]ARBOR_REAJUSTE18!$A:$B,2,0),0))),""))),4)</f>
        <v>#VALUE!</v>
      </c>
      <c r="BAL3" s="44" t="e">
        <f>ROUNDUP(IF(IFERROR(IF($BAG3="","",IF($BAG3=0,1,1-$BAG3/HLOOKUP(BAL$3,[2]ARBOR_REAJUSTE18!$A:$AE,VLOOKUP($BAG$2,[2]ARBOR_REAJUSTE18!$A:$B,2,0),0))),"")&lt;0.01%,0.01%,(IFERROR(IF($BAG3="","",IF($BAG3=0,1,1-$BAG3/HLOOKUP(BAL$3,[2]ARBOR_REAJUSTE18!$A:$AE,VLOOKUP($BAG$2,[2]ARBOR_REAJUSTE18!$A:$B,2,0),0))),""))),4)</f>
        <v>#VALUE!</v>
      </c>
      <c r="BAM3" s="44" t="e">
        <f>ROUNDUP(IF(IFERROR(IF($BAG3="","",IF($BAG3=0,1,1-$BAG3/HLOOKUP(BAM$3,[2]ARBOR_REAJUSTE18!$A:$AE,VLOOKUP($BAG$2,[2]ARBOR_REAJUSTE18!$A:$B,2,0),0))),"")&lt;0.01%,0.01%,(IFERROR(IF($BAG3="","",IF($BAG3=0,1,1-$BAG3/HLOOKUP(BAM$3,[2]ARBOR_REAJUSTE18!$A:$AE,VLOOKUP($BAG$2,[2]ARBOR_REAJUSTE18!$A:$B,2,0),0))),""))),4)</f>
        <v>#VALUE!</v>
      </c>
      <c r="BAN3" s="44" t="e">
        <f>ROUNDUP(IF(IFERROR(IF($BAG3="","",IF($BAG3=0,1,1-$BAG3/HLOOKUP(BAN$3,[2]ARBOR_REAJUSTE18!$A:$AE,VLOOKUP($BAG$2,[2]ARBOR_REAJUSTE18!$A:$B,2,0),0))),"")&lt;0.01%,0.01%,(IFERROR(IF($BAG3="","",IF($BAG3=0,1,1-$BAG3/HLOOKUP(BAN$3,[2]ARBOR_REAJUSTE18!$A:$AE,VLOOKUP($BAG$2,[2]ARBOR_REAJUSTE18!$A:$B,2,0),0))),""))),4)</f>
        <v>#VALUE!</v>
      </c>
      <c r="BAO3" s="44" t="e">
        <f>ROUNDUP(IF(IFERROR(IF($BAG3="","",IF($BAG3=0,1,1-$BAG3/HLOOKUP(BAO$3,[2]ARBOR_REAJUSTE18!$A:$AE,VLOOKUP($BAG$2,[2]ARBOR_REAJUSTE18!$A:$B,2,0),0))),"")&lt;0.01%,0.01%,(IFERROR(IF($BAG3="","",IF($BAG3=0,1,1-$BAG3/HLOOKUP(BAO$3,[2]ARBOR_REAJUSTE18!$A:$AE,VLOOKUP($BAG$2,[2]ARBOR_REAJUSTE18!$A:$B,2,0),0))),""))),4)</f>
        <v>#VALUE!</v>
      </c>
      <c r="BAP3" s="44" t="e">
        <f>ROUNDUP(IF(IFERROR(IF($BAG3="","",IF($BAG3=0,1,1-$BAG3/HLOOKUP(BAP$3,[2]ARBOR_REAJUSTE18!$A:$AE,VLOOKUP($BAG$2,[2]ARBOR_REAJUSTE18!$A:$B,2,0),0))),"")&lt;0.01%,0.01%,(IFERROR(IF($BAG3="","",IF($BAG3=0,1,1-$BAG3/HLOOKUP(BAP$3,[2]ARBOR_REAJUSTE18!$A:$AE,VLOOKUP($BAG$2,[2]ARBOR_REAJUSTE18!$A:$B,2,0),0))),""))),4)</f>
        <v>#VALUE!</v>
      </c>
      <c r="BAQ3" s="44" t="e">
        <f>ROUNDUP(IF(IFERROR(IF($BAG3="","",IF($BAG3=0,1,1-$BAG3/HLOOKUP(BAQ$3,[2]ARBOR_REAJUSTE18!$A:$AE,VLOOKUP($BAG$2,[2]ARBOR_REAJUSTE18!$A:$B,2,0),0))),"")&lt;0.01%,0.01%,(IFERROR(IF($BAG3="","",IF($BAG3=0,1,1-$BAG3/HLOOKUP(BAQ$3,[2]ARBOR_REAJUSTE18!$A:$AE,VLOOKUP($BAG$2,[2]ARBOR_REAJUSTE18!$A:$B,2,0),0))),""))),4)</f>
        <v>#VALUE!</v>
      </c>
      <c r="BAR3" s="44" t="e">
        <f>ROUNDUP(IF(IFERROR(IF($BAG3="","",IF($BAG3=0,1,1-$BAG3/HLOOKUP(BAR$3,[2]ARBOR_REAJUSTE18!$A:$AE,VLOOKUP($BAG$2,[2]ARBOR_REAJUSTE18!$A:$B,2,0),0))),"")&lt;0.01%,0.01%,(IFERROR(IF($BAG3="","",IF($BAG3=0,1,1-$BAG3/HLOOKUP(BAR$3,[2]ARBOR_REAJUSTE18!$A:$AE,VLOOKUP($BAG$2,[2]ARBOR_REAJUSTE18!$A:$B,2,0),0))),""))),4)</f>
        <v>#VALUE!</v>
      </c>
      <c r="BAS3" s="44" t="e">
        <f>ROUNDUP(IF(IFERROR(IF($BAG3="","",IF($BAG3=0,1,1-$BAG3/HLOOKUP(BAS$3,[2]ARBOR_REAJUSTE18!$A:$AE,VLOOKUP($BAG$2,[2]ARBOR_REAJUSTE18!$A:$B,2,0),0))),"")&lt;0.01%,0.01%,(IFERROR(IF($BAG3="","",IF($BAG3=0,1,1-$BAG3/HLOOKUP(BAS$3,[2]ARBOR_REAJUSTE18!$A:$AE,VLOOKUP($BAG$2,[2]ARBOR_REAJUSTE18!$A:$B,2,0),0))),""))),4)</f>
        <v>#VALUE!</v>
      </c>
      <c r="BAT3" s="44" t="e">
        <f>ROUNDUP(IF(IFERROR(IF($BAG3="","",IF($BAG3=0,1,1-$BAG3/HLOOKUP(BAT$3,[2]ARBOR_REAJUSTE18!$A:$AE,VLOOKUP($BAG$2,[2]ARBOR_REAJUSTE18!$A:$B,2,0),0))),"")&lt;0.01%,0.01%,(IFERROR(IF($BAG3="","",IF($BAG3=0,1,1-$BAG3/HLOOKUP(BAT$3,[2]ARBOR_REAJUSTE18!$A:$AE,VLOOKUP($BAG$2,[2]ARBOR_REAJUSTE18!$A:$B,2,0),0))),""))),4)</f>
        <v>#VALUE!</v>
      </c>
      <c r="BAU3" s="44" t="e">
        <f>ROUNDUP(IF(IFERROR(IF($BAG3="","",IF($BAG3=0,1,1-$BAG3/HLOOKUP(BAU$3,[2]ARBOR_REAJUSTE18!$A:$AE,VLOOKUP($BAG$2,[2]ARBOR_REAJUSTE18!$A:$B,2,0),0))),"")&lt;0.01%,0.01%,(IFERROR(IF($BAG3="","",IF($BAG3=0,1,1-$BAG3/HLOOKUP(BAU$3,[2]ARBOR_REAJUSTE18!$A:$AE,VLOOKUP($BAG$2,[2]ARBOR_REAJUSTE18!$A:$B,2,0),0))),""))),4)</f>
        <v>#VALUE!</v>
      </c>
      <c r="BAV3" s="44" t="e">
        <f>ROUNDUP(IF(IFERROR(IF($BAG3="","",IF($BAG3=0,1,1-$BAG3/HLOOKUP(BAV$3,[2]ARBOR_REAJUSTE18!$A:$AE,VLOOKUP($BAG$2,[2]ARBOR_REAJUSTE18!$A:$B,2,0),0))),"")&lt;0.01%,0.01%,(IFERROR(IF($BAG3="","",IF($BAG3=0,1,1-$BAG3/HLOOKUP(BAV$3,[2]ARBOR_REAJUSTE18!$A:$AE,VLOOKUP($BAG$2,[2]ARBOR_REAJUSTE18!$A:$B,2,0),0))),""))),4)</f>
        <v>#VALUE!</v>
      </c>
      <c r="BAW3" s="44" t="e">
        <f>ROUNDUP(IF(IFERROR(IF($BAG3="","",IF($BAG3=0,1,1-$BAG3/HLOOKUP(BAW$3,[2]ARBOR_REAJUSTE18!$A:$AE,VLOOKUP($BAG$2,[2]ARBOR_REAJUSTE18!$A:$B,2,0),0))),"")&lt;0.01%,0.01%,(IFERROR(IF($BAG3="","",IF($BAG3=0,1,1-$BAG3/HLOOKUP(BAW$3,[2]ARBOR_REAJUSTE18!$A:$AE,VLOOKUP($BAG$2,[2]ARBOR_REAJUSTE18!$A:$B,2,0),0))),""))),4)</f>
        <v>#VALUE!</v>
      </c>
      <c r="BAX3" s="44" t="e">
        <f>ROUNDUP(IF(IFERROR(IF($BAG3="","",IF($BAG3=0,1,1-$BAG3/HLOOKUP(BAX$3,[2]ARBOR_REAJUSTE18!$A:$AE,VLOOKUP($BAG$2,[2]ARBOR_REAJUSTE18!$A:$B,2,0),0))),"")&lt;0.01%,0.01%,(IFERROR(IF($BAG3="","",IF($BAG3=0,1,1-$BAG3/HLOOKUP(BAX$3,[2]ARBOR_REAJUSTE18!$A:$AE,VLOOKUP($BAG$2,[2]ARBOR_REAJUSTE18!$A:$B,2,0),0))),""))),4)</f>
        <v>#VALUE!</v>
      </c>
      <c r="BAY3" s="44" t="e">
        <f>ROUNDUP(IF(IFERROR(IF($BAG3="","",IF($BAG3=0,1,1-$BAG3/HLOOKUP(BAY$3,[2]ARBOR_REAJUSTE18!$A:$AE,VLOOKUP($BAG$2,[2]ARBOR_REAJUSTE18!$A:$B,2,0),0))),"")&lt;0.01%,0.01%,(IFERROR(IF($BAG3="","",IF($BAG3=0,1,1-$BAG3/HLOOKUP(BAY$3,[2]ARBOR_REAJUSTE18!$A:$AE,VLOOKUP($BAG$2,[2]ARBOR_REAJUSTE18!$A:$B,2,0),0))),""))),4)</f>
        <v>#VALUE!</v>
      </c>
      <c r="BAZ3" s="44" t="e">
        <f>ROUNDUP(IF(IFERROR(IF($BAG3="","",IF($BAG3=0,1,1-$BAG3/HLOOKUP(BAZ$3,[2]ARBOR_REAJUSTE18!$A:$AE,VLOOKUP($BAG$2,[2]ARBOR_REAJUSTE18!$A:$B,2,0),0))),"")&lt;0.01%,0.01%,(IFERROR(IF($BAG3="","",IF($BAG3=0,1,1-$BAG3/HLOOKUP(BAZ$3,[2]ARBOR_REAJUSTE18!$A:$AE,VLOOKUP($BAG$2,[2]ARBOR_REAJUSTE18!$A:$B,2,0),0))),""))),4)</f>
        <v>#VALUE!</v>
      </c>
      <c r="BBA3" s="44" t="e">
        <f>ROUNDUP(IF(IFERROR(IF($BAG3="","",IF($BAG3=0,1,1-$BAG3/HLOOKUP(BBA$3,[2]ARBOR_REAJUSTE18!$A:$AE,VLOOKUP($BAG$2,[2]ARBOR_REAJUSTE18!$A:$B,2,0),0))),"")&lt;0.01%,0.01%,(IFERROR(IF($BAG3="","",IF($BAG3=0,1,1-$BAG3/HLOOKUP(BBA$3,[2]ARBOR_REAJUSTE18!$A:$AE,VLOOKUP($BAG$2,[2]ARBOR_REAJUSTE18!$A:$B,2,0),0))),""))),4)</f>
        <v>#VALUE!</v>
      </c>
      <c r="BBB3" s="44" t="e">
        <f>ROUNDUP(IF(IFERROR(IF($BAG3="","",IF($BAG3=0,1,1-$BAG3/HLOOKUP(BBB$3,[2]ARBOR_REAJUSTE18!$A:$AE,VLOOKUP($BAG$2,[2]ARBOR_REAJUSTE18!$A:$B,2,0),0))),"")&lt;0.01%,0.01%,(IFERROR(IF($BAG3="","",IF($BAG3=0,1,1-$BAG3/HLOOKUP(BBB$3,[2]ARBOR_REAJUSTE18!$A:$AE,VLOOKUP($BAG$2,[2]ARBOR_REAJUSTE18!$A:$B,2,0),0))),""))),4)</f>
        <v>#VALUE!</v>
      </c>
      <c r="BBC3" s="44" t="e">
        <f>ROUNDUP(IF(IFERROR(IF($BAG3="","",IF($BAG3=0,1,1-$BAG3/HLOOKUP(BBC$3,[2]ARBOR_REAJUSTE18!$A:$AE,VLOOKUP($BAG$2,[2]ARBOR_REAJUSTE18!$A:$B,2,0),0))),"")&lt;0.01%,0.01%,(IFERROR(IF($BAG3="","",IF($BAG3=0,1,1-$BAG3/HLOOKUP(BBC$3,[2]ARBOR_REAJUSTE18!$A:$AE,VLOOKUP($BAG$2,[2]ARBOR_REAJUSTE18!$A:$B,2,0),0))),""))),4)</f>
        <v>#VALUE!</v>
      </c>
      <c r="BBD3" s="44" t="e">
        <f>ROUNDUP(IF(IFERROR(IF($BAG3="","",IF($BAG3=0,1,1-$BAG3/HLOOKUP(BBD$3,[2]ARBOR_REAJUSTE18!$A:$AE,VLOOKUP($BAG$2,[2]ARBOR_REAJUSTE18!$A:$B,2,0),0))),"")&lt;0.01%,0.01%,(IFERROR(IF($BAG3="","",IF($BAG3=0,1,1-$BAG3/HLOOKUP(BBD$3,[2]ARBOR_REAJUSTE18!$A:$AE,VLOOKUP($BAG$2,[2]ARBOR_REAJUSTE18!$A:$B,2,0),0))),""))),4)</f>
        <v>#VALUE!</v>
      </c>
      <c r="BBE3" s="44" t="e">
        <f>ROUNDUP(IF(IFERROR(IF($BAG3="","",IF($BAG3=0,1,1-$BAG3/HLOOKUP(BBE$3,[2]ARBOR_REAJUSTE18!$A:$AE,VLOOKUP($BAG$2,[2]ARBOR_REAJUSTE18!$A:$B,2,0),0))),"")&lt;0.01%,0.01%,(IFERROR(IF($BAG3="","",IF($BAG3=0,1,1-$BAG3/HLOOKUP(BBE$3,[2]ARBOR_REAJUSTE18!$A:$AE,VLOOKUP($BAG$2,[2]ARBOR_REAJUSTE18!$A:$B,2,0),0))),""))),4)</f>
        <v>#VALUE!</v>
      </c>
      <c r="BBF3" s="44" t="e">
        <f>ROUNDUP(IF(IFERROR(IF($BAG3="","",IF($BAG3=0,1,1-$BAG3/HLOOKUP(BBF$3,[2]ARBOR_REAJUSTE18!$A:$AE,VLOOKUP($BAG$2,[2]ARBOR_REAJUSTE18!$A:$B,2,0),0))),"")&lt;0.01%,0.01%,(IFERROR(IF($BAG3="","",IF($BAG3=0,1,1-$BAG3/HLOOKUP(BBF$3,[2]ARBOR_REAJUSTE18!$A:$AE,VLOOKUP($BAG$2,[2]ARBOR_REAJUSTE18!$A:$B,2,0),0))),""))),4)</f>
        <v>#VALUE!</v>
      </c>
      <c r="BBG3" s="44" t="e">
        <f>ROUNDUP(IF(IFERROR(IF($BAG3="","",IF($BAG3=0,1,1-$BAG3/HLOOKUP(BBG$3,[2]ARBOR_REAJUSTE18!$A:$AE,VLOOKUP($BAG$2,[2]ARBOR_REAJUSTE18!$A:$B,2,0),0))),"")&lt;0.01%,0.01%,(IFERROR(IF($BAG3="","",IF($BAG3=0,1,1-$BAG3/HLOOKUP(BBG$3,[2]ARBOR_REAJUSTE18!$A:$AE,VLOOKUP($BAG$2,[2]ARBOR_REAJUSTE18!$A:$B,2,0),0))),""))),4)</f>
        <v>#VALUE!</v>
      </c>
      <c r="BBH3" s="44" t="e">
        <f>ROUNDUP(IF(IFERROR(IF($BAG3="","",IF($BAG3=0,1,1-$BAG3/HLOOKUP(BBH$3,[2]ARBOR_REAJUSTE18!$A:$AE,VLOOKUP($BAG$2,[2]ARBOR_REAJUSTE18!$A:$B,2,0),0))),"")&lt;0.01%,0.01%,(IFERROR(IF($BAG3="","",IF($BAG3=0,1,1-$BAG3/HLOOKUP(BBH$3,[2]ARBOR_REAJUSTE18!$A:$AE,VLOOKUP($BAG$2,[2]ARBOR_REAJUSTE18!$A:$B,2,0),0))),""))),4)</f>
        <v>#VALUE!</v>
      </c>
      <c r="BBI3" s="44" t="e">
        <f>ROUNDUP(IF(IFERROR(IF($BAG3="","",IF($BAG3=0,1,1-$BAG3/HLOOKUP(BBI$3,[2]ARBOR_REAJUSTE18!$A:$AE,VLOOKUP($BAG$2,[2]ARBOR_REAJUSTE18!$A:$B,2,0),0))),"")&lt;0.01%,0.01%,(IFERROR(IF($BAG3="","",IF($BAG3=0,1,1-$BAG3/HLOOKUP(BBI$3,[2]ARBOR_REAJUSTE18!$A:$AE,VLOOKUP($BAG$2,[2]ARBOR_REAJUSTE18!$A:$B,2,0),0))),""))),4)</f>
        <v>#VALUE!</v>
      </c>
      <c r="BBJ3" s="56"/>
      <c r="BBK3" s="64"/>
      <c r="BBL3" s="44" t="e">
        <f>ROUNDUP(IF(IFERROR(IF($BBJ3="","",IF($BBJ3=0,1,1-$BBJ3/HLOOKUP(BBL$3,[2]ARBOR_REAJUSTE18!$A:$AE,VLOOKUP($BBJ$2,[2]ARBOR_REAJUSTE18!$A:$B,2,0),0))),"")&lt;0.01%,0.01%,(IFERROR(IF($BBJ3="","",IF($BBJ3=0,1,1-$BBJ3/HLOOKUP(BBL$3,[2]ARBOR_REAJUSTE18!$A:$AE,VLOOKUP($BBJ$2,[2]ARBOR_REAJUSTE18!$A:$B,2,0),0))),""))),4)</f>
        <v>#VALUE!</v>
      </c>
      <c r="BBM3" s="44" t="e">
        <f>ROUNDUP(IF(IFERROR(IF($BBJ3="","",IF($BBJ3=0,1,1-$BBJ3/HLOOKUP(BBM$3,[2]ARBOR_REAJUSTE18!$A:$AE,VLOOKUP($BBJ$2,[2]ARBOR_REAJUSTE18!$A:$B,2,0),0))),"")&lt;0.01%,0.01%,(IFERROR(IF($BBJ3="","",IF($BBJ3=0,1,1-$BBJ3/HLOOKUP(BBM$3,[2]ARBOR_REAJUSTE18!$A:$AE,VLOOKUP($BBJ$2,[2]ARBOR_REAJUSTE18!$A:$B,2,0),0))),""))),4)</f>
        <v>#VALUE!</v>
      </c>
      <c r="BBN3" s="44" t="e">
        <f>ROUNDUP(IF(IFERROR(IF($BBJ3="","",IF($BBJ3=0,1,1-$BBJ3/HLOOKUP(BBN$3,[2]ARBOR_REAJUSTE18!$A:$AE,VLOOKUP($BBJ$2,[2]ARBOR_REAJUSTE18!$A:$B,2,0),0))),"")&lt;0.01%,0.01%,(IFERROR(IF($BBJ3="","",IF($BBJ3=0,1,1-$BBJ3/HLOOKUP(BBN$3,[2]ARBOR_REAJUSTE18!$A:$AE,VLOOKUP($BBJ$2,[2]ARBOR_REAJUSTE18!$A:$B,2,0),0))),""))),4)</f>
        <v>#VALUE!</v>
      </c>
      <c r="BBO3" s="44" t="e">
        <f>ROUNDUP(IF(IFERROR(IF($BBJ3="","",IF($BBJ3=0,1,1-$BBJ3/HLOOKUP(BBO$3,[2]ARBOR_REAJUSTE18!$A:$AE,VLOOKUP($BBJ$2,[2]ARBOR_REAJUSTE18!$A:$B,2,0),0))),"")&lt;0.01%,0.01%,(IFERROR(IF($BBJ3="","",IF($BBJ3=0,1,1-$BBJ3/HLOOKUP(BBO$3,[2]ARBOR_REAJUSTE18!$A:$AE,VLOOKUP($BBJ$2,[2]ARBOR_REAJUSTE18!$A:$B,2,0),0))),""))),4)</f>
        <v>#VALUE!</v>
      </c>
      <c r="BBP3" s="44" t="e">
        <f>ROUNDUP(IF(IFERROR(IF($BBJ3="","",IF($BBJ3=0,1,1-$BBJ3/HLOOKUP(BBP$3,[2]ARBOR_REAJUSTE18!$A:$AE,VLOOKUP($BBJ$2,[2]ARBOR_REAJUSTE18!$A:$B,2,0),0))),"")&lt;0.01%,0.01%,(IFERROR(IF($BBJ3="","",IF($BBJ3=0,1,1-$BBJ3/HLOOKUP(BBP$3,[2]ARBOR_REAJUSTE18!$A:$AE,VLOOKUP($BBJ$2,[2]ARBOR_REAJUSTE18!$A:$B,2,0),0))),""))),4)</f>
        <v>#VALUE!</v>
      </c>
      <c r="BBQ3" s="44" t="e">
        <f>ROUNDUP(IF(IFERROR(IF($BBJ3="","",IF($BBJ3=0,1,1-$BBJ3/HLOOKUP(BBQ$3,[2]ARBOR_REAJUSTE18!$A:$AE,VLOOKUP($BBJ$2,[2]ARBOR_REAJUSTE18!$A:$B,2,0),0))),"")&lt;0.01%,0.01%,(IFERROR(IF($BBJ3="","",IF($BBJ3=0,1,1-$BBJ3/HLOOKUP(BBQ$3,[2]ARBOR_REAJUSTE18!$A:$AE,VLOOKUP($BBJ$2,[2]ARBOR_REAJUSTE18!$A:$B,2,0),0))),""))),4)</f>
        <v>#VALUE!</v>
      </c>
      <c r="BBR3" s="44" t="e">
        <f>ROUNDUP(IF(IFERROR(IF($BBJ3="","",IF($BBJ3=0,1,1-$BBJ3/HLOOKUP(BBR$3,[2]ARBOR_REAJUSTE18!$A:$AE,VLOOKUP($BBJ$2,[2]ARBOR_REAJUSTE18!$A:$B,2,0),0))),"")&lt;0.01%,0.01%,(IFERROR(IF($BBJ3="","",IF($BBJ3=0,1,1-$BBJ3/HLOOKUP(BBR$3,[2]ARBOR_REAJUSTE18!$A:$AE,VLOOKUP($BBJ$2,[2]ARBOR_REAJUSTE18!$A:$B,2,0),0))),""))),4)</f>
        <v>#VALUE!</v>
      </c>
      <c r="BBS3" s="44" t="e">
        <f>ROUNDUP(IF(IFERROR(IF($BBJ3="","",IF($BBJ3=0,1,1-$BBJ3/HLOOKUP(BBS$3,[2]ARBOR_REAJUSTE18!$A:$AE,VLOOKUP($BBJ$2,[2]ARBOR_REAJUSTE18!$A:$B,2,0),0))),"")&lt;0.01%,0.01%,(IFERROR(IF($BBJ3="","",IF($BBJ3=0,1,1-$BBJ3/HLOOKUP(BBS$3,[2]ARBOR_REAJUSTE18!$A:$AE,VLOOKUP($BBJ$2,[2]ARBOR_REAJUSTE18!$A:$B,2,0),0))),""))),4)</f>
        <v>#VALUE!</v>
      </c>
      <c r="BBT3" s="44" t="e">
        <f>ROUNDUP(IF(IFERROR(IF($BBJ3="","",IF($BBJ3=0,1,1-$BBJ3/HLOOKUP(BBT$3,[2]ARBOR_REAJUSTE18!$A:$AE,VLOOKUP($BBJ$2,[2]ARBOR_REAJUSTE18!$A:$B,2,0),0))),"")&lt;0.01%,0.01%,(IFERROR(IF($BBJ3="","",IF($BBJ3=0,1,1-$BBJ3/HLOOKUP(BBT$3,[2]ARBOR_REAJUSTE18!$A:$AE,VLOOKUP($BBJ$2,[2]ARBOR_REAJUSTE18!$A:$B,2,0),0))),""))),4)</f>
        <v>#VALUE!</v>
      </c>
      <c r="BBU3" s="44" t="e">
        <f>ROUNDUP(IF(IFERROR(IF($BBJ3="","",IF($BBJ3=0,1,1-$BBJ3/HLOOKUP(BBU$3,[2]ARBOR_REAJUSTE18!$A:$AE,VLOOKUP($BBJ$2,[2]ARBOR_REAJUSTE18!$A:$B,2,0),0))),"")&lt;0.01%,0.01%,(IFERROR(IF($BBJ3="","",IF($BBJ3=0,1,1-$BBJ3/HLOOKUP(BBU$3,[2]ARBOR_REAJUSTE18!$A:$AE,VLOOKUP($BBJ$2,[2]ARBOR_REAJUSTE18!$A:$B,2,0),0))),""))),4)</f>
        <v>#VALUE!</v>
      </c>
      <c r="BBV3" s="44" t="e">
        <f>ROUNDUP(IF(IFERROR(IF($BBJ3="","",IF($BBJ3=0,1,1-$BBJ3/HLOOKUP(BBV$3,[2]ARBOR_REAJUSTE18!$A:$AE,VLOOKUP($BBJ$2,[2]ARBOR_REAJUSTE18!$A:$B,2,0),0))),"")&lt;0.01%,0.01%,(IFERROR(IF($BBJ3="","",IF($BBJ3=0,1,1-$BBJ3/HLOOKUP(BBV$3,[2]ARBOR_REAJUSTE18!$A:$AE,VLOOKUP($BBJ$2,[2]ARBOR_REAJUSTE18!$A:$B,2,0),0))),""))),4)</f>
        <v>#VALUE!</v>
      </c>
      <c r="BBW3" s="44" t="e">
        <f>ROUNDUP(IF(IFERROR(IF($BBJ3="","",IF($BBJ3=0,1,1-$BBJ3/HLOOKUP(BBW$3,[2]ARBOR_REAJUSTE18!$A:$AE,VLOOKUP($BBJ$2,[2]ARBOR_REAJUSTE18!$A:$B,2,0),0))),"")&lt;0.01%,0.01%,(IFERROR(IF($BBJ3="","",IF($BBJ3=0,1,1-$BBJ3/HLOOKUP(BBW$3,[2]ARBOR_REAJUSTE18!$A:$AE,VLOOKUP($BBJ$2,[2]ARBOR_REAJUSTE18!$A:$B,2,0),0))),""))),4)</f>
        <v>#VALUE!</v>
      </c>
      <c r="BBX3" s="44" t="e">
        <f>ROUNDUP(IF(IFERROR(IF($BBJ3="","",IF($BBJ3=0,1,1-$BBJ3/HLOOKUP(BBX$3,[2]ARBOR_REAJUSTE18!$A:$AE,VLOOKUP($BBJ$2,[2]ARBOR_REAJUSTE18!$A:$B,2,0),0))),"")&lt;0.01%,0.01%,(IFERROR(IF($BBJ3="","",IF($BBJ3=0,1,1-$BBJ3/HLOOKUP(BBX$3,[2]ARBOR_REAJUSTE18!$A:$AE,VLOOKUP($BBJ$2,[2]ARBOR_REAJUSTE18!$A:$B,2,0),0))),""))),4)</f>
        <v>#VALUE!</v>
      </c>
      <c r="BBY3" s="44" t="e">
        <f>ROUNDUP(IF(IFERROR(IF($BBJ3="","",IF($BBJ3=0,1,1-$BBJ3/HLOOKUP(BBY$3,[2]ARBOR_REAJUSTE18!$A:$AE,VLOOKUP($BBJ$2,[2]ARBOR_REAJUSTE18!$A:$B,2,0),0))),"")&lt;0.01%,0.01%,(IFERROR(IF($BBJ3="","",IF($BBJ3=0,1,1-$BBJ3/HLOOKUP(BBY$3,[2]ARBOR_REAJUSTE18!$A:$AE,VLOOKUP($BBJ$2,[2]ARBOR_REAJUSTE18!$A:$B,2,0),0))),""))),4)</f>
        <v>#VALUE!</v>
      </c>
      <c r="BBZ3" s="44" t="e">
        <f>ROUNDUP(IF(IFERROR(IF($BBJ3="","",IF($BBJ3=0,1,1-$BBJ3/HLOOKUP(BBZ$3,[2]ARBOR_REAJUSTE18!$A:$AE,VLOOKUP($BBJ$2,[2]ARBOR_REAJUSTE18!$A:$B,2,0),0))),"")&lt;0.01%,0.01%,(IFERROR(IF($BBJ3="","",IF($BBJ3=0,1,1-$BBJ3/HLOOKUP(BBZ$3,[2]ARBOR_REAJUSTE18!$A:$AE,VLOOKUP($BBJ$2,[2]ARBOR_REAJUSTE18!$A:$B,2,0),0))),""))),4)</f>
        <v>#VALUE!</v>
      </c>
      <c r="BCA3" s="44" t="e">
        <f>ROUNDUP(IF(IFERROR(IF($BBJ3="","",IF($BBJ3=0,1,1-$BBJ3/HLOOKUP(BCA$3,[2]ARBOR_REAJUSTE18!$A:$AE,VLOOKUP($BBJ$2,[2]ARBOR_REAJUSTE18!$A:$B,2,0),0))),"")&lt;0.01%,0.01%,(IFERROR(IF($BBJ3="","",IF($BBJ3=0,1,1-$BBJ3/HLOOKUP(BCA$3,[2]ARBOR_REAJUSTE18!$A:$AE,VLOOKUP($BBJ$2,[2]ARBOR_REAJUSTE18!$A:$B,2,0),0))),""))),4)</f>
        <v>#VALUE!</v>
      </c>
      <c r="BCB3" s="44" t="e">
        <f>ROUNDUP(IF(IFERROR(IF($BBJ3="","",IF($BBJ3=0,1,1-$BBJ3/HLOOKUP(BCB$3,[2]ARBOR_REAJUSTE18!$A:$AE,VLOOKUP($BBJ$2,[2]ARBOR_REAJUSTE18!$A:$B,2,0),0))),"")&lt;0.01%,0.01%,(IFERROR(IF($BBJ3="","",IF($BBJ3=0,1,1-$BBJ3/HLOOKUP(BCB$3,[2]ARBOR_REAJUSTE18!$A:$AE,VLOOKUP($BBJ$2,[2]ARBOR_REAJUSTE18!$A:$B,2,0),0))),""))),4)</f>
        <v>#VALUE!</v>
      </c>
      <c r="BCC3" s="44" t="e">
        <f>ROUNDUP(IF(IFERROR(IF($BBJ3="","",IF($BBJ3=0,1,1-$BBJ3/HLOOKUP(BCC$3,[2]ARBOR_REAJUSTE18!$A:$AE,VLOOKUP($BBJ$2,[2]ARBOR_REAJUSTE18!$A:$B,2,0),0))),"")&lt;0.01%,0.01%,(IFERROR(IF($BBJ3="","",IF($BBJ3=0,1,1-$BBJ3/HLOOKUP(BCC$3,[2]ARBOR_REAJUSTE18!$A:$AE,VLOOKUP($BBJ$2,[2]ARBOR_REAJUSTE18!$A:$B,2,0),0))),""))),4)</f>
        <v>#VALUE!</v>
      </c>
      <c r="BCD3" s="44" t="e">
        <f>ROUNDUP(IF(IFERROR(IF($BBJ3="","",IF($BBJ3=0,1,1-$BBJ3/HLOOKUP(BCD$3,[2]ARBOR_REAJUSTE18!$A:$AE,VLOOKUP($BBJ$2,[2]ARBOR_REAJUSTE18!$A:$B,2,0),0))),"")&lt;0.01%,0.01%,(IFERROR(IF($BBJ3="","",IF($BBJ3=0,1,1-$BBJ3/HLOOKUP(BCD$3,[2]ARBOR_REAJUSTE18!$A:$AE,VLOOKUP($BBJ$2,[2]ARBOR_REAJUSTE18!$A:$B,2,0),0))),""))),4)</f>
        <v>#VALUE!</v>
      </c>
      <c r="BCE3" s="44" t="e">
        <f>ROUNDUP(IF(IFERROR(IF($BBJ3="","",IF($BBJ3=0,1,1-$BBJ3/HLOOKUP(BCE$3,[2]ARBOR_REAJUSTE18!$A:$AE,VLOOKUP($BBJ$2,[2]ARBOR_REAJUSTE18!$A:$B,2,0),0))),"")&lt;0.01%,0.01%,(IFERROR(IF($BBJ3="","",IF($BBJ3=0,1,1-$BBJ3/HLOOKUP(BCE$3,[2]ARBOR_REAJUSTE18!$A:$AE,VLOOKUP($BBJ$2,[2]ARBOR_REAJUSTE18!$A:$B,2,0),0))),""))),4)</f>
        <v>#VALUE!</v>
      </c>
      <c r="BCF3" s="44" t="e">
        <f>ROUNDUP(IF(IFERROR(IF($BBJ3="","",IF($BBJ3=0,1,1-$BBJ3/HLOOKUP(BCF$3,[2]ARBOR_REAJUSTE18!$A:$AE,VLOOKUP($BBJ$2,[2]ARBOR_REAJUSTE18!$A:$B,2,0),0))),"")&lt;0.01%,0.01%,(IFERROR(IF($BBJ3="","",IF($BBJ3=0,1,1-$BBJ3/HLOOKUP(BCF$3,[2]ARBOR_REAJUSTE18!$A:$AE,VLOOKUP($BBJ$2,[2]ARBOR_REAJUSTE18!$A:$B,2,0),0))),""))),4)</f>
        <v>#VALUE!</v>
      </c>
      <c r="BCG3" s="44" t="e">
        <f>ROUNDUP(IF(IFERROR(IF($BBJ3="","",IF($BBJ3=0,1,1-$BBJ3/HLOOKUP(BCG$3,[2]ARBOR_REAJUSTE18!$A:$AE,VLOOKUP($BBJ$2,[2]ARBOR_REAJUSTE18!$A:$B,2,0),0))),"")&lt;0.01%,0.01%,(IFERROR(IF($BBJ3="","",IF($BBJ3=0,1,1-$BBJ3/HLOOKUP(BCG$3,[2]ARBOR_REAJUSTE18!$A:$AE,VLOOKUP($BBJ$2,[2]ARBOR_REAJUSTE18!$A:$B,2,0),0))),""))),4)</f>
        <v>#VALUE!</v>
      </c>
      <c r="BCH3" s="44" t="e">
        <f>ROUNDUP(IF(IFERROR(IF($BBJ3="","",IF($BBJ3=0,1,1-$BBJ3/HLOOKUP(BCH$3,[2]ARBOR_REAJUSTE18!$A:$AE,VLOOKUP($BBJ$2,[2]ARBOR_REAJUSTE18!$A:$B,2,0),0))),"")&lt;0.01%,0.01%,(IFERROR(IF($BBJ3="","",IF($BBJ3=0,1,1-$BBJ3/HLOOKUP(BCH$3,[2]ARBOR_REAJUSTE18!$A:$AE,VLOOKUP($BBJ$2,[2]ARBOR_REAJUSTE18!$A:$B,2,0),0))),""))),4)</f>
        <v>#VALUE!</v>
      </c>
      <c r="BCI3" s="44" t="e">
        <f>ROUNDUP(IF(IFERROR(IF($BBJ3="","",IF($BBJ3=0,1,1-$BBJ3/HLOOKUP(BCI$3,[2]ARBOR_REAJUSTE18!$A:$AE,VLOOKUP($BBJ$2,[2]ARBOR_REAJUSTE18!$A:$B,2,0),0))),"")&lt;0.01%,0.01%,(IFERROR(IF($BBJ3="","",IF($BBJ3=0,1,1-$BBJ3/HLOOKUP(BCI$3,[2]ARBOR_REAJUSTE18!$A:$AE,VLOOKUP($BBJ$2,[2]ARBOR_REAJUSTE18!$A:$B,2,0),0))),""))),4)</f>
        <v>#VALUE!</v>
      </c>
      <c r="BCJ3" s="44" t="e">
        <f>ROUNDUP(IF(IFERROR(IF($BBJ3="","",IF($BBJ3=0,1,1-$BBJ3/HLOOKUP(BCJ$3,[2]ARBOR_REAJUSTE18!$A:$AE,VLOOKUP($BBJ$2,[2]ARBOR_REAJUSTE18!$A:$B,2,0),0))),"")&lt;0.01%,0.01%,(IFERROR(IF($BBJ3="","",IF($BBJ3=0,1,1-$BBJ3/HLOOKUP(BCJ$3,[2]ARBOR_REAJUSTE18!$A:$AE,VLOOKUP($BBJ$2,[2]ARBOR_REAJUSTE18!$A:$B,2,0),0))),""))),4)</f>
        <v>#VALUE!</v>
      </c>
      <c r="BCK3" s="44" t="e">
        <f>ROUNDUP(IF(IFERROR(IF($BBJ3="","",IF($BBJ3=0,1,1-$BBJ3/HLOOKUP(BCK$3,[2]ARBOR_REAJUSTE18!$A:$AE,VLOOKUP($BBJ$2,[2]ARBOR_REAJUSTE18!$A:$B,2,0),0))),"")&lt;0.01%,0.01%,(IFERROR(IF($BBJ3="","",IF($BBJ3=0,1,1-$BBJ3/HLOOKUP(BCK$3,[2]ARBOR_REAJUSTE18!$A:$AE,VLOOKUP($BBJ$2,[2]ARBOR_REAJUSTE18!$A:$B,2,0),0))),""))),4)</f>
        <v>#VALUE!</v>
      </c>
      <c r="BCL3" s="44" t="e">
        <f>ROUNDUP(IF(IFERROR(IF($BBJ3="","",IF($BBJ3=0,1,1-$BBJ3/HLOOKUP(BCL$3,[2]ARBOR_REAJUSTE18!$A:$AE,VLOOKUP($BBJ$2,[2]ARBOR_REAJUSTE18!$A:$B,2,0),0))),"")&lt;0.01%,0.01%,(IFERROR(IF($BBJ3="","",IF($BBJ3=0,1,1-$BBJ3/HLOOKUP(BCL$3,[2]ARBOR_REAJUSTE18!$A:$AE,VLOOKUP($BBJ$2,[2]ARBOR_REAJUSTE18!$A:$B,2,0),0))),""))),4)</f>
        <v>#VALUE!</v>
      </c>
      <c r="BCM3" s="56"/>
      <c r="BCN3" s="64"/>
      <c r="BCO3" s="44" t="e">
        <f>ROUNDUP(IF(IFERROR(IF($BCM3="","",IF($BCM3=0,1,1-$BCM3/HLOOKUP(BCO$3,[2]ARBOR_REAJUSTE18!$A:$AE,VLOOKUP($BCM$2,[2]ARBOR_REAJUSTE18!$A:$B,2,0),0))),"")&lt;0.01%,0.01%,(IFERROR(IF($BCM3="","",IF($BCM3=0,1,1-$BCM3/HLOOKUP(BCO$3,[2]ARBOR_REAJUSTE18!$A:$AE,VLOOKUP($BCM$2,[2]ARBOR_REAJUSTE18!$A:$B,2,0),0))),""))),4)</f>
        <v>#VALUE!</v>
      </c>
      <c r="BCP3" s="44" t="e">
        <f>ROUNDUP(IF(IFERROR(IF($BCM3="","",IF($BCM3=0,1,1-$BCM3/HLOOKUP(BCP$3,[2]ARBOR_REAJUSTE18!$A:$AE,VLOOKUP($BCM$2,[2]ARBOR_REAJUSTE18!$A:$B,2,0),0))),"")&lt;0.01%,0.01%,(IFERROR(IF($BCM3="","",IF($BCM3=0,1,1-$BCM3/HLOOKUP(BCP$3,[2]ARBOR_REAJUSTE18!$A:$AE,VLOOKUP($BCM$2,[2]ARBOR_REAJUSTE18!$A:$B,2,0),0))),""))),4)</f>
        <v>#VALUE!</v>
      </c>
      <c r="BCQ3" s="44" t="e">
        <f>ROUNDUP(IF(IFERROR(IF($BCM3="","",IF($BCM3=0,1,1-$BCM3/HLOOKUP(BCQ$3,[2]ARBOR_REAJUSTE18!$A:$AE,VLOOKUP($BCM$2,[2]ARBOR_REAJUSTE18!$A:$B,2,0),0))),"")&lt;0.01%,0.01%,(IFERROR(IF($BCM3="","",IF($BCM3=0,1,1-$BCM3/HLOOKUP(BCQ$3,[2]ARBOR_REAJUSTE18!$A:$AE,VLOOKUP($BCM$2,[2]ARBOR_REAJUSTE18!$A:$B,2,0),0))),""))),4)</f>
        <v>#VALUE!</v>
      </c>
      <c r="BCR3" s="44" t="e">
        <f>ROUNDUP(IF(IFERROR(IF($BCM3="","",IF($BCM3=0,1,1-$BCM3/HLOOKUP(BCR$3,[2]ARBOR_REAJUSTE18!$A:$AE,VLOOKUP($BCM$2,[2]ARBOR_REAJUSTE18!$A:$B,2,0),0))),"")&lt;0.01%,0.01%,(IFERROR(IF($BCM3="","",IF($BCM3=0,1,1-$BCM3/HLOOKUP(BCR$3,[2]ARBOR_REAJUSTE18!$A:$AE,VLOOKUP($BCM$2,[2]ARBOR_REAJUSTE18!$A:$B,2,0),0))),""))),4)</f>
        <v>#VALUE!</v>
      </c>
      <c r="BCS3" s="44" t="e">
        <f>ROUNDUP(IF(IFERROR(IF($BCM3="","",IF($BCM3=0,1,1-$BCM3/HLOOKUP(BCS$3,[2]ARBOR_REAJUSTE18!$A:$AE,VLOOKUP($BCM$2,[2]ARBOR_REAJUSTE18!$A:$B,2,0),0))),"")&lt;0.01%,0.01%,(IFERROR(IF($BCM3="","",IF($BCM3=0,1,1-$BCM3/HLOOKUP(BCS$3,[2]ARBOR_REAJUSTE18!$A:$AE,VLOOKUP($BCM$2,[2]ARBOR_REAJUSTE18!$A:$B,2,0),0))),""))),4)</f>
        <v>#VALUE!</v>
      </c>
      <c r="BCT3" s="44" t="e">
        <f>ROUNDUP(IF(IFERROR(IF($BCM3="","",IF($BCM3=0,1,1-$BCM3/HLOOKUP(BCT$3,[2]ARBOR_REAJUSTE18!$A:$AE,VLOOKUP($BCM$2,[2]ARBOR_REAJUSTE18!$A:$B,2,0),0))),"")&lt;0.01%,0.01%,(IFERROR(IF($BCM3="","",IF($BCM3=0,1,1-$BCM3/HLOOKUP(BCT$3,[2]ARBOR_REAJUSTE18!$A:$AE,VLOOKUP($BCM$2,[2]ARBOR_REAJUSTE18!$A:$B,2,0),0))),""))),4)</f>
        <v>#VALUE!</v>
      </c>
      <c r="BCU3" s="44" t="e">
        <f>ROUNDUP(IF(IFERROR(IF($BCM3="","",IF($BCM3=0,1,1-$BCM3/HLOOKUP(BCU$3,[2]ARBOR_REAJUSTE18!$A:$AE,VLOOKUP($BCM$2,[2]ARBOR_REAJUSTE18!$A:$B,2,0),0))),"")&lt;0.01%,0.01%,(IFERROR(IF($BCM3="","",IF($BCM3=0,1,1-$BCM3/HLOOKUP(BCU$3,[2]ARBOR_REAJUSTE18!$A:$AE,VLOOKUP($BCM$2,[2]ARBOR_REAJUSTE18!$A:$B,2,0),0))),""))),4)</f>
        <v>#VALUE!</v>
      </c>
      <c r="BCV3" s="44" t="e">
        <f>ROUNDUP(IF(IFERROR(IF($BCM3="","",IF($BCM3=0,1,1-$BCM3/HLOOKUP(BCV$3,[2]ARBOR_REAJUSTE18!$A:$AE,VLOOKUP($BCM$2,[2]ARBOR_REAJUSTE18!$A:$B,2,0),0))),"")&lt;0.01%,0.01%,(IFERROR(IF($BCM3="","",IF($BCM3=0,1,1-$BCM3/HLOOKUP(BCV$3,[2]ARBOR_REAJUSTE18!$A:$AE,VLOOKUP($BCM$2,[2]ARBOR_REAJUSTE18!$A:$B,2,0),0))),""))),4)</f>
        <v>#VALUE!</v>
      </c>
      <c r="BCW3" s="44" t="e">
        <f>ROUNDUP(IF(IFERROR(IF($BCM3="","",IF($BCM3=0,1,1-$BCM3/HLOOKUP(BCW$3,[2]ARBOR_REAJUSTE18!$A:$AE,VLOOKUP($BCM$2,[2]ARBOR_REAJUSTE18!$A:$B,2,0),0))),"")&lt;0.01%,0.01%,(IFERROR(IF($BCM3="","",IF($BCM3=0,1,1-$BCM3/HLOOKUP(BCW$3,[2]ARBOR_REAJUSTE18!$A:$AE,VLOOKUP($BCM$2,[2]ARBOR_REAJUSTE18!$A:$B,2,0),0))),""))),4)</f>
        <v>#VALUE!</v>
      </c>
      <c r="BCX3" s="44" t="e">
        <f>ROUNDUP(IF(IFERROR(IF($BCM3="","",IF($BCM3=0,1,1-$BCM3/HLOOKUP(BCX$3,[2]ARBOR_REAJUSTE18!$A:$AE,VLOOKUP($BCM$2,[2]ARBOR_REAJUSTE18!$A:$B,2,0),0))),"")&lt;0.01%,0.01%,(IFERROR(IF($BCM3="","",IF($BCM3=0,1,1-$BCM3/HLOOKUP(BCX$3,[2]ARBOR_REAJUSTE18!$A:$AE,VLOOKUP($BCM$2,[2]ARBOR_REAJUSTE18!$A:$B,2,0),0))),""))),4)</f>
        <v>#VALUE!</v>
      </c>
      <c r="BCY3" s="44" t="e">
        <f>ROUNDUP(IF(IFERROR(IF($BCM3="","",IF($BCM3=0,1,1-$BCM3/HLOOKUP(BCY$3,[2]ARBOR_REAJUSTE18!$A:$AE,VLOOKUP($BCM$2,[2]ARBOR_REAJUSTE18!$A:$B,2,0),0))),"")&lt;0.01%,0.01%,(IFERROR(IF($BCM3="","",IF($BCM3=0,1,1-$BCM3/HLOOKUP(BCY$3,[2]ARBOR_REAJUSTE18!$A:$AE,VLOOKUP($BCM$2,[2]ARBOR_REAJUSTE18!$A:$B,2,0),0))),""))),4)</f>
        <v>#VALUE!</v>
      </c>
      <c r="BCZ3" s="44" t="e">
        <f>ROUNDUP(IF(IFERROR(IF($BCM3="","",IF($BCM3=0,1,1-$BCM3/HLOOKUP(BCZ$3,[2]ARBOR_REAJUSTE18!$A:$AE,VLOOKUP($BCM$2,[2]ARBOR_REAJUSTE18!$A:$B,2,0),0))),"")&lt;0.01%,0.01%,(IFERROR(IF($BCM3="","",IF($BCM3=0,1,1-$BCM3/HLOOKUP(BCZ$3,[2]ARBOR_REAJUSTE18!$A:$AE,VLOOKUP($BCM$2,[2]ARBOR_REAJUSTE18!$A:$B,2,0),0))),""))),4)</f>
        <v>#VALUE!</v>
      </c>
      <c r="BDA3" s="44" t="e">
        <f>ROUNDUP(IF(IFERROR(IF($BCM3="","",IF($BCM3=0,1,1-$BCM3/HLOOKUP(BDA$3,[2]ARBOR_REAJUSTE18!$A:$AE,VLOOKUP($BCM$2,[2]ARBOR_REAJUSTE18!$A:$B,2,0),0))),"")&lt;0.01%,0.01%,(IFERROR(IF($BCM3="","",IF($BCM3=0,1,1-$BCM3/HLOOKUP(BDA$3,[2]ARBOR_REAJUSTE18!$A:$AE,VLOOKUP($BCM$2,[2]ARBOR_REAJUSTE18!$A:$B,2,0),0))),""))),4)</f>
        <v>#VALUE!</v>
      </c>
      <c r="BDB3" s="44" t="e">
        <f>ROUNDUP(IF(IFERROR(IF($BCM3="","",IF($BCM3=0,1,1-$BCM3/HLOOKUP(BDB$3,[2]ARBOR_REAJUSTE18!$A:$AE,VLOOKUP($BCM$2,[2]ARBOR_REAJUSTE18!$A:$B,2,0),0))),"")&lt;0.01%,0.01%,(IFERROR(IF($BCM3="","",IF($BCM3=0,1,1-$BCM3/HLOOKUP(BDB$3,[2]ARBOR_REAJUSTE18!$A:$AE,VLOOKUP($BCM$2,[2]ARBOR_REAJUSTE18!$A:$B,2,0),0))),""))),4)</f>
        <v>#VALUE!</v>
      </c>
      <c r="BDC3" s="44" t="e">
        <f>ROUNDUP(IF(IFERROR(IF($BCM3="","",IF($BCM3=0,1,1-$BCM3/HLOOKUP(BDC$3,[2]ARBOR_REAJUSTE18!$A:$AE,VLOOKUP($BCM$2,[2]ARBOR_REAJUSTE18!$A:$B,2,0),0))),"")&lt;0.01%,0.01%,(IFERROR(IF($BCM3="","",IF($BCM3=0,1,1-$BCM3/HLOOKUP(BDC$3,[2]ARBOR_REAJUSTE18!$A:$AE,VLOOKUP($BCM$2,[2]ARBOR_REAJUSTE18!$A:$B,2,0),0))),""))),4)</f>
        <v>#VALUE!</v>
      </c>
      <c r="BDD3" s="44" t="e">
        <f>ROUNDUP(IF(IFERROR(IF($BCM3="","",IF($BCM3=0,1,1-$BCM3/HLOOKUP(BDD$3,[2]ARBOR_REAJUSTE18!$A:$AE,VLOOKUP($BCM$2,[2]ARBOR_REAJUSTE18!$A:$B,2,0),0))),"")&lt;0.01%,0.01%,(IFERROR(IF($BCM3="","",IF($BCM3=0,1,1-$BCM3/HLOOKUP(BDD$3,[2]ARBOR_REAJUSTE18!$A:$AE,VLOOKUP($BCM$2,[2]ARBOR_REAJUSTE18!$A:$B,2,0),0))),""))),4)</f>
        <v>#VALUE!</v>
      </c>
      <c r="BDE3" s="44" t="e">
        <f>ROUNDUP(IF(IFERROR(IF($BCM3="","",IF($BCM3=0,1,1-$BCM3/HLOOKUP(BDE$3,[2]ARBOR_REAJUSTE18!$A:$AE,VLOOKUP($BCM$2,[2]ARBOR_REAJUSTE18!$A:$B,2,0),0))),"")&lt;0.01%,0.01%,(IFERROR(IF($BCM3="","",IF($BCM3=0,1,1-$BCM3/HLOOKUP(BDE$3,[2]ARBOR_REAJUSTE18!$A:$AE,VLOOKUP($BCM$2,[2]ARBOR_REAJUSTE18!$A:$B,2,0),0))),""))),4)</f>
        <v>#VALUE!</v>
      </c>
      <c r="BDF3" s="44" t="e">
        <f>ROUNDUP(IF(IFERROR(IF($BCM3="","",IF($BCM3=0,1,1-$BCM3/HLOOKUP(BDF$3,[2]ARBOR_REAJUSTE18!$A:$AE,VLOOKUP($BCM$2,[2]ARBOR_REAJUSTE18!$A:$B,2,0),0))),"")&lt;0.01%,0.01%,(IFERROR(IF($BCM3="","",IF($BCM3=0,1,1-$BCM3/HLOOKUP(BDF$3,[2]ARBOR_REAJUSTE18!$A:$AE,VLOOKUP($BCM$2,[2]ARBOR_REAJUSTE18!$A:$B,2,0),0))),""))),4)</f>
        <v>#VALUE!</v>
      </c>
      <c r="BDG3" s="44" t="e">
        <f>ROUNDUP(IF(IFERROR(IF($BCM3="","",IF($BCM3=0,1,1-$BCM3/HLOOKUP(BDG$3,[2]ARBOR_REAJUSTE18!$A:$AE,VLOOKUP($BCM$2,[2]ARBOR_REAJUSTE18!$A:$B,2,0),0))),"")&lt;0.01%,0.01%,(IFERROR(IF($BCM3="","",IF($BCM3=0,1,1-$BCM3/HLOOKUP(BDG$3,[2]ARBOR_REAJUSTE18!$A:$AE,VLOOKUP($BCM$2,[2]ARBOR_REAJUSTE18!$A:$B,2,0),0))),""))),4)</f>
        <v>#VALUE!</v>
      </c>
      <c r="BDH3" s="44" t="e">
        <f>ROUNDUP(IF(IFERROR(IF($BCM3="","",IF($BCM3=0,1,1-$BCM3/HLOOKUP(BDH$3,[2]ARBOR_REAJUSTE18!$A:$AE,VLOOKUP($BCM$2,[2]ARBOR_REAJUSTE18!$A:$B,2,0),0))),"")&lt;0.01%,0.01%,(IFERROR(IF($BCM3="","",IF($BCM3=0,1,1-$BCM3/HLOOKUP(BDH$3,[2]ARBOR_REAJUSTE18!$A:$AE,VLOOKUP($BCM$2,[2]ARBOR_REAJUSTE18!$A:$B,2,0),0))),""))),4)</f>
        <v>#VALUE!</v>
      </c>
      <c r="BDI3" s="44" t="e">
        <f>ROUNDUP(IF(IFERROR(IF($BCM3="","",IF($BCM3=0,1,1-$BCM3/HLOOKUP(BDI$3,[2]ARBOR_REAJUSTE18!$A:$AE,VLOOKUP($BCM$2,[2]ARBOR_REAJUSTE18!$A:$B,2,0),0))),"")&lt;0.01%,0.01%,(IFERROR(IF($BCM3="","",IF($BCM3=0,1,1-$BCM3/HLOOKUP(BDI$3,[2]ARBOR_REAJUSTE18!$A:$AE,VLOOKUP($BCM$2,[2]ARBOR_REAJUSTE18!$A:$B,2,0),0))),""))),4)</f>
        <v>#VALUE!</v>
      </c>
      <c r="BDJ3" s="44" t="e">
        <f>ROUNDUP(IF(IFERROR(IF($BCM3="","",IF($BCM3=0,1,1-$BCM3/HLOOKUP(BDJ$3,[2]ARBOR_REAJUSTE18!$A:$AE,VLOOKUP($BCM$2,[2]ARBOR_REAJUSTE18!$A:$B,2,0),0))),"")&lt;0.01%,0.01%,(IFERROR(IF($BCM3="","",IF($BCM3=0,1,1-$BCM3/HLOOKUP(BDJ$3,[2]ARBOR_REAJUSTE18!$A:$AE,VLOOKUP($BCM$2,[2]ARBOR_REAJUSTE18!$A:$B,2,0),0))),""))),4)</f>
        <v>#VALUE!</v>
      </c>
      <c r="BDK3" s="44" t="e">
        <f>ROUNDUP(IF(IFERROR(IF($BCM3="","",IF($BCM3=0,1,1-$BCM3/HLOOKUP(BDK$3,[2]ARBOR_REAJUSTE18!$A:$AE,VLOOKUP($BCM$2,[2]ARBOR_REAJUSTE18!$A:$B,2,0),0))),"")&lt;0.01%,0.01%,(IFERROR(IF($BCM3="","",IF($BCM3=0,1,1-$BCM3/HLOOKUP(BDK$3,[2]ARBOR_REAJUSTE18!$A:$AE,VLOOKUP($BCM$2,[2]ARBOR_REAJUSTE18!$A:$B,2,0),0))),""))),4)</f>
        <v>#VALUE!</v>
      </c>
      <c r="BDL3" s="44" t="e">
        <f>ROUNDUP(IF(IFERROR(IF($BCM3="","",IF($BCM3=0,1,1-$BCM3/HLOOKUP(BDL$3,[2]ARBOR_REAJUSTE18!$A:$AE,VLOOKUP($BCM$2,[2]ARBOR_REAJUSTE18!$A:$B,2,0),0))),"")&lt;0.01%,0.01%,(IFERROR(IF($BCM3="","",IF($BCM3=0,1,1-$BCM3/HLOOKUP(BDL$3,[2]ARBOR_REAJUSTE18!$A:$AE,VLOOKUP($BCM$2,[2]ARBOR_REAJUSTE18!$A:$B,2,0),0))),""))),4)</f>
        <v>#VALUE!</v>
      </c>
      <c r="BDM3" s="44" t="e">
        <f>ROUNDUP(IF(IFERROR(IF($BCM3="","",IF($BCM3=0,1,1-$BCM3/HLOOKUP(BDM$3,[2]ARBOR_REAJUSTE18!$A:$AE,VLOOKUP($BCM$2,[2]ARBOR_REAJUSTE18!$A:$B,2,0),0))),"")&lt;0.01%,0.01%,(IFERROR(IF($BCM3="","",IF($BCM3=0,1,1-$BCM3/HLOOKUP(BDM$3,[2]ARBOR_REAJUSTE18!$A:$AE,VLOOKUP($BCM$2,[2]ARBOR_REAJUSTE18!$A:$B,2,0),0))),""))),4)</f>
        <v>#VALUE!</v>
      </c>
      <c r="BDN3" s="44" t="e">
        <f>ROUNDUP(IF(IFERROR(IF($BCM3="","",IF($BCM3=0,1,1-$BCM3/HLOOKUP(BDN$3,[2]ARBOR_REAJUSTE18!$A:$AE,VLOOKUP($BCM$2,[2]ARBOR_REAJUSTE18!$A:$B,2,0),0))),"")&lt;0.01%,0.01%,(IFERROR(IF($BCM3="","",IF($BCM3=0,1,1-$BCM3/HLOOKUP(BDN$3,[2]ARBOR_REAJUSTE18!$A:$AE,VLOOKUP($BCM$2,[2]ARBOR_REAJUSTE18!$A:$B,2,0),0))),""))),4)</f>
        <v>#VALUE!</v>
      </c>
      <c r="BDO3" s="44" t="e">
        <f>ROUNDUP(IF(IFERROR(IF($BCM3="","",IF($BCM3=0,1,1-$BCM3/HLOOKUP(BDO$3,[2]ARBOR_REAJUSTE18!$A:$AE,VLOOKUP($BCM$2,[2]ARBOR_REAJUSTE18!$A:$B,2,0),0))),"")&lt;0.01%,0.01%,(IFERROR(IF($BCM3="","",IF($BCM3=0,1,1-$BCM3/HLOOKUP(BDO$3,[2]ARBOR_REAJUSTE18!$A:$AE,VLOOKUP($BCM$2,[2]ARBOR_REAJUSTE18!$A:$B,2,0),0))),""))),4)</f>
        <v>#VALUE!</v>
      </c>
      <c r="BDP3" s="56"/>
      <c r="BDQ3" s="64"/>
      <c r="BDR3" s="44" t="e">
        <f>ROUNDUP(IF(IFERROR(IF($BDP3="","",IF($BDP3=0,1,1-$BDP3/HLOOKUP(BDR$3,[2]ARBOR_REAJUSTE18!$A:$AE,VLOOKUP($BDP$2,[2]ARBOR_REAJUSTE18!$A:$B,2,0),0))),"")&lt;0.01%,0.01%,(IFERROR(IF($BDP3="","",IF($BDP3=0,1,1-$BDP3/HLOOKUP(BDR$3,[2]ARBOR_REAJUSTE18!$A:$AE,VLOOKUP($BDP$2,[2]ARBOR_REAJUSTE18!$A:$B,2,0),0))),""))),4)</f>
        <v>#VALUE!</v>
      </c>
      <c r="BDS3" s="44" t="e">
        <f>ROUNDUP(IF(IFERROR(IF($BDP3="","",IF($BDP3=0,1,1-$BDP3/HLOOKUP(BDS$3,[2]ARBOR_REAJUSTE18!$A:$AE,VLOOKUP($BDP$2,[2]ARBOR_REAJUSTE18!$A:$B,2,0),0))),"")&lt;0.01%,0.01%,(IFERROR(IF($BDP3="","",IF($BDP3=0,1,1-$BDP3/HLOOKUP(BDS$3,[2]ARBOR_REAJUSTE18!$A:$AE,VLOOKUP($BDP$2,[2]ARBOR_REAJUSTE18!$A:$B,2,0),0))),""))),4)</f>
        <v>#VALUE!</v>
      </c>
      <c r="BDT3" s="44" t="e">
        <f>ROUNDUP(IF(IFERROR(IF($BDP3="","",IF($BDP3=0,1,1-$BDP3/HLOOKUP(BDT$3,[2]ARBOR_REAJUSTE18!$A:$AE,VLOOKUP($BDP$2,[2]ARBOR_REAJUSTE18!$A:$B,2,0),0))),"")&lt;0.01%,0.01%,(IFERROR(IF($BDP3="","",IF($BDP3=0,1,1-$BDP3/HLOOKUP(BDT$3,[2]ARBOR_REAJUSTE18!$A:$AE,VLOOKUP($BDP$2,[2]ARBOR_REAJUSTE18!$A:$B,2,0),0))),""))),4)</f>
        <v>#VALUE!</v>
      </c>
      <c r="BDU3" s="44" t="e">
        <f>ROUNDUP(IF(IFERROR(IF($BDP3="","",IF($BDP3=0,1,1-$BDP3/HLOOKUP(BDU$3,[2]ARBOR_REAJUSTE18!$A:$AE,VLOOKUP($BDP$2,[2]ARBOR_REAJUSTE18!$A:$B,2,0),0))),"")&lt;0.01%,0.01%,(IFERROR(IF($BDP3="","",IF($BDP3=0,1,1-$BDP3/HLOOKUP(BDU$3,[2]ARBOR_REAJUSTE18!$A:$AE,VLOOKUP($BDP$2,[2]ARBOR_REAJUSTE18!$A:$B,2,0),0))),""))),4)</f>
        <v>#VALUE!</v>
      </c>
      <c r="BDV3" s="44" t="e">
        <f>ROUNDUP(IF(IFERROR(IF($BDP3="","",IF($BDP3=0,1,1-$BDP3/HLOOKUP(BDV$3,[2]ARBOR_REAJUSTE18!$A:$AE,VLOOKUP($BDP$2,[2]ARBOR_REAJUSTE18!$A:$B,2,0),0))),"")&lt;0.01%,0.01%,(IFERROR(IF($BDP3="","",IF($BDP3=0,1,1-$BDP3/HLOOKUP(BDV$3,[2]ARBOR_REAJUSTE18!$A:$AE,VLOOKUP($BDP$2,[2]ARBOR_REAJUSTE18!$A:$B,2,0),0))),""))),4)</f>
        <v>#VALUE!</v>
      </c>
      <c r="BDW3" s="44" t="e">
        <f>ROUNDUP(IF(IFERROR(IF($BDP3="","",IF($BDP3=0,1,1-$BDP3/HLOOKUP(BDW$3,[2]ARBOR_REAJUSTE18!$A:$AE,VLOOKUP($BDP$2,[2]ARBOR_REAJUSTE18!$A:$B,2,0),0))),"")&lt;0.01%,0.01%,(IFERROR(IF($BDP3="","",IF($BDP3=0,1,1-$BDP3/HLOOKUP(BDW$3,[2]ARBOR_REAJUSTE18!$A:$AE,VLOOKUP($BDP$2,[2]ARBOR_REAJUSTE18!$A:$B,2,0),0))),""))),4)</f>
        <v>#VALUE!</v>
      </c>
      <c r="BDX3" s="44" t="e">
        <f>ROUNDUP(IF(IFERROR(IF($BDP3="","",IF($BDP3=0,1,1-$BDP3/HLOOKUP(BDX$3,[2]ARBOR_REAJUSTE18!$A:$AE,VLOOKUP($BDP$2,[2]ARBOR_REAJUSTE18!$A:$B,2,0),0))),"")&lt;0.01%,0.01%,(IFERROR(IF($BDP3="","",IF($BDP3=0,1,1-$BDP3/HLOOKUP(BDX$3,[2]ARBOR_REAJUSTE18!$A:$AE,VLOOKUP($BDP$2,[2]ARBOR_REAJUSTE18!$A:$B,2,0),0))),""))),4)</f>
        <v>#VALUE!</v>
      </c>
      <c r="BDY3" s="44" t="e">
        <f>ROUNDUP(IF(IFERROR(IF($BDP3="","",IF($BDP3=0,1,1-$BDP3/HLOOKUP(BDY$3,[2]ARBOR_REAJUSTE18!$A:$AE,VLOOKUP($BDP$2,[2]ARBOR_REAJUSTE18!$A:$B,2,0),0))),"")&lt;0.01%,0.01%,(IFERROR(IF($BDP3="","",IF($BDP3=0,1,1-$BDP3/HLOOKUP(BDY$3,[2]ARBOR_REAJUSTE18!$A:$AE,VLOOKUP($BDP$2,[2]ARBOR_REAJUSTE18!$A:$B,2,0),0))),""))),4)</f>
        <v>#VALUE!</v>
      </c>
      <c r="BDZ3" s="44" t="e">
        <f>ROUNDUP(IF(IFERROR(IF($BDP3="","",IF($BDP3=0,1,1-$BDP3/HLOOKUP(BDZ$3,[2]ARBOR_REAJUSTE18!$A:$AE,VLOOKUP($BDP$2,[2]ARBOR_REAJUSTE18!$A:$B,2,0),0))),"")&lt;0.01%,0.01%,(IFERROR(IF($BDP3="","",IF($BDP3=0,1,1-$BDP3/HLOOKUP(BDZ$3,[2]ARBOR_REAJUSTE18!$A:$AE,VLOOKUP($BDP$2,[2]ARBOR_REAJUSTE18!$A:$B,2,0),0))),""))),4)</f>
        <v>#VALUE!</v>
      </c>
      <c r="BEA3" s="44" t="e">
        <f>ROUNDUP(IF(IFERROR(IF($BDP3="","",IF($BDP3=0,1,1-$BDP3/HLOOKUP(BEA$3,[2]ARBOR_REAJUSTE18!$A:$AE,VLOOKUP($BDP$2,[2]ARBOR_REAJUSTE18!$A:$B,2,0),0))),"")&lt;0.01%,0.01%,(IFERROR(IF($BDP3="","",IF($BDP3=0,1,1-$BDP3/HLOOKUP(BEA$3,[2]ARBOR_REAJUSTE18!$A:$AE,VLOOKUP($BDP$2,[2]ARBOR_REAJUSTE18!$A:$B,2,0),0))),""))),4)</f>
        <v>#VALUE!</v>
      </c>
      <c r="BEB3" s="44" t="e">
        <f>ROUNDUP(IF(IFERROR(IF($BDP3="","",IF($BDP3=0,1,1-$BDP3/HLOOKUP(BEB$3,[2]ARBOR_REAJUSTE18!$A:$AE,VLOOKUP($BDP$2,[2]ARBOR_REAJUSTE18!$A:$B,2,0),0))),"")&lt;0.01%,0.01%,(IFERROR(IF($BDP3="","",IF($BDP3=0,1,1-$BDP3/HLOOKUP(BEB$3,[2]ARBOR_REAJUSTE18!$A:$AE,VLOOKUP($BDP$2,[2]ARBOR_REAJUSTE18!$A:$B,2,0),0))),""))),4)</f>
        <v>#VALUE!</v>
      </c>
      <c r="BEC3" s="44" t="e">
        <f>ROUNDUP(IF(IFERROR(IF($BDP3="","",IF($BDP3=0,1,1-$BDP3/HLOOKUP(BEC$3,[2]ARBOR_REAJUSTE18!$A:$AE,VLOOKUP($BDP$2,[2]ARBOR_REAJUSTE18!$A:$B,2,0),0))),"")&lt;0.01%,0.01%,(IFERROR(IF($BDP3="","",IF($BDP3=0,1,1-$BDP3/HLOOKUP(BEC$3,[2]ARBOR_REAJUSTE18!$A:$AE,VLOOKUP($BDP$2,[2]ARBOR_REAJUSTE18!$A:$B,2,0),0))),""))),4)</f>
        <v>#VALUE!</v>
      </c>
      <c r="BED3" s="44" t="e">
        <f>ROUNDUP(IF(IFERROR(IF($BDP3="","",IF($BDP3=0,1,1-$BDP3/HLOOKUP(BED$3,[2]ARBOR_REAJUSTE18!$A:$AE,VLOOKUP($BDP$2,[2]ARBOR_REAJUSTE18!$A:$B,2,0),0))),"")&lt;0.01%,0.01%,(IFERROR(IF($BDP3="","",IF($BDP3=0,1,1-$BDP3/HLOOKUP(BED$3,[2]ARBOR_REAJUSTE18!$A:$AE,VLOOKUP($BDP$2,[2]ARBOR_REAJUSTE18!$A:$B,2,0),0))),""))),4)</f>
        <v>#VALUE!</v>
      </c>
      <c r="BEE3" s="44" t="e">
        <f>ROUNDUP(IF(IFERROR(IF($BDP3="","",IF($BDP3=0,1,1-$BDP3/HLOOKUP(BEE$3,[2]ARBOR_REAJUSTE18!$A:$AE,VLOOKUP($BDP$2,[2]ARBOR_REAJUSTE18!$A:$B,2,0),0))),"")&lt;0.01%,0.01%,(IFERROR(IF($BDP3="","",IF($BDP3=0,1,1-$BDP3/HLOOKUP(BEE$3,[2]ARBOR_REAJUSTE18!$A:$AE,VLOOKUP($BDP$2,[2]ARBOR_REAJUSTE18!$A:$B,2,0),0))),""))),4)</f>
        <v>#VALUE!</v>
      </c>
      <c r="BEF3" s="44" t="e">
        <f>ROUNDUP(IF(IFERROR(IF($BDP3="","",IF($BDP3=0,1,1-$BDP3/HLOOKUP(BEF$3,[2]ARBOR_REAJUSTE18!$A:$AE,VLOOKUP($BDP$2,[2]ARBOR_REAJUSTE18!$A:$B,2,0),0))),"")&lt;0.01%,0.01%,(IFERROR(IF($BDP3="","",IF($BDP3=0,1,1-$BDP3/HLOOKUP(BEF$3,[2]ARBOR_REAJUSTE18!$A:$AE,VLOOKUP($BDP$2,[2]ARBOR_REAJUSTE18!$A:$B,2,0),0))),""))),4)</f>
        <v>#VALUE!</v>
      </c>
      <c r="BEG3" s="44" t="e">
        <f>ROUNDUP(IF(IFERROR(IF($BDP3="","",IF($BDP3=0,1,1-$BDP3/HLOOKUP(BEG$3,[2]ARBOR_REAJUSTE18!$A:$AE,VLOOKUP($BDP$2,[2]ARBOR_REAJUSTE18!$A:$B,2,0),0))),"")&lt;0.01%,0.01%,(IFERROR(IF($BDP3="","",IF($BDP3=0,1,1-$BDP3/HLOOKUP(BEG$3,[2]ARBOR_REAJUSTE18!$A:$AE,VLOOKUP($BDP$2,[2]ARBOR_REAJUSTE18!$A:$B,2,0),0))),""))),4)</f>
        <v>#VALUE!</v>
      </c>
      <c r="BEH3" s="44" t="e">
        <f>ROUNDUP(IF(IFERROR(IF($BDP3="","",IF($BDP3=0,1,1-$BDP3/HLOOKUP(BEH$3,[2]ARBOR_REAJUSTE18!$A:$AE,VLOOKUP($BDP$2,[2]ARBOR_REAJUSTE18!$A:$B,2,0),0))),"")&lt;0.01%,0.01%,(IFERROR(IF($BDP3="","",IF($BDP3=0,1,1-$BDP3/HLOOKUP(BEH$3,[2]ARBOR_REAJUSTE18!$A:$AE,VLOOKUP($BDP$2,[2]ARBOR_REAJUSTE18!$A:$B,2,0),0))),""))),4)</f>
        <v>#VALUE!</v>
      </c>
      <c r="BEI3" s="44" t="e">
        <f>ROUNDUP(IF(IFERROR(IF($BDP3="","",IF($BDP3=0,1,1-$BDP3/HLOOKUP(BEI$3,[2]ARBOR_REAJUSTE18!$A:$AE,VLOOKUP($BDP$2,[2]ARBOR_REAJUSTE18!$A:$B,2,0),0))),"")&lt;0.01%,0.01%,(IFERROR(IF($BDP3="","",IF($BDP3=0,1,1-$BDP3/HLOOKUP(BEI$3,[2]ARBOR_REAJUSTE18!$A:$AE,VLOOKUP($BDP$2,[2]ARBOR_REAJUSTE18!$A:$B,2,0),0))),""))),4)</f>
        <v>#VALUE!</v>
      </c>
      <c r="BEJ3" s="44" t="e">
        <f>ROUNDUP(IF(IFERROR(IF($BDP3="","",IF($BDP3=0,1,1-$BDP3/HLOOKUP(BEJ$3,[2]ARBOR_REAJUSTE18!$A:$AE,VLOOKUP($BDP$2,[2]ARBOR_REAJUSTE18!$A:$B,2,0),0))),"")&lt;0.01%,0.01%,(IFERROR(IF($BDP3="","",IF($BDP3=0,1,1-$BDP3/HLOOKUP(BEJ$3,[2]ARBOR_REAJUSTE18!$A:$AE,VLOOKUP($BDP$2,[2]ARBOR_REAJUSTE18!$A:$B,2,0),0))),""))),4)</f>
        <v>#VALUE!</v>
      </c>
      <c r="BEK3" s="44" t="e">
        <f>ROUNDUP(IF(IFERROR(IF($BDP3="","",IF($BDP3=0,1,1-$BDP3/HLOOKUP(BEK$3,[2]ARBOR_REAJUSTE18!$A:$AE,VLOOKUP($BDP$2,[2]ARBOR_REAJUSTE18!$A:$B,2,0),0))),"")&lt;0.01%,0.01%,(IFERROR(IF($BDP3="","",IF($BDP3=0,1,1-$BDP3/HLOOKUP(BEK$3,[2]ARBOR_REAJUSTE18!$A:$AE,VLOOKUP($BDP$2,[2]ARBOR_REAJUSTE18!$A:$B,2,0),0))),""))),4)</f>
        <v>#VALUE!</v>
      </c>
      <c r="BEL3" s="44" t="e">
        <f>ROUNDUP(IF(IFERROR(IF($BDP3="","",IF($BDP3=0,1,1-$BDP3/HLOOKUP(BEL$3,[2]ARBOR_REAJUSTE18!$A:$AE,VLOOKUP($BDP$2,[2]ARBOR_REAJUSTE18!$A:$B,2,0),0))),"")&lt;0.01%,0.01%,(IFERROR(IF($BDP3="","",IF($BDP3=0,1,1-$BDP3/HLOOKUP(BEL$3,[2]ARBOR_REAJUSTE18!$A:$AE,VLOOKUP($BDP$2,[2]ARBOR_REAJUSTE18!$A:$B,2,0),0))),""))),4)</f>
        <v>#VALUE!</v>
      </c>
      <c r="BEM3" s="44" t="e">
        <f>ROUNDUP(IF(IFERROR(IF($BDP3="","",IF($BDP3=0,1,1-$BDP3/HLOOKUP(BEM$3,[2]ARBOR_REAJUSTE18!$A:$AE,VLOOKUP($BDP$2,[2]ARBOR_REAJUSTE18!$A:$B,2,0),0))),"")&lt;0.01%,0.01%,(IFERROR(IF($BDP3="","",IF($BDP3=0,1,1-$BDP3/HLOOKUP(BEM$3,[2]ARBOR_REAJUSTE18!$A:$AE,VLOOKUP($BDP$2,[2]ARBOR_REAJUSTE18!$A:$B,2,0),0))),""))),4)</f>
        <v>#VALUE!</v>
      </c>
      <c r="BEN3" s="44" t="e">
        <f>ROUNDUP(IF(IFERROR(IF($BDP3="","",IF($BDP3=0,1,1-$BDP3/HLOOKUP(BEN$3,[2]ARBOR_REAJUSTE18!$A:$AE,VLOOKUP($BDP$2,[2]ARBOR_REAJUSTE18!$A:$B,2,0),0))),"")&lt;0.01%,0.01%,(IFERROR(IF($BDP3="","",IF($BDP3=0,1,1-$BDP3/HLOOKUP(BEN$3,[2]ARBOR_REAJUSTE18!$A:$AE,VLOOKUP($BDP$2,[2]ARBOR_REAJUSTE18!$A:$B,2,0),0))),""))),4)</f>
        <v>#VALUE!</v>
      </c>
      <c r="BEO3" s="44" t="e">
        <f>ROUNDUP(IF(IFERROR(IF($BDP3="","",IF($BDP3=0,1,1-$BDP3/HLOOKUP(BEO$3,[2]ARBOR_REAJUSTE18!$A:$AE,VLOOKUP($BDP$2,[2]ARBOR_REAJUSTE18!$A:$B,2,0),0))),"")&lt;0.01%,0.01%,(IFERROR(IF($BDP3="","",IF($BDP3=0,1,1-$BDP3/HLOOKUP(BEO$3,[2]ARBOR_REAJUSTE18!$A:$AE,VLOOKUP($BDP$2,[2]ARBOR_REAJUSTE18!$A:$B,2,0),0))),""))),4)</f>
        <v>#VALUE!</v>
      </c>
      <c r="BEP3" s="44" t="e">
        <f>ROUNDUP(IF(IFERROR(IF($BDP3="","",IF($BDP3=0,1,1-$BDP3/HLOOKUP(BEP$3,[2]ARBOR_REAJUSTE18!$A:$AE,VLOOKUP($BDP$2,[2]ARBOR_REAJUSTE18!$A:$B,2,0),0))),"")&lt;0.01%,0.01%,(IFERROR(IF($BDP3="","",IF($BDP3=0,1,1-$BDP3/HLOOKUP(BEP$3,[2]ARBOR_REAJUSTE18!$A:$AE,VLOOKUP($BDP$2,[2]ARBOR_REAJUSTE18!$A:$B,2,0),0))),""))),4)</f>
        <v>#VALUE!</v>
      </c>
      <c r="BEQ3" s="44" t="e">
        <f>ROUNDUP(IF(IFERROR(IF($BDP3="","",IF($BDP3=0,1,1-$BDP3/HLOOKUP(BEQ$3,[2]ARBOR_REAJUSTE18!$A:$AE,VLOOKUP($BDP$2,[2]ARBOR_REAJUSTE18!$A:$B,2,0),0))),"")&lt;0.01%,0.01%,(IFERROR(IF($BDP3="","",IF($BDP3=0,1,1-$BDP3/HLOOKUP(BEQ$3,[2]ARBOR_REAJUSTE18!$A:$AE,VLOOKUP($BDP$2,[2]ARBOR_REAJUSTE18!$A:$B,2,0),0))),""))),4)</f>
        <v>#VALUE!</v>
      </c>
      <c r="BER3" s="44" t="e">
        <f>ROUNDUP(IF(IFERROR(IF($BDP3="","",IF($BDP3=0,1,1-$BDP3/HLOOKUP(BER$3,[2]ARBOR_REAJUSTE18!$A:$AE,VLOOKUP($BDP$2,[2]ARBOR_REAJUSTE18!$A:$B,2,0),0))),"")&lt;0.01%,0.01%,(IFERROR(IF($BDP3="","",IF($BDP3=0,1,1-$BDP3/HLOOKUP(BER$3,[2]ARBOR_REAJUSTE18!$A:$AE,VLOOKUP($BDP$2,[2]ARBOR_REAJUSTE18!$A:$B,2,0),0))),""))),4)</f>
        <v>#VALUE!</v>
      </c>
      <c r="BES3" s="56"/>
      <c r="BET3" s="64"/>
      <c r="BEU3" s="44" t="e">
        <f>ROUNDUP(IF(IFERROR(IF($BES3="","",IF($BES3=0,1,1-$BES3/HLOOKUP(BEU$3,[2]ARBOR_REAJUSTE18!$A:$AE,VLOOKUP($BES$2,[2]ARBOR_REAJUSTE18!$A:$B,2,0),0))),"")&lt;0.01%,0.01%,(IFERROR(IF($BES3="","",IF($BES3=0,1,1-$BES3/HLOOKUP(BEU$3,[2]ARBOR_REAJUSTE18!$A:$AE,VLOOKUP($BES$2,[2]ARBOR_REAJUSTE18!$A:$B,2,0),0))),""))),4)</f>
        <v>#VALUE!</v>
      </c>
      <c r="BEV3" s="44" t="e">
        <f>ROUNDUP(IF(IFERROR(IF($BES3="","",IF($BES3=0,1,1-$BES3/HLOOKUP(BEV$3,[2]ARBOR_REAJUSTE18!$A:$AE,VLOOKUP($BES$2,[2]ARBOR_REAJUSTE18!$A:$B,2,0),0))),"")&lt;0.01%,0.01%,(IFERROR(IF($BES3="","",IF($BES3=0,1,1-$BES3/HLOOKUP(BEV$3,[2]ARBOR_REAJUSTE18!$A:$AE,VLOOKUP($BES$2,[2]ARBOR_REAJUSTE18!$A:$B,2,0),0))),""))),4)</f>
        <v>#VALUE!</v>
      </c>
      <c r="BEW3" s="44" t="e">
        <f>ROUNDUP(IF(IFERROR(IF($BES3="","",IF($BES3=0,1,1-$BES3/HLOOKUP(BEW$3,[2]ARBOR_REAJUSTE18!$A:$AE,VLOOKUP($BES$2,[2]ARBOR_REAJUSTE18!$A:$B,2,0),0))),"")&lt;0.01%,0.01%,(IFERROR(IF($BES3="","",IF($BES3=0,1,1-$BES3/HLOOKUP(BEW$3,[2]ARBOR_REAJUSTE18!$A:$AE,VLOOKUP($BES$2,[2]ARBOR_REAJUSTE18!$A:$B,2,0),0))),""))),4)</f>
        <v>#VALUE!</v>
      </c>
      <c r="BEX3" s="44" t="e">
        <f>ROUNDUP(IF(IFERROR(IF($BES3="","",IF($BES3=0,1,1-$BES3/HLOOKUP(BEX$3,[2]ARBOR_REAJUSTE18!$A:$AE,VLOOKUP($BES$2,[2]ARBOR_REAJUSTE18!$A:$B,2,0),0))),"")&lt;0.01%,0.01%,(IFERROR(IF($BES3="","",IF($BES3=0,1,1-$BES3/HLOOKUP(BEX$3,[2]ARBOR_REAJUSTE18!$A:$AE,VLOOKUP($BES$2,[2]ARBOR_REAJUSTE18!$A:$B,2,0),0))),""))),4)</f>
        <v>#VALUE!</v>
      </c>
      <c r="BEY3" s="44" t="e">
        <f>ROUNDUP(IF(IFERROR(IF($BES3="","",IF($BES3=0,1,1-$BES3/HLOOKUP(BEY$3,[2]ARBOR_REAJUSTE18!$A:$AE,VLOOKUP($BES$2,[2]ARBOR_REAJUSTE18!$A:$B,2,0),0))),"")&lt;0.01%,0.01%,(IFERROR(IF($BES3="","",IF($BES3=0,1,1-$BES3/HLOOKUP(BEY$3,[2]ARBOR_REAJUSTE18!$A:$AE,VLOOKUP($BES$2,[2]ARBOR_REAJUSTE18!$A:$B,2,0),0))),""))),4)</f>
        <v>#VALUE!</v>
      </c>
      <c r="BEZ3" s="44" t="e">
        <f>ROUNDUP(IF(IFERROR(IF($BES3="","",IF($BES3=0,1,1-$BES3/HLOOKUP(BEZ$3,[2]ARBOR_REAJUSTE18!$A:$AE,VLOOKUP($BES$2,[2]ARBOR_REAJUSTE18!$A:$B,2,0),0))),"")&lt;0.01%,0.01%,(IFERROR(IF($BES3="","",IF($BES3=0,1,1-$BES3/HLOOKUP(BEZ$3,[2]ARBOR_REAJUSTE18!$A:$AE,VLOOKUP($BES$2,[2]ARBOR_REAJUSTE18!$A:$B,2,0),0))),""))),4)</f>
        <v>#VALUE!</v>
      </c>
      <c r="BFA3" s="44" t="e">
        <f>ROUNDUP(IF(IFERROR(IF($BES3="","",IF($BES3=0,1,1-$BES3/HLOOKUP(BFA$3,[2]ARBOR_REAJUSTE18!$A:$AE,VLOOKUP($BES$2,[2]ARBOR_REAJUSTE18!$A:$B,2,0),0))),"")&lt;0.01%,0.01%,(IFERROR(IF($BES3="","",IF($BES3=0,1,1-$BES3/HLOOKUP(BFA$3,[2]ARBOR_REAJUSTE18!$A:$AE,VLOOKUP($BES$2,[2]ARBOR_REAJUSTE18!$A:$B,2,0),0))),""))),4)</f>
        <v>#VALUE!</v>
      </c>
      <c r="BFB3" s="44" t="e">
        <f>ROUNDUP(IF(IFERROR(IF($BES3="","",IF($BES3=0,1,1-$BES3/HLOOKUP(BFB$3,[2]ARBOR_REAJUSTE18!$A:$AE,VLOOKUP($BES$2,[2]ARBOR_REAJUSTE18!$A:$B,2,0),0))),"")&lt;0.01%,0.01%,(IFERROR(IF($BES3="","",IF($BES3=0,1,1-$BES3/HLOOKUP(BFB$3,[2]ARBOR_REAJUSTE18!$A:$AE,VLOOKUP($BES$2,[2]ARBOR_REAJUSTE18!$A:$B,2,0),0))),""))),4)</f>
        <v>#VALUE!</v>
      </c>
      <c r="BFC3" s="44" t="e">
        <f>ROUNDUP(IF(IFERROR(IF($BES3="","",IF($BES3=0,1,1-$BES3/HLOOKUP(BFC$3,[2]ARBOR_REAJUSTE18!$A:$AE,VLOOKUP($BES$2,[2]ARBOR_REAJUSTE18!$A:$B,2,0),0))),"")&lt;0.01%,0.01%,(IFERROR(IF($BES3="","",IF($BES3=0,1,1-$BES3/HLOOKUP(BFC$3,[2]ARBOR_REAJUSTE18!$A:$AE,VLOOKUP($BES$2,[2]ARBOR_REAJUSTE18!$A:$B,2,0),0))),""))),4)</f>
        <v>#VALUE!</v>
      </c>
      <c r="BFD3" s="44" t="e">
        <f>ROUNDUP(IF(IFERROR(IF($BES3="","",IF($BES3=0,1,1-$BES3/HLOOKUP(BFD$3,[2]ARBOR_REAJUSTE18!$A:$AE,VLOOKUP($BES$2,[2]ARBOR_REAJUSTE18!$A:$B,2,0),0))),"")&lt;0.01%,0.01%,(IFERROR(IF($BES3="","",IF($BES3=0,1,1-$BES3/HLOOKUP(BFD$3,[2]ARBOR_REAJUSTE18!$A:$AE,VLOOKUP($BES$2,[2]ARBOR_REAJUSTE18!$A:$B,2,0),0))),""))),4)</f>
        <v>#VALUE!</v>
      </c>
      <c r="BFE3" s="44" t="e">
        <f>ROUNDUP(IF(IFERROR(IF($BES3="","",IF($BES3=0,1,1-$BES3/HLOOKUP(BFE$3,[2]ARBOR_REAJUSTE18!$A:$AE,VLOOKUP($BES$2,[2]ARBOR_REAJUSTE18!$A:$B,2,0),0))),"")&lt;0.01%,0.01%,(IFERROR(IF($BES3="","",IF($BES3=0,1,1-$BES3/HLOOKUP(BFE$3,[2]ARBOR_REAJUSTE18!$A:$AE,VLOOKUP($BES$2,[2]ARBOR_REAJUSTE18!$A:$B,2,0),0))),""))),4)</f>
        <v>#VALUE!</v>
      </c>
      <c r="BFF3" s="44" t="e">
        <f>ROUNDUP(IF(IFERROR(IF($BES3="","",IF($BES3=0,1,1-$BES3/HLOOKUP(BFF$3,[2]ARBOR_REAJUSTE18!$A:$AE,VLOOKUP($BES$2,[2]ARBOR_REAJUSTE18!$A:$B,2,0),0))),"")&lt;0.01%,0.01%,(IFERROR(IF($BES3="","",IF($BES3=0,1,1-$BES3/HLOOKUP(BFF$3,[2]ARBOR_REAJUSTE18!$A:$AE,VLOOKUP($BES$2,[2]ARBOR_REAJUSTE18!$A:$B,2,0),0))),""))),4)</f>
        <v>#VALUE!</v>
      </c>
      <c r="BFG3" s="44" t="e">
        <f>ROUNDUP(IF(IFERROR(IF($BES3="","",IF($BES3=0,1,1-$BES3/HLOOKUP(BFG$3,[2]ARBOR_REAJUSTE18!$A:$AE,VLOOKUP($BES$2,[2]ARBOR_REAJUSTE18!$A:$B,2,0),0))),"")&lt;0.01%,0.01%,(IFERROR(IF($BES3="","",IF($BES3=0,1,1-$BES3/HLOOKUP(BFG$3,[2]ARBOR_REAJUSTE18!$A:$AE,VLOOKUP($BES$2,[2]ARBOR_REAJUSTE18!$A:$B,2,0),0))),""))),4)</f>
        <v>#VALUE!</v>
      </c>
      <c r="BFH3" s="44" t="e">
        <f>ROUNDUP(IF(IFERROR(IF($BES3="","",IF($BES3=0,1,1-$BES3/HLOOKUP(BFH$3,[2]ARBOR_REAJUSTE18!$A:$AE,VLOOKUP($BES$2,[2]ARBOR_REAJUSTE18!$A:$B,2,0),0))),"")&lt;0.01%,0.01%,(IFERROR(IF($BES3="","",IF($BES3=0,1,1-$BES3/HLOOKUP(BFH$3,[2]ARBOR_REAJUSTE18!$A:$AE,VLOOKUP($BES$2,[2]ARBOR_REAJUSTE18!$A:$B,2,0),0))),""))),4)</f>
        <v>#VALUE!</v>
      </c>
      <c r="BFI3" s="44" t="e">
        <f>ROUNDUP(IF(IFERROR(IF($BES3="","",IF($BES3=0,1,1-$BES3/HLOOKUP(BFI$3,[2]ARBOR_REAJUSTE18!$A:$AE,VLOOKUP($BES$2,[2]ARBOR_REAJUSTE18!$A:$B,2,0),0))),"")&lt;0.01%,0.01%,(IFERROR(IF($BES3="","",IF($BES3=0,1,1-$BES3/HLOOKUP(BFI$3,[2]ARBOR_REAJUSTE18!$A:$AE,VLOOKUP($BES$2,[2]ARBOR_REAJUSTE18!$A:$B,2,0),0))),""))),4)</f>
        <v>#VALUE!</v>
      </c>
      <c r="BFJ3" s="44" t="e">
        <f>ROUNDUP(IF(IFERROR(IF($BES3="","",IF($BES3=0,1,1-$BES3/HLOOKUP(BFJ$3,[2]ARBOR_REAJUSTE18!$A:$AE,VLOOKUP($BES$2,[2]ARBOR_REAJUSTE18!$A:$B,2,0),0))),"")&lt;0.01%,0.01%,(IFERROR(IF($BES3="","",IF($BES3=0,1,1-$BES3/HLOOKUP(BFJ$3,[2]ARBOR_REAJUSTE18!$A:$AE,VLOOKUP($BES$2,[2]ARBOR_REAJUSTE18!$A:$B,2,0),0))),""))),4)</f>
        <v>#VALUE!</v>
      </c>
      <c r="BFK3" s="44" t="e">
        <f>ROUNDUP(IF(IFERROR(IF($BES3="","",IF($BES3=0,1,1-$BES3/HLOOKUP(BFK$3,[2]ARBOR_REAJUSTE18!$A:$AE,VLOOKUP($BES$2,[2]ARBOR_REAJUSTE18!$A:$B,2,0),0))),"")&lt;0.01%,0.01%,(IFERROR(IF($BES3="","",IF($BES3=0,1,1-$BES3/HLOOKUP(BFK$3,[2]ARBOR_REAJUSTE18!$A:$AE,VLOOKUP($BES$2,[2]ARBOR_REAJUSTE18!$A:$B,2,0),0))),""))),4)</f>
        <v>#VALUE!</v>
      </c>
      <c r="BFL3" s="44" t="e">
        <f>ROUNDUP(IF(IFERROR(IF($BES3="","",IF($BES3=0,1,1-$BES3/HLOOKUP(BFL$3,[2]ARBOR_REAJUSTE18!$A:$AE,VLOOKUP($BES$2,[2]ARBOR_REAJUSTE18!$A:$B,2,0),0))),"")&lt;0.01%,0.01%,(IFERROR(IF($BES3="","",IF($BES3=0,1,1-$BES3/HLOOKUP(BFL$3,[2]ARBOR_REAJUSTE18!$A:$AE,VLOOKUP($BES$2,[2]ARBOR_REAJUSTE18!$A:$B,2,0),0))),""))),4)</f>
        <v>#VALUE!</v>
      </c>
      <c r="BFM3" s="44" t="e">
        <f>ROUNDUP(IF(IFERROR(IF($BES3="","",IF($BES3=0,1,1-$BES3/HLOOKUP(BFM$3,[2]ARBOR_REAJUSTE18!$A:$AE,VLOOKUP($BES$2,[2]ARBOR_REAJUSTE18!$A:$B,2,0),0))),"")&lt;0.01%,0.01%,(IFERROR(IF($BES3="","",IF($BES3=0,1,1-$BES3/HLOOKUP(BFM$3,[2]ARBOR_REAJUSTE18!$A:$AE,VLOOKUP($BES$2,[2]ARBOR_REAJUSTE18!$A:$B,2,0),0))),""))),4)</f>
        <v>#VALUE!</v>
      </c>
      <c r="BFN3" s="44" t="e">
        <f>ROUNDUP(IF(IFERROR(IF($BES3="","",IF($BES3=0,1,1-$BES3/HLOOKUP(BFN$3,[2]ARBOR_REAJUSTE18!$A:$AE,VLOOKUP($BES$2,[2]ARBOR_REAJUSTE18!$A:$B,2,0),0))),"")&lt;0.01%,0.01%,(IFERROR(IF($BES3="","",IF($BES3=0,1,1-$BES3/HLOOKUP(BFN$3,[2]ARBOR_REAJUSTE18!$A:$AE,VLOOKUP($BES$2,[2]ARBOR_REAJUSTE18!$A:$B,2,0),0))),""))),4)</f>
        <v>#VALUE!</v>
      </c>
      <c r="BFO3" s="44" t="e">
        <f>ROUNDUP(IF(IFERROR(IF($BES3="","",IF($BES3=0,1,1-$BES3/HLOOKUP(BFO$3,[2]ARBOR_REAJUSTE18!$A:$AE,VLOOKUP($BES$2,[2]ARBOR_REAJUSTE18!$A:$B,2,0),0))),"")&lt;0.01%,0.01%,(IFERROR(IF($BES3="","",IF($BES3=0,1,1-$BES3/HLOOKUP(BFO$3,[2]ARBOR_REAJUSTE18!$A:$AE,VLOOKUP($BES$2,[2]ARBOR_REAJUSTE18!$A:$B,2,0),0))),""))),4)</f>
        <v>#VALUE!</v>
      </c>
      <c r="BFP3" s="44" t="e">
        <f>ROUNDUP(IF(IFERROR(IF($BES3="","",IF($BES3=0,1,1-$BES3/HLOOKUP(BFP$3,[2]ARBOR_REAJUSTE18!$A:$AE,VLOOKUP($BES$2,[2]ARBOR_REAJUSTE18!$A:$B,2,0),0))),"")&lt;0.01%,0.01%,(IFERROR(IF($BES3="","",IF($BES3=0,1,1-$BES3/HLOOKUP(BFP$3,[2]ARBOR_REAJUSTE18!$A:$AE,VLOOKUP($BES$2,[2]ARBOR_REAJUSTE18!$A:$B,2,0),0))),""))),4)</f>
        <v>#VALUE!</v>
      </c>
      <c r="BFQ3" s="44" t="e">
        <f>ROUNDUP(IF(IFERROR(IF($BES3="","",IF($BES3=0,1,1-$BES3/HLOOKUP(BFQ$3,[2]ARBOR_REAJUSTE18!$A:$AE,VLOOKUP($BES$2,[2]ARBOR_REAJUSTE18!$A:$B,2,0),0))),"")&lt;0.01%,0.01%,(IFERROR(IF($BES3="","",IF($BES3=0,1,1-$BES3/HLOOKUP(BFQ$3,[2]ARBOR_REAJUSTE18!$A:$AE,VLOOKUP($BES$2,[2]ARBOR_REAJUSTE18!$A:$B,2,0),0))),""))),4)</f>
        <v>#VALUE!</v>
      </c>
      <c r="BFR3" s="44" t="e">
        <f>ROUNDUP(IF(IFERROR(IF($BES3="","",IF($BES3=0,1,1-$BES3/HLOOKUP(BFR$3,[2]ARBOR_REAJUSTE18!$A:$AE,VLOOKUP($BES$2,[2]ARBOR_REAJUSTE18!$A:$B,2,0),0))),"")&lt;0.01%,0.01%,(IFERROR(IF($BES3="","",IF($BES3=0,1,1-$BES3/HLOOKUP(BFR$3,[2]ARBOR_REAJUSTE18!$A:$AE,VLOOKUP($BES$2,[2]ARBOR_REAJUSTE18!$A:$B,2,0),0))),""))),4)</f>
        <v>#VALUE!</v>
      </c>
      <c r="BFS3" s="44" t="e">
        <f>ROUNDUP(IF(IFERROR(IF($BES3="","",IF($BES3=0,1,1-$BES3/HLOOKUP(BFS$3,[2]ARBOR_REAJUSTE18!$A:$AE,VLOOKUP($BES$2,[2]ARBOR_REAJUSTE18!$A:$B,2,0),0))),"")&lt;0.01%,0.01%,(IFERROR(IF($BES3="","",IF($BES3=0,1,1-$BES3/HLOOKUP(BFS$3,[2]ARBOR_REAJUSTE18!$A:$AE,VLOOKUP($BES$2,[2]ARBOR_REAJUSTE18!$A:$B,2,0),0))),""))),4)</f>
        <v>#VALUE!</v>
      </c>
      <c r="BFT3" s="44" t="e">
        <f>ROUNDUP(IF(IFERROR(IF($BES3="","",IF($BES3=0,1,1-$BES3/HLOOKUP(BFT$3,[2]ARBOR_REAJUSTE18!$A:$AE,VLOOKUP($BES$2,[2]ARBOR_REAJUSTE18!$A:$B,2,0),0))),"")&lt;0.01%,0.01%,(IFERROR(IF($BES3="","",IF($BES3=0,1,1-$BES3/HLOOKUP(BFT$3,[2]ARBOR_REAJUSTE18!$A:$AE,VLOOKUP($BES$2,[2]ARBOR_REAJUSTE18!$A:$B,2,0),0))),""))),4)</f>
        <v>#VALUE!</v>
      </c>
      <c r="BFU3" s="44" t="e">
        <f>ROUNDUP(IF(IFERROR(IF($BES3="","",IF($BES3=0,1,1-$BES3/HLOOKUP(BFU$3,[2]ARBOR_REAJUSTE18!$A:$AE,VLOOKUP($BES$2,[2]ARBOR_REAJUSTE18!$A:$B,2,0),0))),"")&lt;0.01%,0.01%,(IFERROR(IF($BES3="","",IF($BES3=0,1,1-$BES3/HLOOKUP(BFU$3,[2]ARBOR_REAJUSTE18!$A:$AE,VLOOKUP($BES$2,[2]ARBOR_REAJUSTE18!$A:$B,2,0),0))),""))),4)</f>
        <v>#VALUE!</v>
      </c>
      <c r="BFV3" s="56"/>
      <c r="BFW3" s="64"/>
      <c r="BFX3" s="44" t="e">
        <f>ROUNDUP(IF(IFERROR(IF($BFV3="","",IF($BFV3=0,1,1-$BFV3/HLOOKUP(BFX$3,[2]ARBOR_REAJUSTE18!$A:$AE,VLOOKUP($BFV$2,[2]ARBOR_REAJUSTE18!$A:$B,2,0),0))),"")&lt;0.01%,0.01%,(IFERROR(IF($BFV3="","",IF($BFV3=0,1,1-$BFV3/HLOOKUP(BFX$3,[2]ARBOR_REAJUSTE18!$A:$AE,VLOOKUP($BFV$2,[2]ARBOR_REAJUSTE18!$A:$B,2,0),0))),""))),4)</f>
        <v>#VALUE!</v>
      </c>
      <c r="BFY3" s="44" t="e">
        <f>ROUNDUP(IF(IFERROR(IF($BFV3="","",IF($BFV3=0,1,1-$BFV3/HLOOKUP(BFY$3,[2]ARBOR_REAJUSTE18!$A:$AE,VLOOKUP($BFV$2,[2]ARBOR_REAJUSTE18!$A:$B,2,0),0))),"")&lt;0.01%,0.01%,(IFERROR(IF($BFV3="","",IF($BFV3=0,1,1-$BFV3/HLOOKUP(BFY$3,[2]ARBOR_REAJUSTE18!$A:$AE,VLOOKUP($BFV$2,[2]ARBOR_REAJUSTE18!$A:$B,2,0),0))),""))),4)</f>
        <v>#VALUE!</v>
      </c>
      <c r="BFZ3" s="44" t="e">
        <f>ROUNDUP(IF(IFERROR(IF($BFV3="","",IF($BFV3=0,1,1-$BFV3/HLOOKUP(BFZ$3,[2]ARBOR_REAJUSTE18!$A:$AE,VLOOKUP($BFV$2,[2]ARBOR_REAJUSTE18!$A:$B,2,0),0))),"")&lt;0.01%,0.01%,(IFERROR(IF($BFV3="","",IF($BFV3=0,1,1-$BFV3/HLOOKUP(BFZ$3,[2]ARBOR_REAJUSTE18!$A:$AE,VLOOKUP($BFV$2,[2]ARBOR_REAJUSTE18!$A:$B,2,0),0))),""))),4)</f>
        <v>#VALUE!</v>
      </c>
      <c r="BGA3" s="44" t="e">
        <f>ROUNDUP(IF(IFERROR(IF($BFV3="","",IF($BFV3=0,1,1-$BFV3/HLOOKUP(BGA$3,[2]ARBOR_REAJUSTE18!$A:$AE,VLOOKUP($BFV$2,[2]ARBOR_REAJUSTE18!$A:$B,2,0),0))),"")&lt;0.01%,0.01%,(IFERROR(IF($BFV3="","",IF($BFV3=0,1,1-$BFV3/HLOOKUP(BGA$3,[2]ARBOR_REAJUSTE18!$A:$AE,VLOOKUP($BFV$2,[2]ARBOR_REAJUSTE18!$A:$B,2,0),0))),""))),4)</f>
        <v>#VALUE!</v>
      </c>
      <c r="BGB3" s="44" t="e">
        <f>ROUNDUP(IF(IFERROR(IF($BFV3="","",IF($BFV3=0,1,1-$BFV3/HLOOKUP(BGB$3,[2]ARBOR_REAJUSTE18!$A:$AE,VLOOKUP($BFV$2,[2]ARBOR_REAJUSTE18!$A:$B,2,0),0))),"")&lt;0.01%,0.01%,(IFERROR(IF($BFV3="","",IF($BFV3=0,1,1-$BFV3/HLOOKUP(BGB$3,[2]ARBOR_REAJUSTE18!$A:$AE,VLOOKUP($BFV$2,[2]ARBOR_REAJUSTE18!$A:$B,2,0),0))),""))),4)</f>
        <v>#VALUE!</v>
      </c>
      <c r="BGC3" s="44" t="e">
        <f>ROUNDUP(IF(IFERROR(IF($BFV3="","",IF($BFV3=0,1,1-$BFV3/HLOOKUP(BGC$3,[2]ARBOR_REAJUSTE18!$A:$AE,VLOOKUP($BFV$2,[2]ARBOR_REAJUSTE18!$A:$B,2,0),0))),"")&lt;0.01%,0.01%,(IFERROR(IF($BFV3="","",IF($BFV3=0,1,1-$BFV3/HLOOKUP(BGC$3,[2]ARBOR_REAJUSTE18!$A:$AE,VLOOKUP($BFV$2,[2]ARBOR_REAJUSTE18!$A:$B,2,0),0))),""))),4)</f>
        <v>#VALUE!</v>
      </c>
      <c r="BGD3" s="44" t="e">
        <f>ROUNDUP(IF(IFERROR(IF($BFV3="","",IF($BFV3=0,1,1-$BFV3/HLOOKUP(BGD$3,[2]ARBOR_REAJUSTE18!$A:$AE,VLOOKUP($BFV$2,[2]ARBOR_REAJUSTE18!$A:$B,2,0),0))),"")&lt;0.01%,0.01%,(IFERROR(IF($BFV3="","",IF($BFV3=0,1,1-$BFV3/HLOOKUP(BGD$3,[2]ARBOR_REAJUSTE18!$A:$AE,VLOOKUP($BFV$2,[2]ARBOR_REAJUSTE18!$A:$B,2,0),0))),""))),4)</f>
        <v>#VALUE!</v>
      </c>
      <c r="BGE3" s="44" t="e">
        <f>ROUNDUP(IF(IFERROR(IF($BFV3="","",IF($BFV3=0,1,1-$BFV3/HLOOKUP(BGE$3,[2]ARBOR_REAJUSTE18!$A:$AE,VLOOKUP($BFV$2,[2]ARBOR_REAJUSTE18!$A:$B,2,0),0))),"")&lt;0.01%,0.01%,(IFERROR(IF($BFV3="","",IF($BFV3=0,1,1-$BFV3/HLOOKUP(BGE$3,[2]ARBOR_REAJUSTE18!$A:$AE,VLOOKUP($BFV$2,[2]ARBOR_REAJUSTE18!$A:$B,2,0),0))),""))),4)</f>
        <v>#VALUE!</v>
      </c>
      <c r="BGF3" s="44" t="e">
        <f>ROUNDUP(IF(IFERROR(IF($BFV3="","",IF($BFV3=0,1,1-$BFV3/HLOOKUP(BGF$3,[2]ARBOR_REAJUSTE18!$A:$AE,VLOOKUP($BFV$2,[2]ARBOR_REAJUSTE18!$A:$B,2,0),0))),"")&lt;0.01%,0.01%,(IFERROR(IF($BFV3="","",IF($BFV3=0,1,1-$BFV3/HLOOKUP(BGF$3,[2]ARBOR_REAJUSTE18!$A:$AE,VLOOKUP($BFV$2,[2]ARBOR_REAJUSTE18!$A:$B,2,0),0))),""))),4)</f>
        <v>#VALUE!</v>
      </c>
      <c r="BGG3" s="44" t="e">
        <f>ROUNDUP(IF(IFERROR(IF($BFV3="","",IF($BFV3=0,1,1-$BFV3/HLOOKUP(BGG$3,[2]ARBOR_REAJUSTE18!$A:$AE,VLOOKUP($BFV$2,[2]ARBOR_REAJUSTE18!$A:$B,2,0),0))),"")&lt;0.01%,0.01%,(IFERROR(IF($BFV3="","",IF($BFV3=0,1,1-$BFV3/HLOOKUP(BGG$3,[2]ARBOR_REAJUSTE18!$A:$AE,VLOOKUP($BFV$2,[2]ARBOR_REAJUSTE18!$A:$B,2,0),0))),""))),4)</f>
        <v>#VALUE!</v>
      </c>
      <c r="BGH3" s="44" t="e">
        <f>ROUNDUP(IF(IFERROR(IF($BFV3="","",IF($BFV3=0,1,1-$BFV3/HLOOKUP(BGH$3,[2]ARBOR_REAJUSTE18!$A:$AE,VLOOKUP($BFV$2,[2]ARBOR_REAJUSTE18!$A:$B,2,0),0))),"")&lt;0.01%,0.01%,(IFERROR(IF($BFV3="","",IF($BFV3=0,1,1-$BFV3/HLOOKUP(BGH$3,[2]ARBOR_REAJUSTE18!$A:$AE,VLOOKUP($BFV$2,[2]ARBOR_REAJUSTE18!$A:$B,2,0),0))),""))),4)</f>
        <v>#VALUE!</v>
      </c>
      <c r="BGI3" s="44" t="e">
        <f>ROUNDUP(IF(IFERROR(IF($BFV3="","",IF($BFV3=0,1,1-$BFV3/HLOOKUP(BGI$3,[2]ARBOR_REAJUSTE18!$A:$AE,VLOOKUP($BFV$2,[2]ARBOR_REAJUSTE18!$A:$B,2,0),0))),"")&lt;0.01%,0.01%,(IFERROR(IF($BFV3="","",IF($BFV3=0,1,1-$BFV3/HLOOKUP(BGI$3,[2]ARBOR_REAJUSTE18!$A:$AE,VLOOKUP($BFV$2,[2]ARBOR_REAJUSTE18!$A:$B,2,0),0))),""))),4)</f>
        <v>#VALUE!</v>
      </c>
      <c r="BGJ3" s="44" t="e">
        <f>ROUNDUP(IF(IFERROR(IF($BFV3="","",IF($BFV3=0,1,1-$BFV3/HLOOKUP(BGJ$3,[2]ARBOR_REAJUSTE18!$A:$AE,VLOOKUP($BFV$2,[2]ARBOR_REAJUSTE18!$A:$B,2,0),0))),"")&lt;0.01%,0.01%,(IFERROR(IF($BFV3="","",IF($BFV3=0,1,1-$BFV3/HLOOKUP(BGJ$3,[2]ARBOR_REAJUSTE18!$A:$AE,VLOOKUP($BFV$2,[2]ARBOR_REAJUSTE18!$A:$B,2,0),0))),""))),4)</f>
        <v>#VALUE!</v>
      </c>
      <c r="BGK3" s="44" t="e">
        <f>ROUNDUP(IF(IFERROR(IF($BFV3="","",IF($BFV3=0,1,1-$BFV3/HLOOKUP(BGK$3,[2]ARBOR_REAJUSTE18!$A:$AE,VLOOKUP($BFV$2,[2]ARBOR_REAJUSTE18!$A:$B,2,0),0))),"")&lt;0.01%,0.01%,(IFERROR(IF($BFV3="","",IF($BFV3=0,1,1-$BFV3/HLOOKUP(BGK$3,[2]ARBOR_REAJUSTE18!$A:$AE,VLOOKUP($BFV$2,[2]ARBOR_REAJUSTE18!$A:$B,2,0),0))),""))),4)</f>
        <v>#VALUE!</v>
      </c>
      <c r="BGL3" s="44" t="e">
        <f>ROUNDUP(IF(IFERROR(IF($BFV3="","",IF($BFV3=0,1,1-$BFV3/HLOOKUP(BGL$3,[2]ARBOR_REAJUSTE18!$A:$AE,VLOOKUP($BFV$2,[2]ARBOR_REAJUSTE18!$A:$B,2,0),0))),"")&lt;0.01%,0.01%,(IFERROR(IF($BFV3="","",IF($BFV3=0,1,1-$BFV3/HLOOKUP(BGL$3,[2]ARBOR_REAJUSTE18!$A:$AE,VLOOKUP($BFV$2,[2]ARBOR_REAJUSTE18!$A:$B,2,0),0))),""))),4)</f>
        <v>#VALUE!</v>
      </c>
      <c r="BGM3" s="44" t="e">
        <f>ROUNDUP(IF(IFERROR(IF($BFV3="","",IF($BFV3=0,1,1-$BFV3/HLOOKUP(BGM$3,[2]ARBOR_REAJUSTE18!$A:$AE,VLOOKUP($BFV$2,[2]ARBOR_REAJUSTE18!$A:$B,2,0),0))),"")&lt;0.01%,0.01%,(IFERROR(IF($BFV3="","",IF($BFV3=0,1,1-$BFV3/HLOOKUP(BGM$3,[2]ARBOR_REAJUSTE18!$A:$AE,VLOOKUP($BFV$2,[2]ARBOR_REAJUSTE18!$A:$B,2,0),0))),""))),4)</f>
        <v>#VALUE!</v>
      </c>
      <c r="BGN3" s="44" t="e">
        <f>ROUNDUP(IF(IFERROR(IF($BFV3="","",IF($BFV3=0,1,1-$BFV3/HLOOKUP(BGN$3,[2]ARBOR_REAJUSTE18!$A:$AE,VLOOKUP($BFV$2,[2]ARBOR_REAJUSTE18!$A:$B,2,0),0))),"")&lt;0.01%,0.01%,(IFERROR(IF($BFV3="","",IF($BFV3=0,1,1-$BFV3/HLOOKUP(BGN$3,[2]ARBOR_REAJUSTE18!$A:$AE,VLOOKUP($BFV$2,[2]ARBOR_REAJUSTE18!$A:$B,2,0),0))),""))),4)</f>
        <v>#VALUE!</v>
      </c>
      <c r="BGO3" s="44" t="e">
        <f>ROUNDUP(IF(IFERROR(IF($BFV3="","",IF($BFV3=0,1,1-$BFV3/HLOOKUP(BGO$3,[2]ARBOR_REAJUSTE18!$A:$AE,VLOOKUP($BFV$2,[2]ARBOR_REAJUSTE18!$A:$B,2,0),0))),"")&lt;0.01%,0.01%,(IFERROR(IF($BFV3="","",IF($BFV3=0,1,1-$BFV3/HLOOKUP(BGO$3,[2]ARBOR_REAJUSTE18!$A:$AE,VLOOKUP($BFV$2,[2]ARBOR_REAJUSTE18!$A:$B,2,0),0))),""))),4)</f>
        <v>#VALUE!</v>
      </c>
      <c r="BGP3" s="44" t="e">
        <f>ROUNDUP(IF(IFERROR(IF($BFV3="","",IF($BFV3=0,1,1-$BFV3/HLOOKUP(BGP$3,[2]ARBOR_REAJUSTE18!$A:$AE,VLOOKUP($BFV$2,[2]ARBOR_REAJUSTE18!$A:$B,2,0),0))),"")&lt;0.01%,0.01%,(IFERROR(IF($BFV3="","",IF($BFV3=0,1,1-$BFV3/HLOOKUP(BGP$3,[2]ARBOR_REAJUSTE18!$A:$AE,VLOOKUP($BFV$2,[2]ARBOR_REAJUSTE18!$A:$B,2,0),0))),""))),4)</f>
        <v>#VALUE!</v>
      </c>
      <c r="BGQ3" s="44" t="e">
        <f>ROUNDUP(IF(IFERROR(IF($BFV3="","",IF($BFV3=0,1,1-$BFV3/HLOOKUP(BGQ$3,[2]ARBOR_REAJUSTE18!$A:$AE,VLOOKUP($BFV$2,[2]ARBOR_REAJUSTE18!$A:$B,2,0),0))),"")&lt;0.01%,0.01%,(IFERROR(IF($BFV3="","",IF($BFV3=0,1,1-$BFV3/HLOOKUP(BGQ$3,[2]ARBOR_REAJUSTE18!$A:$AE,VLOOKUP($BFV$2,[2]ARBOR_REAJUSTE18!$A:$B,2,0),0))),""))),4)</f>
        <v>#VALUE!</v>
      </c>
      <c r="BGR3" s="44" t="e">
        <f>ROUNDUP(IF(IFERROR(IF($BFV3="","",IF($BFV3=0,1,1-$BFV3/HLOOKUP(BGR$3,[2]ARBOR_REAJUSTE18!$A:$AE,VLOOKUP($BFV$2,[2]ARBOR_REAJUSTE18!$A:$B,2,0),0))),"")&lt;0.01%,0.01%,(IFERROR(IF($BFV3="","",IF($BFV3=0,1,1-$BFV3/HLOOKUP(BGR$3,[2]ARBOR_REAJUSTE18!$A:$AE,VLOOKUP($BFV$2,[2]ARBOR_REAJUSTE18!$A:$B,2,0),0))),""))),4)</f>
        <v>#VALUE!</v>
      </c>
      <c r="BGS3" s="44" t="e">
        <f>ROUNDUP(IF(IFERROR(IF($BFV3="","",IF($BFV3=0,1,1-$BFV3/HLOOKUP(BGS$3,[2]ARBOR_REAJUSTE18!$A:$AE,VLOOKUP($BFV$2,[2]ARBOR_REAJUSTE18!$A:$B,2,0),0))),"")&lt;0.01%,0.01%,(IFERROR(IF($BFV3="","",IF($BFV3=0,1,1-$BFV3/HLOOKUP(BGS$3,[2]ARBOR_REAJUSTE18!$A:$AE,VLOOKUP($BFV$2,[2]ARBOR_REAJUSTE18!$A:$B,2,0),0))),""))),4)</f>
        <v>#VALUE!</v>
      </c>
      <c r="BGT3" s="44" t="e">
        <f>ROUNDUP(IF(IFERROR(IF($BFV3="","",IF($BFV3=0,1,1-$BFV3/HLOOKUP(BGT$3,[2]ARBOR_REAJUSTE18!$A:$AE,VLOOKUP($BFV$2,[2]ARBOR_REAJUSTE18!$A:$B,2,0),0))),"")&lt;0.01%,0.01%,(IFERROR(IF($BFV3="","",IF($BFV3=0,1,1-$BFV3/HLOOKUP(BGT$3,[2]ARBOR_REAJUSTE18!$A:$AE,VLOOKUP($BFV$2,[2]ARBOR_REAJUSTE18!$A:$B,2,0),0))),""))),4)</f>
        <v>#VALUE!</v>
      </c>
      <c r="BGU3" s="44" t="e">
        <f>ROUNDUP(IF(IFERROR(IF($BFV3="","",IF($BFV3=0,1,1-$BFV3/HLOOKUP(BGU$3,[2]ARBOR_REAJUSTE18!$A:$AE,VLOOKUP($BFV$2,[2]ARBOR_REAJUSTE18!$A:$B,2,0),0))),"")&lt;0.01%,0.01%,(IFERROR(IF($BFV3="","",IF($BFV3=0,1,1-$BFV3/HLOOKUP(BGU$3,[2]ARBOR_REAJUSTE18!$A:$AE,VLOOKUP($BFV$2,[2]ARBOR_REAJUSTE18!$A:$B,2,0),0))),""))),4)</f>
        <v>#VALUE!</v>
      </c>
      <c r="BGV3" s="44" t="e">
        <f>ROUNDUP(IF(IFERROR(IF($BFV3="","",IF($BFV3=0,1,1-$BFV3/HLOOKUP(BGV$3,[2]ARBOR_REAJUSTE18!$A:$AE,VLOOKUP($BFV$2,[2]ARBOR_REAJUSTE18!$A:$B,2,0),0))),"")&lt;0.01%,0.01%,(IFERROR(IF($BFV3="","",IF($BFV3=0,1,1-$BFV3/HLOOKUP(BGV$3,[2]ARBOR_REAJUSTE18!$A:$AE,VLOOKUP($BFV$2,[2]ARBOR_REAJUSTE18!$A:$B,2,0),0))),""))),4)</f>
        <v>#VALUE!</v>
      </c>
      <c r="BGW3" s="44" t="e">
        <f>ROUNDUP(IF(IFERROR(IF($BFV3="","",IF($BFV3=0,1,1-$BFV3/HLOOKUP(BGW$3,[2]ARBOR_REAJUSTE18!$A:$AE,VLOOKUP($BFV$2,[2]ARBOR_REAJUSTE18!$A:$B,2,0),0))),"")&lt;0.01%,0.01%,(IFERROR(IF($BFV3="","",IF($BFV3=0,1,1-$BFV3/HLOOKUP(BGW$3,[2]ARBOR_REAJUSTE18!$A:$AE,VLOOKUP($BFV$2,[2]ARBOR_REAJUSTE18!$A:$B,2,0),0))),""))),4)</f>
        <v>#VALUE!</v>
      </c>
      <c r="BGX3" s="44" t="e">
        <f>ROUNDUP(IF(IFERROR(IF($BFV3="","",IF($BFV3=0,1,1-$BFV3/HLOOKUP(BGX$3,[2]ARBOR_REAJUSTE18!$A:$AE,VLOOKUP($BFV$2,[2]ARBOR_REAJUSTE18!$A:$B,2,0),0))),"")&lt;0.01%,0.01%,(IFERROR(IF($BFV3="","",IF($BFV3=0,1,1-$BFV3/HLOOKUP(BGX$3,[2]ARBOR_REAJUSTE18!$A:$AE,VLOOKUP($BFV$2,[2]ARBOR_REAJUSTE18!$A:$B,2,0),0))),""))),4)</f>
        <v>#VALUE!</v>
      </c>
      <c r="BGY3" s="56"/>
      <c r="BGZ3" s="64"/>
      <c r="BHA3" s="44" t="e">
        <f>ROUNDUP(IF(IFERROR(IF($BGY3="","",IF($BGY3=0,1,1-$BGY3/HLOOKUP(BHA$3,[2]ARBOR_REAJUSTE18!$A:$AE,VLOOKUP($BGY$2,[2]ARBOR_REAJUSTE18!$A:$B,2,0),0))),"")&lt;0.01%,0.01%,(IFERROR(IF($BGY3="","",IF($BGY3=0,1,1-$BGY3/HLOOKUP(BHA$3,[2]ARBOR_REAJUSTE18!$A:$AE,VLOOKUP($BGY$2,[2]ARBOR_REAJUSTE18!$A:$B,2,0),0))),""))),4)</f>
        <v>#VALUE!</v>
      </c>
      <c r="BHB3" s="44" t="e">
        <f>ROUNDUP(IF(IFERROR(IF($BGY3="","",IF($BGY3=0,1,1-$BGY3/HLOOKUP(BHB$3,[2]ARBOR_REAJUSTE18!$A:$AE,VLOOKUP($BGY$2,[2]ARBOR_REAJUSTE18!$A:$B,2,0),0))),"")&lt;0.01%,0.01%,(IFERROR(IF($BGY3="","",IF($BGY3=0,1,1-$BGY3/HLOOKUP(BHB$3,[2]ARBOR_REAJUSTE18!$A:$AE,VLOOKUP($BGY$2,[2]ARBOR_REAJUSTE18!$A:$B,2,0),0))),""))),4)</f>
        <v>#VALUE!</v>
      </c>
      <c r="BHC3" s="44" t="e">
        <f>ROUNDUP(IF(IFERROR(IF($BGY3="","",IF($BGY3=0,1,1-$BGY3/HLOOKUP(BHC$3,[2]ARBOR_REAJUSTE18!$A:$AE,VLOOKUP($BGY$2,[2]ARBOR_REAJUSTE18!$A:$B,2,0),0))),"")&lt;0.01%,0.01%,(IFERROR(IF($BGY3="","",IF($BGY3=0,1,1-$BGY3/HLOOKUP(BHC$3,[2]ARBOR_REAJUSTE18!$A:$AE,VLOOKUP($BGY$2,[2]ARBOR_REAJUSTE18!$A:$B,2,0),0))),""))),4)</f>
        <v>#VALUE!</v>
      </c>
      <c r="BHD3" s="44" t="e">
        <f>ROUNDUP(IF(IFERROR(IF($BGY3="","",IF($BGY3=0,1,1-$BGY3/HLOOKUP(BHD$3,[2]ARBOR_REAJUSTE18!$A:$AE,VLOOKUP($BGY$2,[2]ARBOR_REAJUSTE18!$A:$B,2,0),0))),"")&lt;0.01%,0.01%,(IFERROR(IF($BGY3="","",IF($BGY3=0,1,1-$BGY3/HLOOKUP(BHD$3,[2]ARBOR_REAJUSTE18!$A:$AE,VLOOKUP($BGY$2,[2]ARBOR_REAJUSTE18!$A:$B,2,0),0))),""))),4)</f>
        <v>#VALUE!</v>
      </c>
      <c r="BHE3" s="44" t="e">
        <f>ROUNDUP(IF(IFERROR(IF($BGY3="","",IF($BGY3=0,1,1-$BGY3/HLOOKUP(BHE$3,[2]ARBOR_REAJUSTE18!$A:$AE,VLOOKUP($BGY$2,[2]ARBOR_REAJUSTE18!$A:$B,2,0),0))),"")&lt;0.01%,0.01%,(IFERROR(IF($BGY3="","",IF($BGY3=0,1,1-$BGY3/HLOOKUP(BHE$3,[2]ARBOR_REAJUSTE18!$A:$AE,VLOOKUP($BGY$2,[2]ARBOR_REAJUSTE18!$A:$B,2,0),0))),""))),4)</f>
        <v>#VALUE!</v>
      </c>
      <c r="BHF3" s="44" t="e">
        <f>ROUNDUP(IF(IFERROR(IF($BGY3="","",IF($BGY3=0,1,1-$BGY3/HLOOKUP(BHF$3,[2]ARBOR_REAJUSTE18!$A:$AE,VLOOKUP($BGY$2,[2]ARBOR_REAJUSTE18!$A:$B,2,0),0))),"")&lt;0.01%,0.01%,(IFERROR(IF($BGY3="","",IF($BGY3=0,1,1-$BGY3/HLOOKUP(BHF$3,[2]ARBOR_REAJUSTE18!$A:$AE,VLOOKUP($BGY$2,[2]ARBOR_REAJUSTE18!$A:$B,2,0),0))),""))),4)</f>
        <v>#VALUE!</v>
      </c>
      <c r="BHG3" s="44" t="e">
        <f>ROUNDUP(IF(IFERROR(IF($BGY3="","",IF($BGY3=0,1,1-$BGY3/HLOOKUP(BHG$3,[2]ARBOR_REAJUSTE18!$A:$AE,VLOOKUP($BGY$2,[2]ARBOR_REAJUSTE18!$A:$B,2,0),0))),"")&lt;0.01%,0.01%,(IFERROR(IF($BGY3="","",IF($BGY3=0,1,1-$BGY3/HLOOKUP(BHG$3,[2]ARBOR_REAJUSTE18!$A:$AE,VLOOKUP($BGY$2,[2]ARBOR_REAJUSTE18!$A:$B,2,0),0))),""))),4)</f>
        <v>#VALUE!</v>
      </c>
      <c r="BHH3" s="44" t="e">
        <f>ROUNDUP(IF(IFERROR(IF($BGY3="","",IF($BGY3=0,1,1-$BGY3/HLOOKUP(BHH$3,[2]ARBOR_REAJUSTE18!$A:$AE,VLOOKUP($BGY$2,[2]ARBOR_REAJUSTE18!$A:$B,2,0),0))),"")&lt;0.01%,0.01%,(IFERROR(IF($BGY3="","",IF($BGY3=0,1,1-$BGY3/HLOOKUP(BHH$3,[2]ARBOR_REAJUSTE18!$A:$AE,VLOOKUP($BGY$2,[2]ARBOR_REAJUSTE18!$A:$B,2,0),0))),""))),4)</f>
        <v>#VALUE!</v>
      </c>
      <c r="BHI3" s="44" t="e">
        <f>ROUNDUP(IF(IFERROR(IF($BGY3="","",IF($BGY3=0,1,1-$BGY3/HLOOKUP(BHI$3,[2]ARBOR_REAJUSTE18!$A:$AE,VLOOKUP($BGY$2,[2]ARBOR_REAJUSTE18!$A:$B,2,0),0))),"")&lt;0.01%,0.01%,(IFERROR(IF($BGY3="","",IF($BGY3=0,1,1-$BGY3/HLOOKUP(BHI$3,[2]ARBOR_REAJUSTE18!$A:$AE,VLOOKUP($BGY$2,[2]ARBOR_REAJUSTE18!$A:$B,2,0),0))),""))),4)</f>
        <v>#VALUE!</v>
      </c>
      <c r="BHJ3" s="44" t="e">
        <f>ROUNDUP(IF(IFERROR(IF($BGY3="","",IF($BGY3=0,1,1-$BGY3/HLOOKUP(BHJ$3,[2]ARBOR_REAJUSTE18!$A:$AE,VLOOKUP($BGY$2,[2]ARBOR_REAJUSTE18!$A:$B,2,0),0))),"")&lt;0.01%,0.01%,(IFERROR(IF($BGY3="","",IF($BGY3=0,1,1-$BGY3/HLOOKUP(BHJ$3,[2]ARBOR_REAJUSTE18!$A:$AE,VLOOKUP($BGY$2,[2]ARBOR_REAJUSTE18!$A:$B,2,0),0))),""))),4)</f>
        <v>#VALUE!</v>
      </c>
      <c r="BHK3" s="44" t="e">
        <f>ROUNDUP(IF(IFERROR(IF($BGY3="","",IF($BGY3=0,1,1-$BGY3/HLOOKUP(BHK$3,[2]ARBOR_REAJUSTE18!$A:$AE,VLOOKUP($BGY$2,[2]ARBOR_REAJUSTE18!$A:$B,2,0),0))),"")&lt;0.01%,0.01%,(IFERROR(IF($BGY3="","",IF($BGY3=0,1,1-$BGY3/HLOOKUP(BHK$3,[2]ARBOR_REAJUSTE18!$A:$AE,VLOOKUP($BGY$2,[2]ARBOR_REAJUSTE18!$A:$B,2,0),0))),""))),4)</f>
        <v>#VALUE!</v>
      </c>
      <c r="BHL3" s="44" t="e">
        <f>ROUNDUP(IF(IFERROR(IF($BGY3="","",IF($BGY3=0,1,1-$BGY3/HLOOKUP(BHL$3,[2]ARBOR_REAJUSTE18!$A:$AE,VLOOKUP($BGY$2,[2]ARBOR_REAJUSTE18!$A:$B,2,0),0))),"")&lt;0.01%,0.01%,(IFERROR(IF($BGY3="","",IF($BGY3=0,1,1-$BGY3/HLOOKUP(BHL$3,[2]ARBOR_REAJUSTE18!$A:$AE,VLOOKUP($BGY$2,[2]ARBOR_REAJUSTE18!$A:$B,2,0),0))),""))),4)</f>
        <v>#VALUE!</v>
      </c>
      <c r="BHM3" s="44" t="e">
        <f>ROUNDUP(IF(IFERROR(IF($BGY3="","",IF($BGY3=0,1,1-$BGY3/HLOOKUP(BHM$3,[2]ARBOR_REAJUSTE18!$A:$AE,VLOOKUP($BGY$2,[2]ARBOR_REAJUSTE18!$A:$B,2,0),0))),"")&lt;0.01%,0.01%,(IFERROR(IF($BGY3="","",IF($BGY3=0,1,1-$BGY3/HLOOKUP(BHM$3,[2]ARBOR_REAJUSTE18!$A:$AE,VLOOKUP($BGY$2,[2]ARBOR_REAJUSTE18!$A:$B,2,0),0))),""))),4)</f>
        <v>#VALUE!</v>
      </c>
      <c r="BHN3" s="44" t="e">
        <f>ROUNDUP(IF(IFERROR(IF($BGY3="","",IF($BGY3=0,1,1-$BGY3/HLOOKUP(BHN$3,[2]ARBOR_REAJUSTE18!$A:$AE,VLOOKUP($BGY$2,[2]ARBOR_REAJUSTE18!$A:$B,2,0),0))),"")&lt;0.01%,0.01%,(IFERROR(IF($BGY3="","",IF($BGY3=0,1,1-$BGY3/HLOOKUP(BHN$3,[2]ARBOR_REAJUSTE18!$A:$AE,VLOOKUP($BGY$2,[2]ARBOR_REAJUSTE18!$A:$B,2,0),0))),""))),4)</f>
        <v>#VALUE!</v>
      </c>
      <c r="BHO3" s="44" t="e">
        <f>ROUNDUP(IF(IFERROR(IF($BGY3="","",IF($BGY3=0,1,1-$BGY3/HLOOKUP(BHO$3,[2]ARBOR_REAJUSTE18!$A:$AE,VLOOKUP($BGY$2,[2]ARBOR_REAJUSTE18!$A:$B,2,0),0))),"")&lt;0.01%,0.01%,(IFERROR(IF($BGY3="","",IF($BGY3=0,1,1-$BGY3/HLOOKUP(BHO$3,[2]ARBOR_REAJUSTE18!$A:$AE,VLOOKUP($BGY$2,[2]ARBOR_REAJUSTE18!$A:$B,2,0),0))),""))),4)</f>
        <v>#VALUE!</v>
      </c>
      <c r="BHP3" s="44" t="e">
        <f>ROUNDUP(IF(IFERROR(IF($BGY3="","",IF($BGY3=0,1,1-$BGY3/HLOOKUP(BHP$3,[2]ARBOR_REAJUSTE18!$A:$AE,VLOOKUP($BGY$2,[2]ARBOR_REAJUSTE18!$A:$B,2,0),0))),"")&lt;0.01%,0.01%,(IFERROR(IF($BGY3="","",IF($BGY3=0,1,1-$BGY3/HLOOKUP(BHP$3,[2]ARBOR_REAJUSTE18!$A:$AE,VLOOKUP($BGY$2,[2]ARBOR_REAJUSTE18!$A:$B,2,0),0))),""))),4)</f>
        <v>#VALUE!</v>
      </c>
      <c r="BHQ3" s="44" t="e">
        <f>ROUNDUP(IF(IFERROR(IF($BGY3="","",IF($BGY3=0,1,1-$BGY3/HLOOKUP(BHQ$3,[2]ARBOR_REAJUSTE18!$A:$AE,VLOOKUP($BGY$2,[2]ARBOR_REAJUSTE18!$A:$B,2,0),0))),"")&lt;0.01%,0.01%,(IFERROR(IF($BGY3="","",IF($BGY3=0,1,1-$BGY3/HLOOKUP(BHQ$3,[2]ARBOR_REAJUSTE18!$A:$AE,VLOOKUP($BGY$2,[2]ARBOR_REAJUSTE18!$A:$B,2,0),0))),""))),4)</f>
        <v>#VALUE!</v>
      </c>
      <c r="BHR3" s="44" t="e">
        <f>ROUNDUP(IF(IFERROR(IF($BGY3="","",IF($BGY3=0,1,1-$BGY3/HLOOKUP(BHR$3,[2]ARBOR_REAJUSTE18!$A:$AE,VLOOKUP($BGY$2,[2]ARBOR_REAJUSTE18!$A:$B,2,0),0))),"")&lt;0.01%,0.01%,(IFERROR(IF($BGY3="","",IF($BGY3=0,1,1-$BGY3/HLOOKUP(BHR$3,[2]ARBOR_REAJUSTE18!$A:$AE,VLOOKUP($BGY$2,[2]ARBOR_REAJUSTE18!$A:$B,2,0),0))),""))),4)</f>
        <v>#VALUE!</v>
      </c>
      <c r="BHS3" s="44" t="e">
        <f>ROUNDUP(IF(IFERROR(IF($BGY3="","",IF($BGY3=0,1,1-$BGY3/HLOOKUP(BHS$3,[2]ARBOR_REAJUSTE18!$A:$AE,VLOOKUP($BGY$2,[2]ARBOR_REAJUSTE18!$A:$B,2,0),0))),"")&lt;0.01%,0.01%,(IFERROR(IF($BGY3="","",IF($BGY3=0,1,1-$BGY3/HLOOKUP(BHS$3,[2]ARBOR_REAJUSTE18!$A:$AE,VLOOKUP($BGY$2,[2]ARBOR_REAJUSTE18!$A:$B,2,0),0))),""))),4)</f>
        <v>#VALUE!</v>
      </c>
      <c r="BHT3" s="44" t="e">
        <f>ROUNDUP(IF(IFERROR(IF($BGY3="","",IF($BGY3=0,1,1-$BGY3/HLOOKUP(BHT$3,[2]ARBOR_REAJUSTE18!$A:$AE,VLOOKUP($BGY$2,[2]ARBOR_REAJUSTE18!$A:$B,2,0),0))),"")&lt;0.01%,0.01%,(IFERROR(IF($BGY3="","",IF($BGY3=0,1,1-$BGY3/HLOOKUP(BHT$3,[2]ARBOR_REAJUSTE18!$A:$AE,VLOOKUP($BGY$2,[2]ARBOR_REAJUSTE18!$A:$B,2,0),0))),""))),4)</f>
        <v>#VALUE!</v>
      </c>
      <c r="BHU3" s="44" t="e">
        <f>ROUNDUP(IF(IFERROR(IF($BGY3="","",IF($BGY3=0,1,1-$BGY3/HLOOKUP(BHU$3,[2]ARBOR_REAJUSTE18!$A:$AE,VLOOKUP($BGY$2,[2]ARBOR_REAJUSTE18!$A:$B,2,0),0))),"")&lt;0.01%,0.01%,(IFERROR(IF($BGY3="","",IF($BGY3=0,1,1-$BGY3/HLOOKUP(BHU$3,[2]ARBOR_REAJUSTE18!$A:$AE,VLOOKUP($BGY$2,[2]ARBOR_REAJUSTE18!$A:$B,2,0),0))),""))),4)</f>
        <v>#VALUE!</v>
      </c>
      <c r="BHV3" s="44" t="e">
        <f>ROUNDUP(IF(IFERROR(IF($BGY3="","",IF($BGY3=0,1,1-$BGY3/HLOOKUP(BHV$3,[2]ARBOR_REAJUSTE18!$A:$AE,VLOOKUP($BGY$2,[2]ARBOR_REAJUSTE18!$A:$B,2,0),0))),"")&lt;0.01%,0.01%,(IFERROR(IF($BGY3="","",IF($BGY3=0,1,1-$BGY3/HLOOKUP(BHV$3,[2]ARBOR_REAJUSTE18!$A:$AE,VLOOKUP($BGY$2,[2]ARBOR_REAJUSTE18!$A:$B,2,0),0))),""))),4)</f>
        <v>#VALUE!</v>
      </c>
      <c r="BHW3" s="44" t="e">
        <f>ROUNDUP(IF(IFERROR(IF($BGY3="","",IF($BGY3=0,1,1-$BGY3/HLOOKUP(BHW$3,[2]ARBOR_REAJUSTE18!$A:$AE,VLOOKUP($BGY$2,[2]ARBOR_REAJUSTE18!$A:$B,2,0),0))),"")&lt;0.01%,0.01%,(IFERROR(IF($BGY3="","",IF($BGY3=0,1,1-$BGY3/HLOOKUP(BHW$3,[2]ARBOR_REAJUSTE18!$A:$AE,VLOOKUP($BGY$2,[2]ARBOR_REAJUSTE18!$A:$B,2,0),0))),""))),4)</f>
        <v>#VALUE!</v>
      </c>
      <c r="BHX3" s="44" t="e">
        <f>ROUNDUP(IF(IFERROR(IF($BGY3="","",IF($BGY3=0,1,1-$BGY3/HLOOKUP(BHX$3,[2]ARBOR_REAJUSTE18!$A:$AE,VLOOKUP($BGY$2,[2]ARBOR_REAJUSTE18!$A:$B,2,0),0))),"")&lt;0.01%,0.01%,(IFERROR(IF($BGY3="","",IF($BGY3=0,1,1-$BGY3/HLOOKUP(BHX$3,[2]ARBOR_REAJUSTE18!$A:$AE,VLOOKUP($BGY$2,[2]ARBOR_REAJUSTE18!$A:$B,2,0),0))),""))),4)</f>
        <v>#VALUE!</v>
      </c>
      <c r="BHY3" s="44" t="e">
        <f>ROUNDUP(IF(IFERROR(IF($BGY3="","",IF($BGY3=0,1,1-$BGY3/HLOOKUP(BHY$3,[2]ARBOR_REAJUSTE18!$A:$AE,VLOOKUP($BGY$2,[2]ARBOR_REAJUSTE18!$A:$B,2,0),0))),"")&lt;0.01%,0.01%,(IFERROR(IF($BGY3="","",IF($BGY3=0,1,1-$BGY3/HLOOKUP(BHY$3,[2]ARBOR_REAJUSTE18!$A:$AE,VLOOKUP($BGY$2,[2]ARBOR_REAJUSTE18!$A:$B,2,0),0))),""))),4)</f>
        <v>#VALUE!</v>
      </c>
      <c r="BHZ3" s="44" t="e">
        <f>ROUNDUP(IF(IFERROR(IF($BGY3="","",IF($BGY3=0,1,1-$BGY3/HLOOKUP(BHZ$3,[2]ARBOR_REAJUSTE18!$A:$AE,VLOOKUP($BGY$2,[2]ARBOR_REAJUSTE18!$A:$B,2,0),0))),"")&lt;0.01%,0.01%,(IFERROR(IF($BGY3="","",IF($BGY3=0,1,1-$BGY3/HLOOKUP(BHZ$3,[2]ARBOR_REAJUSTE18!$A:$AE,VLOOKUP($BGY$2,[2]ARBOR_REAJUSTE18!$A:$B,2,0),0))),""))),4)</f>
        <v>#VALUE!</v>
      </c>
      <c r="BIA3" s="44" t="e">
        <f>ROUNDUP(IF(IFERROR(IF($BGY3="","",IF($BGY3=0,1,1-$BGY3/HLOOKUP(BIA$3,[2]ARBOR_REAJUSTE18!$A:$AE,VLOOKUP($BGY$2,[2]ARBOR_REAJUSTE18!$A:$B,2,0),0))),"")&lt;0.01%,0.01%,(IFERROR(IF($BGY3="","",IF($BGY3=0,1,1-$BGY3/HLOOKUP(BIA$3,[2]ARBOR_REAJUSTE18!$A:$AE,VLOOKUP($BGY$2,[2]ARBOR_REAJUSTE18!$A:$B,2,0),0))),""))),4)</f>
        <v>#VALUE!</v>
      </c>
      <c r="BIB3" s="56"/>
      <c r="BIC3" s="64"/>
      <c r="BID3" s="44" t="e">
        <f>ROUNDUP(IF(IFERROR(IF($BIB3="","",IF($BIB3=0,1,1-$BIB3/HLOOKUP(BID$3,[2]ARBOR_REAJUSTE18!$A:$AE,VLOOKUP($BIB$2,[2]ARBOR_REAJUSTE18!$A:$B,2,0),0))),"")&lt;0.01%,0.01%,(IFERROR(IF($BIB3="","",IF($BIB3=0,1,1-$BIB3/HLOOKUP(BID$3,[2]ARBOR_REAJUSTE18!$A:$AE,VLOOKUP($BIB$2,[2]ARBOR_REAJUSTE18!$A:$B,2,0),0))),""))),4)</f>
        <v>#VALUE!</v>
      </c>
      <c r="BIE3" s="44" t="e">
        <f>ROUNDUP(IF(IFERROR(IF($BIB3="","",IF($BIB3=0,1,1-$BIB3/HLOOKUP(BIE$3,[2]ARBOR_REAJUSTE18!$A:$AE,VLOOKUP($BIB$2,[2]ARBOR_REAJUSTE18!$A:$B,2,0),0))),"")&lt;0.01%,0.01%,(IFERROR(IF($BIB3="","",IF($BIB3=0,1,1-$BIB3/HLOOKUP(BIE$3,[2]ARBOR_REAJUSTE18!$A:$AE,VLOOKUP($BIB$2,[2]ARBOR_REAJUSTE18!$A:$B,2,0),0))),""))),4)</f>
        <v>#VALUE!</v>
      </c>
      <c r="BIF3" s="44" t="e">
        <f>ROUNDUP(IF(IFERROR(IF($BIB3="","",IF($BIB3=0,1,1-$BIB3/HLOOKUP(BIF$3,[2]ARBOR_REAJUSTE18!$A:$AE,VLOOKUP($BIB$2,[2]ARBOR_REAJUSTE18!$A:$B,2,0),0))),"")&lt;0.01%,0.01%,(IFERROR(IF($BIB3="","",IF($BIB3=0,1,1-$BIB3/HLOOKUP(BIF$3,[2]ARBOR_REAJUSTE18!$A:$AE,VLOOKUP($BIB$2,[2]ARBOR_REAJUSTE18!$A:$B,2,0),0))),""))),4)</f>
        <v>#VALUE!</v>
      </c>
      <c r="BIG3" s="44" t="e">
        <f>ROUNDUP(IF(IFERROR(IF($BIB3="","",IF($BIB3=0,1,1-$BIB3/HLOOKUP(BIG$3,[2]ARBOR_REAJUSTE18!$A:$AE,VLOOKUP($BIB$2,[2]ARBOR_REAJUSTE18!$A:$B,2,0),0))),"")&lt;0.01%,0.01%,(IFERROR(IF($BIB3="","",IF($BIB3=0,1,1-$BIB3/HLOOKUP(BIG$3,[2]ARBOR_REAJUSTE18!$A:$AE,VLOOKUP($BIB$2,[2]ARBOR_REAJUSTE18!$A:$B,2,0),0))),""))),4)</f>
        <v>#VALUE!</v>
      </c>
      <c r="BIH3" s="44" t="e">
        <f>ROUNDUP(IF(IFERROR(IF($BIB3="","",IF($BIB3=0,1,1-$BIB3/HLOOKUP(BIH$3,[2]ARBOR_REAJUSTE18!$A:$AE,VLOOKUP($BIB$2,[2]ARBOR_REAJUSTE18!$A:$B,2,0),0))),"")&lt;0.01%,0.01%,(IFERROR(IF($BIB3="","",IF($BIB3=0,1,1-$BIB3/HLOOKUP(BIH$3,[2]ARBOR_REAJUSTE18!$A:$AE,VLOOKUP($BIB$2,[2]ARBOR_REAJUSTE18!$A:$B,2,0),0))),""))),4)</f>
        <v>#VALUE!</v>
      </c>
      <c r="BII3" s="44" t="e">
        <f>ROUNDUP(IF(IFERROR(IF($BIB3="","",IF($BIB3=0,1,1-$BIB3/HLOOKUP(BII$3,[2]ARBOR_REAJUSTE18!$A:$AE,VLOOKUP($BIB$2,[2]ARBOR_REAJUSTE18!$A:$B,2,0),0))),"")&lt;0.01%,0.01%,(IFERROR(IF($BIB3="","",IF($BIB3=0,1,1-$BIB3/HLOOKUP(BII$3,[2]ARBOR_REAJUSTE18!$A:$AE,VLOOKUP($BIB$2,[2]ARBOR_REAJUSTE18!$A:$B,2,0),0))),""))),4)</f>
        <v>#VALUE!</v>
      </c>
      <c r="BIJ3" s="44" t="e">
        <f>ROUNDUP(IF(IFERROR(IF($BIB3="","",IF($BIB3=0,1,1-$BIB3/HLOOKUP(BIJ$3,[2]ARBOR_REAJUSTE18!$A:$AE,VLOOKUP($BIB$2,[2]ARBOR_REAJUSTE18!$A:$B,2,0),0))),"")&lt;0.01%,0.01%,(IFERROR(IF($BIB3="","",IF($BIB3=0,1,1-$BIB3/HLOOKUP(BIJ$3,[2]ARBOR_REAJUSTE18!$A:$AE,VLOOKUP($BIB$2,[2]ARBOR_REAJUSTE18!$A:$B,2,0),0))),""))),4)</f>
        <v>#VALUE!</v>
      </c>
      <c r="BIK3" s="44" t="e">
        <f>ROUNDUP(IF(IFERROR(IF($BIB3="","",IF($BIB3=0,1,1-$BIB3/HLOOKUP(BIK$3,[2]ARBOR_REAJUSTE18!$A:$AE,VLOOKUP($BIB$2,[2]ARBOR_REAJUSTE18!$A:$B,2,0),0))),"")&lt;0.01%,0.01%,(IFERROR(IF($BIB3="","",IF($BIB3=0,1,1-$BIB3/HLOOKUP(BIK$3,[2]ARBOR_REAJUSTE18!$A:$AE,VLOOKUP($BIB$2,[2]ARBOR_REAJUSTE18!$A:$B,2,0),0))),""))),4)</f>
        <v>#VALUE!</v>
      </c>
      <c r="BIL3" s="44" t="e">
        <f>ROUNDUP(IF(IFERROR(IF($BIB3="","",IF($BIB3=0,1,1-$BIB3/HLOOKUP(BIL$3,[2]ARBOR_REAJUSTE18!$A:$AE,VLOOKUP($BIB$2,[2]ARBOR_REAJUSTE18!$A:$B,2,0),0))),"")&lt;0.01%,0.01%,(IFERROR(IF($BIB3="","",IF($BIB3=0,1,1-$BIB3/HLOOKUP(BIL$3,[2]ARBOR_REAJUSTE18!$A:$AE,VLOOKUP($BIB$2,[2]ARBOR_REAJUSTE18!$A:$B,2,0),0))),""))),4)</f>
        <v>#VALUE!</v>
      </c>
      <c r="BIM3" s="44" t="e">
        <f>ROUNDUP(IF(IFERROR(IF($BIB3="","",IF($BIB3=0,1,1-$BIB3/HLOOKUP(BIM$3,[2]ARBOR_REAJUSTE18!$A:$AE,VLOOKUP($BIB$2,[2]ARBOR_REAJUSTE18!$A:$B,2,0),0))),"")&lt;0.01%,0.01%,(IFERROR(IF($BIB3="","",IF($BIB3=0,1,1-$BIB3/HLOOKUP(BIM$3,[2]ARBOR_REAJUSTE18!$A:$AE,VLOOKUP($BIB$2,[2]ARBOR_REAJUSTE18!$A:$B,2,0),0))),""))),4)</f>
        <v>#VALUE!</v>
      </c>
      <c r="BIN3" s="44" t="e">
        <f>ROUNDUP(IF(IFERROR(IF($BIB3="","",IF($BIB3=0,1,1-$BIB3/HLOOKUP(BIN$3,[2]ARBOR_REAJUSTE18!$A:$AE,VLOOKUP($BIB$2,[2]ARBOR_REAJUSTE18!$A:$B,2,0),0))),"")&lt;0.01%,0.01%,(IFERROR(IF($BIB3="","",IF($BIB3=0,1,1-$BIB3/HLOOKUP(BIN$3,[2]ARBOR_REAJUSTE18!$A:$AE,VLOOKUP($BIB$2,[2]ARBOR_REAJUSTE18!$A:$B,2,0),0))),""))),4)</f>
        <v>#VALUE!</v>
      </c>
      <c r="BIO3" s="44" t="e">
        <f>ROUNDUP(IF(IFERROR(IF($BIB3="","",IF($BIB3=0,1,1-$BIB3/HLOOKUP(BIO$3,[2]ARBOR_REAJUSTE18!$A:$AE,VLOOKUP($BIB$2,[2]ARBOR_REAJUSTE18!$A:$B,2,0),0))),"")&lt;0.01%,0.01%,(IFERROR(IF($BIB3="","",IF($BIB3=0,1,1-$BIB3/HLOOKUP(BIO$3,[2]ARBOR_REAJUSTE18!$A:$AE,VLOOKUP($BIB$2,[2]ARBOR_REAJUSTE18!$A:$B,2,0),0))),""))),4)</f>
        <v>#VALUE!</v>
      </c>
      <c r="BIP3" s="44" t="e">
        <f>ROUNDUP(IF(IFERROR(IF($BIB3="","",IF($BIB3=0,1,1-$BIB3/HLOOKUP(BIP$3,[2]ARBOR_REAJUSTE18!$A:$AE,VLOOKUP($BIB$2,[2]ARBOR_REAJUSTE18!$A:$B,2,0),0))),"")&lt;0.01%,0.01%,(IFERROR(IF($BIB3="","",IF($BIB3=0,1,1-$BIB3/HLOOKUP(BIP$3,[2]ARBOR_REAJUSTE18!$A:$AE,VLOOKUP($BIB$2,[2]ARBOR_REAJUSTE18!$A:$B,2,0),0))),""))),4)</f>
        <v>#VALUE!</v>
      </c>
      <c r="BIQ3" s="44" t="e">
        <f>ROUNDUP(IF(IFERROR(IF($BIB3="","",IF($BIB3=0,1,1-$BIB3/HLOOKUP(BIQ$3,[2]ARBOR_REAJUSTE18!$A:$AE,VLOOKUP($BIB$2,[2]ARBOR_REAJUSTE18!$A:$B,2,0),0))),"")&lt;0.01%,0.01%,(IFERROR(IF($BIB3="","",IF($BIB3=0,1,1-$BIB3/HLOOKUP(BIQ$3,[2]ARBOR_REAJUSTE18!$A:$AE,VLOOKUP($BIB$2,[2]ARBOR_REAJUSTE18!$A:$B,2,0),0))),""))),4)</f>
        <v>#VALUE!</v>
      </c>
      <c r="BIR3" s="44" t="e">
        <f>ROUNDUP(IF(IFERROR(IF($BIB3="","",IF($BIB3=0,1,1-$BIB3/HLOOKUP(BIR$3,[2]ARBOR_REAJUSTE18!$A:$AE,VLOOKUP($BIB$2,[2]ARBOR_REAJUSTE18!$A:$B,2,0),0))),"")&lt;0.01%,0.01%,(IFERROR(IF($BIB3="","",IF($BIB3=0,1,1-$BIB3/HLOOKUP(BIR$3,[2]ARBOR_REAJUSTE18!$A:$AE,VLOOKUP($BIB$2,[2]ARBOR_REAJUSTE18!$A:$B,2,0),0))),""))),4)</f>
        <v>#VALUE!</v>
      </c>
      <c r="BIS3" s="44" t="e">
        <f>ROUNDUP(IF(IFERROR(IF($BIB3="","",IF($BIB3=0,1,1-$BIB3/HLOOKUP(BIS$3,[2]ARBOR_REAJUSTE18!$A:$AE,VLOOKUP($BIB$2,[2]ARBOR_REAJUSTE18!$A:$B,2,0),0))),"")&lt;0.01%,0.01%,(IFERROR(IF($BIB3="","",IF($BIB3=0,1,1-$BIB3/HLOOKUP(BIS$3,[2]ARBOR_REAJUSTE18!$A:$AE,VLOOKUP($BIB$2,[2]ARBOR_REAJUSTE18!$A:$B,2,0),0))),""))),4)</f>
        <v>#VALUE!</v>
      </c>
      <c r="BIT3" s="44" t="e">
        <f>ROUNDUP(IF(IFERROR(IF($BIB3="","",IF($BIB3=0,1,1-$BIB3/HLOOKUP(BIT$3,[2]ARBOR_REAJUSTE18!$A:$AE,VLOOKUP($BIB$2,[2]ARBOR_REAJUSTE18!$A:$B,2,0),0))),"")&lt;0.01%,0.01%,(IFERROR(IF($BIB3="","",IF($BIB3=0,1,1-$BIB3/HLOOKUP(BIT$3,[2]ARBOR_REAJUSTE18!$A:$AE,VLOOKUP($BIB$2,[2]ARBOR_REAJUSTE18!$A:$B,2,0),0))),""))),4)</f>
        <v>#VALUE!</v>
      </c>
      <c r="BIU3" s="44" t="e">
        <f>ROUNDUP(IF(IFERROR(IF($BIB3="","",IF($BIB3=0,1,1-$BIB3/HLOOKUP(BIU$3,[2]ARBOR_REAJUSTE18!$A:$AE,VLOOKUP($BIB$2,[2]ARBOR_REAJUSTE18!$A:$B,2,0),0))),"")&lt;0.01%,0.01%,(IFERROR(IF($BIB3="","",IF($BIB3=0,1,1-$BIB3/HLOOKUP(BIU$3,[2]ARBOR_REAJUSTE18!$A:$AE,VLOOKUP($BIB$2,[2]ARBOR_REAJUSTE18!$A:$B,2,0),0))),""))),4)</f>
        <v>#VALUE!</v>
      </c>
      <c r="BIV3" s="44" t="e">
        <f>ROUNDUP(IF(IFERROR(IF($BIB3="","",IF($BIB3=0,1,1-$BIB3/HLOOKUP(BIV$3,[2]ARBOR_REAJUSTE18!$A:$AE,VLOOKUP($BIB$2,[2]ARBOR_REAJUSTE18!$A:$B,2,0),0))),"")&lt;0.01%,0.01%,(IFERROR(IF($BIB3="","",IF($BIB3=0,1,1-$BIB3/HLOOKUP(BIV$3,[2]ARBOR_REAJUSTE18!$A:$AE,VLOOKUP($BIB$2,[2]ARBOR_REAJUSTE18!$A:$B,2,0),0))),""))),4)</f>
        <v>#VALUE!</v>
      </c>
      <c r="BIW3" s="44" t="e">
        <f>ROUNDUP(IF(IFERROR(IF($BIB3="","",IF($BIB3=0,1,1-$BIB3/HLOOKUP(BIW$3,[2]ARBOR_REAJUSTE18!$A:$AE,VLOOKUP($BIB$2,[2]ARBOR_REAJUSTE18!$A:$B,2,0),0))),"")&lt;0.01%,0.01%,(IFERROR(IF($BIB3="","",IF($BIB3=0,1,1-$BIB3/HLOOKUP(BIW$3,[2]ARBOR_REAJUSTE18!$A:$AE,VLOOKUP($BIB$2,[2]ARBOR_REAJUSTE18!$A:$B,2,0),0))),""))),4)</f>
        <v>#VALUE!</v>
      </c>
      <c r="BIX3" s="44" t="e">
        <f>ROUNDUP(IF(IFERROR(IF($BIB3="","",IF($BIB3=0,1,1-$BIB3/HLOOKUP(BIX$3,[2]ARBOR_REAJUSTE18!$A:$AE,VLOOKUP($BIB$2,[2]ARBOR_REAJUSTE18!$A:$B,2,0),0))),"")&lt;0.01%,0.01%,(IFERROR(IF($BIB3="","",IF($BIB3=0,1,1-$BIB3/HLOOKUP(BIX$3,[2]ARBOR_REAJUSTE18!$A:$AE,VLOOKUP($BIB$2,[2]ARBOR_REAJUSTE18!$A:$B,2,0),0))),""))),4)</f>
        <v>#VALUE!</v>
      </c>
      <c r="BIY3" s="44" t="e">
        <f>ROUNDUP(IF(IFERROR(IF($BIB3="","",IF($BIB3=0,1,1-$BIB3/HLOOKUP(BIY$3,[2]ARBOR_REAJUSTE18!$A:$AE,VLOOKUP($BIB$2,[2]ARBOR_REAJUSTE18!$A:$B,2,0),0))),"")&lt;0.01%,0.01%,(IFERROR(IF($BIB3="","",IF($BIB3=0,1,1-$BIB3/HLOOKUP(BIY$3,[2]ARBOR_REAJUSTE18!$A:$AE,VLOOKUP($BIB$2,[2]ARBOR_REAJUSTE18!$A:$B,2,0),0))),""))),4)</f>
        <v>#VALUE!</v>
      </c>
      <c r="BIZ3" s="44" t="e">
        <f>ROUNDUP(IF(IFERROR(IF($BIB3="","",IF($BIB3=0,1,1-$BIB3/HLOOKUP(BIZ$3,[2]ARBOR_REAJUSTE18!$A:$AE,VLOOKUP($BIB$2,[2]ARBOR_REAJUSTE18!$A:$B,2,0),0))),"")&lt;0.01%,0.01%,(IFERROR(IF($BIB3="","",IF($BIB3=0,1,1-$BIB3/HLOOKUP(BIZ$3,[2]ARBOR_REAJUSTE18!$A:$AE,VLOOKUP($BIB$2,[2]ARBOR_REAJUSTE18!$A:$B,2,0),0))),""))),4)</f>
        <v>#VALUE!</v>
      </c>
      <c r="BJA3" s="44" t="e">
        <f>ROUNDUP(IF(IFERROR(IF($BIB3="","",IF($BIB3=0,1,1-$BIB3/HLOOKUP(BJA$3,[2]ARBOR_REAJUSTE18!$A:$AE,VLOOKUP($BIB$2,[2]ARBOR_REAJUSTE18!$A:$B,2,0),0))),"")&lt;0.01%,0.01%,(IFERROR(IF($BIB3="","",IF($BIB3=0,1,1-$BIB3/HLOOKUP(BJA$3,[2]ARBOR_REAJUSTE18!$A:$AE,VLOOKUP($BIB$2,[2]ARBOR_REAJUSTE18!$A:$B,2,0),0))),""))),4)</f>
        <v>#VALUE!</v>
      </c>
      <c r="BJB3" s="44" t="e">
        <f>ROUNDUP(IF(IFERROR(IF($BIB3="","",IF($BIB3=0,1,1-$BIB3/HLOOKUP(BJB$3,[2]ARBOR_REAJUSTE18!$A:$AE,VLOOKUP($BIB$2,[2]ARBOR_REAJUSTE18!$A:$B,2,0),0))),"")&lt;0.01%,0.01%,(IFERROR(IF($BIB3="","",IF($BIB3=0,1,1-$BIB3/HLOOKUP(BJB$3,[2]ARBOR_REAJUSTE18!$A:$AE,VLOOKUP($BIB$2,[2]ARBOR_REAJUSTE18!$A:$B,2,0),0))),""))),4)</f>
        <v>#VALUE!</v>
      </c>
      <c r="BJC3" s="44" t="e">
        <f>ROUNDUP(IF(IFERROR(IF($BIB3="","",IF($BIB3=0,1,1-$BIB3/HLOOKUP(BJC$3,[2]ARBOR_REAJUSTE18!$A:$AE,VLOOKUP($BIB$2,[2]ARBOR_REAJUSTE18!$A:$B,2,0),0))),"")&lt;0.01%,0.01%,(IFERROR(IF($BIB3="","",IF($BIB3=0,1,1-$BIB3/HLOOKUP(BJC$3,[2]ARBOR_REAJUSTE18!$A:$AE,VLOOKUP($BIB$2,[2]ARBOR_REAJUSTE18!$A:$B,2,0),0))),""))),4)</f>
        <v>#VALUE!</v>
      </c>
      <c r="BJD3" s="44" t="e">
        <f>ROUNDUP(IF(IFERROR(IF($BIB3="","",IF($BIB3=0,1,1-$BIB3/HLOOKUP(BJD$3,[2]ARBOR_REAJUSTE18!$A:$AE,VLOOKUP($BIB$2,[2]ARBOR_REAJUSTE18!$A:$B,2,0),0))),"")&lt;0.01%,0.01%,(IFERROR(IF($BIB3="","",IF($BIB3=0,1,1-$BIB3/HLOOKUP(BJD$3,[2]ARBOR_REAJUSTE18!$A:$AE,VLOOKUP($BIB$2,[2]ARBOR_REAJUSTE18!$A:$B,2,0),0))),""))),4)</f>
        <v>#VALUE!</v>
      </c>
      <c r="BJE3" s="56">
        <v>75</v>
      </c>
      <c r="BJF3" s="64" t="str">
        <f ca="1">VLOOKUP($AV3&amp;BJG3&amp;"Template desconto % Combate nível conta",[2]BENEFICIOS!$A:$G,5,0)</f>
        <v>MKT-1-10624232431</v>
      </c>
      <c r="BJG3" s="44">
        <f ca="1">ROUNDUP(IF(IFERROR(IF($BJE3="","",IF($BJE3=0,1,1-$BJE3/HLOOKUP(BJG$3,[2]ARBOR_REAJUSTE18!$A:$AE,VLOOKUP($BJE$2,[2]ARBOR_REAJUSTE18!$A:$B,2,0),0))),"")&lt;0.01%,0.01%,(IFERROR(IF($BJE3="","",IF($BJE3=0,1,1-$BJE3/HLOOKUP(BJG$3,[2]ARBOR_REAJUSTE18!$A:$AE,VLOOKUP($BJE$2,[2]ARBOR_REAJUSTE18!$A:$B,2,0),0))),""))),4)</f>
        <v>0.32029999999999997</v>
      </c>
      <c r="BJH3" s="44">
        <f ca="1">ROUNDUP(IF(IFERROR(IF($BJE3="","",IF($BJE3=0,1,1-$BJE3/HLOOKUP(BJH$3,[2]ARBOR_REAJUSTE18!$A:$AE,VLOOKUP($BJE$2,[2]ARBOR_REAJUSTE18!$A:$B,2,0),0))),"")&lt;0.01%,0.01%,(IFERROR(IF($BJE3="","",IF($BJE3=0,1,1-$BJE3/HLOOKUP(BJH$3,[2]ARBOR_REAJUSTE18!$A:$AE,VLOOKUP($BJE$2,[2]ARBOR_REAJUSTE18!$A:$B,2,0),0))),""))),4)</f>
        <v>0.32029999999999997</v>
      </c>
      <c r="BJI3" s="44">
        <f ca="1">ROUNDUP(IF(IFERROR(IF($BJE3="","",IF($BJE3=0,1,1-$BJE3/HLOOKUP(BJI$3,[2]ARBOR_REAJUSTE18!$A:$AE,VLOOKUP($BJE$2,[2]ARBOR_REAJUSTE18!$A:$B,2,0),0))),"")&lt;0.01%,0.01%,(IFERROR(IF($BJE3="","",IF($BJE3=0,1,1-$BJE3/HLOOKUP(BJI$3,[2]ARBOR_REAJUSTE18!$A:$AE,VLOOKUP($BJE$2,[2]ARBOR_REAJUSTE18!$A:$B,2,0),0))),""))),4)</f>
        <v>0.32029999999999997</v>
      </c>
      <c r="BJJ3" s="44">
        <f ca="1">ROUNDUP(IF(IFERROR(IF($BJE3="","",IF($BJE3=0,1,1-$BJE3/HLOOKUP(BJJ$3,[2]ARBOR_REAJUSTE18!$A:$AE,VLOOKUP($BJE$2,[2]ARBOR_REAJUSTE18!$A:$B,2,0),0))),"")&lt;0.01%,0.01%,(IFERROR(IF($BJE3="","",IF($BJE3=0,1,1-$BJE3/HLOOKUP(BJJ$3,[2]ARBOR_REAJUSTE18!$A:$AE,VLOOKUP($BJE$2,[2]ARBOR_REAJUSTE18!$A:$B,2,0),0))),""))),4)</f>
        <v>0.32029999999999997</v>
      </c>
      <c r="BJK3" s="44">
        <f ca="1">ROUNDUP(IF(IFERROR(IF($BJE3="","",IF($BJE3=0,1,1-$BJE3/HLOOKUP(BJK$3,[2]ARBOR_REAJUSTE18!$A:$AE,VLOOKUP($BJE$2,[2]ARBOR_REAJUSTE18!$A:$B,2,0),0))),"")&lt;0.01%,0.01%,(IFERROR(IF($BJE3="","",IF($BJE3=0,1,1-$BJE3/HLOOKUP(BJK$3,[2]ARBOR_REAJUSTE18!$A:$AE,VLOOKUP($BJE$2,[2]ARBOR_REAJUSTE18!$A:$B,2,0),0))),""))),4)</f>
        <v>0.32029999999999997</v>
      </c>
      <c r="BJL3" s="44">
        <f ca="1">ROUNDUP(IF(IFERROR(IF($BJE3="","",IF($BJE3=0,1,1-$BJE3/HLOOKUP(BJL$3,[2]ARBOR_REAJUSTE18!$A:$AE,VLOOKUP($BJE$2,[2]ARBOR_REAJUSTE18!$A:$B,2,0),0))),"")&lt;0.01%,0.01%,(IFERROR(IF($BJE3="","",IF($BJE3=0,1,1-$BJE3/HLOOKUP(BJL$3,[2]ARBOR_REAJUSTE18!$A:$AE,VLOOKUP($BJE$2,[2]ARBOR_REAJUSTE18!$A:$B,2,0),0))),""))),4)</f>
        <v>0.32029999999999997</v>
      </c>
      <c r="BJM3" s="44">
        <f ca="1">ROUNDUP(IF(IFERROR(IF($BJE3="","",IF($BJE3=0,1,1-$BJE3/HLOOKUP(BJM$3,[2]ARBOR_REAJUSTE18!$A:$AE,VLOOKUP($BJE$2,[2]ARBOR_REAJUSTE18!$A:$B,2,0),0))),"")&lt;0.01%,0.01%,(IFERROR(IF($BJE3="","",IF($BJE3=0,1,1-$BJE3/HLOOKUP(BJM$3,[2]ARBOR_REAJUSTE18!$A:$AE,VLOOKUP($BJE$2,[2]ARBOR_REAJUSTE18!$A:$B,2,0),0))),""))),4)</f>
        <v>0.32029999999999997</v>
      </c>
      <c r="BJN3" s="44">
        <f ca="1">ROUNDUP(IF(IFERROR(IF($BJE3="","",IF($BJE3=0,1,1-$BJE3/HLOOKUP(BJN$3,[2]ARBOR_REAJUSTE18!$A:$AE,VLOOKUP($BJE$2,[2]ARBOR_REAJUSTE18!$A:$B,2,0),0))),"")&lt;0.01%,0.01%,(IFERROR(IF($BJE3="","",IF($BJE3=0,1,1-$BJE3/HLOOKUP(BJN$3,[2]ARBOR_REAJUSTE18!$A:$AE,VLOOKUP($BJE$2,[2]ARBOR_REAJUSTE18!$A:$B,2,0),0))),""))),4)</f>
        <v>0.32029999999999997</v>
      </c>
      <c r="BJO3" s="44">
        <f ca="1">ROUNDUP(IF(IFERROR(IF($BJE3="","",IF($BJE3=0,1,1-$BJE3/HLOOKUP(BJO$3,[2]ARBOR_REAJUSTE18!$A:$AE,VLOOKUP($BJE$2,[2]ARBOR_REAJUSTE18!$A:$B,2,0),0))),"")&lt;0.01%,0.01%,(IFERROR(IF($BJE3="","",IF($BJE3=0,1,1-$BJE3/HLOOKUP(BJO$3,[2]ARBOR_REAJUSTE18!$A:$AE,VLOOKUP($BJE$2,[2]ARBOR_REAJUSTE18!$A:$B,2,0),0))),""))),4)</f>
        <v>0.32029999999999997</v>
      </c>
      <c r="BJP3" s="44">
        <f ca="1">ROUNDUP(IF(IFERROR(IF($BJE3="","",IF($BJE3=0,1,1-$BJE3/HLOOKUP(BJP$3,[2]ARBOR_REAJUSTE18!$A:$AE,VLOOKUP($BJE$2,[2]ARBOR_REAJUSTE18!$A:$B,2,0),0))),"")&lt;0.01%,0.01%,(IFERROR(IF($BJE3="","",IF($BJE3=0,1,1-$BJE3/HLOOKUP(BJP$3,[2]ARBOR_REAJUSTE18!$A:$AE,VLOOKUP($BJE$2,[2]ARBOR_REAJUSTE18!$A:$B,2,0),0))),""))),4)</f>
        <v>0.32029999999999997</v>
      </c>
      <c r="BJQ3" s="44">
        <f ca="1">ROUNDUP(IF(IFERROR(IF($BJE3="","",IF($BJE3=0,1,1-$BJE3/HLOOKUP(BJQ$3,[2]ARBOR_REAJUSTE18!$A:$AE,VLOOKUP($BJE$2,[2]ARBOR_REAJUSTE18!$A:$B,2,0),0))),"")&lt;0.01%,0.01%,(IFERROR(IF($BJE3="","",IF($BJE3=0,1,1-$BJE3/HLOOKUP(BJQ$3,[2]ARBOR_REAJUSTE18!$A:$AE,VLOOKUP($BJE$2,[2]ARBOR_REAJUSTE18!$A:$B,2,0),0))),""))),4)</f>
        <v>0.34449999999999997</v>
      </c>
      <c r="BJR3" s="44">
        <f ca="1">ROUNDUP(IF(IFERROR(IF($BJE3="","",IF($BJE3=0,1,1-$BJE3/HLOOKUP(BJR$3,[2]ARBOR_REAJUSTE18!$A:$AE,VLOOKUP($BJE$2,[2]ARBOR_REAJUSTE18!$A:$B,2,0),0))),"")&lt;0.01%,0.01%,(IFERROR(IF($BJE3="","",IF($BJE3=0,1,1-$BJE3/HLOOKUP(BJR$3,[2]ARBOR_REAJUSTE18!$A:$AE,VLOOKUP($BJE$2,[2]ARBOR_REAJUSTE18!$A:$B,2,0),0))),""))),4)</f>
        <v>0.32029999999999997</v>
      </c>
      <c r="BJS3" s="44">
        <f ca="1">ROUNDUP(IF(IFERROR(IF($BJE3="","",IF($BJE3=0,1,1-$BJE3/HLOOKUP(BJS$3,[2]ARBOR_REAJUSTE18!$A:$AE,VLOOKUP($BJE$2,[2]ARBOR_REAJUSTE18!$A:$B,2,0),0))),"")&lt;0.01%,0.01%,(IFERROR(IF($BJE3="","",IF($BJE3=0,1,1-$BJE3/HLOOKUP(BJS$3,[2]ARBOR_REAJUSTE18!$A:$AE,VLOOKUP($BJE$2,[2]ARBOR_REAJUSTE18!$A:$B,2,0),0))),""))),4)</f>
        <v>0.32029999999999997</v>
      </c>
      <c r="BJT3" s="44">
        <f ca="1">ROUNDUP(IF(IFERROR(IF($BJE3="","",IF($BJE3=0,1,1-$BJE3/HLOOKUP(BJT$3,[2]ARBOR_REAJUSTE18!$A:$AE,VLOOKUP($BJE$2,[2]ARBOR_REAJUSTE18!$A:$B,2,0),0))),"")&lt;0.01%,0.01%,(IFERROR(IF($BJE3="","",IF($BJE3=0,1,1-$BJE3/HLOOKUP(BJT$3,[2]ARBOR_REAJUSTE18!$A:$AE,VLOOKUP($BJE$2,[2]ARBOR_REAJUSTE18!$A:$B,2,0),0))),""))),4)</f>
        <v>0.32029999999999997</v>
      </c>
      <c r="BJU3" s="44">
        <f ca="1">ROUNDUP(IF(IFERROR(IF($BJE3="","",IF($BJE3=0,1,1-$BJE3/HLOOKUP(BJU$3,[2]ARBOR_REAJUSTE18!$A:$AE,VLOOKUP($BJE$2,[2]ARBOR_REAJUSTE18!$A:$B,2,0),0))),"")&lt;0.01%,0.01%,(IFERROR(IF($BJE3="","",IF($BJE3=0,1,1-$BJE3/HLOOKUP(BJU$3,[2]ARBOR_REAJUSTE18!$A:$AE,VLOOKUP($BJE$2,[2]ARBOR_REAJUSTE18!$A:$B,2,0),0))),""))),4)</f>
        <v>0.32029999999999997</v>
      </c>
      <c r="BJV3" s="44">
        <f ca="1">ROUNDUP(IF(IFERROR(IF($BJE3="","",IF($BJE3=0,1,1-$BJE3/HLOOKUP(BJV$3,[2]ARBOR_REAJUSTE18!$A:$AE,VLOOKUP($BJE$2,[2]ARBOR_REAJUSTE18!$A:$B,2,0),0))),"")&lt;0.01%,0.01%,(IFERROR(IF($BJE3="","",IF($BJE3=0,1,1-$BJE3/HLOOKUP(BJV$3,[2]ARBOR_REAJUSTE18!$A:$AE,VLOOKUP($BJE$2,[2]ARBOR_REAJUSTE18!$A:$B,2,0),0))),""))),4)</f>
        <v>0.32929999999999998</v>
      </c>
      <c r="BJW3" s="44">
        <f ca="1">ROUNDUP(IF(IFERROR(IF($BJE3="","",IF($BJE3=0,1,1-$BJE3/HLOOKUP(BJW$3,[2]ARBOR_REAJUSTE18!$A:$AE,VLOOKUP($BJE$2,[2]ARBOR_REAJUSTE18!$A:$B,2,0),0))),"")&lt;0.01%,0.01%,(IFERROR(IF($BJE3="","",IF($BJE3=0,1,1-$BJE3/HLOOKUP(BJW$3,[2]ARBOR_REAJUSTE18!$A:$AE,VLOOKUP($BJE$2,[2]ARBOR_REAJUSTE18!$A:$B,2,0),0))),""))),4)</f>
        <v>0.32029999999999997</v>
      </c>
      <c r="BJX3" s="44">
        <f ca="1">ROUNDUP(IF(IFERROR(IF($BJE3="","",IF($BJE3=0,1,1-$BJE3/HLOOKUP(BJX$3,[2]ARBOR_REAJUSTE18!$A:$AE,VLOOKUP($BJE$2,[2]ARBOR_REAJUSTE18!$A:$B,2,0),0))),"")&lt;0.01%,0.01%,(IFERROR(IF($BJE3="","",IF($BJE3=0,1,1-$BJE3/HLOOKUP(BJX$3,[2]ARBOR_REAJUSTE18!$A:$AE,VLOOKUP($BJE$2,[2]ARBOR_REAJUSTE18!$A:$B,2,0),0))),""))),4)</f>
        <v>0.32029999999999997</v>
      </c>
      <c r="BJY3" s="44">
        <f ca="1">ROUNDUP(IF(IFERROR(IF($BJE3="","",IF($BJE3=0,1,1-$BJE3/HLOOKUP(BJY$3,[2]ARBOR_REAJUSTE18!$A:$AE,VLOOKUP($BJE$2,[2]ARBOR_REAJUSTE18!$A:$B,2,0),0))),"")&lt;0.01%,0.01%,(IFERROR(IF($BJE3="","",IF($BJE3=0,1,1-$BJE3/HLOOKUP(BJY$3,[2]ARBOR_REAJUSTE18!$A:$AE,VLOOKUP($BJE$2,[2]ARBOR_REAJUSTE18!$A:$B,2,0),0))),""))),4)</f>
        <v>0.32029999999999997</v>
      </c>
      <c r="BJZ3" s="44">
        <f ca="1">ROUNDUP(IF(IFERROR(IF($BJE3="","",IF($BJE3=0,1,1-$BJE3/HLOOKUP(BJZ$3,[2]ARBOR_REAJUSTE18!$A:$AE,VLOOKUP($BJE$2,[2]ARBOR_REAJUSTE18!$A:$B,2,0),0))),"")&lt;0.01%,0.01%,(IFERROR(IF($BJE3="","",IF($BJE3=0,1,1-$BJE3/HLOOKUP(BJZ$3,[2]ARBOR_REAJUSTE18!$A:$AE,VLOOKUP($BJE$2,[2]ARBOR_REAJUSTE18!$A:$B,2,0),0))),""))),4)</f>
        <v>0.34449999999999997</v>
      </c>
      <c r="BKA3" s="44">
        <f ca="1">ROUNDUP(IF(IFERROR(IF($BJE3="","",IF($BJE3=0,1,1-$BJE3/HLOOKUP(BKA$3,[2]ARBOR_REAJUSTE18!$A:$AE,VLOOKUP($BJE$2,[2]ARBOR_REAJUSTE18!$A:$B,2,0),0))),"")&lt;0.01%,0.01%,(IFERROR(IF($BJE3="","",IF($BJE3=0,1,1-$BJE3/HLOOKUP(BKA$3,[2]ARBOR_REAJUSTE18!$A:$AE,VLOOKUP($BJE$2,[2]ARBOR_REAJUSTE18!$A:$B,2,0),0))),""))),4)</f>
        <v>0.32029999999999997</v>
      </c>
      <c r="BKB3" s="44">
        <f ca="1">ROUNDUP(IF(IFERROR(IF($BJE3="","",IF($BJE3=0,1,1-$BJE3/HLOOKUP(BKB$3,[2]ARBOR_REAJUSTE18!$A:$AE,VLOOKUP($BJE$2,[2]ARBOR_REAJUSTE18!$A:$B,2,0),0))),"")&lt;0.01%,0.01%,(IFERROR(IF($BJE3="","",IF($BJE3=0,1,1-$BJE3/HLOOKUP(BKB$3,[2]ARBOR_REAJUSTE18!$A:$AE,VLOOKUP($BJE$2,[2]ARBOR_REAJUSTE18!$A:$B,2,0),0))),""))),4)</f>
        <v>0.32029999999999997</v>
      </c>
      <c r="BKC3" s="44">
        <f ca="1">ROUNDUP(IF(IFERROR(IF($BJE3="","",IF($BJE3=0,1,1-$BJE3/HLOOKUP(BKC$3,[2]ARBOR_REAJUSTE18!$A:$AE,VLOOKUP($BJE$2,[2]ARBOR_REAJUSTE18!$A:$B,2,0),0))),"")&lt;0.01%,0.01%,(IFERROR(IF($BJE3="","",IF($BJE3=0,1,1-$BJE3/HLOOKUP(BKC$3,[2]ARBOR_REAJUSTE18!$A:$AE,VLOOKUP($BJE$2,[2]ARBOR_REAJUSTE18!$A:$B,2,0),0))),""))),4)</f>
        <v>0.32029999999999997</v>
      </c>
      <c r="BKD3" s="44">
        <f ca="1">ROUNDUP(IF(IFERROR(IF($BJE3="","",IF($BJE3=0,1,1-$BJE3/HLOOKUP(BKD$3,[2]ARBOR_REAJUSTE18!$A:$AE,VLOOKUP($BJE$2,[2]ARBOR_REAJUSTE18!$A:$B,2,0),0))),"")&lt;0.01%,0.01%,(IFERROR(IF($BJE3="","",IF($BJE3=0,1,1-$BJE3/HLOOKUP(BKD$3,[2]ARBOR_REAJUSTE18!$A:$AE,VLOOKUP($BJE$2,[2]ARBOR_REAJUSTE18!$A:$B,2,0),0))),""))),4)</f>
        <v>0.32029999999999997</v>
      </c>
      <c r="BKE3" s="44">
        <f ca="1">ROUNDUP(IF(IFERROR(IF($BJE3="","",IF($BJE3=0,1,1-$BJE3/HLOOKUP(BKE$3,[2]ARBOR_REAJUSTE18!$A:$AE,VLOOKUP($BJE$2,[2]ARBOR_REAJUSTE18!$A:$B,2,0),0))),"")&lt;0.01%,0.01%,(IFERROR(IF($BJE3="","",IF($BJE3=0,1,1-$BJE3/HLOOKUP(BKE$3,[2]ARBOR_REAJUSTE18!$A:$AE,VLOOKUP($BJE$2,[2]ARBOR_REAJUSTE18!$A:$B,2,0),0))),""))),4)</f>
        <v>0.32029999999999997</v>
      </c>
      <c r="BKF3" s="44">
        <f ca="1">ROUNDUP(IF(IFERROR(IF($BJE3="","",IF($BJE3=0,1,1-$BJE3/HLOOKUP(BKF$3,[2]ARBOR_REAJUSTE18!$A:$AE,VLOOKUP($BJE$2,[2]ARBOR_REAJUSTE18!$A:$B,2,0),0))),"")&lt;0.01%,0.01%,(IFERROR(IF($BJE3="","",IF($BJE3=0,1,1-$BJE3/HLOOKUP(BKF$3,[2]ARBOR_REAJUSTE18!$A:$AE,VLOOKUP($BJE$2,[2]ARBOR_REAJUSTE18!$A:$B,2,0),0))),""))),4)</f>
        <v>0.33610000000000001</v>
      </c>
      <c r="BKG3" s="44">
        <f ca="1">ROUNDUP(IF(IFERROR(IF($BJE3="","",IF($BJE3=0,1,1-$BJE3/HLOOKUP(BKG$3,[2]ARBOR_REAJUSTE18!$A:$AE,VLOOKUP($BJE$2,[2]ARBOR_REAJUSTE18!$A:$B,2,0),0))),"")&lt;0.01%,0.01%,(IFERROR(IF($BJE3="","",IF($BJE3=0,1,1-$BJE3/HLOOKUP(BKG$3,[2]ARBOR_REAJUSTE18!$A:$AE,VLOOKUP($BJE$2,[2]ARBOR_REAJUSTE18!$A:$B,2,0),0))),""))),4)</f>
        <v>0.32029999999999997</v>
      </c>
      <c r="BKH3" s="56">
        <v>19.899999999999999</v>
      </c>
      <c r="BKI3" s="64" t="str">
        <f ca="1">VLOOKUP($AV3&amp;BKJ3&amp;"Template desconto % Sexy Hot nível conta",[2]BENEFICIOS!$A:$G,5,0)</f>
        <v>MKT-1-10624227381</v>
      </c>
      <c r="BKJ3" s="44">
        <f ca="1">ROUNDUP(IF(IFERROR(IF($BKH3="","",IF($BKH3=0,1,1-$BKH3/HLOOKUP(BKJ$3,[2]ARBOR_REAJUSTE18!$A:$AE,VLOOKUP($BKH$2,[2]ARBOR_REAJUSTE18!$A:$B,2,0),0))),"")&lt;0.01%,0.01%,(IFERROR(IF($BKH3="","",IF($BKH3=0,1,1-$BKH3/HLOOKUP(BKJ$3,[2]ARBOR_REAJUSTE18!$A:$AE,VLOOKUP($BKH$2,[2]ARBOR_REAJUSTE18!$A:$B,2,0),0))),""))),4)</f>
        <v>9.3399999999999997E-2</v>
      </c>
      <c r="BKK3" s="44">
        <f ca="1">ROUNDUP(IF(IFERROR(IF($BKH3="","",IF($BKH3=0,1,1-$BKH3/HLOOKUP(BKK$3,[2]ARBOR_REAJUSTE18!$A:$AE,VLOOKUP($BKH$2,[2]ARBOR_REAJUSTE18!$A:$B,2,0),0))),"")&lt;0.01%,0.01%,(IFERROR(IF($BKH3="","",IF($BKH3=0,1,1-$BKH3/HLOOKUP(BKK$3,[2]ARBOR_REAJUSTE18!$A:$AE,VLOOKUP($BKH$2,[2]ARBOR_REAJUSTE18!$A:$B,2,0),0))),""))),4)</f>
        <v>9.3399999999999997E-2</v>
      </c>
      <c r="BKL3" s="44">
        <f ca="1">ROUNDUP(IF(IFERROR(IF($BKH3="","",IF($BKH3=0,1,1-$BKH3/HLOOKUP(BKL$3,[2]ARBOR_REAJUSTE18!$A:$AE,VLOOKUP($BKH$2,[2]ARBOR_REAJUSTE18!$A:$B,2,0),0))),"")&lt;0.01%,0.01%,(IFERROR(IF($BKH3="","",IF($BKH3=0,1,1-$BKH3/HLOOKUP(BKL$3,[2]ARBOR_REAJUSTE18!$A:$AE,VLOOKUP($BKH$2,[2]ARBOR_REAJUSTE18!$A:$B,2,0),0))),""))),4)</f>
        <v>9.3399999999999997E-2</v>
      </c>
      <c r="BKM3" s="44">
        <f ca="1">ROUNDUP(IF(IFERROR(IF($BKH3="","",IF($BKH3=0,1,1-$BKH3/HLOOKUP(BKM$3,[2]ARBOR_REAJUSTE18!$A:$AE,VLOOKUP($BKH$2,[2]ARBOR_REAJUSTE18!$A:$B,2,0),0))),"")&lt;0.01%,0.01%,(IFERROR(IF($BKH3="","",IF($BKH3=0,1,1-$BKH3/HLOOKUP(BKM$3,[2]ARBOR_REAJUSTE18!$A:$AE,VLOOKUP($BKH$2,[2]ARBOR_REAJUSTE18!$A:$B,2,0),0))),""))),4)</f>
        <v>9.3399999999999997E-2</v>
      </c>
      <c r="BKN3" s="44">
        <f ca="1">ROUNDUP(IF(IFERROR(IF($BKH3="","",IF($BKH3=0,1,1-$BKH3/HLOOKUP(BKN$3,[2]ARBOR_REAJUSTE18!$A:$AE,VLOOKUP($BKH$2,[2]ARBOR_REAJUSTE18!$A:$B,2,0),0))),"")&lt;0.01%,0.01%,(IFERROR(IF($BKH3="","",IF($BKH3=0,1,1-$BKH3/HLOOKUP(BKN$3,[2]ARBOR_REAJUSTE18!$A:$AE,VLOOKUP($BKH$2,[2]ARBOR_REAJUSTE18!$A:$B,2,0),0))),""))),4)</f>
        <v>9.3399999999999997E-2</v>
      </c>
      <c r="BKO3" s="44">
        <f ca="1">ROUNDUP(IF(IFERROR(IF($BKH3="","",IF($BKH3=0,1,1-$BKH3/HLOOKUP(BKO$3,[2]ARBOR_REAJUSTE18!$A:$AE,VLOOKUP($BKH$2,[2]ARBOR_REAJUSTE18!$A:$B,2,0),0))),"")&lt;0.01%,0.01%,(IFERROR(IF($BKH3="","",IF($BKH3=0,1,1-$BKH3/HLOOKUP(BKO$3,[2]ARBOR_REAJUSTE18!$A:$AE,VLOOKUP($BKH$2,[2]ARBOR_REAJUSTE18!$A:$B,2,0),0))),""))),4)</f>
        <v>9.3399999999999997E-2</v>
      </c>
      <c r="BKP3" s="44">
        <f ca="1">ROUNDUP(IF(IFERROR(IF($BKH3="","",IF($BKH3=0,1,1-$BKH3/HLOOKUP(BKP$3,[2]ARBOR_REAJUSTE18!$A:$AE,VLOOKUP($BKH$2,[2]ARBOR_REAJUSTE18!$A:$B,2,0),0))),"")&lt;0.01%,0.01%,(IFERROR(IF($BKH3="","",IF($BKH3=0,1,1-$BKH3/HLOOKUP(BKP$3,[2]ARBOR_REAJUSTE18!$A:$AE,VLOOKUP($BKH$2,[2]ARBOR_REAJUSTE18!$A:$B,2,0),0))),""))),4)</f>
        <v>9.2999999999999999E-2</v>
      </c>
      <c r="BKQ3" s="44">
        <f ca="1">ROUNDUP(IF(IFERROR(IF($BKH3="","",IF($BKH3=0,1,1-$BKH3/HLOOKUP(BKQ$3,[2]ARBOR_REAJUSTE18!$A:$AE,VLOOKUP($BKH$2,[2]ARBOR_REAJUSTE18!$A:$B,2,0),0))),"")&lt;0.01%,0.01%,(IFERROR(IF($BKH3="","",IF($BKH3=0,1,1-$BKH3/HLOOKUP(BKQ$3,[2]ARBOR_REAJUSTE18!$A:$AE,VLOOKUP($BKH$2,[2]ARBOR_REAJUSTE18!$A:$B,2,0),0))),""))),4)</f>
        <v>9.3399999999999997E-2</v>
      </c>
      <c r="BKR3" s="44">
        <f ca="1">ROUNDUP(IF(IFERROR(IF($BKH3="","",IF($BKH3=0,1,1-$BKH3/HLOOKUP(BKR$3,[2]ARBOR_REAJUSTE18!$A:$AE,VLOOKUP($BKH$2,[2]ARBOR_REAJUSTE18!$A:$B,2,0),0))),"")&lt;0.01%,0.01%,(IFERROR(IF($BKH3="","",IF($BKH3=0,1,1-$BKH3/HLOOKUP(BKR$3,[2]ARBOR_REAJUSTE18!$A:$AE,VLOOKUP($BKH$2,[2]ARBOR_REAJUSTE18!$A:$B,2,0),0))),""))),4)</f>
        <v>9.3399999999999997E-2</v>
      </c>
      <c r="BKS3" s="44">
        <f ca="1">ROUNDUP(IF(IFERROR(IF($BKH3="","",IF($BKH3=0,1,1-$BKH3/HLOOKUP(BKS$3,[2]ARBOR_REAJUSTE18!$A:$AE,VLOOKUP($BKH$2,[2]ARBOR_REAJUSTE18!$A:$B,2,0),0))),"")&lt;0.01%,0.01%,(IFERROR(IF($BKH3="","",IF($BKH3=0,1,1-$BKH3/HLOOKUP(BKS$3,[2]ARBOR_REAJUSTE18!$A:$AE,VLOOKUP($BKH$2,[2]ARBOR_REAJUSTE18!$A:$B,2,0),0))),""))),4)</f>
        <v>9.3399999999999997E-2</v>
      </c>
      <c r="BKT3" s="44">
        <f ca="1">ROUNDUP(IF(IFERROR(IF($BKH3="","",IF($BKH3=0,1,1-$BKH3/HLOOKUP(BKT$3,[2]ARBOR_REAJUSTE18!$A:$AE,VLOOKUP($BKH$2,[2]ARBOR_REAJUSTE18!$A:$B,2,0),0))),"")&lt;0.01%,0.01%,(IFERROR(IF($BKH3="","",IF($BKH3=0,1,1-$BKH3/HLOOKUP(BKT$3,[2]ARBOR_REAJUSTE18!$A:$AE,VLOOKUP($BKH$2,[2]ARBOR_REAJUSTE18!$A:$B,2,0),0))),""))),4)</f>
        <v>0.12529999999999999</v>
      </c>
      <c r="BKU3" s="44">
        <f ca="1">ROUNDUP(IF(IFERROR(IF($BKH3="","",IF($BKH3=0,1,1-$BKH3/HLOOKUP(BKU$3,[2]ARBOR_REAJUSTE18!$A:$AE,VLOOKUP($BKH$2,[2]ARBOR_REAJUSTE18!$A:$B,2,0),0))),"")&lt;0.01%,0.01%,(IFERROR(IF($BKH3="","",IF($BKH3=0,1,1-$BKH3/HLOOKUP(BKU$3,[2]ARBOR_REAJUSTE18!$A:$AE,VLOOKUP($BKH$2,[2]ARBOR_REAJUSTE18!$A:$B,2,0),0))),""))),4)</f>
        <v>9.3399999999999997E-2</v>
      </c>
      <c r="BKV3" s="44">
        <f ca="1">ROUNDUP(IF(IFERROR(IF($BKH3="","",IF($BKH3=0,1,1-$BKH3/HLOOKUP(BKV$3,[2]ARBOR_REAJUSTE18!$A:$AE,VLOOKUP($BKH$2,[2]ARBOR_REAJUSTE18!$A:$B,2,0),0))),"")&lt;0.01%,0.01%,(IFERROR(IF($BKH3="","",IF($BKH3=0,1,1-$BKH3/HLOOKUP(BKV$3,[2]ARBOR_REAJUSTE18!$A:$AE,VLOOKUP($BKH$2,[2]ARBOR_REAJUSTE18!$A:$B,2,0),0))),""))),4)</f>
        <v>9.3399999999999997E-2</v>
      </c>
      <c r="BKW3" s="44">
        <f ca="1">ROUNDUP(IF(IFERROR(IF($BKH3="","",IF($BKH3=0,1,1-$BKH3/HLOOKUP(BKW$3,[2]ARBOR_REAJUSTE18!$A:$AE,VLOOKUP($BKH$2,[2]ARBOR_REAJUSTE18!$A:$B,2,0),0))),"")&lt;0.01%,0.01%,(IFERROR(IF($BKH3="","",IF($BKH3=0,1,1-$BKH3/HLOOKUP(BKW$3,[2]ARBOR_REAJUSTE18!$A:$AE,VLOOKUP($BKH$2,[2]ARBOR_REAJUSTE18!$A:$B,2,0),0))),""))),4)</f>
        <v>9.3399999999999997E-2</v>
      </c>
      <c r="BKX3" s="44">
        <f ca="1">ROUNDUP(IF(IFERROR(IF($BKH3="","",IF($BKH3=0,1,1-$BKH3/HLOOKUP(BKX$3,[2]ARBOR_REAJUSTE18!$A:$AE,VLOOKUP($BKH$2,[2]ARBOR_REAJUSTE18!$A:$B,2,0),0))),"")&lt;0.01%,0.01%,(IFERROR(IF($BKH3="","",IF($BKH3=0,1,1-$BKH3/HLOOKUP(BKX$3,[2]ARBOR_REAJUSTE18!$A:$AE,VLOOKUP($BKH$2,[2]ARBOR_REAJUSTE18!$A:$B,2,0),0))),""))),4)</f>
        <v>9.3399999999999997E-2</v>
      </c>
      <c r="BKY3" s="44">
        <f ca="1">ROUNDUP(IF(IFERROR(IF($BKH3="","",IF($BKH3=0,1,1-$BKH3/HLOOKUP(BKY$3,[2]ARBOR_REAJUSTE18!$A:$AE,VLOOKUP($BKH$2,[2]ARBOR_REAJUSTE18!$A:$B,2,0),0))),"")&lt;0.01%,0.01%,(IFERROR(IF($BKH3="","",IF($BKH3=0,1,1-$BKH3/HLOOKUP(BKY$3,[2]ARBOR_REAJUSTE18!$A:$AE,VLOOKUP($BKH$2,[2]ARBOR_REAJUSTE18!$A:$B,2,0),0))),""))),4)</f>
        <v>0.1053</v>
      </c>
      <c r="BKZ3" s="44">
        <f ca="1">ROUNDUP(IF(IFERROR(IF($BKH3="","",IF($BKH3=0,1,1-$BKH3/HLOOKUP(BKZ$3,[2]ARBOR_REAJUSTE18!$A:$AE,VLOOKUP($BKH$2,[2]ARBOR_REAJUSTE18!$A:$B,2,0),0))),"")&lt;0.01%,0.01%,(IFERROR(IF($BKH3="","",IF($BKH3=0,1,1-$BKH3/HLOOKUP(BKZ$3,[2]ARBOR_REAJUSTE18!$A:$AE,VLOOKUP($BKH$2,[2]ARBOR_REAJUSTE18!$A:$B,2,0),0))),""))),4)</f>
        <v>9.3399999999999997E-2</v>
      </c>
      <c r="BLA3" s="44">
        <f ca="1">ROUNDUP(IF(IFERROR(IF($BKH3="","",IF($BKH3=0,1,1-$BKH3/HLOOKUP(BLA$3,[2]ARBOR_REAJUSTE18!$A:$AE,VLOOKUP($BKH$2,[2]ARBOR_REAJUSTE18!$A:$B,2,0),0))),"")&lt;0.01%,0.01%,(IFERROR(IF($BKH3="","",IF($BKH3=0,1,1-$BKH3/HLOOKUP(BLA$3,[2]ARBOR_REAJUSTE18!$A:$AE,VLOOKUP($BKH$2,[2]ARBOR_REAJUSTE18!$A:$B,2,0),0))),""))),4)</f>
        <v>9.3399999999999997E-2</v>
      </c>
      <c r="BLB3" s="44">
        <f ca="1">ROUNDUP(IF(IFERROR(IF($BKH3="","",IF($BKH3=0,1,1-$BKH3/HLOOKUP(BLB$3,[2]ARBOR_REAJUSTE18!$A:$AE,VLOOKUP($BKH$2,[2]ARBOR_REAJUSTE18!$A:$B,2,0),0))),"")&lt;0.01%,0.01%,(IFERROR(IF($BKH3="","",IF($BKH3=0,1,1-$BKH3/HLOOKUP(BLB$3,[2]ARBOR_REAJUSTE18!$A:$AE,VLOOKUP($BKH$2,[2]ARBOR_REAJUSTE18!$A:$B,2,0),0))),""))),4)</f>
        <v>9.3399999999999997E-2</v>
      </c>
      <c r="BLC3" s="44">
        <f ca="1">ROUNDUP(IF(IFERROR(IF($BKH3="","",IF($BKH3=0,1,1-$BKH3/HLOOKUP(BLC$3,[2]ARBOR_REAJUSTE18!$A:$AE,VLOOKUP($BKH$2,[2]ARBOR_REAJUSTE18!$A:$B,2,0),0))),"")&lt;0.01%,0.01%,(IFERROR(IF($BKH3="","",IF($BKH3=0,1,1-$BKH3/HLOOKUP(BLC$3,[2]ARBOR_REAJUSTE18!$A:$AE,VLOOKUP($BKH$2,[2]ARBOR_REAJUSTE18!$A:$B,2,0),0))),""))),4)</f>
        <v>0.12529999999999999</v>
      </c>
      <c r="BLD3" s="44">
        <f ca="1">ROUNDUP(IF(IFERROR(IF($BKH3="","",IF($BKH3=0,1,1-$BKH3/HLOOKUP(BLD$3,[2]ARBOR_REAJUSTE18!$A:$AE,VLOOKUP($BKH$2,[2]ARBOR_REAJUSTE18!$A:$B,2,0),0))),"")&lt;0.01%,0.01%,(IFERROR(IF($BKH3="","",IF($BKH3=0,1,1-$BKH3/HLOOKUP(BLD$3,[2]ARBOR_REAJUSTE18!$A:$AE,VLOOKUP($BKH$2,[2]ARBOR_REAJUSTE18!$A:$B,2,0),0))),""))),4)</f>
        <v>9.3399999999999997E-2</v>
      </c>
      <c r="BLE3" s="44">
        <f ca="1">ROUNDUP(IF(IFERROR(IF($BKH3="","",IF($BKH3=0,1,1-$BKH3/HLOOKUP(BLE$3,[2]ARBOR_REAJUSTE18!$A:$AE,VLOOKUP($BKH$2,[2]ARBOR_REAJUSTE18!$A:$B,2,0),0))),"")&lt;0.01%,0.01%,(IFERROR(IF($BKH3="","",IF($BKH3=0,1,1-$BKH3/HLOOKUP(BLE$3,[2]ARBOR_REAJUSTE18!$A:$AE,VLOOKUP($BKH$2,[2]ARBOR_REAJUSTE18!$A:$B,2,0),0))),""))),4)</f>
        <v>9.3399999999999997E-2</v>
      </c>
      <c r="BLF3" s="44">
        <f ca="1">ROUNDUP(IF(IFERROR(IF($BKH3="","",IF($BKH3=0,1,1-$BKH3/HLOOKUP(BLF$3,[2]ARBOR_REAJUSTE18!$A:$AE,VLOOKUP($BKH$2,[2]ARBOR_REAJUSTE18!$A:$B,2,0),0))),"")&lt;0.01%,0.01%,(IFERROR(IF($BKH3="","",IF($BKH3=0,1,1-$BKH3/HLOOKUP(BLF$3,[2]ARBOR_REAJUSTE18!$A:$AE,VLOOKUP($BKH$2,[2]ARBOR_REAJUSTE18!$A:$B,2,0),0))),""))),4)</f>
        <v>9.3399999999999997E-2</v>
      </c>
      <c r="BLG3" s="44">
        <f ca="1">ROUNDUP(IF(IFERROR(IF($BKH3="","",IF($BKH3=0,1,1-$BKH3/HLOOKUP(BLG$3,[2]ARBOR_REAJUSTE18!$A:$AE,VLOOKUP($BKH$2,[2]ARBOR_REAJUSTE18!$A:$B,2,0),0))),"")&lt;0.01%,0.01%,(IFERROR(IF($BKH3="","",IF($BKH3=0,1,1-$BKH3/HLOOKUP(BLG$3,[2]ARBOR_REAJUSTE18!$A:$AE,VLOOKUP($BKH$2,[2]ARBOR_REAJUSTE18!$A:$B,2,0),0))),""))),4)</f>
        <v>9.3399999999999997E-2</v>
      </c>
      <c r="BLH3" s="44">
        <f ca="1">ROUNDUP(IF(IFERROR(IF($BKH3="","",IF($BKH3=0,1,1-$BKH3/HLOOKUP(BLH$3,[2]ARBOR_REAJUSTE18!$A:$AE,VLOOKUP($BKH$2,[2]ARBOR_REAJUSTE18!$A:$B,2,0),0))),"")&lt;0.01%,0.01%,(IFERROR(IF($BKH3="","",IF($BKH3=0,1,1-$BKH3/HLOOKUP(BLH$3,[2]ARBOR_REAJUSTE18!$A:$AE,VLOOKUP($BKH$2,[2]ARBOR_REAJUSTE18!$A:$B,2,0),0))),""))),4)</f>
        <v>9.3399999999999997E-2</v>
      </c>
      <c r="BLI3" s="44">
        <f ca="1">ROUNDUP(IF(IFERROR(IF($BKH3="","",IF($BKH3=0,1,1-$BKH3/HLOOKUP(BLI$3,[2]ARBOR_REAJUSTE18!$A:$AE,VLOOKUP($BKH$2,[2]ARBOR_REAJUSTE18!$A:$B,2,0),0))),"")&lt;0.01%,0.01%,(IFERROR(IF($BKH3="","",IF($BKH3=0,1,1-$BKH3/HLOOKUP(BLI$3,[2]ARBOR_REAJUSTE18!$A:$AE,VLOOKUP($BKH$2,[2]ARBOR_REAJUSTE18!$A:$B,2,0),0))),""))),4)</f>
        <v>0.1144</v>
      </c>
      <c r="BLJ3" s="44">
        <f ca="1">ROUNDUP(IF(IFERROR(IF($BKH3="","",IF($BKH3=0,1,1-$BKH3/HLOOKUP(BLJ$3,[2]ARBOR_REAJUSTE18!$A:$AE,VLOOKUP($BKH$2,[2]ARBOR_REAJUSTE18!$A:$B,2,0),0))),"")&lt;0.01%,0.01%,(IFERROR(IF($BKH3="","",IF($BKH3=0,1,1-$BKH3/HLOOKUP(BLJ$3,[2]ARBOR_REAJUSTE18!$A:$AE,VLOOKUP($BKH$2,[2]ARBOR_REAJUSTE18!$A:$B,2,0),0))),""))),4)</f>
        <v>9.3399999999999997E-2</v>
      </c>
      <c r="BLK3" s="56">
        <v>19.899999999999999</v>
      </c>
      <c r="BLL3" s="64" t="str">
        <f ca="1">VLOOKUP($AV3&amp;BLM3&amp;"Template desconto % Playboy nível conta",[2]BENEFICIOS!$A:$G,5,0)</f>
        <v>MKT-1-10624289671</v>
      </c>
      <c r="BLM3" s="44">
        <f ca="1">ROUNDUP(IF(IFERROR(IF($BLK3="","",IF($BLK3=0,1,1-$BLK3/HLOOKUP(BLM$3,[2]ARBOR_REAJUSTE18!$A:$AE,VLOOKUP($BLK$2,[2]ARBOR_REAJUSTE18!$A:$B,2,0),0))),"")&lt;0.01%,0.01%,(IFERROR(IF($BLK3="","",IF($BLK3=0,1,1-$BLK3/HLOOKUP(BLM$3,[2]ARBOR_REAJUSTE18!$A:$AE,VLOOKUP($BLK$2,[2]ARBOR_REAJUSTE18!$A:$B,2,0),0))),""))),4)</f>
        <v>9.3399999999999997E-2</v>
      </c>
      <c r="BLN3" s="44">
        <f ca="1">ROUNDUP(IF(IFERROR(IF($BLK3="","",IF($BLK3=0,1,1-$BLK3/HLOOKUP(BLN$3,[2]ARBOR_REAJUSTE18!$A:$AE,VLOOKUP($BLK$2,[2]ARBOR_REAJUSTE18!$A:$B,2,0),0))),"")&lt;0.01%,0.01%,(IFERROR(IF($BLK3="","",IF($BLK3=0,1,1-$BLK3/HLOOKUP(BLN$3,[2]ARBOR_REAJUSTE18!$A:$AE,VLOOKUP($BLK$2,[2]ARBOR_REAJUSTE18!$A:$B,2,0),0))),""))),4)</f>
        <v>9.3399999999999997E-2</v>
      </c>
      <c r="BLO3" s="44">
        <f ca="1">ROUNDUP(IF(IFERROR(IF($BLK3="","",IF($BLK3=0,1,1-$BLK3/HLOOKUP(BLO$3,[2]ARBOR_REAJUSTE18!$A:$AE,VLOOKUP($BLK$2,[2]ARBOR_REAJUSTE18!$A:$B,2,0),0))),"")&lt;0.01%,0.01%,(IFERROR(IF($BLK3="","",IF($BLK3=0,1,1-$BLK3/HLOOKUP(BLO$3,[2]ARBOR_REAJUSTE18!$A:$AE,VLOOKUP($BLK$2,[2]ARBOR_REAJUSTE18!$A:$B,2,0),0))),""))),4)</f>
        <v>9.3399999999999997E-2</v>
      </c>
      <c r="BLP3" s="44">
        <f ca="1">ROUNDUP(IF(IFERROR(IF($BLK3="","",IF($BLK3=0,1,1-$BLK3/HLOOKUP(BLP$3,[2]ARBOR_REAJUSTE18!$A:$AE,VLOOKUP($BLK$2,[2]ARBOR_REAJUSTE18!$A:$B,2,0),0))),"")&lt;0.01%,0.01%,(IFERROR(IF($BLK3="","",IF($BLK3=0,1,1-$BLK3/HLOOKUP(BLP$3,[2]ARBOR_REAJUSTE18!$A:$AE,VLOOKUP($BLK$2,[2]ARBOR_REAJUSTE18!$A:$B,2,0),0))),""))),4)</f>
        <v>9.3399999999999997E-2</v>
      </c>
      <c r="BLQ3" s="44">
        <f ca="1">ROUNDUP(IF(IFERROR(IF($BLK3="","",IF($BLK3=0,1,1-$BLK3/HLOOKUP(BLQ$3,[2]ARBOR_REAJUSTE18!$A:$AE,VLOOKUP($BLK$2,[2]ARBOR_REAJUSTE18!$A:$B,2,0),0))),"")&lt;0.01%,0.01%,(IFERROR(IF($BLK3="","",IF($BLK3=0,1,1-$BLK3/HLOOKUP(BLQ$3,[2]ARBOR_REAJUSTE18!$A:$AE,VLOOKUP($BLK$2,[2]ARBOR_REAJUSTE18!$A:$B,2,0),0))),""))),4)</f>
        <v>9.3399999999999997E-2</v>
      </c>
      <c r="BLR3" s="44">
        <f ca="1">ROUNDUP(IF(IFERROR(IF($BLK3="","",IF($BLK3=0,1,1-$BLK3/HLOOKUP(BLR$3,[2]ARBOR_REAJUSTE18!$A:$AE,VLOOKUP($BLK$2,[2]ARBOR_REAJUSTE18!$A:$B,2,0),0))),"")&lt;0.01%,0.01%,(IFERROR(IF($BLK3="","",IF($BLK3=0,1,1-$BLK3/HLOOKUP(BLR$3,[2]ARBOR_REAJUSTE18!$A:$AE,VLOOKUP($BLK$2,[2]ARBOR_REAJUSTE18!$A:$B,2,0),0))),""))),4)</f>
        <v>9.3399999999999997E-2</v>
      </c>
      <c r="BLS3" s="44">
        <f ca="1">ROUNDUP(IF(IFERROR(IF($BLK3="","",IF($BLK3=0,1,1-$BLK3/HLOOKUP(BLS$3,[2]ARBOR_REAJUSTE18!$A:$AE,VLOOKUP($BLK$2,[2]ARBOR_REAJUSTE18!$A:$B,2,0),0))),"")&lt;0.01%,0.01%,(IFERROR(IF($BLK3="","",IF($BLK3=0,1,1-$BLK3/HLOOKUP(BLS$3,[2]ARBOR_REAJUSTE18!$A:$AE,VLOOKUP($BLK$2,[2]ARBOR_REAJUSTE18!$A:$B,2,0),0))),""))),4)</f>
        <v>9.2999999999999999E-2</v>
      </c>
      <c r="BLT3" s="44">
        <f ca="1">ROUNDUP(IF(IFERROR(IF($BLK3="","",IF($BLK3=0,1,1-$BLK3/HLOOKUP(BLT$3,[2]ARBOR_REAJUSTE18!$A:$AE,VLOOKUP($BLK$2,[2]ARBOR_REAJUSTE18!$A:$B,2,0),0))),"")&lt;0.01%,0.01%,(IFERROR(IF($BLK3="","",IF($BLK3=0,1,1-$BLK3/HLOOKUP(BLT$3,[2]ARBOR_REAJUSTE18!$A:$AE,VLOOKUP($BLK$2,[2]ARBOR_REAJUSTE18!$A:$B,2,0),0))),""))),4)</f>
        <v>9.3399999999999997E-2</v>
      </c>
      <c r="BLU3" s="44">
        <f ca="1">ROUNDUP(IF(IFERROR(IF($BLK3="","",IF($BLK3=0,1,1-$BLK3/HLOOKUP(BLU$3,[2]ARBOR_REAJUSTE18!$A:$AE,VLOOKUP($BLK$2,[2]ARBOR_REAJUSTE18!$A:$B,2,0),0))),"")&lt;0.01%,0.01%,(IFERROR(IF($BLK3="","",IF($BLK3=0,1,1-$BLK3/HLOOKUP(BLU$3,[2]ARBOR_REAJUSTE18!$A:$AE,VLOOKUP($BLK$2,[2]ARBOR_REAJUSTE18!$A:$B,2,0),0))),""))),4)</f>
        <v>9.3399999999999997E-2</v>
      </c>
      <c r="BLV3" s="44">
        <f ca="1">ROUNDUP(IF(IFERROR(IF($BLK3="","",IF($BLK3=0,1,1-$BLK3/HLOOKUP(BLV$3,[2]ARBOR_REAJUSTE18!$A:$AE,VLOOKUP($BLK$2,[2]ARBOR_REAJUSTE18!$A:$B,2,0),0))),"")&lt;0.01%,0.01%,(IFERROR(IF($BLK3="","",IF($BLK3=0,1,1-$BLK3/HLOOKUP(BLV$3,[2]ARBOR_REAJUSTE18!$A:$AE,VLOOKUP($BLK$2,[2]ARBOR_REAJUSTE18!$A:$B,2,0),0))),""))),4)</f>
        <v>9.3399999999999997E-2</v>
      </c>
      <c r="BLW3" s="44">
        <f ca="1">ROUNDUP(IF(IFERROR(IF($BLK3="","",IF($BLK3=0,1,1-$BLK3/HLOOKUP(BLW$3,[2]ARBOR_REAJUSTE18!$A:$AE,VLOOKUP($BLK$2,[2]ARBOR_REAJUSTE18!$A:$B,2,0),0))),"")&lt;0.01%,0.01%,(IFERROR(IF($BLK3="","",IF($BLK3=0,1,1-$BLK3/HLOOKUP(BLW$3,[2]ARBOR_REAJUSTE18!$A:$AE,VLOOKUP($BLK$2,[2]ARBOR_REAJUSTE18!$A:$B,2,0),0))),""))),4)</f>
        <v>0.12529999999999999</v>
      </c>
      <c r="BLX3" s="44">
        <f ca="1">ROUNDUP(IF(IFERROR(IF($BLK3="","",IF($BLK3=0,1,1-$BLK3/HLOOKUP(BLX$3,[2]ARBOR_REAJUSTE18!$A:$AE,VLOOKUP($BLK$2,[2]ARBOR_REAJUSTE18!$A:$B,2,0),0))),"")&lt;0.01%,0.01%,(IFERROR(IF($BLK3="","",IF($BLK3=0,1,1-$BLK3/HLOOKUP(BLX$3,[2]ARBOR_REAJUSTE18!$A:$AE,VLOOKUP($BLK$2,[2]ARBOR_REAJUSTE18!$A:$B,2,0),0))),""))),4)</f>
        <v>9.3399999999999997E-2</v>
      </c>
      <c r="BLY3" s="44">
        <f ca="1">ROUNDUP(IF(IFERROR(IF($BLK3="","",IF($BLK3=0,1,1-$BLK3/HLOOKUP(BLY$3,[2]ARBOR_REAJUSTE18!$A:$AE,VLOOKUP($BLK$2,[2]ARBOR_REAJUSTE18!$A:$B,2,0),0))),"")&lt;0.01%,0.01%,(IFERROR(IF($BLK3="","",IF($BLK3=0,1,1-$BLK3/HLOOKUP(BLY$3,[2]ARBOR_REAJUSTE18!$A:$AE,VLOOKUP($BLK$2,[2]ARBOR_REAJUSTE18!$A:$B,2,0),0))),""))),4)</f>
        <v>9.3399999999999997E-2</v>
      </c>
      <c r="BLZ3" s="44">
        <f ca="1">ROUNDUP(IF(IFERROR(IF($BLK3="","",IF($BLK3=0,1,1-$BLK3/HLOOKUP(BLZ$3,[2]ARBOR_REAJUSTE18!$A:$AE,VLOOKUP($BLK$2,[2]ARBOR_REAJUSTE18!$A:$B,2,0),0))),"")&lt;0.01%,0.01%,(IFERROR(IF($BLK3="","",IF($BLK3=0,1,1-$BLK3/HLOOKUP(BLZ$3,[2]ARBOR_REAJUSTE18!$A:$AE,VLOOKUP($BLK$2,[2]ARBOR_REAJUSTE18!$A:$B,2,0),0))),""))),4)</f>
        <v>9.3399999999999997E-2</v>
      </c>
      <c r="BMA3" s="44">
        <f ca="1">ROUNDUP(IF(IFERROR(IF($BLK3="","",IF($BLK3=0,1,1-$BLK3/HLOOKUP(BMA$3,[2]ARBOR_REAJUSTE18!$A:$AE,VLOOKUP($BLK$2,[2]ARBOR_REAJUSTE18!$A:$B,2,0),0))),"")&lt;0.01%,0.01%,(IFERROR(IF($BLK3="","",IF($BLK3=0,1,1-$BLK3/HLOOKUP(BMA$3,[2]ARBOR_REAJUSTE18!$A:$AE,VLOOKUP($BLK$2,[2]ARBOR_REAJUSTE18!$A:$B,2,0),0))),""))),4)</f>
        <v>9.3399999999999997E-2</v>
      </c>
      <c r="BMB3" s="44">
        <f ca="1">ROUNDUP(IF(IFERROR(IF($BLK3="","",IF($BLK3=0,1,1-$BLK3/HLOOKUP(BMB$3,[2]ARBOR_REAJUSTE18!$A:$AE,VLOOKUP($BLK$2,[2]ARBOR_REAJUSTE18!$A:$B,2,0),0))),"")&lt;0.01%,0.01%,(IFERROR(IF($BLK3="","",IF($BLK3=0,1,1-$BLK3/HLOOKUP(BMB$3,[2]ARBOR_REAJUSTE18!$A:$AE,VLOOKUP($BLK$2,[2]ARBOR_REAJUSTE18!$A:$B,2,0),0))),""))),4)</f>
        <v>0.1053</v>
      </c>
      <c r="BMC3" s="44">
        <f ca="1">ROUNDUP(IF(IFERROR(IF($BLK3="","",IF($BLK3=0,1,1-$BLK3/HLOOKUP(BMC$3,[2]ARBOR_REAJUSTE18!$A:$AE,VLOOKUP($BLK$2,[2]ARBOR_REAJUSTE18!$A:$B,2,0),0))),"")&lt;0.01%,0.01%,(IFERROR(IF($BLK3="","",IF($BLK3=0,1,1-$BLK3/HLOOKUP(BMC$3,[2]ARBOR_REAJUSTE18!$A:$AE,VLOOKUP($BLK$2,[2]ARBOR_REAJUSTE18!$A:$B,2,0),0))),""))),4)</f>
        <v>9.3399999999999997E-2</v>
      </c>
      <c r="BMD3" s="44">
        <f ca="1">ROUNDUP(IF(IFERROR(IF($BLK3="","",IF($BLK3=0,1,1-$BLK3/HLOOKUP(BMD$3,[2]ARBOR_REAJUSTE18!$A:$AE,VLOOKUP($BLK$2,[2]ARBOR_REAJUSTE18!$A:$B,2,0),0))),"")&lt;0.01%,0.01%,(IFERROR(IF($BLK3="","",IF($BLK3=0,1,1-$BLK3/HLOOKUP(BMD$3,[2]ARBOR_REAJUSTE18!$A:$AE,VLOOKUP($BLK$2,[2]ARBOR_REAJUSTE18!$A:$B,2,0),0))),""))),4)</f>
        <v>9.3399999999999997E-2</v>
      </c>
      <c r="BME3" s="44">
        <f ca="1">ROUNDUP(IF(IFERROR(IF($BLK3="","",IF($BLK3=0,1,1-$BLK3/HLOOKUP(BME$3,[2]ARBOR_REAJUSTE18!$A:$AE,VLOOKUP($BLK$2,[2]ARBOR_REAJUSTE18!$A:$B,2,0),0))),"")&lt;0.01%,0.01%,(IFERROR(IF($BLK3="","",IF($BLK3=0,1,1-$BLK3/HLOOKUP(BME$3,[2]ARBOR_REAJUSTE18!$A:$AE,VLOOKUP($BLK$2,[2]ARBOR_REAJUSTE18!$A:$B,2,0),0))),""))),4)</f>
        <v>9.3399999999999997E-2</v>
      </c>
      <c r="BMF3" s="44">
        <f ca="1">ROUNDUP(IF(IFERROR(IF($BLK3="","",IF($BLK3=0,1,1-$BLK3/HLOOKUP(BMF$3,[2]ARBOR_REAJUSTE18!$A:$AE,VLOOKUP($BLK$2,[2]ARBOR_REAJUSTE18!$A:$B,2,0),0))),"")&lt;0.01%,0.01%,(IFERROR(IF($BLK3="","",IF($BLK3=0,1,1-$BLK3/HLOOKUP(BMF$3,[2]ARBOR_REAJUSTE18!$A:$AE,VLOOKUP($BLK$2,[2]ARBOR_REAJUSTE18!$A:$B,2,0),0))),""))),4)</f>
        <v>0.12529999999999999</v>
      </c>
      <c r="BMG3" s="44">
        <f ca="1">ROUNDUP(IF(IFERROR(IF($BLK3="","",IF($BLK3=0,1,1-$BLK3/HLOOKUP(BMG$3,[2]ARBOR_REAJUSTE18!$A:$AE,VLOOKUP($BLK$2,[2]ARBOR_REAJUSTE18!$A:$B,2,0),0))),"")&lt;0.01%,0.01%,(IFERROR(IF($BLK3="","",IF($BLK3=0,1,1-$BLK3/HLOOKUP(BMG$3,[2]ARBOR_REAJUSTE18!$A:$AE,VLOOKUP($BLK$2,[2]ARBOR_REAJUSTE18!$A:$B,2,0),0))),""))),4)</f>
        <v>9.3399999999999997E-2</v>
      </c>
      <c r="BMH3" s="44">
        <f ca="1">ROUNDUP(IF(IFERROR(IF($BLK3="","",IF($BLK3=0,1,1-$BLK3/HLOOKUP(BMH$3,[2]ARBOR_REAJUSTE18!$A:$AE,VLOOKUP($BLK$2,[2]ARBOR_REAJUSTE18!$A:$B,2,0),0))),"")&lt;0.01%,0.01%,(IFERROR(IF($BLK3="","",IF($BLK3=0,1,1-$BLK3/HLOOKUP(BMH$3,[2]ARBOR_REAJUSTE18!$A:$AE,VLOOKUP($BLK$2,[2]ARBOR_REAJUSTE18!$A:$B,2,0),0))),""))),4)</f>
        <v>9.3399999999999997E-2</v>
      </c>
      <c r="BMI3" s="44">
        <f ca="1">ROUNDUP(IF(IFERROR(IF($BLK3="","",IF($BLK3=0,1,1-$BLK3/HLOOKUP(BMI$3,[2]ARBOR_REAJUSTE18!$A:$AE,VLOOKUP($BLK$2,[2]ARBOR_REAJUSTE18!$A:$B,2,0),0))),"")&lt;0.01%,0.01%,(IFERROR(IF($BLK3="","",IF($BLK3=0,1,1-$BLK3/HLOOKUP(BMI$3,[2]ARBOR_REAJUSTE18!$A:$AE,VLOOKUP($BLK$2,[2]ARBOR_REAJUSTE18!$A:$B,2,0),0))),""))),4)</f>
        <v>9.3399999999999997E-2</v>
      </c>
      <c r="BMJ3" s="44">
        <f ca="1">ROUNDUP(IF(IFERROR(IF($BLK3="","",IF($BLK3=0,1,1-$BLK3/HLOOKUP(BMJ$3,[2]ARBOR_REAJUSTE18!$A:$AE,VLOOKUP($BLK$2,[2]ARBOR_REAJUSTE18!$A:$B,2,0),0))),"")&lt;0.01%,0.01%,(IFERROR(IF($BLK3="","",IF($BLK3=0,1,1-$BLK3/HLOOKUP(BMJ$3,[2]ARBOR_REAJUSTE18!$A:$AE,VLOOKUP($BLK$2,[2]ARBOR_REAJUSTE18!$A:$B,2,0),0))),""))),4)</f>
        <v>9.3399999999999997E-2</v>
      </c>
      <c r="BMK3" s="44">
        <f ca="1">ROUNDUP(IF(IFERROR(IF($BLK3="","",IF($BLK3=0,1,1-$BLK3/HLOOKUP(BMK$3,[2]ARBOR_REAJUSTE18!$A:$AE,VLOOKUP($BLK$2,[2]ARBOR_REAJUSTE18!$A:$B,2,0),0))),"")&lt;0.01%,0.01%,(IFERROR(IF($BLK3="","",IF($BLK3=0,1,1-$BLK3/HLOOKUP(BMK$3,[2]ARBOR_REAJUSTE18!$A:$AE,VLOOKUP($BLK$2,[2]ARBOR_REAJUSTE18!$A:$B,2,0),0))),""))),4)</f>
        <v>9.3399999999999997E-2</v>
      </c>
      <c r="BML3" s="44">
        <f ca="1">ROUNDUP(IF(IFERROR(IF($BLK3="","",IF($BLK3=0,1,1-$BLK3/HLOOKUP(BML$3,[2]ARBOR_REAJUSTE18!$A:$AE,VLOOKUP($BLK$2,[2]ARBOR_REAJUSTE18!$A:$B,2,0),0))),"")&lt;0.01%,0.01%,(IFERROR(IF($BLK3="","",IF($BLK3=0,1,1-$BLK3/HLOOKUP(BML$3,[2]ARBOR_REAJUSTE18!$A:$AE,VLOOKUP($BLK$2,[2]ARBOR_REAJUSTE18!$A:$B,2,0),0))),""))),4)</f>
        <v>0.1144</v>
      </c>
      <c r="BMM3" s="44">
        <f ca="1">ROUNDUP(IF(IFERROR(IF($BLK3="","",IF($BLK3=0,1,1-$BLK3/HLOOKUP(BMM$3,[2]ARBOR_REAJUSTE18!$A:$AE,VLOOKUP($BLK$2,[2]ARBOR_REAJUSTE18!$A:$B,2,0),0))),"")&lt;0.01%,0.01%,(IFERROR(IF($BLK3="","",IF($BLK3=0,1,1-$BLK3/HLOOKUP(BMM$3,[2]ARBOR_REAJUSTE18!$A:$AE,VLOOKUP($BLK$2,[2]ARBOR_REAJUSTE18!$A:$B,2,0),0))),""))),4)</f>
        <v>9.3399999999999997E-2</v>
      </c>
      <c r="BMN3" s="56">
        <v>29.9</v>
      </c>
      <c r="BMO3" s="64" t="str">
        <f ca="1">VLOOKUP($AV3&amp;BMP3&amp;"Template desconto % Sexy Hot + Playboy nível conta",[2]BENEFICIOS!$A:$G,5,0)</f>
        <v>MKT-1-10624276721</v>
      </c>
      <c r="BMP3" s="44">
        <f ca="1">ROUNDUP(IF(IFERROR(IF($BMN3="","",IF($BMN3=0,1,1-$BMN3/HLOOKUP(BMP$3,[2]ARBOR_REAJUSTE18!$A:$AE,VLOOKUP($BMN$2,[2]ARBOR_REAJUSTE18!$A:$B,2,0),0))),"")&lt;0.01%,0.01%,(IFERROR(IF($BMN3="","",IF($BMN3=0,1,1-$BMN3/HLOOKUP(BMP$3,[2]ARBOR_REAJUSTE18!$A:$AE,VLOOKUP($BMN$2,[2]ARBOR_REAJUSTE18!$A:$B,2,0),0))),""))),4)</f>
        <v>9.3399999999999997E-2</v>
      </c>
      <c r="BMQ3" s="44">
        <f ca="1">ROUNDUP(IF(IFERROR(IF($BMN3="","",IF($BMN3=0,1,1-$BMN3/HLOOKUP(BMQ$3,[2]ARBOR_REAJUSTE18!$A:$AE,VLOOKUP($BMN$2,[2]ARBOR_REAJUSTE18!$A:$B,2,0),0))),"")&lt;0.01%,0.01%,(IFERROR(IF($BMN3="","",IF($BMN3=0,1,1-$BMN3/HLOOKUP(BMQ$3,[2]ARBOR_REAJUSTE18!$A:$AE,VLOOKUP($BMN$2,[2]ARBOR_REAJUSTE18!$A:$B,2,0),0))),""))),4)</f>
        <v>9.3399999999999997E-2</v>
      </c>
      <c r="BMR3" s="44">
        <f ca="1">ROUNDUP(IF(IFERROR(IF($BMN3="","",IF($BMN3=0,1,1-$BMN3/HLOOKUP(BMR$3,[2]ARBOR_REAJUSTE18!$A:$AE,VLOOKUP($BMN$2,[2]ARBOR_REAJUSTE18!$A:$B,2,0),0))),"")&lt;0.01%,0.01%,(IFERROR(IF($BMN3="","",IF($BMN3=0,1,1-$BMN3/HLOOKUP(BMR$3,[2]ARBOR_REAJUSTE18!$A:$AE,VLOOKUP($BMN$2,[2]ARBOR_REAJUSTE18!$A:$B,2,0),0))),""))),4)</f>
        <v>9.3399999999999997E-2</v>
      </c>
      <c r="BMS3" s="44">
        <f ca="1">ROUNDUP(IF(IFERROR(IF($BMN3="","",IF($BMN3=0,1,1-$BMN3/HLOOKUP(BMS$3,[2]ARBOR_REAJUSTE18!$A:$AE,VLOOKUP($BMN$2,[2]ARBOR_REAJUSTE18!$A:$B,2,0),0))),"")&lt;0.01%,0.01%,(IFERROR(IF($BMN3="","",IF($BMN3=0,1,1-$BMN3/HLOOKUP(BMS$3,[2]ARBOR_REAJUSTE18!$A:$AE,VLOOKUP($BMN$2,[2]ARBOR_REAJUSTE18!$A:$B,2,0),0))),""))),4)</f>
        <v>9.3399999999999997E-2</v>
      </c>
      <c r="BMT3" s="44">
        <f ca="1">ROUNDUP(IF(IFERROR(IF($BMN3="","",IF($BMN3=0,1,1-$BMN3/HLOOKUP(BMT$3,[2]ARBOR_REAJUSTE18!$A:$AE,VLOOKUP($BMN$2,[2]ARBOR_REAJUSTE18!$A:$B,2,0),0))),"")&lt;0.01%,0.01%,(IFERROR(IF($BMN3="","",IF($BMN3=0,1,1-$BMN3/HLOOKUP(BMT$3,[2]ARBOR_REAJUSTE18!$A:$AE,VLOOKUP($BMN$2,[2]ARBOR_REAJUSTE18!$A:$B,2,0),0))),""))),4)</f>
        <v>9.3399999999999997E-2</v>
      </c>
      <c r="BMU3" s="44">
        <f ca="1">ROUNDUP(IF(IFERROR(IF($BMN3="","",IF($BMN3=0,1,1-$BMN3/HLOOKUP(BMU$3,[2]ARBOR_REAJUSTE18!$A:$AE,VLOOKUP($BMN$2,[2]ARBOR_REAJUSTE18!$A:$B,2,0),0))),"")&lt;0.01%,0.01%,(IFERROR(IF($BMN3="","",IF($BMN3=0,1,1-$BMN3/HLOOKUP(BMU$3,[2]ARBOR_REAJUSTE18!$A:$AE,VLOOKUP($BMN$2,[2]ARBOR_REAJUSTE18!$A:$B,2,0),0))),""))),4)</f>
        <v>9.3399999999999997E-2</v>
      </c>
      <c r="BMV3" s="44">
        <f ca="1">ROUNDUP(IF(IFERROR(IF($BMN3="","",IF($BMN3=0,1,1-$BMN3/HLOOKUP(BMV$3,[2]ARBOR_REAJUSTE18!$A:$AE,VLOOKUP($BMN$2,[2]ARBOR_REAJUSTE18!$A:$B,2,0),0))),"")&lt;0.01%,0.01%,(IFERROR(IF($BMN3="","",IF($BMN3=0,1,1-$BMN3/HLOOKUP(BMV$3,[2]ARBOR_REAJUSTE18!$A:$AE,VLOOKUP($BMN$2,[2]ARBOR_REAJUSTE18!$A:$B,2,0),0))),""))),4)</f>
        <v>9.3200000000000005E-2</v>
      </c>
      <c r="BMW3" s="44">
        <f ca="1">ROUNDUP(IF(IFERROR(IF($BMN3="","",IF($BMN3=0,1,1-$BMN3/HLOOKUP(BMW$3,[2]ARBOR_REAJUSTE18!$A:$AE,VLOOKUP($BMN$2,[2]ARBOR_REAJUSTE18!$A:$B,2,0),0))),"")&lt;0.01%,0.01%,(IFERROR(IF($BMN3="","",IF($BMN3=0,1,1-$BMN3/HLOOKUP(BMW$3,[2]ARBOR_REAJUSTE18!$A:$AE,VLOOKUP($BMN$2,[2]ARBOR_REAJUSTE18!$A:$B,2,0),0))),""))),4)</f>
        <v>9.3399999999999997E-2</v>
      </c>
      <c r="BMX3" s="44">
        <f ca="1">ROUNDUP(IF(IFERROR(IF($BMN3="","",IF($BMN3=0,1,1-$BMN3/HLOOKUP(BMX$3,[2]ARBOR_REAJUSTE18!$A:$AE,VLOOKUP($BMN$2,[2]ARBOR_REAJUSTE18!$A:$B,2,0),0))),"")&lt;0.01%,0.01%,(IFERROR(IF($BMN3="","",IF($BMN3=0,1,1-$BMN3/HLOOKUP(BMX$3,[2]ARBOR_REAJUSTE18!$A:$AE,VLOOKUP($BMN$2,[2]ARBOR_REAJUSTE18!$A:$B,2,0),0))),""))),4)</f>
        <v>9.3399999999999997E-2</v>
      </c>
      <c r="BMY3" s="44">
        <f ca="1">ROUNDUP(IF(IFERROR(IF($BMN3="","",IF($BMN3=0,1,1-$BMN3/HLOOKUP(BMY$3,[2]ARBOR_REAJUSTE18!$A:$AE,VLOOKUP($BMN$2,[2]ARBOR_REAJUSTE18!$A:$B,2,0),0))),"")&lt;0.01%,0.01%,(IFERROR(IF($BMN3="","",IF($BMN3=0,1,1-$BMN3/HLOOKUP(BMY$3,[2]ARBOR_REAJUSTE18!$A:$AE,VLOOKUP($BMN$2,[2]ARBOR_REAJUSTE18!$A:$B,2,0),0))),""))),4)</f>
        <v>9.3399999999999997E-2</v>
      </c>
      <c r="BMZ3" s="44">
        <f ca="1">ROUNDUP(IF(IFERROR(IF($BMN3="","",IF($BMN3=0,1,1-$BMN3/HLOOKUP(BMZ$3,[2]ARBOR_REAJUSTE18!$A:$AE,VLOOKUP($BMN$2,[2]ARBOR_REAJUSTE18!$A:$B,2,0),0))),"")&lt;0.01%,0.01%,(IFERROR(IF($BMN3="","",IF($BMN3=0,1,1-$BMN3/HLOOKUP(BMZ$3,[2]ARBOR_REAJUSTE18!$A:$AE,VLOOKUP($BMN$2,[2]ARBOR_REAJUSTE18!$A:$B,2,0),0))),""))),4)</f>
        <v>0.1258</v>
      </c>
      <c r="BNA3" s="44">
        <f ca="1">ROUNDUP(IF(IFERROR(IF($BMN3="","",IF($BMN3=0,1,1-$BMN3/HLOOKUP(BNA$3,[2]ARBOR_REAJUSTE18!$A:$AE,VLOOKUP($BMN$2,[2]ARBOR_REAJUSTE18!$A:$B,2,0),0))),"")&lt;0.01%,0.01%,(IFERROR(IF($BMN3="","",IF($BMN3=0,1,1-$BMN3/HLOOKUP(BNA$3,[2]ARBOR_REAJUSTE18!$A:$AE,VLOOKUP($BMN$2,[2]ARBOR_REAJUSTE18!$A:$B,2,0),0))),""))),4)</f>
        <v>9.3399999999999997E-2</v>
      </c>
      <c r="BNB3" s="44">
        <f ca="1">ROUNDUP(IF(IFERROR(IF($BMN3="","",IF($BMN3=0,1,1-$BMN3/HLOOKUP(BNB$3,[2]ARBOR_REAJUSTE18!$A:$AE,VLOOKUP($BMN$2,[2]ARBOR_REAJUSTE18!$A:$B,2,0),0))),"")&lt;0.01%,0.01%,(IFERROR(IF($BMN3="","",IF($BMN3=0,1,1-$BMN3/HLOOKUP(BNB$3,[2]ARBOR_REAJUSTE18!$A:$AE,VLOOKUP($BMN$2,[2]ARBOR_REAJUSTE18!$A:$B,2,0),0))),""))),4)</f>
        <v>9.3399999999999997E-2</v>
      </c>
      <c r="BNC3" s="44">
        <f ca="1">ROUNDUP(IF(IFERROR(IF($BMN3="","",IF($BMN3=0,1,1-$BMN3/HLOOKUP(BNC$3,[2]ARBOR_REAJUSTE18!$A:$AE,VLOOKUP($BMN$2,[2]ARBOR_REAJUSTE18!$A:$B,2,0),0))),"")&lt;0.01%,0.01%,(IFERROR(IF($BMN3="","",IF($BMN3=0,1,1-$BMN3/HLOOKUP(BNC$3,[2]ARBOR_REAJUSTE18!$A:$AE,VLOOKUP($BMN$2,[2]ARBOR_REAJUSTE18!$A:$B,2,0),0))),""))),4)</f>
        <v>9.3399999999999997E-2</v>
      </c>
      <c r="BND3" s="44">
        <f ca="1">ROUNDUP(IF(IFERROR(IF($BMN3="","",IF($BMN3=0,1,1-$BMN3/HLOOKUP(BND$3,[2]ARBOR_REAJUSTE18!$A:$AE,VLOOKUP($BMN$2,[2]ARBOR_REAJUSTE18!$A:$B,2,0),0))),"")&lt;0.01%,0.01%,(IFERROR(IF($BMN3="","",IF($BMN3=0,1,1-$BMN3/HLOOKUP(BND$3,[2]ARBOR_REAJUSTE18!$A:$AE,VLOOKUP($BMN$2,[2]ARBOR_REAJUSTE18!$A:$B,2,0),0))),""))),4)</f>
        <v>9.3399999999999997E-2</v>
      </c>
      <c r="BNE3" s="44">
        <f ca="1">ROUNDUP(IF(IFERROR(IF($BMN3="","",IF($BMN3=0,1,1-$BMN3/HLOOKUP(BNE$3,[2]ARBOR_REAJUSTE18!$A:$AE,VLOOKUP($BMN$2,[2]ARBOR_REAJUSTE18!$A:$B,2,0),0))),"")&lt;0.01%,0.01%,(IFERROR(IF($BMN3="","",IF($BMN3=0,1,1-$BMN3/HLOOKUP(BNE$3,[2]ARBOR_REAJUSTE18!$A:$AE,VLOOKUP($BMN$2,[2]ARBOR_REAJUSTE18!$A:$B,2,0),0))),""))),4)</f>
        <v>0.1051</v>
      </c>
      <c r="BNF3" s="44">
        <f ca="1">ROUNDUP(IF(IFERROR(IF($BMN3="","",IF($BMN3=0,1,1-$BMN3/HLOOKUP(BNF$3,[2]ARBOR_REAJUSTE18!$A:$AE,VLOOKUP($BMN$2,[2]ARBOR_REAJUSTE18!$A:$B,2,0),0))),"")&lt;0.01%,0.01%,(IFERROR(IF($BMN3="","",IF($BMN3=0,1,1-$BMN3/HLOOKUP(BNF$3,[2]ARBOR_REAJUSTE18!$A:$AE,VLOOKUP($BMN$2,[2]ARBOR_REAJUSTE18!$A:$B,2,0),0))),""))),4)</f>
        <v>9.3399999999999997E-2</v>
      </c>
      <c r="BNG3" s="44">
        <f ca="1">ROUNDUP(IF(IFERROR(IF($BMN3="","",IF($BMN3=0,1,1-$BMN3/HLOOKUP(BNG$3,[2]ARBOR_REAJUSTE18!$A:$AE,VLOOKUP($BMN$2,[2]ARBOR_REAJUSTE18!$A:$B,2,0),0))),"")&lt;0.01%,0.01%,(IFERROR(IF($BMN3="","",IF($BMN3=0,1,1-$BMN3/HLOOKUP(BNG$3,[2]ARBOR_REAJUSTE18!$A:$AE,VLOOKUP($BMN$2,[2]ARBOR_REAJUSTE18!$A:$B,2,0),0))),""))),4)</f>
        <v>9.3399999999999997E-2</v>
      </c>
      <c r="BNH3" s="44">
        <f ca="1">ROUNDUP(IF(IFERROR(IF($BMN3="","",IF($BMN3=0,1,1-$BMN3/HLOOKUP(BNH$3,[2]ARBOR_REAJUSTE18!$A:$AE,VLOOKUP($BMN$2,[2]ARBOR_REAJUSTE18!$A:$B,2,0),0))),"")&lt;0.01%,0.01%,(IFERROR(IF($BMN3="","",IF($BMN3=0,1,1-$BMN3/HLOOKUP(BNH$3,[2]ARBOR_REAJUSTE18!$A:$AE,VLOOKUP($BMN$2,[2]ARBOR_REAJUSTE18!$A:$B,2,0),0))),""))),4)</f>
        <v>9.3399999999999997E-2</v>
      </c>
      <c r="BNI3" s="44">
        <f ca="1">ROUNDUP(IF(IFERROR(IF($BMN3="","",IF($BMN3=0,1,1-$BMN3/HLOOKUP(BNI$3,[2]ARBOR_REAJUSTE18!$A:$AE,VLOOKUP($BMN$2,[2]ARBOR_REAJUSTE18!$A:$B,2,0),0))),"")&lt;0.01%,0.01%,(IFERROR(IF($BMN3="","",IF($BMN3=0,1,1-$BMN3/HLOOKUP(BNI$3,[2]ARBOR_REAJUSTE18!$A:$AE,VLOOKUP($BMN$2,[2]ARBOR_REAJUSTE18!$A:$B,2,0),0))),""))),4)</f>
        <v>0.1255</v>
      </c>
      <c r="BNJ3" s="44">
        <f ca="1">ROUNDUP(IF(IFERROR(IF($BMN3="","",IF($BMN3=0,1,1-$BMN3/HLOOKUP(BNJ$3,[2]ARBOR_REAJUSTE18!$A:$AE,VLOOKUP($BMN$2,[2]ARBOR_REAJUSTE18!$A:$B,2,0),0))),"")&lt;0.01%,0.01%,(IFERROR(IF($BMN3="","",IF($BMN3=0,1,1-$BMN3/HLOOKUP(BNJ$3,[2]ARBOR_REAJUSTE18!$A:$AE,VLOOKUP($BMN$2,[2]ARBOR_REAJUSTE18!$A:$B,2,0),0))),""))),4)</f>
        <v>9.3399999999999997E-2</v>
      </c>
      <c r="BNK3" s="44">
        <f ca="1">ROUNDUP(IF(IFERROR(IF($BMN3="","",IF($BMN3=0,1,1-$BMN3/HLOOKUP(BNK$3,[2]ARBOR_REAJUSTE18!$A:$AE,VLOOKUP($BMN$2,[2]ARBOR_REAJUSTE18!$A:$B,2,0),0))),"")&lt;0.01%,0.01%,(IFERROR(IF($BMN3="","",IF($BMN3=0,1,1-$BMN3/HLOOKUP(BNK$3,[2]ARBOR_REAJUSTE18!$A:$AE,VLOOKUP($BMN$2,[2]ARBOR_REAJUSTE18!$A:$B,2,0),0))),""))),4)</f>
        <v>9.3399999999999997E-2</v>
      </c>
      <c r="BNL3" s="44">
        <f ca="1">ROUNDUP(IF(IFERROR(IF($BMN3="","",IF($BMN3=0,1,1-$BMN3/HLOOKUP(BNL$3,[2]ARBOR_REAJUSTE18!$A:$AE,VLOOKUP($BMN$2,[2]ARBOR_REAJUSTE18!$A:$B,2,0),0))),"")&lt;0.01%,0.01%,(IFERROR(IF($BMN3="","",IF($BMN3=0,1,1-$BMN3/HLOOKUP(BNL$3,[2]ARBOR_REAJUSTE18!$A:$AE,VLOOKUP($BMN$2,[2]ARBOR_REAJUSTE18!$A:$B,2,0),0))),""))),4)</f>
        <v>9.3399999999999997E-2</v>
      </c>
      <c r="BNM3" s="44">
        <f ca="1">ROUNDUP(IF(IFERROR(IF($BMN3="","",IF($BMN3=0,1,1-$BMN3/HLOOKUP(BNM$3,[2]ARBOR_REAJUSTE18!$A:$AE,VLOOKUP($BMN$2,[2]ARBOR_REAJUSTE18!$A:$B,2,0),0))),"")&lt;0.01%,0.01%,(IFERROR(IF($BMN3="","",IF($BMN3=0,1,1-$BMN3/HLOOKUP(BNM$3,[2]ARBOR_REAJUSTE18!$A:$AE,VLOOKUP($BMN$2,[2]ARBOR_REAJUSTE18!$A:$B,2,0),0))),""))),4)</f>
        <v>9.3399999999999997E-2</v>
      </c>
      <c r="BNN3" s="44">
        <f ca="1">ROUNDUP(IF(IFERROR(IF($BMN3="","",IF($BMN3=0,1,1-$BMN3/HLOOKUP(BNN$3,[2]ARBOR_REAJUSTE18!$A:$AE,VLOOKUP($BMN$2,[2]ARBOR_REAJUSTE18!$A:$B,2,0),0))),"")&lt;0.01%,0.01%,(IFERROR(IF($BMN3="","",IF($BMN3=0,1,1-$BMN3/HLOOKUP(BNN$3,[2]ARBOR_REAJUSTE18!$A:$AE,VLOOKUP($BMN$2,[2]ARBOR_REAJUSTE18!$A:$B,2,0),0))),""))),4)</f>
        <v>9.3399999999999997E-2</v>
      </c>
      <c r="BNO3" s="44">
        <f ca="1">ROUNDUP(IF(IFERROR(IF($BMN3="","",IF($BMN3=0,1,1-$BMN3/HLOOKUP(BNO$3,[2]ARBOR_REAJUSTE18!$A:$AE,VLOOKUP($BMN$2,[2]ARBOR_REAJUSTE18!$A:$B,2,0),0))),"")&lt;0.01%,0.01%,(IFERROR(IF($BMN3="","",IF($BMN3=0,1,1-$BMN3/HLOOKUP(BNO$3,[2]ARBOR_REAJUSTE18!$A:$AE,VLOOKUP($BMN$2,[2]ARBOR_REAJUSTE18!$A:$B,2,0),0))),""))),4)</f>
        <v>0.11410000000000001</v>
      </c>
      <c r="BNP3" s="44">
        <f ca="1">ROUNDUP(IF(IFERROR(IF($BMN3="","",IF($BMN3=0,1,1-$BMN3/HLOOKUP(BNP$3,[2]ARBOR_REAJUSTE18!$A:$AE,VLOOKUP($BMN$2,[2]ARBOR_REAJUSTE18!$A:$B,2,0),0))),"")&lt;0.01%,0.01%,(IFERROR(IF($BMN3="","",IF($BMN3=0,1,1-$BMN3/HLOOKUP(BNP$3,[2]ARBOR_REAJUSTE18!$A:$AE,VLOOKUP($BMN$2,[2]ARBOR_REAJUSTE18!$A:$B,2,0),0))),""))),4)</f>
        <v>9.3399999999999997E-2</v>
      </c>
      <c r="BNQ3" s="56">
        <v>14.9</v>
      </c>
      <c r="BNR3" s="64" t="str">
        <f ca="1">VLOOKUP($AV3&amp;BNS3&amp;"Template desconto % SexPrivê nível conta",[2]BENEFICIOS!$A:$G,5,0)</f>
        <v>MKT-1-10624289961</v>
      </c>
      <c r="BNS3" s="44">
        <f ca="1">ROUNDUP(IF(IFERROR(IF($BNQ3="","",IF($BNQ3=0,1,1-$BNQ3/HLOOKUP(BNS$3,[2]ARBOR_REAJUSTE18!$A:$AE,VLOOKUP($BNQ$2,[2]ARBOR_REAJUSTE18!$A:$B,2,0),0))),"")&lt;0.01%,0.01%,(IFERROR(IF($BNQ3="","",IF($BNQ3=0,1,1-$BNQ3/HLOOKUP(BNS$3,[2]ARBOR_REAJUSTE18!$A:$AE,VLOOKUP($BNQ$2,[2]ARBOR_REAJUSTE18!$A:$B,2,0),0))),""))),4)</f>
        <v>9.3200000000000005E-2</v>
      </c>
      <c r="BNT3" s="44">
        <f ca="1">ROUNDUP(IF(IFERROR(IF($BNQ3="","",IF($BNQ3=0,1,1-$BNQ3/HLOOKUP(BNT$3,[2]ARBOR_REAJUSTE18!$A:$AE,VLOOKUP($BNQ$2,[2]ARBOR_REAJUSTE18!$A:$B,2,0),0))),"")&lt;0.01%,0.01%,(IFERROR(IF($BNQ3="","",IF($BNQ3=0,1,1-$BNQ3/HLOOKUP(BNT$3,[2]ARBOR_REAJUSTE18!$A:$AE,VLOOKUP($BNQ$2,[2]ARBOR_REAJUSTE18!$A:$B,2,0),0))),""))),4)</f>
        <v>9.3200000000000005E-2</v>
      </c>
      <c r="BNU3" s="44">
        <f ca="1">ROUNDUP(IF(IFERROR(IF($BNQ3="","",IF($BNQ3=0,1,1-$BNQ3/HLOOKUP(BNU$3,[2]ARBOR_REAJUSTE18!$A:$AE,VLOOKUP($BNQ$2,[2]ARBOR_REAJUSTE18!$A:$B,2,0),0))),"")&lt;0.01%,0.01%,(IFERROR(IF($BNQ3="","",IF($BNQ3=0,1,1-$BNQ3/HLOOKUP(BNU$3,[2]ARBOR_REAJUSTE18!$A:$AE,VLOOKUP($BNQ$2,[2]ARBOR_REAJUSTE18!$A:$B,2,0),0))),""))),4)</f>
        <v>9.3200000000000005E-2</v>
      </c>
      <c r="BNV3" s="44">
        <f ca="1">ROUNDUP(IF(IFERROR(IF($BNQ3="","",IF($BNQ3=0,1,1-$BNQ3/HLOOKUP(BNV$3,[2]ARBOR_REAJUSTE18!$A:$AE,VLOOKUP($BNQ$2,[2]ARBOR_REAJUSTE18!$A:$B,2,0),0))),"")&lt;0.01%,0.01%,(IFERROR(IF($BNQ3="","",IF($BNQ3=0,1,1-$BNQ3/HLOOKUP(BNV$3,[2]ARBOR_REAJUSTE18!$A:$AE,VLOOKUP($BNQ$2,[2]ARBOR_REAJUSTE18!$A:$B,2,0),0))),""))),4)</f>
        <v>9.3200000000000005E-2</v>
      </c>
      <c r="BNW3" s="44">
        <f ca="1">ROUNDUP(IF(IFERROR(IF($BNQ3="","",IF($BNQ3=0,1,1-$BNQ3/HLOOKUP(BNW$3,[2]ARBOR_REAJUSTE18!$A:$AE,VLOOKUP($BNQ$2,[2]ARBOR_REAJUSTE18!$A:$B,2,0),0))),"")&lt;0.01%,0.01%,(IFERROR(IF($BNQ3="","",IF($BNQ3=0,1,1-$BNQ3/HLOOKUP(BNW$3,[2]ARBOR_REAJUSTE18!$A:$AE,VLOOKUP($BNQ$2,[2]ARBOR_REAJUSTE18!$A:$B,2,0),0))),""))),4)</f>
        <v>9.3200000000000005E-2</v>
      </c>
      <c r="BNX3" s="44">
        <f ca="1">ROUNDUP(IF(IFERROR(IF($BNQ3="","",IF($BNQ3=0,1,1-$BNQ3/HLOOKUP(BNX$3,[2]ARBOR_REAJUSTE18!$A:$AE,VLOOKUP($BNQ$2,[2]ARBOR_REAJUSTE18!$A:$B,2,0),0))),"")&lt;0.01%,0.01%,(IFERROR(IF($BNQ3="","",IF($BNQ3=0,1,1-$BNQ3/HLOOKUP(BNX$3,[2]ARBOR_REAJUSTE18!$A:$AE,VLOOKUP($BNQ$2,[2]ARBOR_REAJUSTE18!$A:$B,2,0),0))),""))),4)</f>
        <v>9.3200000000000005E-2</v>
      </c>
      <c r="BNY3" s="44">
        <f ca="1">ROUNDUP(IF(IFERROR(IF($BNQ3="","",IF($BNQ3=0,1,1-$BNQ3/HLOOKUP(BNY$3,[2]ARBOR_REAJUSTE18!$A:$AE,VLOOKUP($BNQ$2,[2]ARBOR_REAJUSTE18!$A:$B,2,0),0))),"")&lt;0.01%,0.01%,(IFERROR(IF($BNQ3="","",IF($BNQ3=0,1,1-$BNQ3/HLOOKUP(BNY$3,[2]ARBOR_REAJUSTE18!$A:$AE,VLOOKUP($BNQ$2,[2]ARBOR_REAJUSTE18!$A:$B,2,0),0))),""))),4)</f>
        <v>9.2600000000000002E-2</v>
      </c>
      <c r="BNZ3" s="44">
        <f ca="1">ROUNDUP(IF(IFERROR(IF($BNQ3="","",IF($BNQ3=0,1,1-$BNQ3/HLOOKUP(BNZ$3,[2]ARBOR_REAJUSTE18!$A:$AE,VLOOKUP($BNQ$2,[2]ARBOR_REAJUSTE18!$A:$B,2,0),0))),"")&lt;0.01%,0.01%,(IFERROR(IF($BNQ3="","",IF($BNQ3=0,1,1-$BNQ3/HLOOKUP(BNZ$3,[2]ARBOR_REAJUSTE18!$A:$AE,VLOOKUP($BNQ$2,[2]ARBOR_REAJUSTE18!$A:$B,2,0),0))),""))),4)</f>
        <v>9.3200000000000005E-2</v>
      </c>
      <c r="BOA3" s="44">
        <f ca="1">ROUNDUP(IF(IFERROR(IF($BNQ3="","",IF($BNQ3=0,1,1-$BNQ3/HLOOKUP(BOA$3,[2]ARBOR_REAJUSTE18!$A:$AE,VLOOKUP($BNQ$2,[2]ARBOR_REAJUSTE18!$A:$B,2,0),0))),"")&lt;0.01%,0.01%,(IFERROR(IF($BNQ3="","",IF($BNQ3=0,1,1-$BNQ3/HLOOKUP(BOA$3,[2]ARBOR_REAJUSTE18!$A:$AE,VLOOKUP($BNQ$2,[2]ARBOR_REAJUSTE18!$A:$B,2,0),0))),""))),4)</f>
        <v>9.3200000000000005E-2</v>
      </c>
      <c r="BOB3" s="44">
        <f ca="1">ROUNDUP(IF(IFERROR(IF($BNQ3="","",IF($BNQ3=0,1,1-$BNQ3/HLOOKUP(BOB$3,[2]ARBOR_REAJUSTE18!$A:$AE,VLOOKUP($BNQ$2,[2]ARBOR_REAJUSTE18!$A:$B,2,0),0))),"")&lt;0.01%,0.01%,(IFERROR(IF($BNQ3="","",IF($BNQ3=0,1,1-$BNQ3/HLOOKUP(BOB$3,[2]ARBOR_REAJUSTE18!$A:$AE,VLOOKUP($BNQ$2,[2]ARBOR_REAJUSTE18!$A:$B,2,0),0))),""))),4)</f>
        <v>9.3200000000000005E-2</v>
      </c>
      <c r="BOC3" s="44">
        <f ca="1">ROUNDUP(IF(IFERROR(IF($BNQ3="","",IF($BNQ3=0,1,1-$BNQ3/HLOOKUP(BOC$3,[2]ARBOR_REAJUSTE18!$A:$AE,VLOOKUP($BNQ$2,[2]ARBOR_REAJUSTE18!$A:$B,2,0),0))),"")&lt;0.01%,0.01%,(IFERROR(IF($BNQ3="","",IF($BNQ3=0,1,1-$BNQ3/HLOOKUP(BOC$3,[2]ARBOR_REAJUSTE18!$A:$AE,VLOOKUP($BNQ$2,[2]ARBOR_REAJUSTE18!$A:$B,2,0),0))),""))),4)</f>
        <v>0.12509999999999999</v>
      </c>
      <c r="BOD3" s="44">
        <f ca="1">ROUNDUP(IF(IFERROR(IF($BNQ3="","",IF($BNQ3=0,1,1-$BNQ3/HLOOKUP(BOD$3,[2]ARBOR_REAJUSTE18!$A:$AE,VLOOKUP($BNQ$2,[2]ARBOR_REAJUSTE18!$A:$B,2,0),0))),"")&lt;0.01%,0.01%,(IFERROR(IF($BNQ3="","",IF($BNQ3=0,1,1-$BNQ3/HLOOKUP(BOD$3,[2]ARBOR_REAJUSTE18!$A:$AE,VLOOKUP($BNQ$2,[2]ARBOR_REAJUSTE18!$A:$B,2,0),0))),""))),4)</f>
        <v>9.3200000000000005E-2</v>
      </c>
      <c r="BOE3" s="44">
        <f ca="1">ROUNDUP(IF(IFERROR(IF($BNQ3="","",IF($BNQ3=0,1,1-$BNQ3/HLOOKUP(BOE$3,[2]ARBOR_REAJUSTE18!$A:$AE,VLOOKUP($BNQ$2,[2]ARBOR_REAJUSTE18!$A:$B,2,0),0))),"")&lt;0.01%,0.01%,(IFERROR(IF($BNQ3="","",IF($BNQ3=0,1,1-$BNQ3/HLOOKUP(BOE$3,[2]ARBOR_REAJUSTE18!$A:$AE,VLOOKUP($BNQ$2,[2]ARBOR_REAJUSTE18!$A:$B,2,0),0))),""))),4)</f>
        <v>9.3200000000000005E-2</v>
      </c>
      <c r="BOF3" s="44">
        <f ca="1">ROUNDUP(IF(IFERROR(IF($BNQ3="","",IF($BNQ3=0,1,1-$BNQ3/HLOOKUP(BOF$3,[2]ARBOR_REAJUSTE18!$A:$AE,VLOOKUP($BNQ$2,[2]ARBOR_REAJUSTE18!$A:$B,2,0),0))),"")&lt;0.01%,0.01%,(IFERROR(IF($BNQ3="","",IF($BNQ3=0,1,1-$BNQ3/HLOOKUP(BOF$3,[2]ARBOR_REAJUSTE18!$A:$AE,VLOOKUP($BNQ$2,[2]ARBOR_REAJUSTE18!$A:$B,2,0),0))),""))),4)</f>
        <v>9.3200000000000005E-2</v>
      </c>
      <c r="BOG3" s="44">
        <f ca="1">ROUNDUP(IF(IFERROR(IF($BNQ3="","",IF($BNQ3=0,1,1-$BNQ3/HLOOKUP(BOG$3,[2]ARBOR_REAJUSTE18!$A:$AE,VLOOKUP($BNQ$2,[2]ARBOR_REAJUSTE18!$A:$B,2,0),0))),"")&lt;0.01%,0.01%,(IFERROR(IF($BNQ3="","",IF($BNQ3=0,1,1-$BNQ3/HLOOKUP(BOG$3,[2]ARBOR_REAJUSTE18!$A:$AE,VLOOKUP($BNQ$2,[2]ARBOR_REAJUSTE18!$A:$B,2,0),0))),""))),4)</f>
        <v>9.3200000000000005E-2</v>
      </c>
      <c r="BOH3" s="44">
        <f ca="1">ROUNDUP(IF(IFERROR(IF($BNQ3="","",IF($BNQ3=0,1,1-$BNQ3/HLOOKUP(BOH$3,[2]ARBOR_REAJUSTE18!$A:$AE,VLOOKUP($BNQ$2,[2]ARBOR_REAJUSTE18!$A:$B,2,0),0))),"")&lt;0.01%,0.01%,(IFERROR(IF($BNQ3="","",IF($BNQ3=0,1,1-$BNQ3/HLOOKUP(BOH$3,[2]ARBOR_REAJUSTE18!$A:$AE,VLOOKUP($BNQ$2,[2]ARBOR_REAJUSTE18!$A:$B,2,0),0))),""))),4)</f>
        <v>0.1046</v>
      </c>
      <c r="BOI3" s="44">
        <f ca="1">ROUNDUP(IF(IFERROR(IF($BNQ3="","",IF($BNQ3=0,1,1-$BNQ3/HLOOKUP(BOI$3,[2]ARBOR_REAJUSTE18!$A:$AE,VLOOKUP($BNQ$2,[2]ARBOR_REAJUSTE18!$A:$B,2,0),0))),"")&lt;0.01%,0.01%,(IFERROR(IF($BNQ3="","",IF($BNQ3=0,1,1-$BNQ3/HLOOKUP(BOI$3,[2]ARBOR_REAJUSTE18!$A:$AE,VLOOKUP($BNQ$2,[2]ARBOR_REAJUSTE18!$A:$B,2,0),0))),""))),4)</f>
        <v>9.3200000000000005E-2</v>
      </c>
      <c r="BOJ3" s="44">
        <f ca="1">ROUNDUP(IF(IFERROR(IF($BNQ3="","",IF($BNQ3=0,1,1-$BNQ3/HLOOKUP(BOJ$3,[2]ARBOR_REAJUSTE18!$A:$AE,VLOOKUP($BNQ$2,[2]ARBOR_REAJUSTE18!$A:$B,2,0),0))),"")&lt;0.01%,0.01%,(IFERROR(IF($BNQ3="","",IF($BNQ3=0,1,1-$BNQ3/HLOOKUP(BOJ$3,[2]ARBOR_REAJUSTE18!$A:$AE,VLOOKUP($BNQ$2,[2]ARBOR_REAJUSTE18!$A:$B,2,0),0))),""))),4)</f>
        <v>9.3200000000000005E-2</v>
      </c>
      <c r="BOK3" s="44">
        <f ca="1">ROUNDUP(IF(IFERROR(IF($BNQ3="","",IF($BNQ3=0,1,1-$BNQ3/HLOOKUP(BOK$3,[2]ARBOR_REAJUSTE18!$A:$AE,VLOOKUP($BNQ$2,[2]ARBOR_REAJUSTE18!$A:$B,2,0),0))),"")&lt;0.01%,0.01%,(IFERROR(IF($BNQ3="","",IF($BNQ3=0,1,1-$BNQ3/HLOOKUP(BOK$3,[2]ARBOR_REAJUSTE18!$A:$AE,VLOOKUP($BNQ$2,[2]ARBOR_REAJUSTE18!$A:$B,2,0),0))),""))),4)</f>
        <v>9.3200000000000005E-2</v>
      </c>
      <c r="BOL3" s="44">
        <f ca="1">ROUNDUP(IF(IFERROR(IF($BNQ3="","",IF($BNQ3=0,1,1-$BNQ3/HLOOKUP(BOL$3,[2]ARBOR_REAJUSTE18!$A:$AE,VLOOKUP($BNQ$2,[2]ARBOR_REAJUSTE18!$A:$B,2,0),0))),"")&lt;0.01%,0.01%,(IFERROR(IF($BNQ3="","",IF($BNQ3=0,1,1-$BNQ3/HLOOKUP(BOL$3,[2]ARBOR_REAJUSTE18!$A:$AE,VLOOKUP($BNQ$2,[2]ARBOR_REAJUSTE18!$A:$B,2,0),0))),""))),4)</f>
        <v>0.12509999999999999</v>
      </c>
      <c r="BOM3" s="44">
        <f ca="1">ROUNDUP(IF(IFERROR(IF($BNQ3="","",IF($BNQ3=0,1,1-$BNQ3/HLOOKUP(BOM$3,[2]ARBOR_REAJUSTE18!$A:$AE,VLOOKUP($BNQ$2,[2]ARBOR_REAJUSTE18!$A:$B,2,0),0))),"")&lt;0.01%,0.01%,(IFERROR(IF($BNQ3="","",IF($BNQ3=0,1,1-$BNQ3/HLOOKUP(BOM$3,[2]ARBOR_REAJUSTE18!$A:$AE,VLOOKUP($BNQ$2,[2]ARBOR_REAJUSTE18!$A:$B,2,0),0))),""))),4)</f>
        <v>9.3200000000000005E-2</v>
      </c>
      <c r="BON3" s="44">
        <f ca="1">ROUNDUP(IF(IFERROR(IF($BNQ3="","",IF($BNQ3=0,1,1-$BNQ3/HLOOKUP(BON$3,[2]ARBOR_REAJUSTE18!$A:$AE,VLOOKUP($BNQ$2,[2]ARBOR_REAJUSTE18!$A:$B,2,0),0))),"")&lt;0.01%,0.01%,(IFERROR(IF($BNQ3="","",IF($BNQ3=0,1,1-$BNQ3/HLOOKUP(BON$3,[2]ARBOR_REAJUSTE18!$A:$AE,VLOOKUP($BNQ$2,[2]ARBOR_REAJUSTE18!$A:$B,2,0),0))),""))),4)</f>
        <v>9.3200000000000005E-2</v>
      </c>
      <c r="BOO3" s="44">
        <f ca="1">ROUNDUP(IF(IFERROR(IF($BNQ3="","",IF($BNQ3=0,1,1-$BNQ3/HLOOKUP(BOO$3,[2]ARBOR_REAJUSTE18!$A:$AE,VLOOKUP($BNQ$2,[2]ARBOR_REAJUSTE18!$A:$B,2,0),0))),"")&lt;0.01%,0.01%,(IFERROR(IF($BNQ3="","",IF($BNQ3=0,1,1-$BNQ3/HLOOKUP(BOO$3,[2]ARBOR_REAJUSTE18!$A:$AE,VLOOKUP($BNQ$2,[2]ARBOR_REAJUSTE18!$A:$B,2,0),0))),""))),4)</f>
        <v>9.3200000000000005E-2</v>
      </c>
      <c r="BOP3" s="44">
        <f ca="1">ROUNDUP(IF(IFERROR(IF($BNQ3="","",IF($BNQ3=0,1,1-$BNQ3/HLOOKUP(BOP$3,[2]ARBOR_REAJUSTE18!$A:$AE,VLOOKUP($BNQ$2,[2]ARBOR_REAJUSTE18!$A:$B,2,0),0))),"")&lt;0.01%,0.01%,(IFERROR(IF($BNQ3="","",IF($BNQ3=0,1,1-$BNQ3/HLOOKUP(BOP$3,[2]ARBOR_REAJUSTE18!$A:$AE,VLOOKUP($BNQ$2,[2]ARBOR_REAJUSTE18!$A:$B,2,0),0))),""))),4)</f>
        <v>9.3200000000000005E-2</v>
      </c>
      <c r="BOQ3" s="44">
        <f ca="1">ROUNDUP(IF(IFERROR(IF($BNQ3="","",IF($BNQ3=0,1,1-$BNQ3/HLOOKUP(BOQ$3,[2]ARBOR_REAJUSTE18!$A:$AE,VLOOKUP($BNQ$2,[2]ARBOR_REAJUSTE18!$A:$B,2,0),0))),"")&lt;0.01%,0.01%,(IFERROR(IF($BNQ3="","",IF($BNQ3=0,1,1-$BNQ3/HLOOKUP(BOQ$3,[2]ARBOR_REAJUSTE18!$A:$AE,VLOOKUP($BNQ$2,[2]ARBOR_REAJUSTE18!$A:$B,2,0),0))),""))),4)</f>
        <v>9.3200000000000005E-2</v>
      </c>
      <c r="BOR3" s="44">
        <f ca="1">ROUNDUP(IF(IFERROR(IF($BNQ3="","",IF($BNQ3=0,1,1-$BNQ3/HLOOKUP(BOR$3,[2]ARBOR_REAJUSTE18!$A:$AE,VLOOKUP($BNQ$2,[2]ARBOR_REAJUSTE18!$A:$B,2,0),0))),"")&lt;0.01%,0.01%,(IFERROR(IF($BNQ3="","",IF($BNQ3=0,1,1-$BNQ3/HLOOKUP(BOR$3,[2]ARBOR_REAJUSTE18!$A:$AE,VLOOKUP($BNQ$2,[2]ARBOR_REAJUSTE18!$A:$B,2,0),0))),""))),4)</f>
        <v>0.1142</v>
      </c>
      <c r="BOS3" s="44">
        <f ca="1">ROUNDUP(IF(IFERROR(IF($BNQ3="","",IF($BNQ3=0,1,1-$BNQ3/HLOOKUP(BOS$3,[2]ARBOR_REAJUSTE18!$A:$AE,VLOOKUP($BNQ$2,[2]ARBOR_REAJUSTE18!$A:$B,2,0),0))),"")&lt;0.01%,0.01%,(IFERROR(IF($BNQ3="","",IF($BNQ3=0,1,1-$BNQ3/HLOOKUP(BOS$3,[2]ARBOR_REAJUSTE18!$A:$AE,VLOOKUP($BNQ$2,[2]ARBOR_REAJUSTE18!$A:$B,2,0),0))),""))),4)</f>
        <v>9.3200000000000005E-2</v>
      </c>
      <c r="BOT3" s="56"/>
      <c r="BOU3" s="56" t="s">
        <v>261</v>
      </c>
      <c r="BOV3" s="44" t="e">
        <f>ROUNDUP(IF(IFERROR(IF($BOT3="","",IF($BOT3=0,1,1-$BOT3/HLOOKUP(BOV$3,[2]ARBOR_REAJUSTE18!$A:$AE,VLOOKUP($BOT$2,[2]ARBOR_REAJUSTE18!$A:$B,2,0),0))),"")&lt;0.01%,0.01%,(IFERROR(IF($BOT3="","",IF($BOT3=0,1,1-$BOT3/HLOOKUP(BOV$3,[2]ARBOR_REAJUSTE18!$A:$AE,VLOOKUP($BOT$2,[2]ARBOR_REAJUSTE18!$A:$B,2,0),0))),""))),4)</f>
        <v>#VALUE!</v>
      </c>
      <c r="BOW3" s="44" t="e">
        <f>ROUNDUP(IF(IFERROR(IF($BOT3="","",IF($BOT3=0,1,1-$BOT3/HLOOKUP(BOW$3,[2]ARBOR_REAJUSTE18!$A:$AE,VLOOKUP($BOT$2,[2]ARBOR_REAJUSTE18!$A:$B,2,0),0))),"")&lt;0.01%,0.01%,(IFERROR(IF($BOT3="","",IF($BOT3=0,1,1-$BOT3/HLOOKUP(BOW$3,[2]ARBOR_REAJUSTE18!$A:$AE,VLOOKUP($BOT$2,[2]ARBOR_REAJUSTE18!$A:$B,2,0),0))),""))),4)</f>
        <v>#VALUE!</v>
      </c>
      <c r="BOX3" s="44" t="e">
        <f>ROUNDUP(IF(IFERROR(IF($BOT3="","",IF($BOT3=0,1,1-$BOT3/HLOOKUP(BOX$3,[2]ARBOR_REAJUSTE18!$A:$AE,VLOOKUP($BOT$2,[2]ARBOR_REAJUSTE18!$A:$B,2,0),0))),"")&lt;0.01%,0.01%,(IFERROR(IF($BOT3="","",IF($BOT3=0,1,1-$BOT3/HLOOKUP(BOX$3,[2]ARBOR_REAJUSTE18!$A:$AE,VLOOKUP($BOT$2,[2]ARBOR_REAJUSTE18!$A:$B,2,0),0))),""))),4)</f>
        <v>#VALUE!</v>
      </c>
      <c r="BOY3" s="44" t="e">
        <f>ROUNDUP(IF(IFERROR(IF($BOT3="","",IF($BOT3=0,1,1-$BOT3/HLOOKUP(BOY$3,[2]ARBOR_REAJUSTE18!$A:$AE,VLOOKUP($BOT$2,[2]ARBOR_REAJUSTE18!$A:$B,2,0),0))),"")&lt;0.01%,0.01%,(IFERROR(IF($BOT3="","",IF($BOT3=0,1,1-$BOT3/HLOOKUP(BOY$3,[2]ARBOR_REAJUSTE18!$A:$AE,VLOOKUP($BOT$2,[2]ARBOR_REAJUSTE18!$A:$B,2,0),0))),""))),4)</f>
        <v>#VALUE!</v>
      </c>
      <c r="BOZ3" s="44" t="e">
        <f>ROUNDUP(IF(IFERROR(IF($BOT3="","",IF($BOT3=0,1,1-$BOT3/HLOOKUP(BOZ$3,[2]ARBOR_REAJUSTE18!$A:$AE,VLOOKUP($BOT$2,[2]ARBOR_REAJUSTE18!$A:$B,2,0),0))),"")&lt;0.01%,0.01%,(IFERROR(IF($BOT3="","",IF($BOT3=0,1,1-$BOT3/HLOOKUP(BOZ$3,[2]ARBOR_REAJUSTE18!$A:$AE,VLOOKUP($BOT$2,[2]ARBOR_REAJUSTE18!$A:$B,2,0),0))),""))),4)</f>
        <v>#VALUE!</v>
      </c>
      <c r="BPA3" s="44" t="e">
        <f>ROUNDUP(IF(IFERROR(IF($BOT3="","",IF($BOT3=0,1,1-$BOT3/HLOOKUP(BPA$3,[2]ARBOR_REAJUSTE18!$A:$AE,VLOOKUP($BOT$2,[2]ARBOR_REAJUSTE18!$A:$B,2,0),0))),"")&lt;0.01%,0.01%,(IFERROR(IF($BOT3="","",IF($BOT3=0,1,1-$BOT3/HLOOKUP(BPA$3,[2]ARBOR_REAJUSTE18!$A:$AE,VLOOKUP($BOT$2,[2]ARBOR_REAJUSTE18!$A:$B,2,0),0))),""))),4)</f>
        <v>#VALUE!</v>
      </c>
      <c r="BPB3" s="44" t="e">
        <f>ROUNDUP(IF(IFERROR(IF($BOT3="","",IF($BOT3=0,1,1-$BOT3/HLOOKUP(BPB$3,[2]ARBOR_REAJUSTE18!$A:$AE,VLOOKUP($BOT$2,[2]ARBOR_REAJUSTE18!$A:$B,2,0),0))),"")&lt;0.01%,0.01%,(IFERROR(IF($BOT3="","",IF($BOT3=0,1,1-$BOT3/HLOOKUP(BPB$3,[2]ARBOR_REAJUSTE18!$A:$AE,VLOOKUP($BOT$2,[2]ARBOR_REAJUSTE18!$A:$B,2,0),0))),""))),4)</f>
        <v>#VALUE!</v>
      </c>
      <c r="BPC3" s="44" t="e">
        <f>ROUNDUP(IF(IFERROR(IF($BOT3="","",IF($BOT3=0,1,1-$BOT3/HLOOKUP(BPC$3,[2]ARBOR_REAJUSTE18!$A:$AE,VLOOKUP($BOT$2,[2]ARBOR_REAJUSTE18!$A:$B,2,0),0))),"")&lt;0.01%,0.01%,(IFERROR(IF($BOT3="","",IF($BOT3=0,1,1-$BOT3/HLOOKUP(BPC$3,[2]ARBOR_REAJUSTE18!$A:$AE,VLOOKUP($BOT$2,[2]ARBOR_REAJUSTE18!$A:$B,2,0),0))),""))),4)</f>
        <v>#VALUE!</v>
      </c>
      <c r="BPD3" s="44" t="e">
        <f>ROUNDUP(IF(IFERROR(IF($BOT3="","",IF($BOT3=0,1,1-$BOT3/HLOOKUP(BPD$3,[2]ARBOR_REAJUSTE18!$A:$AE,VLOOKUP($BOT$2,[2]ARBOR_REAJUSTE18!$A:$B,2,0),0))),"")&lt;0.01%,0.01%,(IFERROR(IF($BOT3="","",IF($BOT3=0,1,1-$BOT3/HLOOKUP(BPD$3,[2]ARBOR_REAJUSTE18!$A:$AE,VLOOKUP($BOT$2,[2]ARBOR_REAJUSTE18!$A:$B,2,0),0))),""))),4)</f>
        <v>#VALUE!</v>
      </c>
      <c r="BPE3" s="44" t="e">
        <f>ROUNDUP(IF(IFERROR(IF($BOT3="","",IF($BOT3=0,1,1-$BOT3/HLOOKUP(BPE$3,[2]ARBOR_REAJUSTE18!$A:$AE,VLOOKUP($BOT$2,[2]ARBOR_REAJUSTE18!$A:$B,2,0),0))),"")&lt;0.01%,0.01%,(IFERROR(IF($BOT3="","",IF($BOT3=0,1,1-$BOT3/HLOOKUP(BPE$3,[2]ARBOR_REAJUSTE18!$A:$AE,VLOOKUP($BOT$2,[2]ARBOR_REAJUSTE18!$A:$B,2,0),0))),""))),4)</f>
        <v>#VALUE!</v>
      </c>
      <c r="BPF3" s="44" t="e">
        <f>ROUNDUP(IF(IFERROR(IF($BOT3="","",IF($BOT3=0,1,1-$BOT3/HLOOKUP(BPF$3,[2]ARBOR_REAJUSTE18!$A:$AE,VLOOKUP($BOT$2,[2]ARBOR_REAJUSTE18!$A:$B,2,0),0))),"")&lt;0.01%,0.01%,(IFERROR(IF($BOT3="","",IF($BOT3=0,1,1-$BOT3/HLOOKUP(BPF$3,[2]ARBOR_REAJUSTE18!$A:$AE,VLOOKUP($BOT$2,[2]ARBOR_REAJUSTE18!$A:$B,2,0),0))),""))),4)</f>
        <v>#VALUE!</v>
      </c>
      <c r="BPG3" s="44" t="e">
        <f>ROUNDUP(IF(IFERROR(IF($BOT3="","",IF($BOT3=0,1,1-$BOT3/HLOOKUP(BPG$3,[2]ARBOR_REAJUSTE18!$A:$AE,VLOOKUP($BOT$2,[2]ARBOR_REAJUSTE18!$A:$B,2,0),0))),"")&lt;0.01%,0.01%,(IFERROR(IF($BOT3="","",IF($BOT3=0,1,1-$BOT3/HLOOKUP(BPG$3,[2]ARBOR_REAJUSTE18!$A:$AE,VLOOKUP($BOT$2,[2]ARBOR_REAJUSTE18!$A:$B,2,0),0))),""))),4)</f>
        <v>#VALUE!</v>
      </c>
      <c r="BPH3" s="44" t="e">
        <f>ROUNDUP(IF(IFERROR(IF($BOT3="","",IF($BOT3=0,1,1-$BOT3/HLOOKUP(BPH$3,[2]ARBOR_REAJUSTE18!$A:$AE,VLOOKUP($BOT$2,[2]ARBOR_REAJUSTE18!$A:$B,2,0),0))),"")&lt;0.01%,0.01%,(IFERROR(IF($BOT3="","",IF($BOT3=0,1,1-$BOT3/HLOOKUP(BPH$3,[2]ARBOR_REAJUSTE18!$A:$AE,VLOOKUP($BOT$2,[2]ARBOR_REAJUSTE18!$A:$B,2,0),0))),""))),4)</f>
        <v>#VALUE!</v>
      </c>
      <c r="BPI3" s="44" t="e">
        <f>ROUNDUP(IF(IFERROR(IF($BOT3="","",IF($BOT3=0,1,1-$BOT3/HLOOKUP(BPI$3,[2]ARBOR_REAJUSTE18!$A:$AE,VLOOKUP($BOT$2,[2]ARBOR_REAJUSTE18!$A:$B,2,0),0))),"")&lt;0.01%,0.01%,(IFERROR(IF($BOT3="","",IF($BOT3=0,1,1-$BOT3/HLOOKUP(BPI$3,[2]ARBOR_REAJUSTE18!$A:$AE,VLOOKUP($BOT$2,[2]ARBOR_REAJUSTE18!$A:$B,2,0),0))),""))),4)</f>
        <v>#VALUE!</v>
      </c>
      <c r="BPJ3" s="44" t="e">
        <f>ROUNDUP(IF(IFERROR(IF($BOT3="","",IF($BOT3=0,1,1-$BOT3/HLOOKUP(BPJ$3,[2]ARBOR_REAJUSTE18!$A:$AE,VLOOKUP($BOT$2,[2]ARBOR_REAJUSTE18!$A:$B,2,0),0))),"")&lt;0.01%,0.01%,(IFERROR(IF($BOT3="","",IF($BOT3=0,1,1-$BOT3/HLOOKUP(BPJ$3,[2]ARBOR_REAJUSTE18!$A:$AE,VLOOKUP($BOT$2,[2]ARBOR_REAJUSTE18!$A:$B,2,0),0))),""))),4)</f>
        <v>#VALUE!</v>
      </c>
      <c r="BPK3" s="44" t="e">
        <f>ROUNDUP(IF(IFERROR(IF($BOT3="","",IF($BOT3=0,1,1-$BOT3/HLOOKUP(BPK$3,[2]ARBOR_REAJUSTE18!$A:$AE,VLOOKUP($BOT$2,[2]ARBOR_REAJUSTE18!$A:$B,2,0),0))),"")&lt;0.01%,0.01%,(IFERROR(IF($BOT3="","",IF($BOT3=0,1,1-$BOT3/HLOOKUP(BPK$3,[2]ARBOR_REAJUSTE18!$A:$AE,VLOOKUP($BOT$2,[2]ARBOR_REAJUSTE18!$A:$B,2,0),0))),""))),4)</f>
        <v>#VALUE!</v>
      </c>
      <c r="BPL3" s="44" t="e">
        <f>ROUNDUP(IF(IFERROR(IF($BOT3="","",IF($BOT3=0,1,1-$BOT3/HLOOKUP(BPL$3,[2]ARBOR_REAJUSTE18!$A:$AE,VLOOKUP($BOT$2,[2]ARBOR_REAJUSTE18!$A:$B,2,0),0))),"")&lt;0.01%,0.01%,(IFERROR(IF($BOT3="","",IF($BOT3=0,1,1-$BOT3/HLOOKUP(BPL$3,[2]ARBOR_REAJUSTE18!$A:$AE,VLOOKUP($BOT$2,[2]ARBOR_REAJUSTE18!$A:$B,2,0),0))),""))),4)</f>
        <v>#VALUE!</v>
      </c>
      <c r="BPM3" s="44" t="e">
        <f>ROUNDUP(IF(IFERROR(IF($BOT3="","",IF($BOT3=0,1,1-$BOT3/HLOOKUP(BPM$3,[2]ARBOR_REAJUSTE18!$A:$AE,VLOOKUP($BOT$2,[2]ARBOR_REAJUSTE18!$A:$B,2,0),0))),"")&lt;0.01%,0.01%,(IFERROR(IF($BOT3="","",IF($BOT3=0,1,1-$BOT3/HLOOKUP(BPM$3,[2]ARBOR_REAJUSTE18!$A:$AE,VLOOKUP($BOT$2,[2]ARBOR_REAJUSTE18!$A:$B,2,0),0))),""))),4)</f>
        <v>#VALUE!</v>
      </c>
      <c r="BPN3" s="44" t="e">
        <f>ROUNDUP(IF(IFERROR(IF($BOT3="","",IF($BOT3=0,1,1-$BOT3/HLOOKUP(BPN$3,[2]ARBOR_REAJUSTE18!$A:$AE,VLOOKUP($BOT$2,[2]ARBOR_REAJUSTE18!$A:$B,2,0),0))),"")&lt;0.01%,0.01%,(IFERROR(IF($BOT3="","",IF($BOT3=0,1,1-$BOT3/HLOOKUP(BPN$3,[2]ARBOR_REAJUSTE18!$A:$AE,VLOOKUP($BOT$2,[2]ARBOR_REAJUSTE18!$A:$B,2,0),0))),""))),4)</f>
        <v>#VALUE!</v>
      </c>
      <c r="BPO3" s="44" t="e">
        <f>ROUNDUP(IF(IFERROR(IF($BOT3="","",IF($BOT3=0,1,1-$BOT3/HLOOKUP(BPO$3,[2]ARBOR_REAJUSTE18!$A:$AE,VLOOKUP($BOT$2,[2]ARBOR_REAJUSTE18!$A:$B,2,0),0))),"")&lt;0.01%,0.01%,(IFERROR(IF($BOT3="","",IF($BOT3=0,1,1-$BOT3/HLOOKUP(BPO$3,[2]ARBOR_REAJUSTE18!$A:$AE,VLOOKUP($BOT$2,[2]ARBOR_REAJUSTE18!$A:$B,2,0),0))),""))),4)</f>
        <v>#VALUE!</v>
      </c>
      <c r="BPP3" s="44" t="e">
        <f>ROUNDUP(IF(IFERROR(IF($BOT3="","",IF($BOT3=0,1,1-$BOT3/HLOOKUP(BPP$3,[2]ARBOR_REAJUSTE18!$A:$AE,VLOOKUP($BOT$2,[2]ARBOR_REAJUSTE18!$A:$B,2,0),0))),"")&lt;0.01%,0.01%,(IFERROR(IF($BOT3="","",IF($BOT3=0,1,1-$BOT3/HLOOKUP(BPP$3,[2]ARBOR_REAJUSTE18!$A:$AE,VLOOKUP($BOT$2,[2]ARBOR_REAJUSTE18!$A:$B,2,0),0))),""))),4)</f>
        <v>#VALUE!</v>
      </c>
      <c r="BPQ3" s="44" t="e">
        <f>ROUNDUP(IF(IFERROR(IF($BOT3="","",IF($BOT3=0,1,1-$BOT3/HLOOKUP(BPQ$3,[2]ARBOR_REAJUSTE18!$A:$AE,VLOOKUP($BOT$2,[2]ARBOR_REAJUSTE18!$A:$B,2,0),0))),"")&lt;0.01%,0.01%,(IFERROR(IF($BOT3="","",IF($BOT3=0,1,1-$BOT3/HLOOKUP(BPQ$3,[2]ARBOR_REAJUSTE18!$A:$AE,VLOOKUP($BOT$2,[2]ARBOR_REAJUSTE18!$A:$B,2,0),0))),""))),4)</f>
        <v>#VALUE!</v>
      </c>
      <c r="BPR3" s="44" t="e">
        <f>ROUNDUP(IF(IFERROR(IF($BOT3="","",IF($BOT3=0,1,1-$BOT3/HLOOKUP(BPR$3,[2]ARBOR_REAJUSTE18!$A:$AE,VLOOKUP($BOT$2,[2]ARBOR_REAJUSTE18!$A:$B,2,0),0))),"")&lt;0.01%,0.01%,(IFERROR(IF($BOT3="","",IF($BOT3=0,1,1-$BOT3/HLOOKUP(BPR$3,[2]ARBOR_REAJUSTE18!$A:$AE,VLOOKUP($BOT$2,[2]ARBOR_REAJUSTE18!$A:$B,2,0),0))),""))),4)</f>
        <v>#VALUE!</v>
      </c>
      <c r="BPS3" s="44" t="e">
        <f>ROUNDUP(IF(IFERROR(IF($BOT3="","",IF($BOT3=0,1,1-$BOT3/HLOOKUP(BPS$3,[2]ARBOR_REAJUSTE18!$A:$AE,VLOOKUP($BOT$2,[2]ARBOR_REAJUSTE18!$A:$B,2,0),0))),"")&lt;0.01%,0.01%,(IFERROR(IF($BOT3="","",IF($BOT3=0,1,1-$BOT3/HLOOKUP(BPS$3,[2]ARBOR_REAJUSTE18!$A:$AE,VLOOKUP($BOT$2,[2]ARBOR_REAJUSTE18!$A:$B,2,0),0))),""))),4)</f>
        <v>#VALUE!</v>
      </c>
      <c r="BPT3" s="44" t="e">
        <f>ROUNDUP(IF(IFERROR(IF($BOT3="","",IF($BOT3=0,1,1-$BOT3/HLOOKUP(BPT$3,[2]ARBOR_REAJUSTE18!$A:$AE,VLOOKUP($BOT$2,[2]ARBOR_REAJUSTE18!$A:$B,2,0),0))),"")&lt;0.01%,0.01%,(IFERROR(IF($BOT3="","",IF($BOT3=0,1,1-$BOT3/HLOOKUP(BPT$3,[2]ARBOR_REAJUSTE18!$A:$AE,VLOOKUP($BOT$2,[2]ARBOR_REAJUSTE18!$A:$B,2,0),0))),""))),4)</f>
        <v>#VALUE!</v>
      </c>
      <c r="BPU3" s="44" t="e">
        <f>ROUNDUP(IF(IFERROR(IF($BOT3="","",IF($BOT3=0,1,1-$BOT3/HLOOKUP(BPU$3,[2]ARBOR_REAJUSTE18!$A:$AE,VLOOKUP($BOT$2,[2]ARBOR_REAJUSTE18!$A:$B,2,0),0))),"")&lt;0.01%,0.01%,(IFERROR(IF($BOT3="","",IF($BOT3=0,1,1-$BOT3/HLOOKUP(BPU$3,[2]ARBOR_REAJUSTE18!$A:$AE,VLOOKUP($BOT$2,[2]ARBOR_REAJUSTE18!$A:$B,2,0),0))),""))),4)</f>
        <v>#VALUE!</v>
      </c>
      <c r="BPV3" s="44" t="e">
        <f>ROUNDUP(IF(IFERROR(IF($BOT3="","",IF($BOT3=0,1,1-$BOT3/HLOOKUP(BPV$3,[2]ARBOR_REAJUSTE18!$A:$AE,VLOOKUP($BOT$2,[2]ARBOR_REAJUSTE18!$A:$B,2,0),0))),"")&lt;0.01%,0.01%,(IFERROR(IF($BOT3="","",IF($BOT3=0,1,1-$BOT3/HLOOKUP(BPV$3,[2]ARBOR_REAJUSTE18!$A:$AE,VLOOKUP($BOT$2,[2]ARBOR_REAJUSTE18!$A:$B,2,0),0))),""))),4)</f>
        <v>#VALUE!</v>
      </c>
      <c r="BPW3" s="56"/>
      <c r="BPX3" s="56" t="s">
        <v>262</v>
      </c>
      <c r="BPY3" s="44" t="e">
        <f>ROUNDUP(IF(IFERROR(IF($BPW3="","",IF($BPW3=0,1,1-$BPW3/HLOOKUP(BPY$3,[2]ARBOR_REAJUSTE18!$A:$AE,VLOOKUP($BPW$2,[2]ARBOR_REAJUSTE18!$A:$B,2,0),0))),"")&lt;0.01%,0.01%,(IFERROR(IF($BPW3="","",IF($BPW3=0,1,1-$BPW3/HLOOKUP(BPY$3,[2]ARBOR_REAJUSTE18!$A:$AE,VLOOKUP($BPW$2,[2]ARBOR_REAJUSTE18!$A:$B,2,0),0))),""))),4)</f>
        <v>#VALUE!</v>
      </c>
      <c r="BPZ3" s="44" t="e">
        <f>ROUNDUP(IF(IFERROR(IF($BPW3="","",IF($BPW3=0,1,1-$BPW3/HLOOKUP(BPZ$3,[2]ARBOR_REAJUSTE18!$A:$AE,VLOOKUP($BPW$2,[2]ARBOR_REAJUSTE18!$A:$B,2,0),0))),"")&lt;0.01%,0.01%,(IFERROR(IF($BPW3="","",IF($BPW3=0,1,1-$BPW3/HLOOKUP(BPZ$3,[2]ARBOR_REAJUSTE18!$A:$AE,VLOOKUP($BPW$2,[2]ARBOR_REAJUSTE18!$A:$B,2,0),0))),""))),4)</f>
        <v>#VALUE!</v>
      </c>
      <c r="BQA3" s="44" t="e">
        <f>ROUNDUP(IF(IFERROR(IF($BPW3="","",IF($BPW3=0,1,1-$BPW3/HLOOKUP(BQA$3,[2]ARBOR_REAJUSTE18!$A:$AE,VLOOKUP($BPW$2,[2]ARBOR_REAJUSTE18!$A:$B,2,0),0))),"")&lt;0.01%,0.01%,(IFERROR(IF($BPW3="","",IF($BPW3=0,1,1-$BPW3/HLOOKUP(BQA$3,[2]ARBOR_REAJUSTE18!$A:$AE,VLOOKUP($BPW$2,[2]ARBOR_REAJUSTE18!$A:$B,2,0),0))),""))),4)</f>
        <v>#VALUE!</v>
      </c>
      <c r="BQB3" s="44" t="e">
        <f>ROUNDUP(IF(IFERROR(IF($BPW3="","",IF($BPW3=0,1,1-$BPW3/HLOOKUP(BQB$3,[2]ARBOR_REAJUSTE18!$A:$AE,VLOOKUP($BPW$2,[2]ARBOR_REAJUSTE18!$A:$B,2,0),0))),"")&lt;0.01%,0.01%,(IFERROR(IF($BPW3="","",IF($BPW3=0,1,1-$BPW3/HLOOKUP(BQB$3,[2]ARBOR_REAJUSTE18!$A:$AE,VLOOKUP($BPW$2,[2]ARBOR_REAJUSTE18!$A:$B,2,0),0))),""))),4)</f>
        <v>#VALUE!</v>
      </c>
      <c r="BQC3" s="44" t="e">
        <f>ROUNDUP(IF(IFERROR(IF($BPW3="","",IF($BPW3=0,1,1-$BPW3/HLOOKUP(BQC$3,[2]ARBOR_REAJUSTE18!$A:$AE,VLOOKUP($BPW$2,[2]ARBOR_REAJUSTE18!$A:$B,2,0),0))),"")&lt;0.01%,0.01%,(IFERROR(IF($BPW3="","",IF($BPW3=0,1,1-$BPW3/HLOOKUP(BQC$3,[2]ARBOR_REAJUSTE18!$A:$AE,VLOOKUP($BPW$2,[2]ARBOR_REAJUSTE18!$A:$B,2,0),0))),""))),4)</f>
        <v>#VALUE!</v>
      </c>
      <c r="BQD3" s="44" t="e">
        <f>ROUNDUP(IF(IFERROR(IF($BPW3="","",IF($BPW3=0,1,1-$BPW3/HLOOKUP(BQD$3,[2]ARBOR_REAJUSTE18!$A:$AE,VLOOKUP($BPW$2,[2]ARBOR_REAJUSTE18!$A:$B,2,0),0))),"")&lt;0.01%,0.01%,(IFERROR(IF($BPW3="","",IF($BPW3=0,1,1-$BPW3/HLOOKUP(BQD$3,[2]ARBOR_REAJUSTE18!$A:$AE,VLOOKUP($BPW$2,[2]ARBOR_REAJUSTE18!$A:$B,2,0),0))),""))),4)</f>
        <v>#VALUE!</v>
      </c>
      <c r="BQE3" s="44" t="e">
        <f>ROUNDUP(IF(IFERROR(IF($BPW3="","",IF($BPW3=0,1,1-$BPW3/HLOOKUP(BQE$3,[2]ARBOR_REAJUSTE18!$A:$AE,VLOOKUP($BPW$2,[2]ARBOR_REAJUSTE18!$A:$B,2,0),0))),"")&lt;0.01%,0.01%,(IFERROR(IF($BPW3="","",IF($BPW3=0,1,1-$BPW3/HLOOKUP(BQE$3,[2]ARBOR_REAJUSTE18!$A:$AE,VLOOKUP($BPW$2,[2]ARBOR_REAJUSTE18!$A:$B,2,0),0))),""))),4)</f>
        <v>#VALUE!</v>
      </c>
      <c r="BQF3" s="44" t="e">
        <f>ROUNDUP(IF(IFERROR(IF($BPW3="","",IF($BPW3=0,1,1-$BPW3/HLOOKUP(BQF$3,[2]ARBOR_REAJUSTE18!$A:$AE,VLOOKUP($BPW$2,[2]ARBOR_REAJUSTE18!$A:$B,2,0),0))),"")&lt;0.01%,0.01%,(IFERROR(IF($BPW3="","",IF($BPW3=0,1,1-$BPW3/HLOOKUP(BQF$3,[2]ARBOR_REAJUSTE18!$A:$AE,VLOOKUP($BPW$2,[2]ARBOR_REAJUSTE18!$A:$B,2,0),0))),""))),4)</f>
        <v>#VALUE!</v>
      </c>
      <c r="BQG3" s="44" t="e">
        <f>ROUNDUP(IF(IFERROR(IF($BPW3="","",IF($BPW3=0,1,1-$BPW3/HLOOKUP(BQG$3,[2]ARBOR_REAJUSTE18!$A:$AE,VLOOKUP($BPW$2,[2]ARBOR_REAJUSTE18!$A:$B,2,0),0))),"")&lt;0.01%,0.01%,(IFERROR(IF($BPW3="","",IF($BPW3=0,1,1-$BPW3/HLOOKUP(BQG$3,[2]ARBOR_REAJUSTE18!$A:$AE,VLOOKUP($BPW$2,[2]ARBOR_REAJUSTE18!$A:$B,2,0),0))),""))),4)</f>
        <v>#VALUE!</v>
      </c>
      <c r="BQH3" s="44" t="e">
        <f>ROUNDUP(IF(IFERROR(IF($BPW3="","",IF($BPW3=0,1,1-$BPW3/HLOOKUP(BQH$3,[2]ARBOR_REAJUSTE18!$A:$AE,VLOOKUP($BPW$2,[2]ARBOR_REAJUSTE18!$A:$B,2,0),0))),"")&lt;0.01%,0.01%,(IFERROR(IF($BPW3="","",IF($BPW3=0,1,1-$BPW3/HLOOKUP(BQH$3,[2]ARBOR_REAJUSTE18!$A:$AE,VLOOKUP($BPW$2,[2]ARBOR_REAJUSTE18!$A:$B,2,0),0))),""))),4)</f>
        <v>#VALUE!</v>
      </c>
      <c r="BQI3" s="44" t="e">
        <f>ROUNDUP(IF(IFERROR(IF($BPW3="","",IF($BPW3=0,1,1-$BPW3/HLOOKUP(BQI$3,[2]ARBOR_REAJUSTE18!$A:$AE,VLOOKUP($BPW$2,[2]ARBOR_REAJUSTE18!$A:$B,2,0),0))),"")&lt;0.01%,0.01%,(IFERROR(IF($BPW3="","",IF($BPW3=0,1,1-$BPW3/HLOOKUP(BQI$3,[2]ARBOR_REAJUSTE18!$A:$AE,VLOOKUP($BPW$2,[2]ARBOR_REAJUSTE18!$A:$B,2,0),0))),""))),4)</f>
        <v>#VALUE!</v>
      </c>
      <c r="BQJ3" s="44" t="e">
        <f>ROUNDUP(IF(IFERROR(IF($BPW3="","",IF($BPW3=0,1,1-$BPW3/HLOOKUP(BQJ$3,[2]ARBOR_REAJUSTE18!$A:$AE,VLOOKUP($BPW$2,[2]ARBOR_REAJUSTE18!$A:$B,2,0),0))),"")&lt;0.01%,0.01%,(IFERROR(IF($BPW3="","",IF($BPW3=0,1,1-$BPW3/HLOOKUP(BQJ$3,[2]ARBOR_REAJUSTE18!$A:$AE,VLOOKUP($BPW$2,[2]ARBOR_REAJUSTE18!$A:$B,2,0),0))),""))),4)</f>
        <v>#VALUE!</v>
      </c>
      <c r="BQK3" s="44" t="e">
        <f>ROUNDUP(IF(IFERROR(IF($BPW3="","",IF($BPW3=0,1,1-$BPW3/HLOOKUP(BQK$3,[2]ARBOR_REAJUSTE18!$A:$AE,VLOOKUP($BPW$2,[2]ARBOR_REAJUSTE18!$A:$B,2,0),0))),"")&lt;0.01%,0.01%,(IFERROR(IF($BPW3="","",IF($BPW3=0,1,1-$BPW3/HLOOKUP(BQK$3,[2]ARBOR_REAJUSTE18!$A:$AE,VLOOKUP($BPW$2,[2]ARBOR_REAJUSTE18!$A:$B,2,0),0))),""))),4)</f>
        <v>#VALUE!</v>
      </c>
      <c r="BQL3" s="44" t="e">
        <f>ROUNDUP(IF(IFERROR(IF($BPW3="","",IF($BPW3=0,1,1-$BPW3/HLOOKUP(BQL$3,[2]ARBOR_REAJUSTE18!$A:$AE,VLOOKUP($BPW$2,[2]ARBOR_REAJUSTE18!$A:$B,2,0),0))),"")&lt;0.01%,0.01%,(IFERROR(IF($BPW3="","",IF($BPW3=0,1,1-$BPW3/HLOOKUP(BQL$3,[2]ARBOR_REAJUSTE18!$A:$AE,VLOOKUP($BPW$2,[2]ARBOR_REAJUSTE18!$A:$B,2,0),0))),""))),4)</f>
        <v>#VALUE!</v>
      </c>
      <c r="BQM3" s="44" t="e">
        <f>ROUNDUP(IF(IFERROR(IF($BPW3="","",IF($BPW3=0,1,1-$BPW3/HLOOKUP(BQM$3,[2]ARBOR_REAJUSTE18!$A:$AE,VLOOKUP($BPW$2,[2]ARBOR_REAJUSTE18!$A:$B,2,0),0))),"")&lt;0.01%,0.01%,(IFERROR(IF($BPW3="","",IF($BPW3=0,1,1-$BPW3/HLOOKUP(BQM$3,[2]ARBOR_REAJUSTE18!$A:$AE,VLOOKUP($BPW$2,[2]ARBOR_REAJUSTE18!$A:$B,2,0),0))),""))),4)</f>
        <v>#VALUE!</v>
      </c>
      <c r="BQN3" s="44" t="e">
        <f>ROUNDUP(IF(IFERROR(IF($BPW3="","",IF($BPW3=0,1,1-$BPW3/HLOOKUP(BQN$3,[2]ARBOR_REAJUSTE18!$A:$AE,VLOOKUP($BPW$2,[2]ARBOR_REAJUSTE18!$A:$B,2,0),0))),"")&lt;0.01%,0.01%,(IFERROR(IF($BPW3="","",IF($BPW3=0,1,1-$BPW3/HLOOKUP(BQN$3,[2]ARBOR_REAJUSTE18!$A:$AE,VLOOKUP($BPW$2,[2]ARBOR_REAJUSTE18!$A:$B,2,0),0))),""))),4)</f>
        <v>#VALUE!</v>
      </c>
      <c r="BQO3" s="44" t="e">
        <f>ROUNDUP(IF(IFERROR(IF($BPW3="","",IF($BPW3=0,1,1-$BPW3/HLOOKUP(BQO$3,[2]ARBOR_REAJUSTE18!$A:$AE,VLOOKUP($BPW$2,[2]ARBOR_REAJUSTE18!$A:$B,2,0),0))),"")&lt;0.01%,0.01%,(IFERROR(IF($BPW3="","",IF($BPW3=0,1,1-$BPW3/HLOOKUP(BQO$3,[2]ARBOR_REAJUSTE18!$A:$AE,VLOOKUP($BPW$2,[2]ARBOR_REAJUSTE18!$A:$B,2,0),0))),""))),4)</f>
        <v>#VALUE!</v>
      </c>
      <c r="BQP3" s="44" t="e">
        <f>ROUNDUP(IF(IFERROR(IF($BPW3="","",IF($BPW3=0,1,1-$BPW3/HLOOKUP(BQP$3,[2]ARBOR_REAJUSTE18!$A:$AE,VLOOKUP($BPW$2,[2]ARBOR_REAJUSTE18!$A:$B,2,0),0))),"")&lt;0.01%,0.01%,(IFERROR(IF($BPW3="","",IF($BPW3=0,1,1-$BPW3/HLOOKUP(BQP$3,[2]ARBOR_REAJUSTE18!$A:$AE,VLOOKUP($BPW$2,[2]ARBOR_REAJUSTE18!$A:$B,2,0),0))),""))),4)</f>
        <v>#VALUE!</v>
      </c>
      <c r="BQQ3" s="44" t="e">
        <f>ROUNDUP(IF(IFERROR(IF($BPW3="","",IF($BPW3=0,1,1-$BPW3/HLOOKUP(BQQ$3,[2]ARBOR_REAJUSTE18!$A:$AE,VLOOKUP($BPW$2,[2]ARBOR_REAJUSTE18!$A:$B,2,0),0))),"")&lt;0.01%,0.01%,(IFERROR(IF($BPW3="","",IF($BPW3=0,1,1-$BPW3/HLOOKUP(BQQ$3,[2]ARBOR_REAJUSTE18!$A:$AE,VLOOKUP($BPW$2,[2]ARBOR_REAJUSTE18!$A:$B,2,0),0))),""))),4)</f>
        <v>#VALUE!</v>
      </c>
      <c r="BQR3" s="44" t="e">
        <f>ROUNDUP(IF(IFERROR(IF($BPW3="","",IF($BPW3=0,1,1-$BPW3/HLOOKUP(BQR$3,[2]ARBOR_REAJUSTE18!$A:$AE,VLOOKUP($BPW$2,[2]ARBOR_REAJUSTE18!$A:$B,2,0),0))),"")&lt;0.01%,0.01%,(IFERROR(IF($BPW3="","",IF($BPW3=0,1,1-$BPW3/HLOOKUP(BQR$3,[2]ARBOR_REAJUSTE18!$A:$AE,VLOOKUP($BPW$2,[2]ARBOR_REAJUSTE18!$A:$B,2,0),0))),""))),4)</f>
        <v>#VALUE!</v>
      </c>
      <c r="BQS3" s="44" t="e">
        <f>ROUNDUP(IF(IFERROR(IF($BPW3="","",IF($BPW3=0,1,1-$BPW3/HLOOKUP(BQS$3,[2]ARBOR_REAJUSTE18!$A:$AE,VLOOKUP($BPW$2,[2]ARBOR_REAJUSTE18!$A:$B,2,0),0))),"")&lt;0.01%,0.01%,(IFERROR(IF($BPW3="","",IF($BPW3=0,1,1-$BPW3/HLOOKUP(BQS$3,[2]ARBOR_REAJUSTE18!$A:$AE,VLOOKUP($BPW$2,[2]ARBOR_REAJUSTE18!$A:$B,2,0),0))),""))),4)</f>
        <v>#VALUE!</v>
      </c>
      <c r="BQT3" s="44" t="e">
        <f>ROUNDUP(IF(IFERROR(IF($BPW3="","",IF($BPW3=0,1,1-$BPW3/HLOOKUP(BQT$3,[2]ARBOR_REAJUSTE18!$A:$AE,VLOOKUP($BPW$2,[2]ARBOR_REAJUSTE18!$A:$B,2,0),0))),"")&lt;0.01%,0.01%,(IFERROR(IF($BPW3="","",IF($BPW3=0,1,1-$BPW3/HLOOKUP(BQT$3,[2]ARBOR_REAJUSTE18!$A:$AE,VLOOKUP($BPW$2,[2]ARBOR_REAJUSTE18!$A:$B,2,0),0))),""))),4)</f>
        <v>#VALUE!</v>
      </c>
      <c r="BQU3" s="44" t="e">
        <f>ROUNDUP(IF(IFERROR(IF($BPW3="","",IF($BPW3=0,1,1-$BPW3/HLOOKUP(BQU$3,[2]ARBOR_REAJUSTE18!$A:$AE,VLOOKUP($BPW$2,[2]ARBOR_REAJUSTE18!$A:$B,2,0),0))),"")&lt;0.01%,0.01%,(IFERROR(IF($BPW3="","",IF($BPW3=0,1,1-$BPW3/HLOOKUP(BQU$3,[2]ARBOR_REAJUSTE18!$A:$AE,VLOOKUP($BPW$2,[2]ARBOR_REAJUSTE18!$A:$B,2,0),0))),""))),4)</f>
        <v>#VALUE!</v>
      </c>
      <c r="BQV3" s="44" t="e">
        <f>ROUNDUP(IF(IFERROR(IF($BPW3="","",IF($BPW3=0,1,1-$BPW3/HLOOKUP(BQV$3,[2]ARBOR_REAJUSTE18!$A:$AE,VLOOKUP($BPW$2,[2]ARBOR_REAJUSTE18!$A:$B,2,0),0))),"")&lt;0.01%,0.01%,(IFERROR(IF($BPW3="","",IF($BPW3=0,1,1-$BPW3/HLOOKUP(BQV$3,[2]ARBOR_REAJUSTE18!$A:$AE,VLOOKUP($BPW$2,[2]ARBOR_REAJUSTE18!$A:$B,2,0),0))),""))),4)</f>
        <v>#VALUE!</v>
      </c>
      <c r="BQW3" s="44" t="e">
        <f>ROUNDUP(IF(IFERROR(IF($BPW3="","",IF($BPW3=0,1,1-$BPW3/HLOOKUP(BQW$3,[2]ARBOR_REAJUSTE18!$A:$AE,VLOOKUP($BPW$2,[2]ARBOR_REAJUSTE18!$A:$B,2,0),0))),"")&lt;0.01%,0.01%,(IFERROR(IF($BPW3="","",IF($BPW3=0,1,1-$BPW3/HLOOKUP(BQW$3,[2]ARBOR_REAJUSTE18!$A:$AE,VLOOKUP($BPW$2,[2]ARBOR_REAJUSTE18!$A:$B,2,0),0))),""))),4)</f>
        <v>#VALUE!</v>
      </c>
      <c r="BQX3" s="44" t="e">
        <f>ROUNDUP(IF(IFERROR(IF($BPW3="","",IF($BPW3=0,1,1-$BPW3/HLOOKUP(BQX$3,[2]ARBOR_REAJUSTE18!$A:$AE,VLOOKUP($BPW$2,[2]ARBOR_REAJUSTE18!$A:$B,2,0),0))),"")&lt;0.01%,0.01%,(IFERROR(IF($BPW3="","",IF($BPW3=0,1,1-$BPW3/HLOOKUP(BQX$3,[2]ARBOR_REAJUSTE18!$A:$AE,VLOOKUP($BPW$2,[2]ARBOR_REAJUSTE18!$A:$B,2,0),0))),""))),4)</f>
        <v>#VALUE!</v>
      </c>
      <c r="BQY3" s="44" t="e">
        <f>ROUNDUP(IF(IFERROR(IF($BPW3="","",IF($BPW3=0,1,1-$BPW3/HLOOKUP(BQY$3,[2]ARBOR_REAJUSTE18!$A:$AE,VLOOKUP($BPW$2,[2]ARBOR_REAJUSTE18!$A:$B,2,0),0))),"")&lt;0.01%,0.01%,(IFERROR(IF($BPW3="","",IF($BPW3=0,1,1-$BPW3/HLOOKUP(BQY$3,[2]ARBOR_REAJUSTE18!$A:$AE,VLOOKUP($BPW$2,[2]ARBOR_REAJUSTE18!$A:$B,2,0),0))),""))),4)</f>
        <v>#VALUE!</v>
      </c>
      <c r="BQZ3" s="56"/>
      <c r="BRA3" s="56" t="s">
        <v>296</v>
      </c>
      <c r="BRB3" s="44" t="e">
        <f>ROUNDUP(IF(IFERROR(IF($BQZ3="","",IF($BQZ3=0,1,1-$BQZ3/HLOOKUP(BRB$3,[2]ARBOR_REAJUSTE18!$A:$AE,VLOOKUP($BQZ$2,[2]ARBOR_REAJUSTE18!$A:$B,2,0),0))),"")&lt;0.01%,0.01%,(IFERROR(IF($BQZ3="","",IF($BQZ3=0,1,1-$BQZ3/HLOOKUP(BRB$3,[2]ARBOR_REAJUSTE18!$A:$AE,VLOOKUP($BQZ$2,[2]ARBOR_REAJUSTE18!$A:$B,2,0),0))),""))),4)</f>
        <v>#VALUE!</v>
      </c>
      <c r="BRC3" s="44" t="e">
        <f>ROUNDUP(IF(IFERROR(IF($BQZ3="","",IF($BQZ3=0,1,1-$BQZ3/HLOOKUP(BRC$3,[2]ARBOR_REAJUSTE18!$A:$AE,VLOOKUP($BQZ$2,[2]ARBOR_REAJUSTE18!$A:$B,2,0),0))),"")&lt;0.01%,0.01%,(IFERROR(IF($BQZ3="","",IF($BQZ3=0,1,1-$BQZ3/HLOOKUP(BRC$3,[2]ARBOR_REAJUSTE18!$A:$AE,VLOOKUP($BQZ$2,[2]ARBOR_REAJUSTE18!$A:$B,2,0),0))),""))),4)</f>
        <v>#VALUE!</v>
      </c>
      <c r="BRD3" s="44" t="e">
        <f>ROUNDUP(IF(IFERROR(IF($BQZ3="","",IF($BQZ3=0,1,1-$BQZ3/HLOOKUP(BRD$3,[2]ARBOR_REAJUSTE18!$A:$AE,VLOOKUP($BQZ$2,[2]ARBOR_REAJUSTE18!$A:$B,2,0),0))),"")&lt;0.01%,0.01%,(IFERROR(IF($BQZ3="","",IF($BQZ3=0,1,1-$BQZ3/HLOOKUP(BRD$3,[2]ARBOR_REAJUSTE18!$A:$AE,VLOOKUP($BQZ$2,[2]ARBOR_REAJUSTE18!$A:$B,2,0),0))),""))),4)</f>
        <v>#VALUE!</v>
      </c>
      <c r="BRE3" s="44" t="e">
        <f>ROUNDUP(IF(IFERROR(IF($BQZ3="","",IF($BQZ3=0,1,1-$BQZ3/HLOOKUP(BRE$3,[2]ARBOR_REAJUSTE18!$A:$AE,VLOOKUP($BQZ$2,[2]ARBOR_REAJUSTE18!$A:$B,2,0),0))),"")&lt;0.01%,0.01%,(IFERROR(IF($BQZ3="","",IF($BQZ3=0,1,1-$BQZ3/HLOOKUP(BRE$3,[2]ARBOR_REAJUSTE18!$A:$AE,VLOOKUP($BQZ$2,[2]ARBOR_REAJUSTE18!$A:$B,2,0),0))),""))),4)</f>
        <v>#VALUE!</v>
      </c>
      <c r="BRF3" s="44" t="e">
        <f>ROUNDUP(IF(IFERROR(IF($BQZ3="","",IF($BQZ3=0,1,1-$BQZ3/HLOOKUP(BRF$3,[2]ARBOR_REAJUSTE18!$A:$AE,VLOOKUP($BQZ$2,[2]ARBOR_REAJUSTE18!$A:$B,2,0),0))),"")&lt;0.01%,0.01%,(IFERROR(IF($BQZ3="","",IF($BQZ3=0,1,1-$BQZ3/HLOOKUP(BRF$3,[2]ARBOR_REAJUSTE18!$A:$AE,VLOOKUP($BQZ$2,[2]ARBOR_REAJUSTE18!$A:$B,2,0),0))),""))),4)</f>
        <v>#VALUE!</v>
      </c>
      <c r="BRG3" s="44" t="e">
        <f>ROUNDUP(IF(IFERROR(IF($BQZ3="","",IF($BQZ3=0,1,1-$BQZ3/HLOOKUP(BRG$3,[2]ARBOR_REAJUSTE18!$A:$AE,VLOOKUP($BQZ$2,[2]ARBOR_REAJUSTE18!$A:$B,2,0),0))),"")&lt;0.01%,0.01%,(IFERROR(IF($BQZ3="","",IF($BQZ3=0,1,1-$BQZ3/HLOOKUP(BRG$3,[2]ARBOR_REAJUSTE18!$A:$AE,VLOOKUP($BQZ$2,[2]ARBOR_REAJUSTE18!$A:$B,2,0),0))),""))),4)</f>
        <v>#VALUE!</v>
      </c>
      <c r="BRH3" s="44" t="e">
        <f>ROUNDUP(IF(IFERROR(IF($BQZ3="","",IF($BQZ3=0,1,1-$BQZ3/HLOOKUP(BRH$3,[2]ARBOR_REAJUSTE18!$A:$AE,VLOOKUP($BQZ$2,[2]ARBOR_REAJUSTE18!$A:$B,2,0),0))),"")&lt;0.01%,0.01%,(IFERROR(IF($BQZ3="","",IF($BQZ3=0,1,1-$BQZ3/HLOOKUP(BRH$3,[2]ARBOR_REAJUSTE18!$A:$AE,VLOOKUP($BQZ$2,[2]ARBOR_REAJUSTE18!$A:$B,2,0),0))),""))),4)</f>
        <v>#VALUE!</v>
      </c>
      <c r="BRI3" s="44" t="e">
        <f>ROUNDUP(IF(IFERROR(IF($BQZ3="","",IF($BQZ3=0,1,1-$BQZ3/HLOOKUP(BRI$3,[2]ARBOR_REAJUSTE18!$A:$AE,VLOOKUP($BQZ$2,[2]ARBOR_REAJUSTE18!$A:$B,2,0),0))),"")&lt;0.01%,0.01%,(IFERROR(IF($BQZ3="","",IF($BQZ3=0,1,1-$BQZ3/HLOOKUP(BRI$3,[2]ARBOR_REAJUSTE18!$A:$AE,VLOOKUP($BQZ$2,[2]ARBOR_REAJUSTE18!$A:$B,2,0),0))),""))),4)</f>
        <v>#VALUE!</v>
      </c>
      <c r="BRJ3" s="44" t="e">
        <f>ROUNDUP(IF(IFERROR(IF($BQZ3="","",IF($BQZ3=0,1,1-$BQZ3/HLOOKUP(BRJ$3,[2]ARBOR_REAJUSTE18!$A:$AE,VLOOKUP($BQZ$2,[2]ARBOR_REAJUSTE18!$A:$B,2,0),0))),"")&lt;0.01%,0.01%,(IFERROR(IF($BQZ3="","",IF($BQZ3=0,1,1-$BQZ3/HLOOKUP(BRJ$3,[2]ARBOR_REAJUSTE18!$A:$AE,VLOOKUP($BQZ$2,[2]ARBOR_REAJUSTE18!$A:$B,2,0),0))),""))),4)</f>
        <v>#VALUE!</v>
      </c>
      <c r="BRK3" s="44" t="e">
        <f>ROUNDUP(IF(IFERROR(IF($BQZ3="","",IF($BQZ3=0,1,1-$BQZ3/HLOOKUP(BRK$3,[2]ARBOR_REAJUSTE18!$A:$AE,VLOOKUP($BQZ$2,[2]ARBOR_REAJUSTE18!$A:$B,2,0),0))),"")&lt;0.01%,0.01%,(IFERROR(IF($BQZ3="","",IF($BQZ3=0,1,1-$BQZ3/HLOOKUP(BRK$3,[2]ARBOR_REAJUSTE18!$A:$AE,VLOOKUP($BQZ$2,[2]ARBOR_REAJUSTE18!$A:$B,2,0),0))),""))),4)</f>
        <v>#VALUE!</v>
      </c>
      <c r="BRL3" s="44" t="e">
        <f>ROUNDUP(IF(IFERROR(IF($BQZ3="","",IF($BQZ3=0,1,1-$BQZ3/HLOOKUP(BRL$3,[2]ARBOR_REAJUSTE18!$A:$AE,VLOOKUP($BQZ$2,[2]ARBOR_REAJUSTE18!$A:$B,2,0),0))),"")&lt;0.01%,0.01%,(IFERROR(IF($BQZ3="","",IF($BQZ3=0,1,1-$BQZ3/HLOOKUP(BRL$3,[2]ARBOR_REAJUSTE18!$A:$AE,VLOOKUP($BQZ$2,[2]ARBOR_REAJUSTE18!$A:$B,2,0),0))),""))),4)</f>
        <v>#VALUE!</v>
      </c>
      <c r="BRM3" s="44" t="e">
        <f>ROUNDUP(IF(IFERROR(IF($BQZ3="","",IF($BQZ3=0,1,1-$BQZ3/HLOOKUP(BRM$3,[2]ARBOR_REAJUSTE18!$A:$AE,VLOOKUP($BQZ$2,[2]ARBOR_REAJUSTE18!$A:$B,2,0),0))),"")&lt;0.01%,0.01%,(IFERROR(IF($BQZ3="","",IF($BQZ3=0,1,1-$BQZ3/HLOOKUP(BRM$3,[2]ARBOR_REAJUSTE18!$A:$AE,VLOOKUP($BQZ$2,[2]ARBOR_REAJUSTE18!$A:$B,2,0),0))),""))),4)</f>
        <v>#VALUE!</v>
      </c>
      <c r="BRN3" s="44" t="e">
        <f>ROUNDUP(IF(IFERROR(IF($BQZ3="","",IF($BQZ3=0,1,1-$BQZ3/HLOOKUP(BRN$3,[2]ARBOR_REAJUSTE18!$A:$AE,VLOOKUP($BQZ$2,[2]ARBOR_REAJUSTE18!$A:$B,2,0),0))),"")&lt;0.01%,0.01%,(IFERROR(IF($BQZ3="","",IF($BQZ3=0,1,1-$BQZ3/HLOOKUP(BRN$3,[2]ARBOR_REAJUSTE18!$A:$AE,VLOOKUP($BQZ$2,[2]ARBOR_REAJUSTE18!$A:$B,2,0),0))),""))),4)</f>
        <v>#VALUE!</v>
      </c>
      <c r="BRO3" s="44" t="e">
        <f>ROUNDUP(IF(IFERROR(IF($BQZ3="","",IF($BQZ3=0,1,1-$BQZ3/HLOOKUP(BRO$3,[2]ARBOR_REAJUSTE18!$A:$AE,VLOOKUP($BQZ$2,[2]ARBOR_REAJUSTE18!$A:$B,2,0),0))),"")&lt;0.01%,0.01%,(IFERROR(IF($BQZ3="","",IF($BQZ3=0,1,1-$BQZ3/HLOOKUP(BRO$3,[2]ARBOR_REAJUSTE18!$A:$AE,VLOOKUP($BQZ$2,[2]ARBOR_REAJUSTE18!$A:$B,2,0),0))),""))),4)</f>
        <v>#VALUE!</v>
      </c>
      <c r="BRP3" s="44" t="e">
        <f>ROUNDUP(IF(IFERROR(IF($BQZ3="","",IF($BQZ3=0,1,1-$BQZ3/HLOOKUP(BRP$3,[2]ARBOR_REAJUSTE18!$A:$AE,VLOOKUP($BQZ$2,[2]ARBOR_REAJUSTE18!$A:$B,2,0),0))),"")&lt;0.01%,0.01%,(IFERROR(IF($BQZ3="","",IF($BQZ3=0,1,1-$BQZ3/HLOOKUP(BRP$3,[2]ARBOR_REAJUSTE18!$A:$AE,VLOOKUP($BQZ$2,[2]ARBOR_REAJUSTE18!$A:$B,2,0),0))),""))),4)</f>
        <v>#VALUE!</v>
      </c>
      <c r="BRQ3" s="44" t="e">
        <f>ROUNDUP(IF(IFERROR(IF($BQZ3="","",IF($BQZ3=0,1,1-$BQZ3/HLOOKUP(BRQ$3,[2]ARBOR_REAJUSTE18!$A:$AE,VLOOKUP($BQZ$2,[2]ARBOR_REAJUSTE18!$A:$B,2,0),0))),"")&lt;0.01%,0.01%,(IFERROR(IF($BQZ3="","",IF($BQZ3=0,1,1-$BQZ3/HLOOKUP(BRQ$3,[2]ARBOR_REAJUSTE18!$A:$AE,VLOOKUP($BQZ$2,[2]ARBOR_REAJUSTE18!$A:$B,2,0),0))),""))),4)</f>
        <v>#VALUE!</v>
      </c>
      <c r="BRR3" s="44" t="e">
        <f>ROUNDUP(IF(IFERROR(IF($BQZ3="","",IF($BQZ3=0,1,1-$BQZ3/HLOOKUP(BRR$3,[2]ARBOR_REAJUSTE18!$A:$AE,VLOOKUP($BQZ$2,[2]ARBOR_REAJUSTE18!$A:$B,2,0),0))),"")&lt;0.01%,0.01%,(IFERROR(IF($BQZ3="","",IF($BQZ3=0,1,1-$BQZ3/HLOOKUP(BRR$3,[2]ARBOR_REAJUSTE18!$A:$AE,VLOOKUP($BQZ$2,[2]ARBOR_REAJUSTE18!$A:$B,2,0),0))),""))),4)</f>
        <v>#VALUE!</v>
      </c>
      <c r="BRS3" s="44" t="e">
        <f>ROUNDUP(IF(IFERROR(IF($BQZ3="","",IF($BQZ3=0,1,1-$BQZ3/HLOOKUP(BRS$3,[2]ARBOR_REAJUSTE18!$A:$AE,VLOOKUP($BQZ$2,[2]ARBOR_REAJUSTE18!$A:$B,2,0),0))),"")&lt;0.01%,0.01%,(IFERROR(IF($BQZ3="","",IF($BQZ3=0,1,1-$BQZ3/HLOOKUP(BRS$3,[2]ARBOR_REAJUSTE18!$A:$AE,VLOOKUP($BQZ$2,[2]ARBOR_REAJUSTE18!$A:$B,2,0),0))),""))),4)</f>
        <v>#VALUE!</v>
      </c>
      <c r="BRT3" s="44" t="e">
        <f>ROUNDUP(IF(IFERROR(IF($BQZ3="","",IF($BQZ3=0,1,1-$BQZ3/HLOOKUP(BRT$3,[2]ARBOR_REAJUSTE18!$A:$AE,VLOOKUP($BQZ$2,[2]ARBOR_REAJUSTE18!$A:$B,2,0),0))),"")&lt;0.01%,0.01%,(IFERROR(IF($BQZ3="","",IF($BQZ3=0,1,1-$BQZ3/HLOOKUP(BRT$3,[2]ARBOR_REAJUSTE18!$A:$AE,VLOOKUP($BQZ$2,[2]ARBOR_REAJUSTE18!$A:$B,2,0),0))),""))),4)</f>
        <v>#VALUE!</v>
      </c>
      <c r="BRU3" s="44" t="e">
        <f>ROUNDUP(IF(IFERROR(IF($BQZ3="","",IF($BQZ3=0,1,1-$BQZ3/HLOOKUP(BRU$3,[2]ARBOR_REAJUSTE18!$A:$AE,VLOOKUP($BQZ$2,[2]ARBOR_REAJUSTE18!$A:$B,2,0),0))),"")&lt;0.01%,0.01%,(IFERROR(IF($BQZ3="","",IF($BQZ3=0,1,1-$BQZ3/HLOOKUP(BRU$3,[2]ARBOR_REAJUSTE18!$A:$AE,VLOOKUP($BQZ$2,[2]ARBOR_REAJUSTE18!$A:$B,2,0),0))),""))),4)</f>
        <v>#VALUE!</v>
      </c>
      <c r="BRV3" s="44" t="e">
        <f>ROUNDUP(IF(IFERROR(IF($BQZ3="","",IF($BQZ3=0,1,1-$BQZ3/HLOOKUP(BRV$3,[2]ARBOR_REAJUSTE18!$A:$AE,VLOOKUP($BQZ$2,[2]ARBOR_REAJUSTE18!$A:$B,2,0),0))),"")&lt;0.01%,0.01%,(IFERROR(IF($BQZ3="","",IF($BQZ3=0,1,1-$BQZ3/HLOOKUP(BRV$3,[2]ARBOR_REAJUSTE18!$A:$AE,VLOOKUP($BQZ$2,[2]ARBOR_REAJUSTE18!$A:$B,2,0),0))),""))),4)</f>
        <v>#VALUE!</v>
      </c>
      <c r="BRW3" s="44" t="e">
        <f>ROUNDUP(IF(IFERROR(IF($BQZ3="","",IF($BQZ3=0,1,1-$BQZ3/HLOOKUP(BRW$3,[2]ARBOR_REAJUSTE18!$A:$AE,VLOOKUP($BQZ$2,[2]ARBOR_REAJUSTE18!$A:$B,2,0),0))),"")&lt;0.01%,0.01%,(IFERROR(IF($BQZ3="","",IF($BQZ3=0,1,1-$BQZ3/HLOOKUP(BRW$3,[2]ARBOR_REAJUSTE18!$A:$AE,VLOOKUP($BQZ$2,[2]ARBOR_REAJUSTE18!$A:$B,2,0),0))),""))),4)</f>
        <v>#VALUE!</v>
      </c>
      <c r="BRX3" s="44" t="e">
        <f>ROUNDUP(IF(IFERROR(IF($BQZ3="","",IF($BQZ3=0,1,1-$BQZ3/HLOOKUP(BRX$3,[2]ARBOR_REAJUSTE18!$A:$AE,VLOOKUP($BQZ$2,[2]ARBOR_REAJUSTE18!$A:$B,2,0),0))),"")&lt;0.01%,0.01%,(IFERROR(IF($BQZ3="","",IF($BQZ3=0,1,1-$BQZ3/HLOOKUP(BRX$3,[2]ARBOR_REAJUSTE18!$A:$AE,VLOOKUP($BQZ$2,[2]ARBOR_REAJUSTE18!$A:$B,2,0),0))),""))),4)</f>
        <v>#VALUE!</v>
      </c>
      <c r="BRY3" s="44" t="e">
        <f>ROUNDUP(IF(IFERROR(IF($BQZ3="","",IF($BQZ3=0,1,1-$BQZ3/HLOOKUP(BRY$3,[2]ARBOR_REAJUSTE18!$A:$AE,VLOOKUP($BQZ$2,[2]ARBOR_REAJUSTE18!$A:$B,2,0),0))),"")&lt;0.01%,0.01%,(IFERROR(IF($BQZ3="","",IF($BQZ3=0,1,1-$BQZ3/HLOOKUP(BRY$3,[2]ARBOR_REAJUSTE18!$A:$AE,VLOOKUP($BQZ$2,[2]ARBOR_REAJUSTE18!$A:$B,2,0),0))),""))),4)</f>
        <v>#VALUE!</v>
      </c>
      <c r="BRZ3" s="44" t="e">
        <f>ROUNDUP(IF(IFERROR(IF($BQZ3="","",IF($BQZ3=0,1,1-$BQZ3/HLOOKUP(BRZ$3,[2]ARBOR_REAJUSTE18!$A:$AE,VLOOKUP($BQZ$2,[2]ARBOR_REAJUSTE18!$A:$B,2,0),0))),"")&lt;0.01%,0.01%,(IFERROR(IF($BQZ3="","",IF($BQZ3=0,1,1-$BQZ3/HLOOKUP(BRZ$3,[2]ARBOR_REAJUSTE18!$A:$AE,VLOOKUP($BQZ$2,[2]ARBOR_REAJUSTE18!$A:$B,2,0),0))),""))),4)</f>
        <v>#VALUE!</v>
      </c>
      <c r="BSA3" s="44" t="e">
        <f>ROUNDUP(IF(IFERROR(IF($BQZ3="","",IF($BQZ3=0,1,1-$BQZ3/HLOOKUP(BSA$3,[2]ARBOR_REAJUSTE18!$A:$AE,VLOOKUP($BQZ$2,[2]ARBOR_REAJUSTE18!$A:$B,2,0),0))),"")&lt;0.01%,0.01%,(IFERROR(IF($BQZ3="","",IF($BQZ3=0,1,1-$BQZ3/HLOOKUP(BSA$3,[2]ARBOR_REAJUSTE18!$A:$AE,VLOOKUP($BQZ$2,[2]ARBOR_REAJUSTE18!$A:$B,2,0),0))),""))),4)</f>
        <v>#VALUE!</v>
      </c>
      <c r="BSB3" s="44" t="e">
        <f>ROUNDUP(IF(IFERROR(IF($BQZ3="","",IF($BQZ3=0,1,1-$BQZ3/HLOOKUP(BSB$3,[2]ARBOR_REAJUSTE18!$A:$AE,VLOOKUP($BQZ$2,[2]ARBOR_REAJUSTE18!$A:$B,2,0),0))),"")&lt;0.01%,0.01%,(IFERROR(IF($BQZ3="","",IF($BQZ3=0,1,1-$BQZ3/HLOOKUP(BSB$3,[2]ARBOR_REAJUSTE18!$A:$AE,VLOOKUP($BQZ$2,[2]ARBOR_REAJUSTE18!$A:$B,2,0),0))),""))),4)</f>
        <v>#VALUE!</v>
      </c>
      <c r="BSC3" s="56"/>
      <c r="BSD3" s="56" t="s">
        <v>264</v>
      </c>
      <c r="BSE3" s="44" t="e">
        <f>ROUNDUP(IF(IFERROR(IF($BSC3="","",IF($BSC3=0,1,1-$BSC3/HLOOKUP(BSE$3,[2]ARBOR_REAJUSTE18!$A:$AE,VLOOKUP($BSC$2,[2]ARBOR_REAJUSTE18!$A:$B,2,0),0))),"")&lt;0.01%,0.01%,(IFERROR(IF($BSC3="","",IF($BSC3=0,1,1-$BSC3/HLOOKUP(BSE$3,[2]ARBOR_REAJUSTE18!$A:$AE,VLOOKUP($BSC$2,[2]ARBOR_REAJUSTE18!$A:$B,2,0),0))),""))),4)</f>
        <v>#VALUE!</v>
      </c>
      <c r="BSF3" s="44" t="e">
        <f>ROUNDUP(IF(IFERROR(IF($BSC3="","",IF($BSC3=0,1,1-$BSC3/HLOOKUP(BSF$3,[2]ARBOR_REAJUSTE18!$A:$AE,VLOOKUP($BSC$2,[2]ARBOR_REAJUSTE18!$A:$B,2,0),0))),"")&lt;0.01%,0.01%,(IFERROR(IF($BSC3="","",IF($BSC3=0,1,1-$BSC3/HLOOKUP(BSF$3,[2]ARBOR_REAJUSTE18!$A:$AE,VLOOKUP($BSC$2,[2]ARBOR_REAJUSTE18!$A:$B,2,0),0))),""))),4)</f>
        <v>#VALUE!</v>
      </c>
      <c r="BSG3" s="44" t="e">
        <f>ROUNDUP(IF(IFERROR(IF($BSC3="","",IF($BSC3=0,1,1-$BSC3/HLOOKUP(BSG$3,[2]ARBOR_REAJUSTE18!$A:$AE,VLOOKUP($BSC$2,[2]ARBOR_REAJUSTE18!$A:$B,2,0),0))),"")&lt;0.01%,0.01%,(IFERROR(IF($BSC3="","",IF($BSC3=0,1,1-$BSC3/HLOOKUP(BSG$3,[2]ARBOR_REAJUSTE18!$A:$AE,VLOOKUP($BSC$2,[2]ARBOR_REAJUSTE18!$A:$B,2,0),0))),""))),4)</f>
        <v>#VALUE!</v>
      </c>
      <c r="BSH3" s="44" t="e">
        <f>ROUNDUP(IF(IFERROR(IF($BSC3="","",IF($BSC3=0,1,1-$BSC3/HLOOKUP(BSH$3,[2]ARBOR_REAJUSTE18!$A:$AE,VLOOKUP($BSC$2,[2]ARBOR_REAJUSTE18!$A:$B,2,0),0))),"")&lt;0.01%,0.01%,(IFERROR(IF($BSC3="","",IF($BSC3=0,1,1-$BSC3/HLOOKUP(BSH$3,[2]ARBOR_REAJUSTE18!$A:$AE,VLOOKUP($BSC$2,[2]ARBOR_REAJUSTE18!$A:$B,2,0),0))),""))),4)</f>
        <v>#VALUE!</v>
      </c>
      <c r="BSI3" s="44" t="e">
        <f>ROUNDUP(IF(IFERROR(IF($BSC3="","",IF($BSC3=0,1,1-$BSC3/HLOOKUP(BSI$3,[2]ARBOR_REAJUSTE18!$A:$AE,VLOOKUP($BSC$2,[2]ARBOR_REAJUSTE18!$A:$B,2,0),0))),"")&lt;0.01%,0.01%,(IFERROR(IF($BSC3="","",IF($BSC3=0,1,1-$BSC3/HLOOKUP(BSI$3,[2]ARBOR_REAJUSTE18!$A:$AE,VLOOKUP($BSC$2,[2]ARBOR_REAJUSTE18!$A:$B,2,0),0))),""))),4)</f>
        <v>#VALUE!</v>
      </c>
      <c r="BSJ3" s="44" t="e">
        <f>ROUNDUP(IF(IFERROR(IF($BSC3="","",IF($BSC3=0,1,1-$BSC3/HLOOKUP(BSJ$3,[2]ARBOR_REAJUSTE18!$A:$AE,VLOOKUP($BSC$2,[2]ARBOR_REAJUSTE18!$A:$B,2,0),0))),"")&lt;0.01%,0.01%,(IFERROR(IF($BSC3="","",IF($BSC3=0,1,1-$BSC3/HLOOKUP(BSJ$3,[2]ARBOR_REAJUSTE18!$A:$AE,VLOOKUP($BSC$2,[2]ARBOR_REAJUSTE18!$A:$B,2,0),0))),""))),4)</f>
        <v>#VALUE!</v>
      </c>
      <c r="BSK3" s="44" t="e">
        <f>ROUNDUP(IF(IFERROR(IF($BSC3="","",IF($BSC3=0,1,1-$BSC3/HLOOKUP(BSK$3,[2]ARBOR_REAJUSTE18!$A:$AE,VLOOKUP($BSC$2,[2]ARBOR_REAJUSTE18!$A:$B,2,0),0))),"")&lt;0.01%,0.01%,(IFERROR(IF($BSC3="","",IF($BSC3=0,1,1-$BSC3/HLOOKUP(BSK$3,[2]ARBOR_REAJUSTE18!$A:$AE,VLOOKUP($BSC$2,[2]ARBOR_REAJUSTE18!$A:$B,2,0),0))),""))),4)</f>
        <v>#VALUE!</v>
      </c>
      <c r="BSL3" s="44" t="e">
        <f>ROUNDUP(IF(IFERROR(IF($BSC3="","",IF($BSC3=0,1,1-$BSC3/HLOOKUP(BSL$3,[2]ARBOR_REAJUSTE18!$A:$AE,VLOOKUP($BSC$2,[2]ARBOR_REAJUSTE18!$A:$B,2,0),0))),"")&lt;0.01%,0.01%,(IFERROR(IF($BSC3="","",IF($BSC3=0,1,1-$BSC3/HLOOKUP(BSL$3,[2]ARBOR_REAJUSTE18!$A:$AE,VLOOKUP($BSC$2,[2]ARBOR_REAJUSTE18!$A:$B,2,0),0))),""))),4)</f>
        <v>#VALUE!</v>
      </c>
      <c r="BSM3" s="44" t="e">
        <f>ROUNDUP(IF(IFERROR(IF($BSC3="","",IF($BSC3=0,1,1-$BSC3/HLOOKUP(BSM$3,[2]ARBOR_REAJUSTE18!$A:$AE,VLOOKUP($BSC$2,[2]ARBOR_REAJUSTE18!$A:$B,2,0),0))),"")&lt;0.01%,0.01%,(IFERROR(IF($BSC3="","",IF($BSC3=0,1,1-$BSC3/HLOOKUP(BSM$3,[2]ARBOR_REAJUSTE18!$A:$AE,VLOOKUP($BSC$2,[2]ARBOR_REAJUSTE18!$A:$B,2,0),0))),""))),4)</f>
        <v>#VALUE!</v>
      </c>
      <c r="BSN3" s="44" t="e">
        <f>ROUNDUP(IF(IFERROR(IF($BSC3="","",IF($BSC3=0,1,1-$BSC3/HLOOKUP(BSN$3,[2]ARBOR_REAJUSTE18!$A:$AE,VLOOKUP($BSC$2,[2]ARBOR_REAJUSTE18!$A:$B,2,0),0))),"")&lt;0.01%,0.01%,(IFERROR(IF($BSC3="","",IF($BSC3=0,1,1-$BSC3/HLOOKUP(BSN$3,[2]ARBOR_REAJUSTE18!$A:$AE,VLOOKUP($BSC$2,[2]ARBOR_REAJUSTE18!$A:$B,2,0),0))),""))),4)</f>
        <v>#VALUE!</v>
      </c>
      <c r="BSO3" s="44" t="e">
        <f>ROUNDUP(IF(IFERROR(IF($BSC3="","",IF($BSC3=0,1,1-$BSC3/HLOOKUP(BSO$3,[2]ARBOR_REAJUSTE18!$A:$AE,VLOOKUP($BSC$2,[2]ARBOR_REAJUSTE18!$A:$B,2,0),0))),"")&lt;0.01%,0.01%,(IFERROR(IF($BSC3="","",IF($BSC3=0,1,1-$BSC3/HLOOKUP(BSO$3,[2]ARBOR_REAJUSTE18!$A:$AE,VLOOKUP($BSC$2,[2]ARBOR_REAJUSTE18!$A:$B,2,0),0))),""))),4)</f>
        <v>#VALUE!</v>
      </c>
      <c r="BSP3" s="44" t="e">
        <f>ROUNDUP(IF(IFERROR(IF($BSC3="","",IF($BSC3=0,1,1-$BSC3/HLOOKUP(BSP$3,[2]ARBOR_REAJUSTE18!$A:$AE,VLOOKUP($BSC$2,[2]ARBOR_REAJUSTE18!$A:$B,2,0),0))),"")&lt;0.01%,0.01%,(IFERROR(IF($BSC3="","",IF($BSC3=0,1,1-$BSC3/HLOOKUP(BSP$3,[2]ARBOR_REAJUSTE18!$A:$AE,VLOOKUP($BSC$2,[2]ARBOR_REAJUSTE18!$A:$B,2,0),0))),""))),4)</f>
        <v>#VALUE!</v>
      </c>
      <c r="BSQ3" s="44" t="e">
        <f>ROUNDUP(IF(IFERROR(IF($BSC3="","",IF($BSC3=0,1,1-$BSC3/HLOOKUP(BSQ$3,[2]ARBOR_REAJUSTE18!$A:$AE,VLOOKUP($BSC$2,[2]ARBOR_REAJUSTE18!$A:$B,2,0),0))),"")&lt;0.01%,0.01%,(IFERROR(IF($BSC3="","",IF($BSC3=0,1,1-$BSC3/HLOOKUP(BSQ$3,[2]ARBOR_REAJUSTE18!$A:$AE,VLOOKUP($BSC$2,[2]ARBOR_REAJUSTE18!$A:$B,2,0),0))),""))),4)</f>
        <v>#VALUE!</v>
      </c>
      <c r="BSR3" s="44" t="e">
        <f>ROUNDUP(IF(IFERROR(IF($BSC3="","",IF($BSC3=0,1,1-$BSC3/HLOOKUP(BSR$3,[2]ARBOR_REAJUSTE18!$A:$AE,VLOOKUP($BSC$2,[2]ARBOR_REAJUSTE18!$A:$B,2,0),0))),"")&lt;0.01%,0.01%,(IFERROR(IF($BSC3="","",IF($BSC3=0,1,1-$BSC3/HLOOKUP(BSR$3,[2]ARBOR_REAJUSTE18!$A:$AE,VLOOKUP($BSC$2,[2]ARBOR_REAJUSTE18!$A:$B,2,0),0))),""))),4)</f>
        <v>#VALUE!</v>
      </c>
      <c r="BSS3" s="44" t="e">
        <f>ROUNDUP(IF(IFERROR(IF($BSC3="","",IF($BSC3=0,1,1-$BSC3/HLOOKUP(BSS$3,[2]ARBOR_REAJUSTE18!$A:$AE,VLOOKUP($BSC$2,[2]ARBOR_REAJUSTE18!$A:$B,2,0),0))),"")&lt;0.01%,0.01%,(IFERROR(IF($BSC3="","",IF($BSC3=0,1,1-$BSC3/HLOOKUP(BSS$3,[2]ARBOR_REAJUSTE18!$A:$AE,VLOOKUP($BSC$2,[2]ARBOR_REAJUSTE18!$A:$B,2,0),0))),""))),4)</f>
        <v>#VALUE!</v>
      </c>
      <c r="BST3" s="44" t="e">
        <f>ROUNDUP(IF(IFERROR(IF($BSC3="","",IF($BSC3=0,1,1-$BSC3/HLOOKUP(BST$3,[2]ARBOR_REAJUSTE18!$A:$AE,VLOOKUP($BSC$2,[2]ARBOR_REAJUSTE18!$A:$B,2,0),0))),"")&lt;0.01%,0.01%,(IFERROR(IF($BSC3="","",IF($BSC3=0,1,1-$BSC3/HLOOKUP(BST$3,[2]ARBOR_REAJUSTE18!$A:$AE,VLOOKUP($BSC$2,[2]ARBOR_REAJUSTE18!$A:$B,2,0),0))),""))),4)</f>
        <v>#VALUE!</v>
      </c>
      <c r="BSU3" s="44" t="e">
        <f>ROUNDUP(IF(IFERROR(IF($BSC3="","",IF($BSC3=0,1,1-$BSC3/HLOOKUP(BSU$3,[2]ARBOR_REAJUSTE18!$A:$AE,VLOOKUP($BSC$2,[2]ARBOR_REAJUSTE18!$A:$B,2,0),0))),"")&lt;0.01%,0.01%,(IFERROR(IF($BSC3="","",IF($BSC3=0,1,1-$BSC3/HLOOKUP(BSU$3,[2]ARBOR_REAJUSTE18!$A:$AE,VLOOKUP($BSC$2,[2]ARBOR_REAJUSTE18!$A:$B,2,0),0))),""))),4)</f>
        <v>#VALUE!</v>
      </c>
      <c r="BSV3" s="44" t="e">
        <f>ROUNDUP(IF(IFERROR(IF($BSC3="","",IF($BSC3=0,1,1-$BSC3/HLOOKUP(BSV$3,[2]ARBOR_REAJUSTE18!$A:$AE,VLOOKUP($BSC$2,[2]ARBOR_REAJUSTE18!$A:$B,2,0),0))),"")&lt;0.01%,0.01%,(IFERROR(IF($BSC3="","",IF($BSC3=0,1,1-$BSC3/HLOOKUP(BSV$3,[2]ARBOR_REAJUSTE18!$A:$AE,VLOOKUP($BSC$2,[2]ARBOR_REAJUSTE18!$A:$B,2,0),0))),""))),4)</f>
        <v>#VALUE!</v>
      </c>
      <c r="BSW3" s="44" t="e">
        <f>ROUNDUP(IF(IFERROR(IF($BSC3="","",IF($BSC3=0,1,1-$BSC3/HLOOKUP(BSW$3,[2]ARBOR_REAJUSTE18!$A:$AE,VLOOKUP($BSC$2,[2]ARBOR_REAJUSTE18!$A:$B,2,0),0))),"")&lt;0.01%,0.01%,(IFERROR(IF($BSC3="","",IF($BSC3=0,1,1-$BSC3/HLOOKUP(BSW$3,[2]ARBOR_REAJUSTE18!$A:$AE,VLOOKUP($BSC$2,[2]ARBOR_REAJUSTE18!$A:$B,2,0),0))),""))),4)</f>
        <v>#VALUE!</v>
      </c>
      <c r="BSX3" s="44" t="e">
        <f>ROUNDUP(IF(IFERROR(IF($BSC3="","",IF($BSC3=0,1,1-$BSC3/HLOOKUP(BSX$3,[2]ARBOR_REAJUSTE18!$A:$AE,VLOOKUP($BSC$2,[2]ARBOR_REAJUSTE18!$A:$B,2,0),0))),"")&lt;0.01%,0.01%,(IFERROR(IF($BSC3="","",IF($BSC3=0,1,1-$BSC3/HLOOKUP(BSX$3,[2]ARBOR_REAJUSTE18!$A:$AE,VLOOKUP($BSC$2,[2]ARBOR_REAJUSTE18!$A:$B,2,0),0))),""))),4)</f>
        <v>#VALUE!</v>
      </c>
      <c r="BSY3" s="44" t="e">
        <f>ROUNDUP(IF(IFERROR(IF($BSC3="","",IF($BSC3=0,1,1-$BSC3/HLOOKUP(BSY$3,[2]ARBOR_REAJUSTE18!$A:$AE,VLOOKUP($BSC$2,[2]ARBOR_REAJUSTE18!$A:$B,2,0),0))),"")&lt;0.01%,0.01%,(IFERROR(IF($BSC3="","",IF($BSC3=0,1,1-$BSC3/HLOOKUP(BSY$3,[2]ARBOR_REAJUSTE18!$A:$AE,VLOOKUP($BSC$2,[2]ARBOR_REAJUSTE18!$A:$B,2,0),0))),""))),4)</f>
        <v>#VALUE!</v>
      </c>
      <c r="BSZ3" s="44" t="e">
        <f>ROUNDUP(IF(IFERROR(IF($BSC3="","",IF($BSC3=0,1,1-$BSC3/HLOOKUP(BSZ$3,[2]ARBOR_REAJUSTE18!$A:$AE,VLOOKUP($BSC$2,[2]ARBOR_REAJUSTE18!$A:$B,2,0),0))),"")&lt;0.01%,0.01%,(IFERROR(IF($BSC3="","",IF($BSC3=0,1,1-$BSC3/HLOOKUP(BSZ$3,[2]ARBOR_REAJUSTE18!$A:$AE,VLOOKUP($BSC$2,[2]ARBOR_REAJUSTE18!$A:$B,2,0),0))),""))),4)</f>
        <v>#VALUE!</v>
      </c>
      <c r="BTA3" s="44" t="e">
        <f>ROUNDUP(IF(IFERROR(IF($BSC3="","",IF($BSC3=0,1,1-$BSC3/HLOOKUP(BTA$3,[2]ARBOR_REAJUSTE18!$A:$AE,VLOOKUP($BSC$2,[2]ARBOR_REAJUSTE18!$A:$B,2,0),0))),"")&lt;0.01%,0.01%,(IFERROR(IF($BSC3="","",IF($BSC3=0,1,1-$BSC3/HLOOKUP(BTA$3,[2]ARBOR_REAJUSTE18!$A:$AE,VLOOKUP($BSC$2,[2]ARBOR_REAJUSTE18!$A:$B,2,0),0))),""))),4)</f>
        <v>#VALUE!</v>
      </c>
      <c r="BTB3" s="44" t="e">
        <f>ROUNDUP(IF(IFERROR(IF($BSC3="","",IF($BSC3=0,1,1-$BSC3/HLOOKUP(BTB$3,[2]ARBOR_REAJUSTE18!$A:$AE,VLOOKUP($BSC$2,[2]ARBOR_REAJUSTE18!$A:$B,2,0),0))),"")&lt;0.01%,0.01%,(IFERROR(IF($BSC3="","",IF($BSC3=0,1,1-$BSC3/HLOOKUP(BTB$3,[2]ARBOR_REAJUSTE18!$A:$AE,VLOOKUP($BSC$2,[2]ARBOR_REAJUSTE18!$A:$B,2,0),0))),""))),4)</f>
        <v>#VALUE!</v>
      </c>
      <c r="BTC3" s="44" t="e">
        <f>ROUNDUP(IF(IFERROR(IF($BSC3="","",IF($BSC3=0,1,1-$BSC3/HLOOKUP(BTC$3,[2]ARBOR_REAJUSTE18!$A:$AE,VLOOKUP($BSC$2,[2]ARBOR_REAJUSTE18!$A:$B,2,0),0))),"")&lt;0.01%,0.01%,(IFERROR(IF($BSC3="","",IF($BSC3=0,1,1-$BSC3/HLOOKUP(BTC$3,[2]ARBOR_REAJUSTE18!$A:$AE,VLOOKUP($BSC$2,[2]ARBOR_REAJUSTE18!$A:$B,2,0),0))),""))),4)</f>
        <v>#VALUE!</v>
      </c>
      <c r="BTD3" s="44" t="e">
        <f>ROUNDUP(IF(IFERROR(IF($BSC3="","",IF($BSC3=0,1,1-$BSC3/HLOOKUP(BTD$3,[2]ARBOR_REAJUSTE18!$A:$AE,VLOOKUP($BSC$2,[2]ARBOR_REAJUSTE18!$A:$B,2,0),0))),"")&lt;0.01%,0.01%,(IFERROR(IF($BSC3="","",IF($BSC3=0,1,1-$BSC3/HLOOKUP(BTD$3,[2]ARBOR_REAJUSTE18!$A:$AE,VLOOKUP($BSC$2,[2]ARBOR_REAJUSTE18!$A:$B,2,0),0))),""))),4)</f>
        <v>#VALUE!</v>
      </c>
      <c r="BTE3" s="44" t="e">
        <f>ROUNDUP(IF(IFERROR(IF($BSC3="","",IF($BSC3=0,1,1-$BSC3/HLOOKUP(BTE$3,[2]ARBOR_REAJUSTE18!$A:$AE,VLOOKUP($BSC$2,[2]ARBOR_REAJUSTE18!$A:$B,2,0),0))),"")&lt;0.01%,0.01%,(IFERROR(IF($BSC3="","",IF($BSC3=0,1,1-$BSC3/HLOOKUP(BTE$3,[2]ARBOR_REAJUSTE18!$A:$AE,VLOOKUP($BSC$2,[2]ARBOR_REAJUSTE18!$A:$B,2,0),0))),""))),4)</f>
        <v>#VALUE!</v>
      </c>
      <c r="BTF3" s="56"/>
      <c r="BTG3" s="56" t="s">
        <v>265</v>
      </c>
      <c r="BTH3" s="44" t="e">
        <f>ROUNDUP(IF(IFERROR(IF($BTF3="","",IF($BTF3=0,1,1-$BTF3/HLOOKUP(BTH$3,[2]ARBOR_REAJUSTE18!$A:$AE,VLOOKUP($BTF$2,[2]ARBOR_REAJUSTE18!$A:$B,2,0),0))),"")&lt;0.01%,0.01%,(IFERROR(IF($BTF3="","",IF($BTF3=0,1,1-$BTF3/HLOOKUP(BTH$3,[2]ARBOR_REAJUSTE18!$A:$AE,VLOOKUP($BTF$2,[2]ARBOR_REAJUSTE18!$A:$B,2,0),0))),""))),4)</f>
        <v>#VALUE!</v>
      </c>
      <c r="BTI3" s="44" t="e">
        <f>ROUNDUP(IF(IFERROR(IF($BTF3="","",IF($BTF3=0,1,1-$BTF3/HLOOKUP(BTI$3,[2]ARBOR_REAJUSTE18!$A:$AE,VLOOKUP($BTF$2,[2]ARBOR_REAJUSTE18!$A:$B,2,0),0))),"")&lt;0.01%,0.01%,(IFERROR(IF($BTF3="","",IF($BTF3=0,1,1-$BTF3/HLOOKUP(BTI$3,[2]ARBOR_REAJUSTE18!$A:$AE,VLOOKUP($BTF$2,[2]ARBOR_REAJUSTE18!$A:$B,2,0),0))),""))),4)</f>
        <v>#VALUE!</v>
      </c>
      <c r="BTJ3" s="44" t="e">
        <f>ROUNDUP(IF(IFERROR(IF($BTF3="","",IF($BTF3=0,1,1-$BTF3/HLOOKUP(BTJ$3,[2]ARBOR_REAJUSTE18!$A:$AE,VLOOKUP($BTF$2,[2]ARBOR_REAJUSTE18!$A:$B,2,0),0))),"")&lt;0.01%,0.01%,(IFERROR(IF($BTF3="","",IF($BTF3=0,1,1-$BTF3/HLOOKUP(BTJ$3,[2]ARBOR_REAJUSTE18!$A:$AE,VLOOKUP($BTF$2,[2]ARBOR_REAJUSTE18!$A:$B,2,0),0))),""))),4)</f>
        <v>#VALUE!</v>
      </c>
      <c r="BTK3" s="44" t="e">
        <f>ROUNDUP(IF(IFERROR(IF($BTF3="","",IF($BTF3=0,1,1-$BTF3/HLOOKUP(BTK$3,[2]ARBOR_REAJUSTE18!$A:$AE,VLOOKUP($BTF$2,[2]ARBOR_REAJUSTE18!$A:$B,2,0),0))),"")&lt;0.01%,0.01%,(IFERROR(IF($BTF3="","",IF($BTF3=0,1,1-$BTF3/HLOOKUP(BTK$3,[2]ARBOR_REAJUSTE18!$A:$AE,VLOOKUP($BTF$2,[2]ARBOR_REAJUSTE18!$A:$B,2,0),0))),""))),4)</f>
        <v>#VALUE!</v>
      </c>
      <c r="BTL3" s="44" t="e">
        <f>ROUNDUP(IF(IFERROR(IF($BTF3="","",IF($BTF3=0,1,1-$BTF3/HLOOKUP(BTL$3,[2]ARBOR_REAJUSTE18!$A:$AE,VLOOKUP($BTF$2,[2]ARBOR_REAJUSTE18!$A:$B,2,0),0))),"")&lt;0.01%,0.01%,(IFERROR(IF($BTF3="","",IF($BTF3=0,1,1-$BTF3/HLOOKUP(BTL$3,[2]ARBOR_REAJUSTE18!$A:$AE,VLOOKUP($BTF$2,[2]ARBOR_REAJUSTE18!$A:$B,2,0),0))),""))),4)</f>
        <v>#VALUE!</v>
      </c>
      <c r="BTM3" s="44" t="e">
        <f>ROUNDUP(IF(IFERROR(IF($BTF3="","",IF($BTF3=0,1,1-$BTF3/HLOOKUP(BTM$3,[2]ARBOR_REAJUSTE18!$A:$AE,VLOOKUP($BTF$2,[2]ARBOR_REAJUSTE18!$A:$B,2,0),0))),"")&lt;0.01%,0.01%,(IFERROR(IF($BTF3="","",IF($BTF3=0,1,1-$BTF3/HLOOKUP(BTM$3,[2]ARBOR_REAJUSTE18!$A:$AE,VLOOKUP($BTF$2,[2]ARBOR_REAJUSTE18!$A:$B,2,0),0))),""))),4)</f>
        <v>#VALUE!</v>
      </c>
      <c r="BTN3" s="44" t="e">
        <f>ROUNDUP(IF(IFERROR(IF($BTF3="","",IF($BTF3=0,1,1-$BTF3/HLOOKUP(BTN$3,[2]ARBOR_REAJUSTE18!$A:$AE,VLOOKUP($BTF$2,[2]ARBOR_REAJUSTE18!$A:$B,2,0),0))),"")&lt;0.01%,0.01%,(IFERROR(IF($BTF3="","",IF($BTF3=0,1,1-$BTF3/HLOOKUP(BTN$3,[2]ARBOR_REAJUSTE18!$A:$AE,VLOOKUP($BTF$2,[2]ARBOR_REAJUSTE18!$A:$B,2,0),0))),""))),4)</f>
        <v>#VALUE!</v>
      </c>
      <c r="BTO3" s="44" t="e">
        <f>ROUNDUP(IF(IFERROR(IF($BTF3="","",IF($BTF3=0,1,1-$BTF3/HLOOKUP(BTO$3,[2]ARBOR_REAJUSTE18!$A:$AE,VLOOKUP($BTF$2,[2]ARBOR_REAJUSTE18!$A:$B,2,0),0))),"")&lt;0.01%,0.01%,(IFERROR(IF($BTF3="","",IF($BTF3=0,1,1-$BTF3/HLOOKUP(BTO$3,[2]ARBOR_REAJUSTE18!$A:$AE,VLOOKUP($BTF$2,[2]ARBOR_REAJUSTE18!$A:$B,2,0),0))),""))),4)</f>
        <v>#VALUE!</v>
      </c>
      <c r="BTP3" s="44" t="e">
        <f>ROUNDUP(IF(IFERROR(IF($BTF3="","",IF($BTF3=0,1,1-$BTF3/HLOOKUP(BTP$3,[2]ARBOR_REAJUSTE18!$A:$AE,VLOOKUP($BTF$2,[2]ARBOR_REAJUSTE18!$A:$B,2,0),0))),"")&lt;0.01%,0.01%,(IFERROR(IF($BTF3="","",IF($BTF3=0,1,1-$BTF3/HLOOKUP(BTP$3,[2]ARBOR_REAJUSTE18!$A:$AE,VLOOKUP($BTF$2,[2]ARBOR_REAJUSTE18!$A:$B,2,0),0))),""))),4)</f>
        <v>#VALUE!</v>
      </c>
      <c r="BTQ3" s="44" t="e">
        <f>ROUNDUP(IF(IFERROR(IF($BTF3="","",IF($BTF3=0,1,1-$BTF3/HLOOKUP(BTQ$3,[2]ARBOR_REAJUSTE18!$A:$AE,VLOOKUP($BTF$2,[2]ARBOR_REAJUSTE18!$A:$B,2,0),0))),"")&lt;0.01%,0.01%,(IFERROR(IF($BTF3="","",IF($BTF3=0,1,1-$BTF3/HLOOKUP(BTQ$3,[2]ARBOR_REAJUSTE18!$A:$AE,VLOOKUP($BTF$2,[2]ARBOR_REAJUSTE18!$A:$B,2,0),0))),""))),4)</f>
        <v>#VALUE!</v>
      </c>
      <c r="BTR3" s="44" t="e">
        <f>ROUNDUP(IF(IFERROR(IF($BTF3="","",IF($BTF3=0,1,1-$BTF3/HLOOKUP(BTR$3,[2]ARBOR_REAJUSTE18!$A:$AE,VLOOKUP($BTF$2,[2]ARBOR_REAJUSTE18!$A:$B,2,0),0))),"")&lt;0.01%,0.01%,(IFERROR(IF($BTF3="","",IF($BTF3=0,1,1-$BTF3/HLOOKUP(BTR$3,[2]ARBOR_REAJUSTE18!$A:$AE,VLOOKUP($BTF$2,[2]ARBOR_REAJUSTE18!$A:$B,2,0),0))),""))),4)</f>
        <v>#VALUE!</v>
      </c>
      <c r="BTS3" s="44" t="e">
        <f>ROUNDUP(IF(IFERROR(IF($BTF3="","",IF($BTF3=0,1,1-$BTF3/HLOOKUP(BTS$3,[2]ARBOR_REAJUSTE18!$A:$AE,VLOOKUP($BTF$2,[2]ARBOR_REAJUSTE18!$A:$B,2,0),0))),"")&lt;0.01%,0.01%,(IFERROR(IF($BTF3="","",IF($BTF3=0,1,1-$BTF3/HLOOKUP(BTS$3,[2]ARBOR_REAJUSTE18!$A:$AE,VLOOKUP($BTF$2,[2]ARBOR_REAJUSTE18!$A:$B,2,0),0))),""))),4)</f>
        <v>#VALUE!</v>
      </c>
      <c r="BTT3" s="44" t="e">
        <f>ROUNDUP(IF(IFERROR(IF($BTF3="","",IF($BTF3=0,1,1-$BTF3/HLOOKUP(BTT$3,[2]ARBOR_REAJUSTE18!$A:$AE,VLOOKUP($BTF$2,[2]ARBOR_REAJUSTE18!$A:$B,2,0),0))),"")&lt;0.01%,0.01%,(IFERROR(IF($BTF3="","",IF($BTF3=0,1,1-$BTF3/HLOOKUP(BTT$3,[2]ARBOR_REAJUSTE18!$A:$AE,VLOOKUP($BTF$2,[2]ARBOR_REAJUSTE18!$A:$B,2,0),0))),""))),4)</f>
        <v>#VALUE!</v>
      </c>
      <c r="BTU3" s="44" t="e">
        <f>ROUNDUP(IF(IFERROR(IF($BTF3="","",IF($BTF3=0,1,1-$BTF3/HLOOKUP(BTU$3,[2]ARBOR_REAJUSTE18!$A:$AE,VLOOKUP($BTF$2,[2]ARBOR_REAJUSTE18!$A:$B,2,0),0))),"")&lt;0.01%,0.01%,(IFERROR(IF($BTF3="","",IF($BTF3=0,1,1-$BTF3/HLOOKUP(BTU$3,[2]ARBOR_REAJUSTE18!$A:$AE,VLOOKUP($BTF$2,[2]ARBOR_REAJUSTE18!$A:$B,2,0),0))),""))),4)</f>
        <v>#VALUE!</v>
      </c>
      <c r="BTV3" s="44" t="e">
        <f>ROUNDUP(IF(IFERROR(IF($BTF3="","",IF($BTF3=0,1,1-$BTF3/HLOOKUP(BTV$3,[2]ARBOR_REAJUSTE18!$A:$AE,VLOOKUP($BTF$2,[2]ARBOR_REAJUSTE18!$A:$B,2,0),0))),"")&lt;0.01%,0.01%,(IFERROR(IF($BTF3="","",IF($BTF3=0,1,1-$BTF3/HLOOKUP(BTV$3,[2]ARBOR_REAJUSTE18!$A:$AE,VLOOKUP($BTF$2,[2]ARBOR_REAJUSTE18!$A:$B,2,0),0))),""))),4)</f>
        <v>#VALUE!</v>
      </c>
      <c r="BTW3" s="44" t="e">
        <f>ROUNDUP(IF(IFERROR(IF($BTF3="","",IF($BTF3=0,1,1-$BTF3/HLOOKUP(BTW$3,[2]ARBOR_REAJUSTE18!$A:$AE,VLOOKUP($BTF$2,[2]ARBOR_REAJUSTE18!$A:$B,2,0),0))),"")&lt;0.01%,0.01%,(IFERROR(IF($BTF3="","",IF($BTF3=0,1,1-$BTF3/HLOOKUP(BTW$3,[2]ARBOR_REAJUSTE18!$A:$AE,VLOOKUP($BTF$2,[2]ARBOR_REAJUSTE18!$A:$B,2,0),0))),""))),4)</f>
        <v>#VALUE!</v>
      </c>
      <c r="BTX3" s="44" t="e">
        <f>ROUNDUP(IF(IFERROR(IF($BTF3="","",IF($BTF3=0,1,1-$BTF3/HLOOKUP(BTX$3,[2]ARBOR_REAJUSTE18!$A:$AE,VLOOKUP($BTF$2,[2]ARBOR_REAJUSTE18!$A:$B,2,0),0))),"")&lt;0.01%,0.01%,(IFERROR(IF($BTF3="","",IF($BTF3=0,1,1-$BTF3/HLOOKUP(BTX$3,[2]ARBOR_REAJUSTE18!$A:$AE,VLOOKUP($BTF$2,[2]ARBOR_REAJUSTE18!$A:$B,2,0),0))),""))),4)</f>
        <v>#VALUE!</v>
      </c>
      <c r="BTY3" s="44" t="e">
        <f>ROUNDUP(IF(IFERROR(IF($BTF3="","",IF($BTF3=0,1,1-$BTF3/HLOOKUP(BTY$3,[2]ARBOR_REAJUSTE18!$A:$AE,VLOOKUP($BTF$2,[2]ARBOR_REAJUSTE18!$A:$B,2,0),0))),"")&lt;0.01%,0.01%,(IFERROR(IF($BTF3="","",IF($BTF3=0,1,1-$BTF3/HLOOKUP(BTY$3,[2]ARBOR_REAJUSTE18!$A:$AE,VLOOKUP($BTF$2,[2]ARBOR_REAJUSTE18!$A:$B,2,0),0))),""))),4)</f>
        <v>#VALUE!</v>
      </c>
      <c r="BTZ3" s="44" t="e">
        <f>ROUNDUP(IF(IFERROR(IF($BTF3="","",IF($BTF3=0,1,1-$BTF3/HLOOKUP(BTZ$3,[2]ARBOR_REAJUSTE18!$A:$AE,VLOOKUP($BTF$2,[2]ARBOR_REAJUSTE18!$A:$B,2,0),0))),"")&lt;0.01%,0.01%,(IFERROR(IF($BTF3="","",IF($BTF3=0,1,1-$BTF3/HLOOKUP(BTZ$3,[2]ARBOR_REAJUSTE18!$A:$AE,VLOOKUP($BTF$2,[2]ARBOR_REAJUSTE18!$A:$B,2,0),0))),""))),4)</f>
        <v>#VALUE!</v>
      </c>
      <c r="BUA3" s="44" t="e">
        <f>ROUNDUP(IF(IFERROR(IF($BTF3="","",IF($BTF3=0,1,1-$BTF3/HLOOKUP(BUA$3,[2]ARBOR_REAJUSTE18!$A:$AE,VLOOKUP($BTF$2,[2]ARBOR_REAJUSTE18!$A:$B,2,0),0))),"")&lt;0.01%,0.01%,(IFERROR(IF($BTF3="","",IF($BTF3=0,1,1-$BTF3/HLOOKUP(BUA$3,[2]ARBOR_REAJUSTE18!$A:$AE,VLOOKUP($BTF$2,[2]ARBOR_REAJUSTE18!$A:$B,2,0),0))),""))),4)</f>
        <v>#VALUE!</v>
      </c>
      <c r="BUB3" s="44" t="e">
        <f>ROUNDUP(IF(IFERROR(IF($BTF3="","",IF($BTF3=0,1,1-$BTF3/HLOOKUP(BUB$3,[2]ARBOR_REAJUSTE18!$A:$AE,VLOOKUP($BTF$2,[2]ARBOR_REAJUSTE18!$A:$B,2,0),0))),"")&lt;0.01%,0.01%,(IFERROR(IF($BTF3="","",IF($BTF3=0,1,1-$BTF3/HLOOKUP(BUB$3,[2]ARBOR_REAJUSTE18!$A:$AE,VLOOKUP($BTF$2,[2]ARBOR_REAJUSTE18!$A:$B,2,0),0))),""))),4)</f>
        <v>#VALUE!</v>
      </c>
      <c r="BUC3" s="44" t="e">
        <f>ROUNDUP(IF(IFERROR(IF($BTF3="","",IF($BTF3=0,1,1-$BTF3/HLOOKUP(BUC$3,[2]ARBOR_REAJUSTE18!$A:$AE,VLOOKUP($BTF$2,[2]ARBOR_REAJUSTE18!$A:$B,2,0),0))),"")&lt;0.01%,0.01%,(IFERROR(IF($BTF3="","",IF($BTF3=0,1,1-$BTF3/HLOOKUP(BUC$3,[2]ARBOR_REAJUSTE18!$A:$AE,VLOOKUP($BTF$2,[2]ARBOR_REAJUSTE18!$A:$B,2,0),0))),""))),4)</f>
        <v>#VALUE!</v>
      </c>
      <c r="BUD3" s="44" t="e">
        <f>ROUNDUP(IF(IFERROR(IF($BTF3="","",IF($BTF3=0,1,1-$BTF3/HLOOKUP(BUD$3,[2]ARBOR_REAJUSTE18!$A:$AE,VLOOKUP($BTF$2,[2]ARBOR_REAJUSTE18!$A:$B,2,0),0))),"")&lt;0.01%,0.01%,(IFERROR(IF($BTF3="","",IF($BTF3=0,1,1-$BTF3/HLOOKUP(BUD$3,[2]ARBOR_REAJUSTE18!$A:$AE,VLOOKUP($BTF$2,[2]ARBOR_REAJUSTE18!$A:$B,2,0),0))),""))),4)</f>
        <v>#VALUE!</v>
      </c>
      <c r="BUE3" s="44" t="e">
        <f>ROUNDUP(IF(IFERROR(IF($BTF3="","",IF($BTF3=0,1,1-$BTF3/HLOOKUP(BUE$3,[2]ARBOR_REAJUSTE18!$A:$AE,VLOOKUP($BTF$2,[2]ARBOR_REAJUSTE18!$A:$B,2,0),0))),"")&lt;0.01%,0.01%,(IFERROR(IF($BTF3="","",IF($BTF3=0,1,1-$BTF3/HLOOKUP(BUE$3,[2]ARBOR_REAJUSTE18!$A:$AE,VLOOKUP($BTF$2,[2]ARBOR_REAJUSTE18!$A:$B,2,0),0))),""))),4)</f>
        <v>#VALUE!</v>
      </c>
      <c r="BUF3" s="44" t="e">
        <f>ROUNDUP(IF(IFERROR(IF($BTF3="","",IF($BTF3=0,1,1-$BTF3/HLOOKUP(BUF$3,[2]ARBOR_REAJUSTE18!$A:$AE,VLOOKUP($BTF$2,[2]ARBOR_REAJUSTE18!$A:$B,2,0),0))),"")&lt;0.01%,0.01%,(IFERROR(IF($BTF3="","",IF($BTF3=0,1,1-$BTF3/HLOOKUP(BUF$3,[2]ARBOR_REAJUSTE18!$A:$AE,VLOOKUP($BTF$2,[2]ARBOR_REAJUSTE18!$A:$B,2,0),0))),""))),4)</f>
        <v>#VALUE!</v>
      </c>
      <c r="BUG3" s="44" t="e">
        <f>ROUNDUP(IF(IFERROR(IF($BTF3="","",IF($BTF3=0,1,1-$BTF3/HLOOKUP(BUG$3,[2]ARBOR_REAJUSTE18!$A:$AE,VLOOKUP($BTF$2,[2]ARBOR_REAJUSTE18!$A:$B,2,0),0))),"")&lt;0.01%,0.01%,(IFERROR(IF($BTF3="","",IF($BTF3=0,1,1-$BTF3/HLOOKUP(BUG$3,[2]ARBOR_REAJUSTE18!$A:$AE,VLOOKUP($BTF$2,[2]ARBOR_REAJUSTE18!$A:$B,2,0),0))),""))),4)</f>
        <v>#VALUE!</v>
      </c>
      <c r="BUH3" s="44" t="e">
        <f>ROUNDUP(IF(IFERROR(IF($BTF3="","",IF($BTF3=0,1,1-$BTF3/HLOOKUP(BUH$3,[2]ARBOR_REAJUSTE18!$A:$AE,VLOOKUP($BTF$2,[2]ARBOR_REAJUSTE18!$A:$B,2,0),0))),"")&lt;0.01%,0.01%,(IFERROR(IF($BTF3="","",IF($BTF3=0,1,1-$BTF3/HLOOKUP(BUH$3,[2]ARBOR_REAJUSTE18!$A:$AE,VLOOKUP($BTF$2,[2]ARBOR_REAJUSTE18!$A:$B,2,0),0))),""))),4)</f>
        <v>#VALUE!</v>
      </c>
      <c r="BUI3" s="56"/>
      <c r="BUJ3" s="56" t="s">
        <v>266</v>
      </c>
      <c r="BUK3" s="44" t="e">
        <f>ROUNDUP(IF(IFERROR(IF($BUI3="","",IF($BUI3=0,1,1-$BUI3/HLOOKUP(BUK$3,[2]ARBOR_REAJUSTE18!$A:$AE,VLOOKUP($BUI$2,[2]ARBOR_REAJUSTE18!$A:$B,2,0),0))),"")&lt;0.01%,0.01%,(IFERROR(IF($BUI3="","",IF($BUI3=0,1,1-$BUI3/HLOOKUP(BUK$3,[2]ARBOR_REAJUSTE18!$A:$AE,VLOOKUP($BUI$2,[2]ARBOR_REAJUSTE18!$A:$B,2,0),0))),""))),4)</f>
        <v>#VALUE!</v>
      </c>
      <c r="BUL3" s="44" t="e">
        <f>ROUNDUP(IF(IFERROR(IF($BUI3="","",IF($BUI3=0,1,1-$BUI3/HLOOKUP(BUL$3,[2]ARBOR_REAJUSTE18!$A:$AE,VLOOKUP($BUI$2,[2]ARBOR_REAJUSTE18!$A:$B,2,0),0))),"")&lt;0.01%,0.01%,(IFERROR(IF($BUI3="","",IF($BUI3=0,1,1-$BUI3/HLOOKUP(BUL$3,[2]ARBOR_REAJUSTE18!$A:$AE,VLOOKUP($BUI$2,[2]ARBOR_REAJUSTE18!$A:$B,2,0),0))),""))),4)</f>
        <v>#VALUE!</v>
      </c>
      <c r="BUM3" s="44" t="e">
        <f>ROUNDUP(IF(IFERROR(IF($BUI3="","",IF($BUI3=0,1,1-$BUI3/HLOOKUP(BUM$3,[2]ARBOR_REAJUSTE18!$A:$AE,VLOOKUP($BUI$2,[2]ARBOR_REAJUSTE18!$A:$B,2,0),0))),"")&lt;0.01%,0.01%,(IFERROR(IF($BUI3="","",IF($BUI3=0,1,1-$BUI3/HLOOKUP(BUM$3,[2]ARBOR_REAJUSTE18!$A:$AE,VLOOKUP($BUI$2,[2]ARBOR_REAJUSTE18!$A:$B,2,0),0))),""))),4)</f>
        <v>#VALUE!</v>
      </c>
      <c r="BUN3" s="44" t="e">
        <f>ROUNDUP(IF(IFERROR(IF($BUI3="","",IF($BUI3=0,1,1-$BUI3/HLOOKUP(BUN$3,[2]ARBOR_REAJUSTE18!$A:$AE,VLOOKUP($BUI$2,[2]ARBOR_REAJUSTE18!$A:$B,2,0),0))),"")&lt;0.01%,0.01%,(IFERROR(IF($BUI3="","",IF($BUI3=0,1,1-$BUI3/HLOOKUP(BUN$3,[2]ARBOR_REAJUSTE18!$A:$AE,VLOOKUP($BUI$2,[2]ARBOR_REAJUSTE18!$A:$B,2,0),0))),""))),4)</f>
        <v>#VALUE!</v>
      </c>
      <c r="BUO3" s="44" t="e">
        <f>ROUNDUP(IF(IFERROR(IF($BUI3="","",IF($BUI3=0,1,1-$BUI3/HLOOKUP(BUO$3,[2]ARBOR_REAJUSTE18!$A:$AE,VLOOKUP($BUI$2,[2]ARBOR_REAJUSTE18!$A:$B,2,0),0))),"")&lt;0.01%,0.01%,(IFERROR(IF($BUI3="","",IF($BUI3=0,1,1-$BUI3/HLOOKUP(BUO$3,[2]ARBOR_REAJUSTE18!$A:$AE,VLOOKUP($BUI$2,[2]ARBOR_REAJUSTE18!$A:$B,2,0),0))),""))),4)</f>
        <v>#VALUE!</v>
      </c>
      <c r="BUP3" s="44" t="e">
        <f>ROUNDUP(IF(IFERROR(IF($BUI3="","",IF($BUI3=0,1,1-$BUI3/HLOOKUP(BUP$3,[2]ARBOR_REAJUSTE18!$A:$AE,VLOOKUP($BUI$2,[2]ARBOR_REAJUSTE18!$A:$B,2,0),0))),"")&lt;0.01%,0.01%,(IFERROR(IF($BUI3="","",IF($BUI3=0,1,1-$BUI3/HLOOKUP(BUP$3,[2]ARBOR_REAJUSTE18!$A:$AE,VLOOKUP($BUI$2,[2]ARBOR_REAJUSTE18!$A:$B,2,0),0))),""))),4)</f>
        <v>#VALUE!</v>
      </c>
      <c r="BUQ3" s="44" t="e">
        <f>ROUNDUP(IF(IFERROR(IF($BUI3="","",IF($BUI3=0,1,1-$BUI3/HLOOKUP(BUQ$3,[2]ARBOR_REAJUSTE18!$A:$AE,VLOOKUP($BUI$2,[2]ARBOR_REAJUSTE18!$A:$B,2,0),0))),"")&lt;0.01%,0.01%,(IFERROR(IF($BUI3="","",IF($BUI3=0,1,1-$BUI3/HLOOKUP(BUQ$3,[2]ARBOR_REAJUSTE18!$A:$AE,VLOOKUP($BUI$2,[2]ARBOR_REAJUSTE18!$A:$B,2,0),0))),""))),4)</f>
        <v>#VALUE!</v>
      </c>
      <c r="BUR3" s="44" t="e">
        <f>ROUNDUP(IF(IFERROR(IF($BUI3="","",IF($BUI3=0,1,1-$BUI3/HLOOKUP(BUR$3,[2]ARBOR_REAJUSTE18!$A:$AE,VLOOKUP($BUI$2,[2]ARBOR_REAJUSTE18!$A:$B,2,0),0))),"")&lt;0.01%,0.01%,(IFERROR(IF($BUI3="","",IF($BUI3=0,1,1-$BUI3/HLOOKUP(BUR$3,[2]ARBOR_REAJUSTE18!$A:$AE,VLOOKUP($BUI$2,[2]ARBOR_REAJUSTE18!$A:$B,2,0),0))),""))),4)</f>
        <v>#VALUE!</v>
      </c>
      <c r="BUS3" s="44" t="e">
        <f>ROUNDUP(IF(IFERROR(IF($BUI3="","",IF($BUI3=0,1,1-$BUI3/HLOOKUP(BUS$3,[2]ARBOR_REAJUSTE18!$A:$AE,VLOOKUP($BUI$2,[2]ARBOR_REAJUSTE18!$A:$B,2,0),0))),"")&lt;0.01%,0.01%,(IFERROR(IF($BUI3="","",IF($BUI3=0,1,1-$BUI3/HLOOKUP(BUS$3,[2]ARBOR_REAJUSTE18!$A:$AE,VLOOKUP($BUI$2,[2]ARBOR_REAJUSTE18!$A:$B,2,0),0))),""))),4)</f>
        <v>#VALUE!</v>
      </c>
      <c r="BUT3" s="44" t="e">
        <f>ROUNDUP(IF(IFERROR(IF($BUI3="","",IF($BUI3=0,1,1-$BUI3/HLOOKUP(BUT$3,[2]ARBOR_REAJUSTE18!$A:$AE,VLOOKUP($BUI$2,[2]ARBOR_REAJUSTE18!$A:$B,2,0),0))),"")&lt;0.01%,0.01%,(IFERROR(IF($BUI3="","",IF($BUI3=0,1,1-$BUI3/HLOOKUP(BUT$3,[2]ARBOR_REAJUSTE18!$A:$AE,VLOOKUP($BUI$2,[2]ARBOR_REAJUSTE18!$A:$B,2,0),0))),""))),4)</f>
        <v>#VALUE!</v>
      </c>
      <c r="BUU3" s="44" t="e">
        <f>ROUNDUP(IF(IFERROR(IF($BUI3="","",IF($BUI3=0,1,1-$BUI3/HLOOKUP(BUU$3,[2]ARBOR_REAJUSTE18!$A:$AE,VLOOKUP($BUI$2,[2]ARBOR_REAJUSTE18!$A:$B,2,0),0))),"")&lt;0.01%,0.01%,(IFERROR(IF($BUI3="","",IF($BUI3=0,1,1-$BUI3/HLOOKUP(BUU$3,[2]ARBOR_REAJUSTE18!$A:$AE,VLOOKUP($BUI$2,[2]ARBOR_REAJUSTE18!$A:$B,2,0),0))),""))),4)</f>
        <v>#VALUE!</v>
      </c>
      <c r="BUV3" s="44" t="e">
        <f>ROUNDUP(IF(IFERROR(IF($BUI3="","",IF($BUI3=0,1,1-$BUI3/HLOOKUP(BUV$3,[2]ARBOR_REAJUSTE18!$A:$AE,VLOOKUP($BUI$2,[2]ARBOR_REAJUSTE18!$A:$B,2,0),0))),"")&lt;0.01%,0.01%,(IFERROR(IF($BUI3="","",IF($BUI3=0,1,1-$BUI3/HLOOKUP(BUV$3,[2]ARBOR_REAJUSTE18!$A:$AE,VLOOKUP($BUI$2,[2]ARBOR_REAJUSTE18!$A:$B,2,0),0))),""))),4)</f>
        <v>#VALUE!</v>
      </c>
      <c r="BUW3" s="44" t="e">
        <f>ROUNDUP(IF(IFERROR(IF($BUI3="","",IF($BUI3=0,1,1-$BUI3/HLOOKUP(BUW$3,[2]ARBOR_REAJUSTE18!$A:$AE,VLOOKUP($BUI$2,[2]ARBOR_REAJUSTE18!$A:$B,2,0),0))),"")&lt;0.01%,0.01%,(IFERROR(IF($BUI3="","",IF($BUI3=0,1,1-$BUI3/HLOOKUP(BUW$3,[2]ARBOR_REAJUSTE18!$A:$AE,VLOOKUP($BUI$2,[2]ARBOR_REAJUSTE18!$A:$B,2,0),0))),""))),4)</f>
        <v>#VALUE!</v>
      </c>
      <c r="BUX3" s="44" t="e">
        <f>ROUNDUP(IF(IFERROR(IF($BUI3="","",IF($BUI3=0,1,1-$BUI3/HLOOKUP(BUX$3,[2]ARBOR_REAJUSTE18!$A:$AE,VLOOKUP($BUI$2,[2]ARBOR_REAJUSTE18!$A:$B,2,0),0))),"")&lt;0.01%,0.01%,(IFERROR(IF($BUI3="","",IF($BUI3=0,1,1-$BUI3/HLOOKUP(BUX$3,[2]ARBOR_REAJUSTE18!$A:$AE,VLOOKUP($BUI$2,[2]ARBOR_REAJUSTE18!$A:$B,2,0),0))),""))),4)</f>
        <v>#VALUE!</v>
      </c>
      <c r="BUY3" s="44" t="e">
        <f>ROUNDUP(IF(IFERROR(IF($BUI3="","",IF($BUI3=0,1,1-$BUI3/HLOOKUP(BUY$3,[2]ARBOR_REAJUSTE18!$A:$AE,VLOOKUP($BUI$2,[2]ARBOR_REAJUSTE18!$A:$B,2,0),0))),"")&lt;0.01%,0.01%,(IFERROR(IF($BUI3="","",IF($BUI3=0,1,1-$BUI3/HLOOKUP(BUY$3,[2]ARBOR_REAJUSTE18!$A:$AE,VLOOKUP($BUI$2,[2]ARBOR_REAJUSTE18!$A:$B,2,0),0))),""))),4)</f>
        <v>#VALUE!</v>
      </c>
      <c r="BUZ3" s="44" t="e">
        <f>ROUNDUP(IF(IFERROR(IF($BUI3="","",IF($BUI3=0,1,1-$BUI3/HLOOKUP(BUZ$3,[2]ARBOR_REAJUSTE18!$A:$AE,VLOOKUP($BUI$2,[2]ARBOR_REAJUSTE18!$A:$B,2,0),0))),"")&lt;0.01%,0.01%,(IFERROR(IF($BUI3="","",IF($BUI3=0,1,1-$BUI3/HLOOKUP(BUZ$3,[2]ARBOR_REAJUSTE18!$A:$AE,VLOOKUP($BUI$2,[2]ARBOR_REAJUSTE18!$A:$B,2,0),0))),""))),4)</f>
        <v>#VALUE!</v>
      </c>
      <c r="BVA3" s="44" t="e">
        <f>ROUNDUP(IF(IFERROR(IF($BUI3="","",IF($BUI3=0,1,1-$BUI3/HLOOKUP(BVA$3,[2]ARBOR_REAJUSTE18!$A:$AE,VLOOKUP($BUI$2,[2]ARBOR_REAJUSTE18!$A:$B,2,0),0))),"")&lt;0.01%,0.01%,(IFERROR(IF($BUI3="","",IF($BUI3=0,1,1-$BUI3/HLOOKUP(BVA$3,[2]ARBOR_REAJUSTE18!$A:$AE,VLOOKUP($BUI$2,[2]ARBOR_REAJUSTE18!$A:$B,2,0),0))),""))),4)</f>
        <v>#VALUE!</v>
      </c>
      <c r="BVB3" s="44" t="e">
        <f>ROUNDUP(IF(IFERROR(IF($BUI3="","",IF($BUI3=0,1,1-$BUI3/HLOOKUP(BVB$3,[2]ARBOR_REAJUSTE18!$A:$AE,VLOOKUP($BUI$2,[2]ARBOR_REAJUSTE18!$A:$B,2,0),0))),"")&lt;0.01%,0.01%,(IFERROR(IF($BUI3="","",IF($BUI3=0,1,1-$BUI3/HLOOKUP(BVB$3,[2]ARBOR_REAJUSTE18!$A:$AE,VLOOKUP($BUI$2,[2]ARBOR_REAJUSTE18!$A:$B,2,0),0))),""))),4)</f>
        <v>#VALUE!</v>
      </c>
      <c r="BVC3" s="44" t="e">
        <f>ROUNDUP(IF(IFERROR(IF($BUI3="","",IF($BUI3=0,1,1-$BUI3/HLOOKUP(BVC$3,[2]ARBOR_REAJUSTE18!$A:$AE,VLOOKUP($BUI$2,[2]ARBOR_REAJUSTE18!$A:$B,2,0),0))),"")&lt;0.01%,0.01%,(IFERROR(IF($BUI3="","",IF($BUI3=0,1,1-$BUI3/HLOOKUP(BVC$3,[2]ARBOR_REAJUSTE18!$A:$AE,VLOOKUP($BUI$2,[2]ARBOR_REAJUSTE18!$A:$B,2,0),0))),""))),4)</f>
        <v>#VALUE!</v>
      </c>
      <c r="BVD3" s="44" t="e">
        <f>ROUNDUP(IF(IFERROR(IF($BUI3="","",IF($BUI3=0,1,1-$BUI3/HLOOKUP(BVD$3,[2]ARBOR_REAJUSTE18!$A:$AE,VLOOKUP($BUI$2,[2]ARBOR_REAJUSTE18!$A:$B,2,0),0))),"")&lt;0.01%,0.01%,(IFERROR(IF($BUI3="","",IF($BUI3=0,1,1-$BUI3/HLOOKUP(BVD$3,[2]ARBOR_REAJUSTE18!$A:$AE,VLOOKUP($BUI$2,[2]ARBOR_REAJUSTE18!$A:$B,2,0),0))),""))),4)</f>
        <v>#VALUE!</v>
      </c>
      <c r="BVE3" s="44" t="e">
        <f>ROUNDUP(IF(IFERROR(IF($BUI3="","",IF($BUI3=0,1,1-$BUI3/HLOOKUP(BVE$3,[2]ARBOR_REAJUSTE18!$A:$AE,VLOOKUP($BUI$2,[2]ARBOR_REAJUSTE18!$A:$B,2,0),0))),"")&lt;0.01%,0.01%,(IFERROR(IF($BUI3="","",IF($BUI3=0,1,1-$BUI3/HLOOKUP(BVE$3,[2]ARBOR_REAJUSTE18!$A:$AE,VLOOKUP($BUI$2,[2]ARBOR_REAJUSTE18!$A:$B,2,0),0))),""))),4)</f>
        <v>#VALUE!</v>
      </c>
      <c r="BVF3" s="44" t="e">
        <f>ROUNDUP(IF(IFERROR(IF($BUI3="","",IF($BUI3=0,1,1-$BUI3/HLOOKUP(BVF$3,[2]ARBOR_REAJUSTE18!$A:$AE,VLOOKUP($BUI$2,[2]ARBOR_REAJUSTE18!$A:$B,2,0),0))),"")&lt;0.01%,0.01%,(IFERROR(IF($BUI3="","",IF($BUI3=0,1,1-$BUI3/HLOOKUP(BVF$3,[2]ARBOR_REAJUSTE18!$A:$AE,VLOOKUP($BUI$2,[2]ARBOR_REAJUSTE18!$A:$B,2,0),0))),""))),4)</f>
        <v>#VALUE!</v>
      </c>
      <c r="BVG3" s="44" t="e">
        <f>ROUNDUP(IF(IFERROR(IF($BUI3="","",IF($BUI3=0,1,1-$BUI3/HLOOKUP(BVG$3,[2]ARBOR_REAJUSTE18!$A:$AE,VLOOKUP($BUI$2,[2]ARBOR_REAJUSTE18!$A:$B,2,0),0))),"")&lt;0.01%,0.01%,(IFERROR(IF($BUI3="","",IF($BUI3=0,1,1-$BUI3/HLOOKUP(BVG$3,[2]ARBOR_REAJUSTE18!$A:$AE,VLOOKUP($BUI$2,[2]ARBOR_REAJUSTE18!$A:$B,2,0),0))),""))),4)</f>
        <v>#VALUE!</v>
      </c>
      <c r="BVH3" s="44" t="e">
        <f>ROUNDUP(IF(IFERROR(IF($BUI3="","",IF($BUI3=0,1,1-$BUI3/HLOOKUP(BVH$3,[2]ARBOR_REAJUSTE18!$A:$AE,VLOOKUP($BUI$2,[2]ARBOR_REAJUSTE18!$A:$B,2,0),0))),"")&lt;0.01%,0.01%,(IFERROR(IF($BUI3="","",IF($BUI3=0,1,1-$BUI3/HLOOKUP(BVH$3,[2]ARBOR_REAJUSTE18!$A:$AE,VLOOKUP($BUI$2,[2]ARBOR_REAJUSTE18!$A:$B,2,0),0))),""))),4)</f>
        <v>#VALUE!</v>
      </c>
      <c r="BVI3" s="44" t="e">
        <f>ROUNDUP(IF(IFERROR(IF($BUI3="","",IF($BUI3=0,1,1-$BUI3/HLOOKUP(BVI$3,[2]ARBOR_REAJUSTE18!$A:$AE,VLOOKUP($BUI$2,[2]ARBOR_REAJUSTE18!$A:$B,2,0),0))),"")&lt;0.01%,0.01%,(IFERROR(IF($BUI3="","",IF($BUI3=0,1,1-$BUI3/HLOOKUP(BVI$3,[2]ARBOR_REAJUSTE18!$A:$AE,VLOOKUP($BUI$2,[2]ARBOR_REAJUSTE18!$A:$B,2,0),0))),""))),4)</f>
        <v>#VALUE!</v>
      </c>
      <c r="BVJ3" s="44" t="e">
        <f>ROUNDUP(IF(IFERROR(IF($BUI3="","",IF($BUI3=0,1,1-$BUI3/HLOOKUP(BVJ$3,[2]ARBOR_REAJUSTE18!$A:$AE,VLOOKUP($BUI$2,[2]ARBOR_REAJUSTE18!$A:$B,2,0),0))),"")&lt;0.01%,0.01%,(IFERROR(IF($BUI3="","",IF($BUI3=0,1,1-$BUI3/HLOOKUP(BVJ$3,[2]ARBOR_REAJUSTE18!$A:$AE,VLOOKUP($BUI$2,[2]ARBOR_REAJUSTE18!$A:$B,2,0),0))),""))),4)</f>
        <v>#VALUE!</v>
      </c>
      <c r="BVK3" s="44" t="e">
        <f>ROUNDUP(IF(IFERROR(IF($BUI3="","",IF($BUI3=0,1,1-$BUI3/HLOOKUP(BVK$3,[2]ARBOR_REAJUSTE18!$A:$AE,VLOOKUP($BUI$2,[2]ARBOR_REAJUSTE18!$A:$B,2,0),0))),"")&lt;0.01%,0.01%,(IFERROR(IF($BUI3="","",IF($BUI3=0,1,1-$BUI3/HLOOKUP(BVK$3,[2]ARBOR_REAJUSTE18!$A:$AE,VLOOKUP($BUI$2,[2]ARBOR_REAJUSTE18!$A:$B,2,0),0))),""))),4)</f>
        <v>#VALUE!</v>
      </c>
      <c r="BVL3" s="56"/>
      <c r="BVM3" s="64"/>
      <c r="BVN3" s="44" t="e">
        <f>ROUNDUP(IF(IFERROR(IF($BVL3="","",IF($BVL3=0,1,1-$BVL3/HLOOKUP(BVN$3,[2]ARBOR_REAJUSTE18!$A:$AE,VLOOKUP($BVL$2,[2]ARBOR_REAJUSTE18!$A:$B,2,0),0))),"")&lt;0.01%,0.01%,(IFERROR(IF($BVL3="","",IF($BVL3=0,1,1-$BVL3/HLOOKUP(BVN$3,[2]ARBOR_REAJUSTE18!$A:$AE,VLOOKUP($BVL$2,[2]ARBOR_REAJUSTE18!$A:$B,2,0),0))),""))),4)</f>
        <v>#VALUE!</v>
      </c>
      <c r="BVO3" s="44" t="e">
        <f>ROUNDUP(IF(IFERROR(IF($BVL3="","",IF($BVL3=0,1,1-$BVL3/HLOOKUP(BVO$3,[2]ARBOR_REAJUSTE18!$A:$AE,VLOOKUP($BVL$2,[2]ARBOR_REAJUSTE18!$A:$B,2,0),0))),"")&lt;0.01%,0.01%,(IFERROR(IF($BVL3="","",IF($BVL3=0,1,1-$BVL3/HLOOKUP(BVO$3,[2]ARBOR_REAJUSTE18!$A:$AE,VLOOKUP($BVL$2,[2]ARBOR_REAJUSTE18!$A:$B,2,0),0))),""))),4)</f>
        <v>#VALUE!</v>
      </c>
      <c r="BVP3" s="44" t="e">
        <f>ROUNDUP(IF(IFERROR(IF($BVL3="","",IF($BVL3=0,1,1-$BVL3/HLOOKUP(BVP$3,[2]ARBOR_REAJUSTE18!$A:$AE,VLOOKUP($BVL$2,[2]ARBOR_REAJUSTE18!$A:$B,2,0),0))),"")&lt;0.01%,0.01%,(IFERROR(IF($BVL3="","",IF($BVL3=0,1,1-$BVL3/HLOOKUP(BVP$3,[2]ARBOR_REAJUSTE18!$A:$AE,VLOOKUP($BVL$2,[2]ARBOR_REAJUSTE18!$A:$B,2,0),0))),""))),4)</f>
        <v>#VALUE!</v>
      </c>
      <c r="BVQ3" s="44" t="e">
        <f>ROUNDUP(IF(IFERROR(IF($BVL3="","",IF($BVL3=0,1,1-$BVL3/HLOOKUP(BVQ$3,[2]ARBOR_REAJUSTE18!$A:$AE,VLOOKUP($BVL$2,[2]ARBOR_REAJUSTE18!$A:$B,2,0),0))),"")&lt;0.01%,0.01%,(IFERROR(IF($BVL3="","",IF($BVL3=0,1,1-$BVL3/HLOOKUP(BVQ$3,[2]ARBOR_REAJUSTE18!$A:$AE,VLOOKUP($BVL$2,[2]ARBOR_REAJUSTE18!$A:$B,2,0),0))),""))),4)</f>
        <v>#VALUE!</v>
      </c>
      <c r="BVR3" s="44" t="e">
        <f>ROUNDUP(IF(IFERROR(IF($BVL3="","",IF($BVL3=0,1,1-$BVL3/HLOOKUP(BVR$3,[2]ARBOR_REAJUSTE18!$A:$AE,VLOOKUP($BVL$2,[2]ARBOR_REAJUSTE18!$A:$B,2,0),0))),"")&lt;0.01%,0.01%,(IFERROR(IF($BVL3="","",IF($BVL3=0,1,1-$BVL3/HLOOKUP(BVR$3,[2]ARBOR_REAJUSTE18!$A:$AE,VLOOKUP($BVL$2,[2]ARBOR_REAJUSTE18!$A:$B,2,0),0))),""))),4)</f>
        <v>#VALUE!</v>
      </c>
      <c r="BVS3" s="44" t="e">
        <f>ROUNDUP(IF(IFERROR(IF($BVL3="","",IF($BVL3=0,1,1-$BVL3/HLOOKUP(BVS$3,[2]ARBOR_REAJUSTE18!$A:$AE,VLOOKUP($BVL$2,[2]ARBOR_REAJUSTE18!$A:$B,2,0),0))),"")&lt;0.01%,0.01%,(IFERROR(IF($BVL3="","",IF($BVL3=0,1,1-$BVL3/HLOOKUP(BVS$3,[2]ARBOR_REAJUSTE18!$A:$AE,VLOOKUP($BVL$2,[2]ARBOR_REAJUSTE18!$A:$B,2,0),0))),""))),4)</f>
        <v>#VALUE!</v>
      </c>
      <c r="BVT3" s="44" t="e">
        <f>ROUNDUP(IF(IFERROR(IF($BVL3="","",IF($BVL3=0,1,1-$BVL3/HLOOKUP(BVT$3,[2]ARBOR_REAJUSTE18!$A:$AE,VLOOKUP($BVL$2,[2]ARBOR_REAJUSTE18!$A:$B,2,0),0))),"")&lt;0.01%,0.01%,(IFERROR(IF($BVL3="","",IF($BVL3=0,1,1-$BVL3/HLOOKUP(BVT$3,[2]ARBOR_REAJUSTE18!$A:$AE,VLOOKUP($BVL$2,[2]ARBOR_REAJUSTE18!$A:$B,2,0),0))),""))),4)</f>
        <v>#VALUE!</v>
      </c>
      <c r="BVU3" s="44" t="e">
        <f>ROUNDUP(IF(IFERROR(IF($BVL3="","",IF($BVL3=0,1,1-$BVL3/HLOOKUP(BVU$3,[2]ARBOR_REAJUSTE18!$A:$AE,VLOOKUP($BVL$2,[2]ARBOR_REAJUSTE18!$A:$B,2,0),0))),"")&lt;0.01%,0.01%,(IFERROR(IF($BVL3="","",IF($BVL3=0,1,1-$BVL3/HLOOKUP(BVU$3,[2]ARBOR_REAJUSTE18!$A:$AE,VLOOKUP($BVL$2,[2]ARBOR_REAJUSTE18!$A:$B,2,0),0))),""))),4)</f>
        <v>#VALUE!</v>
      </c>
      <c r="BVV3" s="44" t="e">
        <f>ROUNDUP(IF(IFERROR(IF($BVL3="","",IF($BVL3=0,1,1-$BVL3/HLOOKUP(BVV$3,[2]ARBOR_REAJUSTE18!$A:$AE,VLOOKUP($BVL$2,[2]ARBOR_REAJUSTE18!$A:$B,2,0),0))),"")&lt;0.01%,0.01%,(IFERROR(IF($BVL3="","",IF($BVL3=0,1,1-$BVL3/HLOOKUP(BVV$3,[2]ARBOR_REAJUSTE18!$A:$AE,VLOOKUP($BVL$2,[2]ARBOR_REAJUSTE18!$A:$B,2,0),0))),""))),4)</f>
        <v>#VALUE!</v>
      </c>
      <c r="BVW3" s="44" t="e">
        <f>ROUNDUP(IF(IFERROR(IF($BVL3="","",IF($BVL3=0,1,1-$BVL3/HLOOKUP(BVW$3,[2]ARBOR_REAJUSTE18!$A:$AE,VLOOKUP($BVL$2,[2]ARBOR_REAJUSTE18!$A:$B,2,0),0))),"")&lt;0.01%,0.01%,(IFERROR(IF($BVL3="","",IF($BVL3=0,1,1-$BVL3/HLOOKUP(BVW$3,[2]ARBOR_REAJUSTE18!$A:$AE,VLOOKUP($BVL$2,[2]ARBOR_REAJUSTE18!$A:$B,2,0),0))),""))),4)</f>
        <v>#VALUE!</v>
      </c>
      <c r="BVX3" s="44" t="e">
        <f>ROUNDUP(IF(IFERROR(IF($BVL3="","",IF($BVL3=0,1,1-$BVL3/HLOOKUP(BVX$3,[2]ARBOR_REAJUSTE18!$A:$AE,VLOOKUP($BVL$2,[2]ARBOR_REAJUSTE18!$A:$B,2,0),0))),"")&lt;0.01%,0.01%,(IFERROR(IF($BVL3="","",IF($BVL3=0,1,1-$BVL3/HLOOKUP(BVX$3,[2]ARBOR_REAJUSTE18!$A:$AE,VLOOKUP($BVL$2,[2]ARBOR_REAJUSTE18!$A:$B,2,0),0))),""))),4)</f>
        <v>#VALUE!</v>
      </c>
      <c r="BVY3" s="44" t="e">
        <f>ROUNDUP(IF(IFERROR(IF($BVL3="","",IF($BVL3=0,1,1-$BVL3/HLOOKUP(BVY$3,[2]ARBOR_REAJUSTE18!$A:$AE,VLOOKUP($BVL$2,[2]ARBOR_REAJUSTE18!$A:$B,2,0),0))),"")&lt;0.01%,0.01%,(IFERROR(IF($BVL3="","",IF($BVL3=0,1,1-$BVL3/HLOOKUP(BVY$3,[2]ARBOR_REAJUSTE18!$A:$AE,VLOOKUP($BVL$2,[2]ARBOR_REAJUSTE18!$A:$B,2,0),0))),""))),4)</f>
        <v>#VALUE!</v>
      </c>
      <c r="BVZ3" s="44" t="e">
        <f>ROUNDUP(IF(IFERROR(IF($BVL3="","",IF($BVL3=0,1,1-$BVL3/HLOOKUP(BVZ$3,[2]ARBOR_REAJUSTE18!$A:$AE,VLOOKUP($BVL$2,[2]ARBOR_REAJUSTE18!$A:$B,2,0),0))),"")&lt;0.01%,0.01%,(IFERROR(IF($BVL3="","",IF($BVL3=0,1,1-$BVL3/HLOOKUP(BVZ$3,[2]ARBOR_REAJUSTE18!$A:$AE,VLOOKUP($BVL$2,[2]ARBOR_REAJUSTE18!$A:$B,2,0),0))),""))),4)</f>
        <v>#VALUE!</v>
      </c>
      <c r="BWA3" s="44" t="e">
        <f>ROUNDUP(IF(IFERROR(IF($BVL3="","",IF($BVL3=0,1,1-$BVL3/HLOOKUP(BWA$3,[2]ARBOR_REAJUSTE18!$A:$AE,VLOOKUP($BVL$2,[2]ARBOR_REAJUSTE18!$A:$B,2,0),0))),"")&lt;0.01%,0.01%,(IFERROR(IF($BVL3="","",IF($BVL3=0,1,1-$BVL3/HLOOKUP(BWA$3,[2]ARBOR_REAJUSTE18!$A:$AE,VLOOKUP($BVL$2,[2]ARBOR_REAJUSTE18!$A:$B,2,0),0))),""))),4)</f>
        <v>#VALUE!</v>
      </c>
      <c r="BWB3" s="44" t="e">
        <f>ROUNDUP(IF(IFERROR(IF($BVL3="","",IF($BVL3=0,1,1-$BVL3/HLOOKUP(BWB$3,[2]ARBOR_REAJUSTE18!$A:$AE,VLOOKUP($BVL$2,[2]ARBOR_REAJUSTE18!$A:$B,2,0),0))),"")&lt;0.01%,0.01%,(IFERROR(IF($BVL3="","",IF($BVL3=0,1,1-$BVL3/HLOOKUP(BWB$3,[2]ARBOR_REAJUSTE18!$A:$AE,VLOOKUP($BVL$2,[2]ARBOR_REAJUSTE18!$A:$B,2,0),0))),""))),4)</f>
        <v>#VALUE!</v>
      </c>
      <c r="BWC3" s="44" t="e">
        <f>ROUNDUP(IF(IFERROR(IF($BVL3="","",IF($BVL3=0,1,1-$BVL3/HLOOKUP(BWC$3,[2]ARBOR_REAJUSTE18!$A:$AE,VLOOKUP($BVL$2,[2]ARBOR_REAJUSTE18!$A:$B,2,0),0))),"")&lt;0.01%,0.01%,(IFERROR(IF($BVL3="","",IF($BVL3=0,1,1-$BVL3/HLOOKUP(BWC$3,[2]ARBOR_REAJUSTE18!$A:$AE,VLOOKUP($BVL$2,[2]ARBOR_REAJUSTE18!$A:$B,2,0),0))),""))),4)</f>
        <v>#VALUE!</v>
      </c>
      <c r="BWD3" s="44" t="e">
        <f>ROUNDUP(IF(IFERROR(IF($BVL3="","",IF($BVL3=0,1,1-$BVL3/HLOOKUP(BWD$3,[2]ARBOR_REAJUSTE18!$A:$AE,VLOOKUP($BVL$2,[2]ARBOR_REAJUSTE18!$A:$B,2,0),0))),"")&lt;0.01%,0.01%,(IFERROR(IF($BVL3="","",IF($BVL3=0,1,1-$BVL3/HLOOKUP(BWD$3,[2]ARBOR_REAJUSTE18!$A:$AE,VLOOKUP($BVL$2,[2]ARBOR_REAJUSTE18!$A:$B,2,0),0))),""))),4)</f>
        <v>#VALUE!</v>
      </c>
      <c r="BWE3" s="44" t="e">
        <f>ROUNDUP(IF(IFERROR(IF($BVL3="","",IF($BVL3=0,1,1-$BVL3/HLOOKUP(BWE$3,[2]ARBOR_REAJUSTE18!$A:$AE,VLOOKUP($BVL$2,[2]ARBOR_REAJUSTE18!$A:$B,2,0),0))),"")&lt;0.01%,0.01%,(IFERROR(IF($BVL3="","",IF($BVL3=0,1,1-$BVL3/HLOOKUP(BWE$3,[2]ARBOR_REAJUSTE18!$A:$AE,VLOOKUP($BVL$2,[2]ARBOR_REAJUSTE18!$A:$B,2,0),0))),""))),4)</f>
        <v>#VALUE!</v>
      </c>
      <c r="BWF3" s="44" t="e">
        <f>ROUNDUP(IF(IFERROR(IF($BVL3="","",IF($BVL3=0,1,1-$BVL3/HLOOKUP(BWF$3,[2]ARBOR_REAJUSTE18!$A:$AE,VLOOKUP($BVL$2,[2]ARBOR_REAJUSTE18!$A:$B,2,0),0))),"")&lt;0.01%,0.01%,(IFERROR(IF($BVL3="","",IF($BVL3=0,1,1-$BVL3/HLOOKUP(BWF$3,[2]ARBOR_REAJUSTE18!$A:$AE,VLOOKUP($BVL$2,[2]ARBOR_REAJUSTE18!$A:$B,2,0),0))),""))),4)</f>
        <v>#VALUE!</v>
      </c>
      <c r="BWG3" s="44" t="e">
        <f>ROUNDUP(IF(IFERROR(IF($BVL3="","",IF($BVL3=0,1,1-$BVL3/HLOOKUP(BWG$3,[2]ARBOR_REAJUSTE18!$A:$AE,VLOOKUP($BVL$2,[2]ARBOR_REAJUSTE18!$A:$B,2,0),0))),"")&lt;0.01%,0.01%,(IFERROR(IF($BVL3="","",IF($BVL3=0,1,1-$BVL3/HLOOKUP(BWG$3,[2]ARBOR_REAJUSTE18!$A:$AE,VLOOKUP($BVL$2,[2]ARBOR_REAJUSTE18!$A:$B,2,0),0))),""))),4)</f>
        <v>#VALUE!</v>
      </c>
      <c r="BWH3" s="44" t="e">
        <f>ROUNDUP(IF(IFERROR(IF($BVL3="","",IF($BVL3=0,1,1-$BVL3/HLOOKUP(BWH$3,[2]ARBOR_REAJUSTE18!$A:$AE,VLOOKUP($BVL$2,[2]ARBOR_REAJUSTE18!$A:$B,2,0),0))),"")&lt;0.01%,0.01%,(IFERROR(IF($BVL3="","",IF($BVL3=0,1,1-$BVL3/HLOOKUP(BWH$3,[2]ARBOR_REAJUSTE18!$A:$AE,VLOOKUP($BVL$2,[2]ARBOR_REAJUSTE18!$A:$B,2,0),0))),""))),4)</f>
        <v>#VALUE!</v>
      </c>
      <c r="BWI3" s="44" t="e">
        <f>ROUNDUP(IF(IFERROR(IF($BVL3="","",IF($BVL3=0,1,1-$BVL3/HLOOKUP(BWI$3,[2]ARBOR_REAJUSTE18!$A:$AE,VLOOKUP($BVL$2,[2]ARBOR_REAJUSTE18!$A:$B,2,0),0))),"")&lt;0.01%,0.01%,(IFERROR(IF($BVL3="","",IF($BVL3=0,1,1-$BVL3/HLOOKUP(BWI$3,[2]ARBOR_REAJUSTE18!$A:$AE,VLOOKUP($BVL$2,[2]ARBOR_REAJUSTE18!$A:$B,2,0),0))),""))),4)</f>
        <v>#VALUE!</v>
      </c>
      <c r="BWJ3" s="44" t="e">
        <f>ROUNDUP(IF(IFERROR(IF($BVL3="","",IF($BVL3=0,1,1-$BVL3/HLOOKUP(BWJ$3,[2]ARBOR_REAJUSTE18!$A:$AE,VLOOKUP($BVL$2,[2]ARBOR_REAJUSTE18!$A:$B,2,0),0))),"")&lt;0.01%,0.01%,(IFERROR(IF($BVL3="","",IF($BVL3=0,1,1-$BVL3/HLOOKUP(BWJ$3,[2]ARBOR_REAJUSTE18!$A:$AE,VLOOKUP($BVL$2,[2]ARBOR_REAJUSTE18!$A:$B,2,0),0))),""))),4)</f>
        <v>#VALUE!</v>
      </c>
      <c r="BWK3" s="44" t="e">
        <f>ROUNDUP(IF(IFERROR(IF($BVL3="","",IF($BVL3=0,1,1-$BVL3/HLOOKUP(BWK$3,[2]ARBOR_REAJUSTE18!$A:$AE,VLOOKUP($BVL$2,[2]ARBOR_REAJUSTE18!$A:$B,2,0),0))),"")&lt;0.01%,0.01%,(IFERROR(IF($BVL3="","",IF($BVL3=0,1,1-$BVL3/HLOOKUP(BWK$3,[2]ARBOR_REAJUSTE18!$A:$AE,VLOOKUP($BVL$2,[2]ARBOR_REAJUSTE18!$A:$B,2,0),0))),""))),4)</f>
        <v>#VALUE!</v>
      </c>
      <c r="BWL3" s="44" t="e">
        <f>ROUNDUP(IF(IFERROR(IF($BVL3="","",IF($BVL3=0,1,1-$BVL3/HLOOKUP(BWL$3,[2]ARBOR_REAJUSTE18!$A:$AE,VLOOKUP($BVL$2,[2]ARBOR_REAJUSTE18!$A:$B,2,0),0))),"")&lt;0.01%,0.01%,(IFERROR(IF($BVL3="","",IF($BVL3=0,1,1-$BVL3/HLOOKUP(BWL$3,[2]ARBOR_REAJUSTE18!$A:$AE,VLOOKUP($BVL$2,[2]ARBOR_REAJUSTE18!$A:$B,2,0),0))),""))),4)</f>
        <v>#VALUE!</v>
      </c>
      <c r="BWM3" s="44" t="e">
        <f>ROUNDUP(IF(IFERROR(IF($BVL3="","",IF($BVL3=0,1,1-$BVL3/HLOOKUP(BWM$3,[2]ARBOR_REAJUSTE18!$A:$AE,VLOOKUP($BVL$2,[2]ARBOR_REAJUSTE18!$A:$B,2,0),0))),"")&lt;0.01%,0.01%,(IFERROR(IF($BVL3="","",IF($BVL3=0,1,1-$BVL3/HLOOKUP(BWM$3,[2]ARBOR_REAJUSTE18!$A:$AE,VLOOKUP($BVL$2,[2]ARBOR_REAJUSTE18!$A:$B,2,0),0))),""))),4)</f>
        <v>#VALUE!</v>
      </c>
      <c r="BWN3" s="44" t="e">
        <f>ROUNDUP(IF(IFERROR(IF($BVL3="","",IF($BVL3=0,1,1-$BVL3/HLOOKUP(BWN$3,[2]ARBOR_REAJUSTE18!$A:$AE,VLOOKUP($BVL$2,[2]ARBOR_REAJUSTE18!$A:$B,2,0),0))),"")&lt;0.01%,0.01%,(IFERROR(IF($BVL3="","",IF($BVL3=0,1,1-$BVL3/HLOOKUP(BWN$3,[2]ARBOR_REAJUSTE18!$A:$AE,VLOOKUP($BVL$2,[2]ARBOR_REAJUSTE18!$A:$B,2,0),0))),""))),4)</f>
        <v>#VALUE!</v>
      </c>
      <c r="BWO3" s="56"/>
      <c r="BWP3" s="64"/>
      <c r="BWQ3" s="44" t="e">
        <f>ROUNDUP(IF(IFERROR(IF($BWO3="","",IF($BWO3=0,1,1-$BWO3/HLOOKUP(BWQ$3,[2]ARBOR_REAJUSTE18!$A:$AE,VLOOKUP($BWO$2,[2]ARBOR_REAJUSTE18!$A:$B,2,0),0))),"")&lt;0.01%,0.01%,(IFERROR(IF($BWO3="","",IF($BWO3=0,1,1-$BWO3/HLOOKUP(BWQ$3,[2]ARBOR_REAJUSTE18!$A:$AE,VLOOKUP($BWO$2,[2]ARBOR_REAJUSTE18!$A:$B,2,0),0))),""))),4)</f>
        <v>#VALUE!</v>
      </c>
      <c r="BWR3" s="44" t="e">
        <f>ROUNDUP(IF(IFERROR(IF($BWO3="","",IF($BWO3=0,1,1-$BWO3/HLOOKUP(BWR$3,[2]ARBOR_REAJUSTE18!$A:$AE,VLOOKUP($BWO$2,[2]ARBOR_REAJUSTE18!$A:$B,2,0),0))),"")&lt;0.01%,0.01%,(IFERROR(IF($BWO3="","",IF($BWO3=0,1,1-$BWO3/HLOOKUP(BWR$3,[2]ARBOR_REAJUSTE18!$A:$AE,VLOOKUP($BWO$2,[2]ARBOR_REAJUSTE18!$A:$B,2,0),0))),""))),4)</f>
        <v>#VALUE!</v>
      </c>
      <c r="BWS3" s="44" t="e">
        <f>ROUNDUP(IF(IFERROR(IF($BWO3="","",IF($BWO3=0,1,1-$BWO3/HLOOKUP(BWS$3,[2]ARBOR_REAJUSTE18!$A:$AE,VLOOKUP($BWO$2,[2]ARBOR_REAJUSTE18!$A:$B,2,0),0))),"")&lt;0.01%,0.01%,(IFERROR(IF($BWO3="","",IF($BWO3=0,1,1-$BWO3/HLOOKUP(BWS$3,[2]ARBOR_REAJUSTE18!$A:$AE,VLOOKUP($BWO$2,[2]ARBOR_REAJUSTE18!$A:$B,2,0),0))),""))),4)</f>
        <v>#VALUE!</v>
      </c>
      <c r="BWT3" s="44" t="e">
        <f>ROUNDUP(IF(IFERROR(IF($BWO3="","",IF($BWO3=0,1,1-$BWO3/HLOOKUP(BWT$3,[2]ARBOR_REAJUSTE18!$A:$AE,VLOOKUP($BWO$2,[2]ARBOR_REAJUSTE18!$A:$B,2,0),0))),"")&lt;0.01%,0.01%,(IFERROR(IF($BWO3="","",IF($BWO3=0,1,1-$BWO3/HLOOKUP(BWT$3,[2]ARBOR_REAJUSTE18!$A:$AE,VLOOKUP($BWO$2,[2]ARBOR_REAJUSTE18!$A:$B,2,0),0))),""))),4)</f>
        <v>#VALUE!</v>
      </c>
      <c r="BWU3" s="44" t="e">
        <f>ROUNDUP(IF(IFERROR(IF($BWO3="","",IF($BWO3=0,1,1-$BWO3/HLOOKUP(BWU$3,[2]ARBOR_REAJUSTE18!$A:$AE,VLOOKUP($BWO$2,[2]ARBOR_REAJUSTE18!$A:$B,2,0),0))),"")&lt;0.01%,0.01%,(IFERROR(IF($BWO3="","",IF($BWO3=0,1,1-$BWO3/HLOOKUP(BWU$3,[2]ARBOR_REAJUSTE18!$A:$AE,VLOOKUP($BWO$2,[2]ARBOR_REAJUSTE18!$A:$B,2,0),0))),""))),4)</f>
        <v>#VALUE!</v>
      </c>
      <c r="BWV3" s="44" t="e">
        <f>ROUNDUP(IF(IFERROR(IF($BWO3="","",IF($BWO3=0,1,1-$BWO3/HLOOKUP(BWV$3,[2]ARBOR_REAJUSTE18!$A:$AE,VLOOKUP($BWO$2,[2]ARBOR_REAJUSTE18!$A:$B,2,0),0))),"")&lt;0.01%,0.01%,(IFERROR(IF($BWO3="","",IF($BWO3=0,1,1-$BWO3/HLOOKUP(BWV$3,[2]ARBOR_REAJUSTE18!$A:$AE,VLOOKUP($BWO$2,[2]ARBOR_REAJUSTE18!$A:$B,2,0),0))),""))),4)</f>
        <v>#VALUE!</v>
      </c>
      <c r="BWW3" s="44" t="e">
        <f>ROUNDUP(IF(IFERROR(IF($BWO3="","",IF($BWO3=0,1,1-$BWO3/HLOOKUP(BWW$3,[2]ARBOR_REAJUSTE18!$A:$AE,VLOOKUP($BWO$2,[2]ARBOR_REAJUSTE18!$A:$B,2,0),0))),"")&lt;0.01%,0.01%,(IFERROR(IF($BWO3="","",IF($BWO3=0,1,1-$BWO3/HLOOKUP(BWW$3,[2]ARBOR_REAJUSTE18!$A:$AE,VLOOKUP($BWO$2,[2]ARBOR_REAJUSTE18!$A:$B,2,0),0))),""))),4)</f>
        <v>#VALUE!</v>
      </c>
      <c r="BWX3" s="44" t="e">
        <f>ROUNDUP(IF(IFERROR(IF($BWO3="","",IF($BWO3=0,1,1-$BWO3/HLOOKUP(BWX$3,[2]ARBOR_REAJUSTE18!$A:$AE,VLOOKUP($BWO$2,[2]ARBOR_REAJUSTE18!$A:$B,2,0),0))),"")&lt;0.01%,0.01%,(IFERROR(IF($BWO3="","",IF($BWO3=0,1,1-$BWO3/HLOOKUP(BWX$3,[2]ARBOR_REAJUSTE18!$A:$AE,VLOOKUP($BWO$2,[2]ARBOR_REAJUSTE18!$A:$B,2,0),0))),""))),4)</f>
        <v>#VALUE!</v>
      </c>
      <c r="BWY3" s="44" t="e">
        <f>ROUNDUP(IF(IFERROR(IF($BWO3="","",IF($BWO3=0,1,1-$BWO3/HLOOKUP(BWY$3,[2]ARBOR_REAJUSTE18!$A:$AE,VLOOKUP($BWO$2,[2]ARBOR_REAJUSTE18!$A:$B,2,0),0))),"")&lt;0.01%,0.01%,(IFERROR(IF($BWO3="","",IF($BWO3=0,1,1-$BWO3/HLOOKUP(BWY$3,[2]ARBOR_REAJUSTE18!$A:$AE,VLOOKUP($BWO$2,[2]ARBOR_REAJUSTE18!$A:$B,2,0),0))),""))),4)</f>
        <v>#VALUE!</v>
      </c>
      <c r="BWZ3" s="44" t="e">
        <f>ROUNDUP(IF(IFERROR(IF($BWO3="","",IF($BWO3=0,1,1-$BWO3/HLOOKUP(BWZ$3,[2]ARBOR_REAJUSTE18!$A:$AE,VLOOKUP($BWO$2,[2]ARBOR_REAJUSTE18!$A:$B,2,0),0))),"")&lt;0.01%,0.01%,(IFERROR(IF($BWO3="","",IF($BWO3=0,1,1-$BWO3/HLOOKUP(BWZ$3,[2]ARBOR_REAJUSTE18!$A:$AE,VLOOKUP($BWO$2,[2]ARBOR_REAJUSTE18!$A:$B,2,0),0))),""))),4)</f>
        <v>#VALUE!</v>
      </c>
      <c r="BXA3" s="44" t="e">
        <f>ROUNDUP(IF(IFERROR(IF($BWO3="","",IF($BWO3=0,1,1-$BWO3/HLOOKUP(BXA$3,[2]ARBOR_REAJUSTE18!$A:$AE,VLOOKUP($BWO$2,[2]ARBOR_REAJUSTE18!$A:$B,2,0),0))),"")&lt;0.01%,0.01%,(IFERROR(IF($BWO3="","",IF($BWO3=0,1,1-$BWO3/HLOOKUP(BXA$3,[2]ARBOR_REAJUSTE18!$A:$AE,VLOOKUP($BWO$2,[2]ARBOR_REAJUSTE18!$A:$B,2,0),0))),""))),4)</f>
        <v>#VALUE!</v>
      </c>
      <c r="BXB3" s="44" t="e">
        <f>ROUNDUP(IF(IFERROR(IF($BWO3="","",IF($BWO3=0,1,1-$BWO3/HLOOKUP(BXB$3,[2]ARBOR_REAJUSTE18!$A:$AE,VLOOKUP($BWO$2,[2]ARBOR_REAJUSTE18!$A:$B,2,0),0))),"")&lt;0.01%,0.01%,(IFERROR(IF($BWO3="","",IF($BWO3=0,1,1-$BWO3/HLOOKUP(BXB$3,[2]ARBOR_REAJUSTE18!$A:$AE,VLOOKUP($BWO$2,[2]ARBOR_REAJUSTE18!$A:$B,2,0),0))),""))),4)</f>
        <v>#VALUE!</v>
      </c>
      <c r="BXC3" s="44" t="e">
        <f>ROUNDUP(IF(IFERROR(IF($BWO3="","",IF($BWO3=0,1,1-$BWO3/HLOOKUP(BXC$3,[2]ARBOR_REAJUSTE18!$A:$AE,VLOOKUP($BWO$2,[2]ARBOR_REAJUSTE18!$A:$B,2,0),0))),"")&lt;0.01%,0.01%,(IFERROR(IF($BWO3="","",IF($BWO3=0,1,1-$BWO3/HLOOKUP(BXC$3,[2]ARBOR_REAJUSTE18!$A:$AE,VLOOKUP($BWO$2,[2]ARBOR_REAJUSTE18!$A:$B,2,0),0))),""))),4)</f>
        <v>#VALUE!</v>
      </c>
      <c r="BXD3" s="44" t="e">
        <f>ROUNDUP(IF(IFERROR(IF($BWO3="","",IF($BWO3=0,1,1-$BWO3/HLOOKUP(BXD$3,[2]ARBOR_REAJUSTE18!$A:$AE,VLOOKUP($BWO$2,[2]ARBOR_REAJUSTE18!$A:$B,2,0),0))),"")&lt;0.01%,0.01%,(IFERROR(IF($BWO3="","",IF($BWO3=0,1,1-$BWO3/HLOOKUP(BXD$3,[2]ARBOR_REAJUSTE18!$A:$AE,VLOOKUP($BWO$2,[2]ARBOR_REAJUSTE18!$A:$B,2,0),0))),""))),4)</f>
        <v>#VALUE!</v>
      </c>
      <c r="BXE3" s="44" t="e">
        <f>ROUNDUP(IF(IFERROR(IF($BWO3="","",IF($BWO3=0,1,1-$BWO3/HLOOKUP(BXE$3,[2]ARBOR_REAJUSTE18!$A:$AE,VLOOKUP($BWO$2,[2]ARBOR_REAJUSTE18!$A:$B,2,0),0))),"")&lt;0.01%,0.01%,(IFERROR(IF($BWO3="","",IF($BWO3=0,1,1-$BWO3/HLOOKUP(BXE$3,[2]ARBOR_REAJUSTE18!$A:$AE,VLOOKUP($BWO$2,[2]ARBOR_REAJUSTE18!$A:$B,2,0),0))),""))),4)</f>
        <v>#VALUE!</v>
      </c>
      <c r="BXF3" s="44" t="e">
        <f>ROUNDUP(IF(IFERROR(IF($BWO3="","",IF($BWO3=0,1,1-$BWO3/HLOOKUP(BXF$3,[2]ARBOR_REAJUSTE18!$A:$AE,VLOOKUP($BWO$2,[2]ARBOR_REAJUSTE18!$A:$B,2,0),0))),"")&lt;0.01%,0.01%,(IFERROR(IF($BWO3="","",IF($BWO3=0,1,1-$BWO3/HLOOKUP(BXF$3,[2]ARBOR_REAJUSTE18!$A:$AE,VLOOKUP($BWO$2,[2]ARBOR_REAJUSTE18!$A:$B,2,0),0))),""))),4)</f>
        <v>#VALUE!</v>
      </c>
      <c r="BXG3" s="44" t="e">
        <f>ROUNDUP(IF(IFERROR(IF($BWO3="","",IF($BWO3=0,1,1-$BWO3/HLOOKUP(BXG$3,[2]ARBOR_REAJUSTE18!$A:$AE,VLOOKUP($BWO$2,[2]ARBOR_REAJUSTE18!$A:$B,2,0),0))),"")&lt;0.01%,0.01%,(IFERROR(IF($BWO3="","",IF($BWO3=0,1,1-$BWO3/HLOOKUP(BXG$3,[2]ARBOR_REAJUSTE18!$A:$AE,VLOOKUP($BWO$2,[2]ARBOR_REAJUSTE18!$A:$B,2,0),0))),""))),4)</f>
        <v>#VALUE!</v>
      </c>
      <c r="BXH3" s="44" t="e">
        <f>ROUNDUP(IF(IFERROR(IF($BWO3="","",IF($BWO3=0,1,1-$BWO3/HLOOKUP(BXH$3,[2]ARBOR_REAJUSTE18!$A:$AE,VLOOKUP($BWO$2,[2]ARBOR_REAJUSTE18!$A:$B,2,0),0))),"")&lt;0.01%,0.01%,(IFERROR(IF($BWO3="","",IF($BWO3=0,1,1-$BWO3/HLOOKUP(BXH$3,[2]ARBOR_REAJUSTE18!$A:$AE,VLOOKUP($BWO$2,[2]ARBOR_REAJUSTE18!$A:$B,2,0),0))),""))),4)</f>
        <v>#VALUE!</v>
      </c>
      <c r="BXI3" s="44" t="e">
        <f>ROUNDUP(IF(IFERROR(IF($BWO3="","",IF($BWO3=0,1,1-$BWO3/HLOOKUP(BXI$3,[2]ARBOR_REAJUSTE18!$A:$AE,VLOOKUP($BWO$2,[2]ARBOR_REAJUSTE18!$A:$B,2,0),0))),"")&lt;0.01%,0.01%,(IFERROR(IF($BWO3="","",IF($BWO3=0,1,1-$BWO3/HLOOKUP(BXI$3,[2]ARBOR_REAJUSTE18!$A:$AE,VLOOKUP($BWO$2,[2]ARBOR_REAJUSTE18!$A:$B,2,0),0))),""))),4)</f>
        <v>#VALUE!</v>
      </c>
      <c r="BXJ3" s="44" t="e">
        <f>ROUNDUP(IF(IFERROR(IF($BWO3="","",IF($BWO3=0,1,1-$BWO3/HLOOKUP(BXJ$3,[2]ARBOR_REAJUSTE18!$A:$AE,VLOOKUP($BWO$2,[2]ARBOR_REAJUSTE18!$A:$B,2,0),0))),"")&lt;0.01%,0.01%,(IFERROR(IF($BWO3="","",IF($BWO3=0,1,1-$BWO3/HLOOKUP(BXJ$3,[2]ARBOR_REAJUSTE18!$A:$AE,VLOOKUP($BWO$2,[2]ARBOR_REAJUSTE18!$A:$B,2,0),0))),""))),4)</f>
        <v>#VALUE!</v>
      </c>
      <c r="BXK3" s="44" t="e">
        <f>ROUNDUP(IF(IFERROR(IF($BWO3="","",IF($BWO3=0,1,1-$BWO3/HLOOKUP(BXK$3,[2]ARBOR_REAJUSTE18!$A:$AE,VLOOKUP($BWO$2,[2]ARBOR_REAJUSTE18!$A:$B,2,0),0))),"")&lt;0.01%,0.01%,(IFERROR(IF($BWO3="","",IF($BWO3=0,1,1-$BWO3/HLOOKUP(BXK$3,[2]ARBOR_REAJUSTE18!$A:$AE,VLOOKUP($BWO$2,[2]ARBOR_REAJUSTE18!$A:$B,2,0),0))),""))),4)</f>
        <v>#VALUE!</v>
      </c>
      <c r="BXL3" s="44" t="e">
        <f>ROUNDUP(IF(IFERROR(IF($BWO3="","",IF($BWO3=0,1,1-$BWO3/HLOOKUP(BXL$3,[2]ARBOR_REAJUSTE18!$A:$AE,VLOOKUP($BWO$2,[2]ARBOR_REAJUSTE18!$A:$B,2,0),0))),"")&lt;0.01%,0.01%,(IFERROR(IF($BWO3="","",IF($BWO3=0,1,1-$BWO3/HLOOKUP(BXL$3,[2]ARBOR_REAJUSTE18!$A:$AE,VLOOKUP($BWO$2,[2]ARBOR_REAJUSTE18!$A:$B,2,0),0))),""))),4)</f>
        <v>#VALUE!</v>
      </c>
      <c r="BXM3" s="44" t="e">
        <f>ROUNDUP(IF(IFERROR(IF($BWO3="","",IF($BWO3=0,1,1-$BWO3/HLOOKUP(BXM$3,[2]ARBOR_REAJUSTE18!$A:$AE,VLOOKUP($BWO$2,[2]ARBOR_REAJUSTE18!$A:$B,2,0),0))),"")&lt;0.01%,0.01%,(IFERROR(IF($BWO3="","",IF($BWO3=0,1,1-$BWO3/HLOOKUP(BXM$3,[2]ARBOR_REAJUSTE18!$A:$AE,VLOOKUP($BWO$2,[2]ARBOR_REAJUSTE18!$A:$B,2,0),0))),""))),4)</f>
        <v>#VALUE!</v>
      </c>
      <c r="BXN3" s="44" t="e">
        <f>ROUNDUP(IF(IFERROR(IF($BWO3="","",IF($BWO3=0,1,1-$BWO3/HLOOKUP(BXN$3,[2]ARBOR_REAJUSTE18!$A:$AE,VLOOKUP($BWO$2,[2]ARBOR_REAJUSTE18!$A:$B,2,0),0))),"")&lt;0.01%,0.01%,(IFERROR(IF($BWO3="","",IF($BWO3=0,1,1-$BWO3/HLOOKUP(BXN$3,[2]ARBOR_REAJUSTE18!$A:$AE,VLOOKUP($BWO$2,[2]ARBOR_REAJUSTE18!$A:$B,2,0),0))),""))),4)</f>
        <v>#VALUE!</v>
      </c>
      <c r="BXO3" s="44" t="e">
        <f>ROUNDUP(IF(IFERROR(IF($BWO3="","",IF($BWO3=0,1,1-$BWO3/HLOOKUP(BXO$3,[2]ARBOR_REAJUSTE18!$A:$AE,VLOOKUP($BWO$2,[2]ARBOR_REAJUSTE18!$A:$B,2,0),0))),"")&lt;0.01%,0.01%,(IFERROR(IF($BWO3="","",IF($BWO3=0,1,1-$BWO3/HLOOKUP(BXO$3,[2]ARBOR_REAJUSTE18!$A:$AE,VLOOKUP($BWO$2,[2]ARBOR_REAJUSTE18!$A:$B,2,0),0))),""))),4)</f>
        <v>#VALUE!</v>
      </c>
      <c r="BXP3" s="44" t="e">
        <f>ROUNDUP(IF(IFERROR(IF($BWO3="","",IF($BWO3=0,1,1-$BWO3/HLOOKUP(BXP$3,[2]ARBOR_REAJUSTE18!$A:$AE,VLOOKUP($BWO$2,[2]ARBOR_REAJUSTE18!$A:$B,2,0),0))),"")&lt;0.01%,0.01%,(IFERROR(IF($BWO3="","",IF($BWO3=0,1,1-$BWO3/HLOOKUP(BXP$3,[2]ARBOR_REAJUSTE18!$A:$AE,VLOOKUP($BWO$2,[2]ARBOR_REAJUSTE18!$A:$B,2,0),0))),""))),4)</f>
        <v>#VALUE!</v>
      </c>
      <c r="BXQ3" s="44" t="e">
        <f>ROUNDUP(IF(IFERROR(IF($BWO3="","",IF($BWO3=0,1,1-$BWO3/HLOOKUP(BXQ$3,[2]ARBOR_REAJUSTE18!$A:$AE,VLOOKUP($BWO$2,[2]ARBOR_REAJUSTE18!$A:$B,2,0),0))),"")&lt;0.01%,0.01%,(IFERROR(IF($BWO3="","",IF($BWO3=0,1,1-$BWO3/HLOOKUP(BXQ$3,[2]ARBOR_REAJUSTE18!$A:$AE,VLOOKUP($BWO$2,[2]ARBOR_REAJUSTE18!$A:$B,2,0),0))),""))),4)</f>
        <v>#VALUE!</v>
      </c>
      <c r="BXR3" s="56"/>
      <c r="BXS3" s="64"/>
      <c r="BXT3" s="44" t="e">
        <f>ROUNDUP(IF(IFERROR(IF($BXR3="","",IF($BXR3=0,1,1-$BXR3/HLOOKUP(BXT$3,[2]ARBOR_REAJUSTE18!$A:$AE,VLOOKUP($BXR$2,[2]ARBOR_REAJUSTE18!$A:$B,2,0),0))),"")&lt;0.01%,0.01%,(IFERROR(IF($BXR3="","",IF($BXR3=0,1,1-$BXR3/HLOOKUP(BXT$3,[2]ARBOR_REAJUSTE18!$A:$AE,VLOOKUP($BXR$2,[2]ARBOR_REAJUSTE18!$A:$B,2,0),0))),""))),4)</f>
        <v>#VALUE!</v>
      </c>
      <c r="BXU3" s="44" t="e">
        <f>ROUNDUP(IF(IFERROR(IF($BXR3="","",IF($BXR3=0,1,1-$BXR3/HLOOKUP(BXU$3,[2]ARBOR_REAJUSTE18!$A:$AE,VLOOKUP($BXR$2,[2]ARBOR_REAJUSTE18!$A:$B,2,0),0))),"")&lt;0.01%,0.01%,(IFERROR(IF($BXR3="","",IF($BXR3=0,1,1-$BXR3/HLOOKUP(BXU$3,[2]ARBOR_REAJUSTE18!$A:$AE,VLOOKUP($BXR$2,[2]ARBOR_REAJUSTE18!$A:$B,2,0),0))),""))),4)</f>
        <v>#VALUE!</v>
      </c>
      <c r="BXV3" s="44" t="e">
        <f>ROUNDUP(IF(IFERROR(IF($BXR3="","",IF($BXR3=0,1,1-$BXR3/HLOOKUP(BXV$3,[2]ARBOR_REAJUSTE18!$A:$AE,VLOOKUP($BXR$2,[2]ARBOR_REAJUSTE18!$A:$B,2,0),0))),"")&lt;0.01%,0.01%,(IFERROR(IF($BXR3="","",IF($BXR3=0,1,1-$BXR3/HLOOKUP(BXV$3,[2]ARBOR_REAJUSTE18!$A:$AE,VLOOKUP($BXR$2,[2]ARBOR_REAJUSTE18!$A:$B,2,0),0))),""))),4)</f>
        <v>#VALUE!</v>
      </c>
      <c r="BXW3" s="44" t="e">
        <f>ROUNDUP(IF(IFERROR(IF($BXR3="","",IF($BXR3=0,1,1-$BXR3/HLOOKUP(BXW$3,[2]ARBOR_REAJUSTE18!$A:$AE,VLOOKUP($BXR$2,[2]ARBOR_REAJUSTE18!$A:$B,2,0),0))),"")&lt;0.01%,0.01%,(IFERROR(IF($BXR3="","",IF($BXR3=0,1,1-$BXR3/HLOOKUP(BXW$3,[2]ARBOR_REAJUSTE18!$A:$AE,VLOOKUP($BXR$2,[2]ARBOR_REAJUSTE18!$A:$B,2,0),0))),""))),4)</f>
        <v>#VALUE!</v>
      </c>
      <c r="BXX3" s="44" t="e">
        <f>ROUNDUP(IF(IFERROR(IF($BXR3="","",IF($BXR3=0,1,1-$BXR3/HLOOKUP(BXX$3,[2]ARBOR_REAJUSTE18!$A:$AE,VLOOKUP($BXR$2,[2]ARBOR_REAJUSTE18!$A:$B,2,0),0))),"")&lt;0.01%,0.01%,(IFERROR(IF($BXR3="","",IF($BXR3=0,1,1-$BXR3/HLOOKUP(BXX$3,[2]ARBOR_REAJUSTE18!$A:$AE,VLOOKUP($BXR$2,[2]ARBOR_REAJUSTE18!$A:$B,2,0),0))),""))),4)</f>
        <v>#VALUE!</v>
      </c>
      <c r="BXY3" s="44" t="e">
        <f>ROUNDUP(IF(IFERROR(IF($BXR3="","",IF($BXR3=0,1,1-$BXR3/HLOOKUP(BXY$3,[2]ARBOR_REAJUSTE18!$A:$AE,VLOOKUP($BXR$2,[2]ARBOR_REAJUSTE18!$A:$B,2,0),0))),"")&lt;0.01%,0.01%,(IFERROR(IF($BXR3="","",IF($BXR3=0,1,1-$BXR3/HLOOKUP(BXY$3,[2]ARBOR_REAJUSTE18!$A:$AE,VLOOKUP($BXR$2,[2]ARBOR_REAJUSTE18!$A:$B,2,0),0))),""))),4)</f>
        <v>#VALUE!</v>
      </c>
      <c r="BXZ3" s="44" t="e">
        <f>ROUNDUP(IF(IFERROR(IF($BXR3="","",IF($BXR3=0,1,1-$BXR3/HLOOKUP(BXZ$3,[2]ARBOR_REAJUSTE18!$A:$AE,VLOOKUP($BXR$2,[2]ARBOR_REAJUSTE18!$A:$B,2,0),0))),"")&lt;0.01%,0.01%,(IFERROR(IF($BXR3="","",IF($BXR3=0,1,1-$BXR3/HLOOKUP(BXZ$3,[2]ARBOR_REAJUSTE18!$A:$AE,VLOOKUP($BXR$2,[2]ARBOR_REAJUSTE18!$A:$B,2,0),0))),""))),4)</f>
        <v>#VALUE!</v>
      </c>
      <c r="BYA3" s="44" t="e">
        <f>ROUNDUP(IF(IFERROR(IF($BXR3="","",IF($BXR3=0,1,1-$BXR3/HLOOKUP(BYA$3,[2]ARBOR_REAJUSTE18!$A:$AE,VLOOKUP($BXR$2,[2]ARBOR_REAJUSTE18!$A:$B,2,0),0))),"")&lt;0.01%,0.01%,(IFERROR(IF($BXR3="","",IF($BXR3=0,1,1-$BXR3/HLOOKUP(BYA$3,[2]ARBOR_REAJUSTE18!$A:$AE,VLOOKUP($BXR$2,[2]ARBOR_REAJUSTE18!$A:$B,2,0),0))),""))),4)</f>
        <v>#VALUE!</v>
      </c>
      <c r="BYB3" s="44" t="e">
        <f>ROUNDUP(IF(IFERROR(IF($BXR3="","",IF($BXR3=0,1,1-$BXR3/HLOOKUP(BYB$3,[2]ARBOR_REAJUSTE18!$A:$AE,VLOOKUP($BXR$2,[2]ARBOR_REAJUSTE18!$A:$B,2,0),0))),"")&lt;0.01%,0.01%,(IFERROR(IF($BXR3="","",IF($BXR3=0,1,1-$BXR3/HLOOKUP(BYB$3,[2]ARBOR_REAJUSTE18!$A:$AE,VLOOKUP($BXR$2,[2]ARBOR_REAJUSTE18!$A:$B,2,0),0))),""))),4)</f>
        <v>#VALUE!</v>
      </c>
      <c r="BYC3" s="44" t="e">
        <f>ROUNDUP(IF(IFERROR(IF($BXR3="","",IF($BXR3=0,1,1-$BXR3/HLOOKUP(BYC$3,[2]ARBOR_REAJUSTE18!$A:$AE,VLOOKUP($BXR$2,[2]ARBOR_REAJUSTE18!$A:$B,2,0),0))),"")&lt;0.01%,0.01%,(IFERROR(IF($BXR3="","",IF($BXR3=0,1,1-$BXR3/HLOOKUP(BYC$3,[2]ARBOR_REAJUSTE18!$A:$AE,VLOOKUP($BXR$2,[2]ARBOR_REAJUSTE18!$A:$B,2,0),0))),""))),4)</f>
        <v>#VALUE!</v>
      </c>
      <c r="BYD3" s="44" t="e">
        <f>ROUNDUP(IF(IFERROR(IF($BXR3="","",IF($BXR3=0,1,1-$BXR3/HLOOKUP(BYD$3,[2]ARBOR_REAJUSTE18!$A:$AE,VLOOKUP($BXR$2,[2]ARBOR_REAJUSTE18!$A:$B,2,0),0))),"")&lt;0.01%,0.01%,(IFERROR(IF($BXR3="","",IF($BXR3=0,1,1-$BXR3/HLOOKUP(BYD$3,[2]ARBOR_REAJUSTE18!$A:$AE,VLOOKUP($BXR$2,[2]ARBOR_REAJUSTE18!$A:$B,2,0),0))),""))),4)</f>
        <v>#VALUE!</v>
      </c>
      <c r="BYE3" s="44" t="e">
        <f>ROUNDUP(IF(IFERROR(IF($BXR3="","",IF($BXR3=0,1,1-$BXR3/HLOOKUP(BYE$3,[2]ARBOR_REAJUSTE18!$A:$AE,VLOOKUP($BXR$2,[2]ARBOR_REAJUSTE18!$A:$B,2,0),0))),"")&lt;0.01%,0.01%,(IFERROR(IF($BXR3="","",IF($BXR3=0,1,1-$BXR3/HLOOKUP(BYE$3,[2]ARBOR_REAJUSTE18!$A:$AE,VLOOKUP($BXR$2,[2]ARBOR_REAJUSTE18!$A:$B,2,0),0))),""))),4)</f>
        <v>#VALUE!</v>
      </c>
      <c r="BYF3" s="44" t="e">
        <f>ROUNDUP(IF(IFERROR(IF($BXR3="","",IF($BXR3=0,1,1-$BXR3/HLOOKUP(BYF$3,[2]ARBOR_REAJUSTE18!$A:$AE,VLOOKUP($BXR$2,[2]ARBOR_REAJUSTE18!$A:$B,2,0),0))),"")&lt;0.01%,0.01%,(IFERROR(IF($BXR3="","",IF($BXR3=0,1,1-$BXR3/HLOOKUP(BYF$3,[2]ARBOR_REAJUSTE18!$A:$AE,VLOOKUP($BXR$2,[2]ARBOR_REAJUSTE18!$A:$B,2,0),0))),""))),4)</f>
        <v>#VALUE!</v>
      </c>
      <c r="BYG3" s="44" t="e">
        <f>ROUNDUP(IF(IFERROR(IF($BXR3="","",IF($BXR3=0,1,1-$BXR3/HLOOKUP(BYG$3,[2]ARBOR_REAJUSTE18!$A:$AE,VLOOKUP($BXR$2,[2]ARBOR_REAJUSTE18!$A:$B,2,0),0))),"")&lt;0.01%,0.01%,(IFERROR(IF($BXR3="","",IF($BXR3=0,1,1-$BXR3/HLOOKUP(BYG$3,[2]ARBOR_REAJUSTE18!$A:$AE,VLOOKUP($BXR$2,[2]ARBOR_REAJUSTE18!$A:$B,2,0),0))),""))),4)</f>
        <v>#VALUE!</v>
      </c>
      <c r="BYH3" s="44" t="e">
        <f>ROUNDUP(IF(IFERROR(IF($BXR3="","",IF($BXR3=0,1,1-$BXR3/HLOOKUP(BYH$3,[2]ARBOR_REAJUSTE18!$A:$AE,VLOOKUP($BXR$2,[2]ARBOR_REAJUSTE18!$A:$B,2,0),0))),"")&lt;0.01%,0.01%,(IFERROR(IF($BXR3="","",IF($BXR3=0,1,1-$BXR3/HLOOKUP(BYH$3,[2]ARBOR_REAJUSTE18!$A:$AE,VLOOKUP($BXR$2,[2]ARBOR_REAJUSTE18!$A:$B,2,0),0))),""))),4)</f>
        <v>#VALUE!</v>
      </c>
      <c r="BYI3" s="44" t="e">
        <f>ROUNDUP(IF(IFERROR(IF($BXR3="","",IF($BXR3=0,1,1-$BXR3/HLOOKUP(BYI$3,[2]ARBOR_REAJUSTE18!$A:$AE,VLOOKUP($BXR$2,[2]ARBOR_REAJUSTE18!$A:$B,2,0),0))),"")&lt;0.01%,0.01%,(IFERROR(IF($BXR3="","",IF($BXR3=0,1,1-$BXR3/HLOOKUP(BYI$3,[2]ARBOR_REAJUSTE18!$A:$AE,VLOOKUP($BXR$2,[2]ARBOR_REAJUSTE18!$A:$B,2,0),0))),""))),4)</f>
        <v>#VALUE!</v>
      </c>
      <c r="BYJ3" s="44" t="e">
        <f>ROUNDUP(IF(IFERROR(IF($BXR3="","",IF($BXR3=0,1,1-$BXR3/HLOOKUP(BYJ$3,[2]ARBOR_REAJUSTE18!$A:$AE,VLOOKUP($BXR$2,[2]ARBOR_REAJUSTE18!$A:$B,2,0),0))),"")&lt;0.01%,0.01%,(IFERROR(IF($BXR3="","",IF($BXR3=0,1,1-$BXR3/HLOOKUP(BYJ$3,[2]ARBOR_REAJUSTE18!$A:$AE,VLOOKUP($BXR$2,[2]ARBOR_REAJUSTE18!$A:$B,2,0),0))),""))),4)</f>
        <v>#VALUE!</v>
      </c>
      <c r="BYK3" s="44" t="e">
        <f>ROUNDUP(IF(IFERROR(IF($BXR3="","",IF($BXR3=0,1,1-$BXR3/HLOOKUP(BYK$3,[2]ARBOR_REAJUSTE18!$A:$AE,VLOOKUP($BXR$2,[2]ARBOR_REAJUSTE18!$A:$B,2,0),0))),"")&lt;0.01%,0.01%,(IFERROR(IF($BXR3="","",IF($BXR3=0,1,1-$BXR3/HLOOKUP(BYK$3,[2]ARBOR_REAJUSTE18!$A:$AE,VLOOKUP($BXR$2,[2]ARBOR_REAJUSTE18!$A:$B,2,0),0))),""))),4)</f>
        <v>#VALUE!</v>
      </c>
      <c r="BYL3" s="44" t="e">
        <f>ROUNDUP(IF(IFERROR(IF($BXR3="","",IF($BXR3=0,1,1-$BXR3/HLOOKUP(BYL$3,[2]ARBOR_REAJUSTE18!$A:$AE,VLOOKUP($BXR$2,[2]ARBOR_REAJUSTE18!$A:$B,2,0),0))),"")&lt;0.01%,0.01%,(IFERROR(IF($BXR3="","",IF($BXR3=0,1,1-$BXR3/HLOOKUP(BYL$3,[2]ARBOR_REAJUSTE18!$A:$AE,VLOOKUP($BXR$2,[2]ARBOR_REAJUSTE18!$A:$B,2,0),0))),""))),4)</f>
        <v>#VALUE!</v>
      </c>
      <c r="BYM3" s="44" t="e">
        <f>ROUNDUP(IF(IFERROR(IF($BXR3="","",IF($BXR3=0,1,1-$BXR3/HLOOKUP(BYM$3,[2]ARBOR_REAJUSTE18!$A:$AE,VLOOKUP($BXR$2,[2]ARBOR_REAJUSTE18!$A:$B,2,0),0))),"")&lt;0.01%,0.01%,(IFERROR(IF($BXR3="","",IF($BXR3=0,1,1-$BXR3/HLOOKUP(BYM$3,[2]ARBOR_REAJUSTE18!$A:$AE,VLOOKUP($BXR$2,[2]ARBOR_REAJUSTE18!$A:$B,2,0),0))),""))),4)</f>
        <v>#VALUE!</v>
      </c>
      <c r="BYN3" s="44" t="e">
        <f>ROUNDUP(IF(IFERROR(IF($BXR3="","",IF($BXR3=0,1,1-$BXR3/HLOOKUP(BYN$3,[2]ARBOR_REAJUSTE18!$A:$AE,VLOOKUP($BXR$2,[2]ARBOR_REAJUSTE18!$A:$B,2,0),0))),"")&lt;0.01%,0.01%,(IFERROR(IF($BXR3="","",IF($BXR3=0,1,1-$BXR3/HLOOKUP(BYN$3,[2]ARBOR_REAJUSTE18!$A:$AE,VLOOKUP($BXR$2,[2]ARBOR_REAJUSTE18!$A:$B,2,0),0))),""))),4)</f>
        <v>#VALUE!</v>
      </c>
      <c r="BYO3" s="44" t="e">
        <f>ROUNDUP(IF(IFERROR(IF($BXR3="","",IF($BXR3=0,1,1-$BXR3/HLOOKUP(BYO$3,[2]ARBOR_REAJUSTE18!$A:$AE,VLOOKUP($BXR$2,[2]ARBOR_REAJUSTE18!$A:$B,2,0),0))),"")&lt;0.01%,0.01%,(IFERROR(IF($BXR3="","",IF($BXR3=0,1,1-$BXR3/HLOOKUP(BYO$3,[2]ARBOR_REAJUSTE18!$A:$AE,VLOOKUP($BXR$2,[2]ARBOR_REAJUSTE18!$A:$B,2,0),0))),""))),4)</f>
        <v>#VALUE!</v>
      </c>
      <c r="BYP3" s="44" t="e">
        <f>ROUNDUP(IF(IFERROR(IF($BXR3="","",IF($BXR3=0,1,1-$BXR3/HLOOKUP(BYP$3,[2]ARBOR_REAJUSTE18!$A:$AE,VLOOKUP($BXR$2,[2]ARBOR_REAJUSTE18!$A:$B,2,0),0))),"")&lt;0.01%,0.01%,(IFERROR(IF($BXR3="","",IF($BXR3=0,1,1-$BXR3/HLOOKUP(BYP$3,[2]ARBOR_REAJUSTE18!$A:$AE,VLOOKUP($BXR$2,[2]ARBOR_REAJUSTE18!$A:$B,2,0),0))),""))),4)</f>
        <v>#VALUE!</v>
      </c>
      <c r="BYQ3" s="44" t="e">
        <f>ROUNDUP(IF(IFERROR(IF($BXR3="","",IF($BXR3=0,1,1-$BXR3/HLOOKUP(BYQ$3,[2]ARBOR_REAJUSTE18!$A:$AE,VLOOKUP($BXR$2,[2]ARBOR_REAJUSTE18!$A:$B,2,0),0))),"")&lt;0.01%,0.01%,(IFERROR(IF($BXR3="","",IF($BXR3=0,1,1-$BXR3/HLOOKUP(BYQ$3,[2]ARBOR_REAJUSTE18!$A:$AE,VLOOKUP($BXR$2,[2]ARBOR_REAJUSTE18!$A:$B,2,0),0))),""))),4)</f>
        <v>#VALUE!</v>
      </c>
      <c r="BYR3" s="44" t="e">
        <f>ROUNDUP(IF(IFERROR(IF($BXR3="","",IF($BXR3=0,1,1-$BXR3/HLOOKUP(BYR$3,[2]ARBOR_REAJUSTE18!$A:$AE,VLOOKUP($BXR$2,[2]ARBOR_REAJUSTE18!$A:$B,2,0),0))),"")&lt;0.01%,0.01%,(IFERROR(IF($BXR3="","",IF($BXR3=0,1,1-$BXR3/HLOOKUP(BYR$3,[2]ARBOR_REAJUSTE18!$A:$AE,VLOOKUP($BXR$2,[2]ARBOR_REAJUSTE18!$A:$B,2,0),0))),""))),4)</f>
        <v>#VALUE!</v>
      </c>
      <c r="BYS3" s="44" t="e">
        <f>ROUNDUP(IF(IFERROR(IF($BXR3="","",IF($BXR3=0,1,1-$BXR3/HLOOKUP(BYS$3,[2]ARBOR_REAJUSTE18!$A:$AE,VLOOKUP($BXR$2,[2]ARBOR_REAJUSTE18!$A:$B,2,0),0))),"")&lt;0.01%,0.01%,(IFERROR(IF($BXR3="","",IF($BXR3=0,1,1-$BXR3/HLOOKUP(BYS$3,[2]ARBOR_REAJUSTE18!$A:$AE,VLOOKUP($BXR$2,[2]ARBOR_REAJUSTE18!$A:$B,2,0),0))),""))),4)</f>
        <v>#VALUE!</v>
      </c>
      <c r="BYT3" s="44" t="e">
        <f>ROUNDUP(IF(IFERROR(IF($BXR3="","",IF($BXR3=0,1,1-$BXR3/HLOOKUP(BYT$3,[2]ARBOR_REAJUSTE18!$A:$AE,VLOOKUP($BXR$2,[2]ARBOR_REAJUSTE18!$A:$B,2,0),0))),"")&lt;0.01%,0.01%,(IFERROR(IF($BXR3="","",IF($BXR3=0,1,1-$BXR3/HLOOKUP(BYT$3,[2]ARBOR_REAJUSTE18!$A:$AE,VLOOKUP($BXR$2,[2]ARBOR_REAJUSTE18!$A:$B,2,0),0))),""))),4)</f>
        <v>#VALUE!</v>
      </c>
      <c r="BYU3" s="65" t="s">
        <v>297</v>
      </c>
      <c r="BYV3" s="66"/>
      <c r="BYW3" s="66"/>
      <c r="BYX3" s="66"/>
      <c r="BYY3" s="66"/>
      <c r="BYZ3" s="66"/>
      <c r="BZA3" s="66"/>
      <c r="BZB3" s="66"/>
      <c r="BZC3" s="66"/>
      <c r="BZD3" s="66"/>
      <c r="BZE3" s="66"/>
      <c r="BZF3" s="66"/>
      <c r="BZG3" s="66"/>
      <c r="BZH3" s="66"/>
      <c r="BZI3" s="66"/>
      <c r="BZJ3" s="66"/>
      <c r="BZK3" s="66"/>
      <c r="BZL3" s="66"/>
      <c r="BZM3" s="66"/>
      <c r="BZN3" s="66"/>
      <c r="BZO3" s="66"/>
      <c r="BZP3" s="66"/>
      <c r="BZQ3" s="66"/>
      <c r="BZR3" s="66"/>
      <c r="BZS3" s="66"/>
      <c r="BZT3" s="66"/>
      <c r="BZU3" s="66"/>
      <c r="BZV3" s="66"/>
      <c r="BZW3" s="65">
        <v>24.9</v>
      </c>
      <c r="BZX3" s="65">
        <v>24.9</v>
      </c>
      <c r="BZY3" s="65">
        <v>24.9</v>
      </c>
      <c r="BZZ3" s="65">
        <v>24.9</v>
      </c>
      <c r="CAA3" s="65">
        <v>24.9</v>
      </c>
      <c r="CAB3" s="65">
        <v>24.9</v>
      </c>
      <c r="CAC3" s="65">
        <v>24.9</v>
      </c>
      <c r="CAD3" s="65">
        <v>24.9</v>
      </c>
      <c r="CAE3" s="65">
        <v>24.9</v>
      </c>
      <c r="CAF3" s="65">
        <v>24.9</v>
      </c>
      <c r="CAG3" s="65">
        <v>24.9</v>
      </c>
      <c r="CAH3" s="65">
        <v>24.9</v>
      </c>
      <c r="CAI3" s="65">
        <v>24.9</v>
      </c>
      <c r="CAJ3" s="65">
        <v>24.9</v>
      </c>
      <c r="CAK3" s="65">
        <v>24.9</v>
      </c>
      <c r="CAL3" s="65">
        <v>24.9</v>
      </c>
      <c r="CAM3" s="65">
        <v>24.9</v>
      </c>
      <c r="CAN3" s="65">
        <v>24.9</v>
      </c>
      <c r="CAO3" s="65">
        <v>24.9</v>
      </c>
      <c r="CAP3" s="65">
        <v>24.9</v>
      </c>
      <c r="CAQ3" s="65">
        <v>24.9</v>
      </c>
      <c r="CAR3" s="65">
        <v>24.9</v>
      </c>
      <c r="CAS3" s="65">
        <v>24.9</v>
      </c>
      <c r="CAT3" s="65">
        <v>24.9</v>
      </c>
      <c r="CAU3" s="65">
        <v>24.9</v>
      </c>
      <c r="CAV3" s="65">
        <v>24.9</v>
      </c>
      <c r="CAW3" s="65">
        <v>24.9</v>
      </c>
      <c r="CAX3" s="65">
        <v>24.9</v>
      </c>
      <c r="CAY3" s="65">
        <v>24.9</v>
      </c>
      <c r="CAZ3" s="65">
        <v>24.9</v>
      </c>
      <c r="CBA3" s="65">
        <v>24.9</v>
      </c>
      <c r="CBB3" s="65">
        <v>24.9</v>
      </c>
      <c r="CBC3" s="65">
        <v>24.9</v>
      </c>
      <c r="CBD3" s="65">
        <v>24.9</v>
      </c>
      <c r="CBE3" s="65">
        <v>24.9</v>
      </c>
      <c r="CBF3" s="65">
        <v>24.9</v>
      </c>
      <c r="CBG3" s="65">
        <v>24.9</v>
      </c>
      <c r="CBH3" s="65">
        <v>24.9</v>
      </c>
      <c r="CBI3" s="65">
        <v>24.9</v>
      </c>
      <c r="CBJ3" s="65">
        <v>24.9</v>
      </c>
      <c r="CBK3" s="65">
        <v>24.9</v>
      </c>
      <c r="CBL3" s="65">
        <v>24.9</v>
      </c>
      <c r="CBM3" s="65">
        <v>24.9</v>
      </c>
      <c r="CBN3" s="65">
        <v>24.9</v>
      </c>
      <c r="CBO3" s="65">
        <v>24.9</v>
      </c>
      <c r="CBP3" s="65">
        <v>24.9</v>
      </c>
      <c r="CBQ3" s="65">
        <v>24.9</v>
      </c>
      <c r="CBR3" s="65">
        <v>24.9</v>
      </c>
      <c r="CBS3" s="65">
        <v>24.9</v>
      </c>
      <c r="CBT3" s="65">
        <v>24.9</v>
      </c>
      <c r="CBU3" s="65">
        <v>24.9</v>
      </c>
      <c r="CBV3" s="65">
        <v>24.9</v>
      </c>
      <c r="CBW3" s="65">
        <v>24.9</v>
      </c>
      <c r="CBX3" s="65">
        <v>24.9</v>
      </c>
      <c r="CBY3" s="65">
        <v>24.9</v>
      </c>
      <c r="CBZ3" s="65">
        <v>24.9</v>
      </c>
      <c r="CCA3" s="65">
        <v>24.9</v>
      </c>
      <c r="CCB3" s="44">
        <f ca="1">ROUNDUP(IF(IFERROR(IF($CCA3="","",IF($CCA3=0,1,1-$CCA3/HLOOKUP(CCB$3,[2]ARBOR_REAJUSTE18!$A:$AE,VLOOKUP($BYU$2,[2]ARBOR_REAJUSTE18!$A:$B,2,0),0))),"")&lt;0.01%,0.01%,(IFERROR(IF($CCA3="","",IF($CCA3=0,1,1-$CCA3/HLOOKUP(CCB$3,[2]ARBOR_REAJUSTE18!$A:$AE,VLOOKUP($BYU$2,[2]ARBOR_REAJUSTE18!$A:$B,2,0),0))),""))),4)</f>
        <v>0.16729999999999998</v>
      </c>
      <c r="CCC3" s="44">
        <f ca="1">ROUNDUP(IF(IFERROR(IF($CCA3="","",IF($CCA3=0,1,1-$CCA3/HLOOKUP(CCC$3,[2]ARBOR_REAJUSTE18!$A:$AE,VLOOKUP($BYU$2,[2]ARBOR_REAJUSTE18!$A:$B,2,0),0))),"")&lt;0.01%,0.01%,(IFERROR(IF($CCA3="","",IF($CCA3=0,1,1-$CCA3/HLOOKUP(CCC$3,[2]ARBOR_REAJUSTE18!$A:$AE,VLOOKUP($BYU$2,[2]ARBOR_REAJUSTE18!$A:$B,2,0),0))),""))),4)</f>
        <v>0.16729999999999998</v>
      </c>
      <c r="CCD3" s="44">
        <f ca="1">ROUNDUP(IF(IFERROR(IF($CCA3="","",IF($CCA3=0,1,1-$CCA3/HLOOKUP(CCD$3,[2]ARBOR_REAJUSTE18!$A:$AE,VLOOKUP($BYU$2,[2]ARBOR_REAJUSTE18!$A:$B,2,0),0))),"")&lt;0.01%,0.01%,(IFERROR(IF($CCA3="","",IF($CCA3=0,1,1-$CCA3/HLOOKUP(CCD$3,[2]ARBOR_REAJUSTE18!$A:$AE,VLOOKUP($BYU$2,[2]ARBOR_REAJUSTE18!$A:$B,2,0),0))),""))),4)</f>
        <v>0.16729999999999998</v>
      </c>
      <c r="CCE3" s="44">
        <f ca="1">ROUNDUP(IF(IFERROR(IF($CCA3="","",IF($CCA3=0,1,1-$CCA3/HLOOKUP(CCE$3,[2]ARBOR_REAJUSTE18!$A:$AE,VLOOKUP($BYU$2,[2]ARBOR_REAJUSTE18!$A:$B,2,0),0))),"")&lt;0.01%,0.01%,(IFERROR(IF($CCA3="","",IF($CCA3=0,1,1-$CCA3/HLOOKUP(CCE$3,[2]ARBOR_REAJUSTE18!$A:$AE,VLOOKUP($BYU$2,[2]ARBOR_REAJUSTE18!$A:$B,2,0),0))),""))),4)</f>
        <v>0.16729999999999998</v>
      </c>
      <c r="CCF3" s="44">
        <f ca="1">ROUNDUP(IF(IFERROR(IF($CCA3="","",IF($CCA3=0,1,1-$CCA3/HLOOKUP(CCF$3,[2]ARBOR_REAJUSTE18!$A:$AE,VLOOKUP($BYU$2,[2]ARBOR_REAJUSTE18!$A:$B,2,0),0))),"")&lt;0.01%,0.01%,(IFERROR(IF($CCA3="","",IF($CCA3=0,1,1-$CCA3/HLOOKUP(CCF$3,[2]ARBOR_REAJUSTE18!$A:$AE,VLOOKUP($BYU$2,[2]ARBOR_REAJUSTE18!$A:$B,2,0),0))),""))),4)</f>
        <v>0.16729999999999998</v>
      </c>
      <c r="CCG3" s="44">
        <f ca="1">ROUNDUP(IF(IFERROR(IF($CCA3="","",IF($CCA3=0,1,1-$CCA3/HLOOKUP(CCG$3,[2]ARBOR_REAJUSTE18!$A:$AE,VLOOKUP($BYU$2,[2]ARBOR_REAJUSTE18!$A:$B,2,0),0))),"")&lt;0.01%,0.01%,(IFERROR(IF($CCA3="","",IF($CCA3=0,1,1-$CCA3/HLOOKUP(CCG$3,[2]ARBOR_REAJUSTE18!$A:$AE,VLOOKUP($BYU$2,[2]ARBOR_REAJUSTE18!$A:$B,2,0),0))),""))),4)</f>
        <v>0.16729999999999998</v>
      </c>
      <c r="CCH3" s="44">
        <f ca="1">ROUNDUP(IF(IFERROR(IF($CCA3="","",IF($CCA3=0,1,1-$CCA3/HLOOKUP(CCH$3,[2]ARBOR_REAJUSTE18!$A:$AE,VLOOKUP($BYU$2,[2]ARBOR_REAJUSTE18!$A:$B,2,0),0))),"")&lt;0.01%,0.01%,(IFERROR(IF($CCA3="","",IF($CCA3=0,1,1-$CCA3/HLOOKUP(CCH$3,[2]ARBOR_REAJUSTE18!$A:$AE,VLOOKUP($BYU$2,[2]ARBOR_REAJUSTE18!$A:$B,2,0),0))),""))),4)</f>
        <v>0.18469999999999998</v>
      </c>
      <c r="CCI3" s="44">
        <f ca="1">ROUNDUP(IF(IFERROR(IF($CCA3="","",IF($CCA3=0,1,1-$CCA3/HLOOKUP(CCI$3,[2]ARBOR_REAJUSTE18!$A:$AE,VLOOKUP($BYU$2,[2]ARBOR_REAJUSTE18!$A:$B,2,0),0))),"")&lt;0.01%,0.01%,(IFERROR(IF($CCA3="","",IF($CCA3=0,1,1-$CCA3/HLOOKUP(CCI$3,[2]ARBOR_REAJUSTE18!$A:$AE,VLOOKUP($BYU$2,[2]ARBOR_REAJUSTE18!$A:$B,2,0),0))),""))),4)</f>
        <v>0.16729999999999998</v>
      </c>
      <c r="CCJ3" s="44">
        <f ca="1">ROUNDUP(IF(IFERROR(IF($CCA3="","",IF($CCA3=0,1,1-$CCA3/HLOOKUP(CCJ$3,[2]ARBOR_REAJUSTE18!$A:$AE,VLOOKUP($BYU$2,[2]ARBOR_REAJUSTE18!$A:$B,2,0),0))),"")&lt;0.01%,0.01%,(IFERROR(IF($CCA3="","",IF($CCA3=0,1,1-$CCA3/HLOOKUP(CCJ$3,[2]ARBOR_REAJUSTE18!$A:$AE,VLOOKUP($BYU$2,[2]ARBOR_REAJUSTE18!$A:$B,2,0),0))),""))),4)</f>
        <v>0.16729999999999998</v>
      </c>
      <c r="CCK3" s="44">
        <f ca="1">ROUNDUP(IF(IFERROR(IF($CCA3="","",IF($CCA3=0,1,1-$CCA3/HLOOKUP(CCK$3,[2]ARBOR_REAJUSTE18!$A:$AE,VLOOKUP($BYU$2,[2]ARBOR_REAJUSTE18!$A:$B,2,0),0))),"")&lt;0.01%,0.01%,(IFERROR(IF($CCA3="","",IF($CCA3=0,1,1-$CCA3/HLOOKUP(CCK$3,[2]ARBOR_REAJUSTE18!$A:$AE,VLOOKUP($BYU$2,[2]ARBOR_REAJUSTE18!$A:$B,2,0),0))),""))),4)</f>
        <v>0.16729999999999998</v>
      </c>
      <c r="CCL3" s="44">
        <f ca="1">ROUNDUP(IF(IFERROR(IF($CCA3="","",IF($CCA3=0,1,1-$CCA3/HLOOKUP(CCL$3,[2]ARBOR_REAJUSTE18!$A:$AE,VLOOKUP($BYU$2,[2]ARBOR_REAJUSTE18!$A:$B,2,0),0))),"")&lt;0.01%,0.01%,(IFERROR(IF($CCA3="","",IF($CCA3=0,1,1-$CCA3/HLOOKUP(CCL$3,[2]ARBOR_REAJUSTE18!$A:$AE,VLOOKUP($BYU$2,[2]ARBOR_REAJUSTE18!$A:$B,2,0),0))),""))),4)</f>
        <v>0.1968</v>
      </c>
      <c r="CCM3" s="44">
        <f ca="1">ROUNDUP(IF(IFERROR(IF($CCA3="","",IF($CCA3=0,1,1-$CCA3/HLOOKUP(CCM$3,[2]ARBOR_REAJUSTE18!$A:$AE,VLOOKUP($BYU$2,[2]ARBOR_REAJUSTE18!$A:$B,2,0),0))),"")&lt;0.01%,0.01%,(IFERROR(IF($CCA3="","",IF($CCA3=0,1,1-$CCA3/HLOOKUP(CCM$3,[2]ARBOR_REAJUSTE18!$A:$AE,VLOOKUP($BYU$2,[2]ARBOR_REAJUSTE18!$A:$B,2,0),0))),""))),4)</f>
        <v>0.16729999999999998</v>
      </c>
      <c r="CCN3" s="44">
        <f ca="1">ROUNDUP(IF(IFERROR(IF($CCA3="","",IF($CCA3=0,1,1-$CCA3/HLOOKUP(CCN$3,[2]ARBOR_REAJUSTE18!$A:$AE,VLOOKUP($BYU$2,[2]ARBOR_REAJUSTE18!$A:$B,2,0),0))),"")&lt;0.01%,0.01%,(IFERROR(IF($CCA3="","",IF($CCA3=0,1,1-$CCA3/HLOOKUP(CCN$3,[2]ARBOR_REAJUSTE18!$A:$AE,VLOOKUP($BYU$2,[2]ARBOR_REAJUSTE18!$A:$B,2,0),0))),""))),4)</f>
        <v>0.16729999999999998</v>
      </c>
      <c r="CCO3" s="44">
        <f ca="1">ROUNDUP(IF(IFERROR(IF($CCA3="","",IF($CCA3=0,1,1-$CCA3/HLOOKUP(CCO$3,[2]ARBOR_REAJUSTE18!$A:$AE,VLOOKUP($BYU$2,[2]ARBOR_REAJUSTE18!$A:$B,2,0),0))),"")&lt;0.01%,0.01%,(IFERROR(IF($CCA3="","",IF($CCA3=0,1,1-$CCA3/HLOOKUP(CCO$3,[2]ARBOR_REAJUSTE18!$A:$AE,VLOOKUP($BYU$2,[2]ARBOR_REAJUSTE18!$A:$B,2,0),0))),""))),4)</f>
        <v>0.16729999999999998</v>
      </c>
      <c r="CCP3" s="44">
        <f ca="1">ROUNDUP(IF(IFERROR(IF($CCA3="","",IF($CCA3=0,1,1-$CCA3/HLOOKUP(CCP$3,[2]ARBOR_REAJUSTE18!$A:$AE,VLOOKUP($BYU$2,[2]ARBOR_REAJUSTE18!$A:$B,2,0),0))),"")&lt;0.01%,0.01%,(IFERROR(IF($CCA3="","",IF($CCA3=0,1,1-$CCA3/HLOOKUP(CCP$3,[2]ARBOR_REAJUSTE18!$A:$AE,VLOOKUP($BYU$2,[2]ARBOR_REAJUSTE18!$A:$B,2,0),0))),""))),4)</f>
        <v>0.16729999999999998</v>
      </c>
      <c r="CCQ3" s="44">
        <f ca="1">ROUNDUP(IF(IFERROR(IF($CCA3="","",IF($CCA3=0,1,1-$CCA3/HLOOKUP(CCQ$3,[2]ARBOR_REAJUSTE18!$A:$AE,VLOOKUP($BYU$2,[2]ARBOR_REAJUSTE18!$A:$B,2,0),0))),"")&lt;0.01%,0.01%,(IFERROR(IF($CCA3="","",IF($CCA3=0,1,1-$CCA3/HLOOKUP(CCQ$3,[2]ARBOR_REAJUSTE18!$A:$AE,VLOOKUP($BYU$2,[2]ARBOR_REAJUSTE18!$A:$B,2,0),0))),""))),4)</f>
        <v>0.17799999999999999</v>
      </c>
      <c r="CCR3" s="44">
        <f ca="1">ROUNDUP(IF(IFERROR(IF($CCA3="","",IF($CCA3=0,1,1-$CCA3/HLOOKUP(CCR$3,[2]ARBOR_REAJUSTE18!$A:$AE,VLOOKUP($BYU$2,[2]ARBOR_REAJUSTE18!$A:$B,2,0),0))),"")&lt;0.01%,0.01%,(IFERROR(IF($CCA3="","",IF($CCA3=0,1,1-$CCA3/HLOOKUP(CCR$3,[2]ARBOR_REAJUSTE18!$A:$AE,VLOOKUP($BYU$2,[2]ARBOR_REAJUSTE18!$A:$B,2,0),0))),""))),4)</f>
        <v>0.16729999999999998</v>
      </c>
      <c r="CCS3" s="44">
        <f ca="1">ROUNDUP(IF(IFERROR(IF($CCA3="","",IF($CCA3=0,1,1-$CCA3/HLOOKUP(CCS$3,[2]ARBOR_REAJUSTE18!$A:$AE,VLOOKUP($BYU$2,[2]ARBOR_REAJUSTE18!$A:$B,2,0),0))),"")&lt;0.01%,0.01%,(IFERROR(IF($CCA3="","",IF($CCA3=0,1,1-$CCA3/HLOOKUP(CCS$3,[2]ARBOR_REAJUSTE18!$A:$AE,VLOOKUP($BYU$2,[2]ARBOR_REAJUSTE18!$A:$B,2,0),0))),""))),4)</f>
        <v>0.16729999999999998</v>
      </c>
      <c r="CCT3" s="44">
        <f ca="1">ROUNDUP(IF(IFERROR(IF($CCA3="","",IF($CCA3=0,1,1-$CCA3/HLOOKUP(CCT$3,[2]ARBOR_REAJUSTE18!$A:$AE,VLOOKUP($BYU$2,[2]ARBOR_REAJUSTE18!$A:$B,2,0),0))),"")&lt;0.01%,0.01%,(IFERROR(IF($CCA3="","",IF($CCA3=0,1,1-$CCA3/HLOOKUP(CCT$3,[2]ARBOR_REAJUSTE18!$A:$AE,VLOOKUP($BYU$2,[2]ARBOR_REAJUSTE18!$A:$B,2,0),0))),""))),4)</f>
        <v>0.16729999999999998</v>
      </c>
      <c r="CCU3" s="44">
        <f ca="1">ROUNDUP(IF(IFERROR(IF($CCA3="","",IF($CCA3=0,1,1-$CCA3/HLOOKUP(CCU$3,[2]ARBOR_REAJUSTE18!$A:$AE,VLOOKUP($BYU$2,[2]ARBOR_REAJUSTE18!$A:$B,2,0),0))),"")&lt;0.01%,0.01%,(IFERROR(IF($CCA3="","",IF($CCA3=0,1,1-$CCA3/HLOOKUP(CCU$3,[2]ARBOR_REAJUSTE18!$A:$AE,VLOOKUP($BYU$2,[2]ARBOR_REAJUSTE18!$A:$B,2,0),0))),""))),4)</f>
        <v>0.1968</v>
      </c>
      <c r="CCV3" s="44">
        <f ca="1">ROUNDUP(IF(IFERROR(IF($CCA3="","",IF($CCA3=0,1,1-$CCA3/HLOOKUP(CCV$3,[2]ARBOR_REAJUSTE18!$A:$AE,VLOOKUP($BYU$2,[2]ARBOR_REAJUSTE18!$A:$B,2,0),0))),"")&lt;0.01%,0.01%,(IFERROR(IF($CCA3="","",IF($CCA3=0,1,1-$CCA3/HLOOKUP(CCV$3,[2]ARBOR_REAJUSTE18!$A:$AE,VLOOKUP($BYU$2,[2]ARBOR_REAJUSTE18!$A:$B,2,0),0))),""))),4)</f>
        <v>0.16729999999999998</v>
      </c>
      <c r="CCW3" s="44">
        <f ca="1">ROUNDUP(IF(IFERROR(IF($CCA3="","",IF($CCA3=0,1,1-$CCA3/HLOOKUP(CCW$3,[2]ARBOR_REAJUSTE18!$A:$AE,VLOOKUP($BYU$2,[2]ARBOR_REAJUSTE18!$A:$B,2,0),0))),"")&lt;0.01%,0.01%,(IFERROR(IF($CCA3="","",IF($CCA3=0,1,1-$CCA3/HLOOKUP(CCW$3,[2]ARBOR_REAJUSTE18!$A:$AE,VLOOKUP($BYU$2,[2]ARBOR_REAJUSTE18!$A:$B,2,0),0))),""))),4)</f>
        <v>0.16729999999999998</v>
      </c>
      <c r="CCX3" s="44">
        <f ca="1">ROUNDUP(IF(IFERROR(IF($CCA3="","",IF($CCA3=0,1,1-$CCA3/HLOOKUP(CCX$3,[2]ARBOR_REAJUSTE18!$A:$AE,VLOOKUP($BYU$2,[2]ARBOR_REAJUSTE18!$A:$B,2,0),0))),"")&lt;0.01%,0.01%,(IFERROR(IF($CCA3="","",IF($CCA3=0,1,1-$CCA3/HLOOKUP(CCX$3,[2]ARBOR_REAJUSTE18!$A:$AE,VLOOKUP($BYU$2,[2]ARBOR_REAJUSTE18!$A:$B,2,0),0))),""))),4)</f>
        <v>0.16729999999999998</v>
      </c>
      <c r="CCY3" s="44">
        <f ca="1">ROUNDUP(IF(IFERROR(IF($CCA3="","",IF($CCA3=0,1,1-$CCA3/HLOOKUP(CCY$3,[2]ARBOR_REAJUSTE18!$A:$AE,VLOOKUP($BYU$2,[2]ARBOR_REAJUSTE18!$A:$B,2,0),0))),"")&lt;0.01%,0.01%,(IFERROR(IF($CCA3="","",IF($CCA3=0,1,1-$CCA3/HLOOKUP(CCY$3,[2]ARBOR_REAJUSTE18!$A:$AE,VLOOKUP($BYU$2,[2]ARBOR_REAJUSTE18!$A:$B,2,0),0))),""))),4)</f>
        <v>0.16729999999999998</v>
      </c>
      <c r="CCZ3" s="44">
        <f ca="1">ROUNDUP(IF(IFERROR(IF($CCA3="","",IF($CCA3=0,1,1-$CCA3/HLOOKUP(CCZ$3,[2]ARBOR_REAJUSTE18!$A:$AE,VLOOKUP($BYU$2,[2]ARBOR_REAJUSTE18!$A:$B,2,0),0))),"")&lt;0.01%,0.01%,(IFERROR(IF($CCA3="","",IF($CCA3=0,1,1-$CCA3/HLOOKUP(CCZ$3,[2]ARBOR_REAJUSTE18!$A:$AE,VLOOKUP($BYU$2,[2]ARBOR_REAJUSTE18!$A:$B,2,0),0))),""))),4)</f>
        <v>0.16729999999999998</v>
      </c>
      <c r="CDA3" s="44">
        <f ca="1">ROUNDUP(IF(IFERROR(IF($CCA3="","",IF($CCA3=0,1,1-$CCA3/HLOOKUP(CDA$3,[2]ARBOR_REAJUSTE18!$A:$AE,VLOOKUP($BYU$2,[2]ARBOR_REAJUSTE18!$A:$B,2,0),0))),"")&lt;0.01%,0.01%,(IFERROR(IF($CCA3="","",IF($CCA3=0,1,1-$CCA3/HLOOKUP(CDA$3,[2]ARBOR_REAJUSTE18!$A:$AE,VLOOKUP($BYU$2,[2]ARBOR_REAJUSTE18!$A:$B,2,0),0))),""))),4)</f>
        <v>0.18629999999999999</v>
      </c>
      <c r="CDB3" s="44">
        <f ca="1">ROUNDUP(IF(IFERROR(IF($CCA3="","",IF($CCA3=0,1,1-$CCA3/HLOOKUP(CDB$3,[2]ARBOR_REAJUSTE18!$A:$AE,VLOOKUP($BYU$2,[2]ARBOR_REAJUSTE18!$A:$B,2,0),0))),"")&lt;0.01%,0.01%,(IFERROR(IF($CCA3="","",IF($CCA3=0,1,1-$CCA3/HLOOKUP(CDB$3,[2]ARBOR_REAJUSTE18!$A:$AE,VLOOKUP($BYU$2,[2]ARBOR_REAJUSTE18!$A:$B,2,0),0))),""))),4)</f>
        <v>0.16729999999999998</v>
      </c>
      <c r="CDC3" s="64" t="str">
        <f ca="1">VLOOKUP($AV3&amp;CCB3&amp;"Template desconto % Ponto adicional nível conta",[2]BENEFICIOS!$A:$G,5,0)</f>
        <v>MKT-1-10624277011</v>
      </c>
      <c r="CDD3" s="65"/>
      <c r="CDE3" s="67"/>
      <c r="CDF3" s="44"/>
      <c r="CDG3" s="44"/>
      <c r="CDH3" s="44"/>
      <c r="CDI3" s="44"/>
      <c r="CDJ3" s="44"/>
      <c r="CDK3" s="44"/>
      <c r="CDL3" s="44"/>
      <c r="CDM3" s="44"/>
      <c r="CDN3" s="44"/>
      <c r="CDO3" s="44"/>
      <c r="CDP3" s="44"/>
      <c r="CDQ3" s="44"/>
      <c r="CDR3" s="44"/>
      <c r="CDS3" s="44"/>
      <c r="CDT3" s="44"/>
      <c r="CDU3" s="44"/>
      <c r="CDV3" s="44"/>
      <c r="CDW3" s="44"/>
      <c r="CDX3" s="44"/>
      <c r="CDY3" s="44"/>
      <c r="CDZ3" s="44"/>
      <c r="CEA3" s="44"/>
      <c r="CEB3" s="44"/>
      <c r="CEC3" s="44"/>
      <c r="CED3" s="44"/>
      <c r="CEE3" s="44"/>
      <c r="CEF3" s="44"/>
      <c r="CEG3" s="44"/>
      <c r="CEH3" s="68"/>
      <c r="CEI3" s="44"/>
      <c r="CEJ3" s="44"/>
      <c r="CEK3" s="44"/>
      <c r="CEL3" s="44"/>
      <c r="CEM3" s="44"/>
      <c r="CEN3" s="44"/>
      <c r="CEO3" s="44"/>
      <c r="CEP3" s="44"/>
      <c r="CEQ3" s="44"/>
      <c r="CER3" s="44"/>
      <c r="CES3" s="44"/>
      <c r="CET3" s="44"/>
      <c r="CEU3" s="44"/>
      <c r="CEV3" s="44"/>
      <c r="CEW3" s="44"/>
      <c r="CEX3" s="44"/>
      <c r="CEY3" s="44"/>
      <c r="CEZ3" s="44"/>
      <c r="CFA3" s="44"/>
      <c r="CFB3" s="44"/>
      <c r="CFC3" s="44"/>
      <c r="CFD3" s="44"/>
      <c r="CFE3" s="44"/>
      <c r="CFF3" s="44"/>
      <c r="CFG3" s="44"/>
      <c r="CFH3" s="44"/>
      <c r="CFI3" s="44"/>
      <c r="CFJ3" s="44"/>
      <c r="CFK3" s="67"/>
      <c r="CFL3" s="44"/>
      <c r="CFM3" s="44"/>
      <c r="CFN3" s="44"/>
      <c r="CFO3" s="44"/>
      <c r="CFP3" s="44"/>
      <c r="CFQ3" s="44"/>
      <c r="CFR3" s="44"/>
      <c r="CFS3" s="44"/>
      <c r="CFT3" s="44"/>
      <c r="CFU3" s="44"/>
      <c r="CFV3" s="44"/>
      <c r="CFW3" s="44"/>
      <c r="CFX3" s="44"/>
      <c r="CFY3" s="44"/>
      <c r="CFZ3" s="44"/>
      <c r="CGA3" s="44"/>
      <c r="CGB3" s="44"/>
      <c r="CGC3" s="44"/>
      <c r="CGD3" s="44"/>
      <c r="CGE3" s="44"/>
      <c r="CGF3" s="44"/>
      <c r="CGG3" s="44"/>
      <c r="CGH3" s="44"/>
      <c r="CGI3" s="44"/>
      <c r="CGJ3" s="44"/>
      <c r="CGK3" s="44"/>
      <c r="CGL3" s="44"/>
      <c r="CGM3" s="44"/>
      <c r="CGN3" s="67"/>
      <c r="CGO3" s="67"/>
      <c r="CGP3" s="44"/>
      <c r="CGQ3" s="44"/>
      <c r="CGR3" s="44"/>
      <c r="CGS3" s="44"/>
      <c r="CGT3" s="44"/>
      <c r="CGU3" s="44"/>
      <c r="CGV3" s="44"/>
      <c r="CGW3" s="44"/>
      <c r="CGX3" s="44"/>
      <c r="CGY3" s="44"/>
      <c r="CGZ3" s="44"/>
      <c r="CHA3" s="44"/>
      <c r="CHB3" s="44"/>
      <c r="CHC3" s="44"/>
      <c r="CHD3" s="44"/>
      <c r="CHE3" s="44"/>
      <c r="CHF3" s="44"/>
      <c r="CHG3" s="44"/>
      <c r="CHH3" s="44"/>
      <c r="CHI3" s="44"/>
      <c r="CHJ3" s="44"/>
      <c r="CHK3" s="44"/>
      <c r="CHL3" s="44"/>
      <c r="CHM3" s="44"/>
      <c r="CHN3" s="44"/>
      <c r="CHO3" s="44"/>
      <c r="CHP3" s="44"/>
      <c r="CHQ3" s="44"/>
      <c r="CHR3" s="67"/>
      <c r="CHS3" s="69"/>
      <c r="CHT3" s="70"/>
      <c r="CHU3" s="70"/>
      <c r="CHV3" s="70"/>
      <c r="CHW3" s="70"/>
      <c r="CHX3" s="65"/>
      <c r="CHY3" s="67"/>
      <c r="CHZ3" s="71"/>
      <c r="CIA3" s="71"/>
      <c r="CIB3" s="71"/>
      <c r="CIC3" s="71"/>
      <c r="CID3" s="71"/>
      <c r="CIE3" s="71"/>
      <c r="CIF3" s="71"/>
      <c r="CIG3" s="71"/>
      <c r="CIH3" s="71"/>
      <c r="CII3" s="71"/>
      <c r="CIJ3" s="71"/>
      <c r="CIK3" s="71"/>
      <c r="CIL3" s="71"/>
      <c r="CIM3" s="71"/>
      <c r="CIN3" s="71"/>
      <c r="CIO3" s="71"/>
      <c r="CIP3" s="71"/>
      <c r="CIQ3" s="71"/>
      <c r="CIR3" s="71"/>
      <c r="CIS3" s="71"/>
      <c r="CIT3" s="71"/>
      <c r="CIU3" s="71"/>
      <c r="CIV3" s="71"/>
      <c r="CIW3" s="71"/>
      <c r="CIX3" s="71"/>
      <c r="CIY3" s="71"/>
      <c r="CIZ3" s="71"/>
      <c r="CJA3" s="72"/>
      <c r="CJB3" s="68"/>
      <c r="CJC3" s="44"/>
      <c r="CJD3" s="44"/>
      <c r="CJE3" s="44"/>
      <c r="CJF3" s="44"/>
      <c r="CJG3" s="44"/>
      <c r="CJH3" s="44"/>
      <c r="CJI3" s="44"/>
      <c r="CJJ3" s="44"/>
      <c r="CJK3" s="44"/>
      <c r="CJL3" s="44"/>
      <c r="CJM3" s="44"/>
      <c r="CJN3" s="44"/>
      <c r="CJO3" s="44"/>
      <c r="CJP3" s="44"/>
      <c r="CJQ3" s="44"/>
      <c r="CJR3" s="44"/>
      <c r="CJS3" s="44"/>
      <c r="CJT3" s="44"/>
      <c r="CJU3" s="44"/>
      <c r="CJV3" s="44"/>
      <c r="CJW3" s="44"/>
      <c r="CJX3" s="44"/>
      <c r="CJY3" s="44"/>
      <c r="CJZ3" s="44"/>
      <c r="CKA3" s="44"/>
      <c r="CKB3" s="44"/>
      <c r="CKC3" s="44"/>
      <c r="CKD3" s="73"/>
      <c r="CKE3" s="67"/>
      <c r="CKF3" s="44"/>
      <c r="CKG3" s="44"/>
      <c r="CKH3" s="44"/>
      <c r="CKI3" s="44"/>
      <c r="CKJ3" s="44"/>
      <c r="CKK3" s="44"/>
      <c r="CKL3" s="44"/>
      <c r="CKM3" s="44"/>
      <c r="CKN3" s="44"/>
      <c r="CKO3" s="44"/>
      <c r="CKP3" s="44"/>
      <c r="CKQ3" s="44"/>
      <c r="CKR3" s="44"/>
      <c r="CKS3" s="44"/>
      <c r="CKT3" s="44"/>
      <c r="CKU3" s="44"/>
      <c r="CKV3" s="44"/>
      <c r="CKW3" s="44"/>
      <c r="CKX3" s="44"/>
      <c r="CKY3" s="44"/>
      <c r="CKZ3" s="44"/>
      <c r="CLA3" s="44"/>
      <c r="CLB3" s="44"/>
      <c r="CLC3" s="44"/>
      <c r="CLD3" s="44"/>
      <c r="CLE3" s="44"/>
      <c r="CLF3" s="44"/>
      <c r="CLG3" s="73"/>
      <c r="CLH3" s="67"/>
      <c r="CLI3" s="67"/>
      <c r="CLJ3" s="44" t="s">
        <v>301</v>
      </c>
      <c r="CLK3" s="44" t="s">
        <v>302</v>
      </c>
      <c r="CLL3" s="44"/>
      <c r="CLM3" s="44"/>
      <c r="CLN3" s="44"/>
      <c r="CLO3" s="44"/>
      <c r="CLP3" s="44"/>
      <c r="CLQ3" s="44"/>
      <c r="CLR3" s="44"/>
      <c r="CLS3" s="44"/>
      <c r="CLT3" s="44"/>
      <c r="CLU3" s="44"/>
      <c r="CLV3" s="44"/>
      <c r="CLW3" s="44"/>
      <c r="CLX3" s="44"/>
      <c r="CLY3" s="44"/>
      <c r="CLZ3" s="44"/>
      <c r="CMA3" s="44"/>
      <c r="CMB3" s="44"/>
      <c r="CMC3" s="44"/>
      <c r="CMD3" s="44"/>
      <c r="CME3" s="44"/>
      <c r="CMF3" s="44"/>
      <c r="CMG3" s="44"/>
      <c r="CMH3" s="44"/>
      <c r="CMI3" s="44"/>
      <c r="CMJ3" s="44"/>
      <c r="CMK3" s="73"/>
      <c r="CML3" s="67"/>
      <c r="CMM3" s="74"/>
      <c r="CMN3" s="75"/>
      <c r="CMO3" s="76"/>
      <c r="CMP3" s="65"/>
      <c r="CMQ3" s="65"/>
      <c r="CMR3" s="65"/>
      <c r="CMS3" s="77"/>
      <c r="CMT3" s="77"/>
      <c r="CMU3" s="44"/>
      <c r="CMV3" s="44"/>
      <c r="CMW3" s="44"/>
      <c r="CMX3" s="44"/>
      <c r="CMY3" s="44"/>
      <c r="CMZ3" s="44"/>
      <c r="CNA3" s="44"/>
      <c r="CNB3" s="44"/>
      <c r="CNC3" s="44"/>
      <c r="CND3" s="44"/>
      <c r="CNE3" s="44"/>
      <c r="CNF3" s="44"/>
      <c r="CNG3" s="44"/>
      <c r="CNH3" s="44"/>
      <c r="CNI3" s="44"/>
      <c r="CNJ3" s="44"/>
      <c r="CNK3" s="44"/>
      <c r="CNL3" s="44"/>
      <c r="CNM3" s="44"/>
      <c r="CNN3" s="44"/>
      <c r="CNO3" s="44"/>
      <c r="CNP3" s="44"/>
      <c r="CNQ3" s="44"/>
      <c r="CNR3" s="44"/>
      <c r="CNS3" s="44"/>
      <c r="CNT3" s="44"/>
      <c r="CNU3" s="44"/>
      <c r="CNV3" s="44"/>
      <c r="CNW3" s="67"/>
      <c r="CNX3" s="44"/>
      <c r="CNY3" s="44"/>
      <c r="CNZ3" s="44"/>
      <c r="COA3" s="44"/>
      <c r="COB3" s="44"/>
      <c r="COC3" s="44"/>
      <c r="COD3" s="44"/>
      <c r="COE3" s="44"/>
      <c r="COF3" s="44"/>
      <c r="COG3" s="44"/>
      <c r="COH3" s="44"/>
      <c r="COI3" s="44"/>
      <c r="COJ3" s="44"/>
      <c r="COK3" s="44"/>
      <c r="COL3" s="44"/>
      <c r="COM3" s="44"/>
      <c r="CON3" s="44"/>
      <c r="COO3" s="44"/>
      <c r="COP3" s="44"/>
      <c r="COQ3" s="44"/>
      <c r="COR3" s="44"/>
      <c r="COS3" s="44"/>
      <c r="COT3" s="44"/>
      <c r="COU3" s="44"/>
      <c r="COV3" s="44"/>
      <c r="COW3" s="44"/>
      <c r="COX3" s="44"/>
      <c r="COY3" s="44"/>
      <c r="COZ3" s="67"/>
      <c r="CPA3" s="44"/>
      <c r="CPB3" s="44"/>
      <c r="CPC3" s="44"/>
      <c r="CPD3" s="44"/>
      <c r="CPE3" s="44"/>
      <c r="CPF3" s="44"/>
      <c r="CPG3" s="44"/>
      <c r="CPH3" s="44"/>
      <c r="CPI3" s="44"/>
      <c r="CPJ3" s="44"/>
      <c r="CPK3" s="44"/>
      <c r="CPL3" s="44"/>
      <c r="CPM3" s="44"/>
      <c r="CPN3" s="44"/>
      <c r="CPO3" s="44"/>
      <c r="CPP3" s="44"/>
      <c r="CPQ3" s="44"/>
      <c r="CPR3" s="44"/>
      <c r="CPS3" s="44"/>
      <c r="CPT3" s="44"/>
      <c r="CPU3" s="44"/>
      <c r="CPV3" s="44"/>
      <c r="CPW3" s="44"/>
      <c r="CPX3" s="44"/>
      <c r="CPY3" s="44"/>
      <c r="CPZ3" s="44"/>
      <c r="CQA3" s="44"/>
      <c r="CQB3" s="44"/>
      <c r="CQC3" s="67"/>
      <c r="CQD3" s="44"/>
      <c r="CQE3" s="44"/>
      <c r="CQF3" s="44"/>
      <c r="CQG3" s="44"/>
      <c r="CQH3" s="44"/>
      <c r="CQI3" s="44"/>
      <c r="CQJ3" s="44"/>
      <c r="CQK3" s="44"/>
      <c r="CQL3" s="44"/>
      <c r="CQM3" s="44"/>
      <c r="CQN3" s="44"/>
      <c r="CQO3" s="44"/>
      <c r="CQP3" s="44"/>
      <c r="CQQ3" s="44"/>
      <c r="CQR3" s="44"/>
      <c r="CQS3" s="44"/>
      <c r="CQT3" s="44"/>
      <c r="CQU3" s="44"/>
      <c r="CQV3" s="44"/>
      <c r="CQW3" s="44"/>
      <c r="CQX3" s="44"/>
      <c r="CQY3" s="44"/>
      <c r="CQZ3" s="44"/>
      <c r="CRA3" s="44"/>
      <c r="CRB3" s="44"/>
      <c r="CRC3" s="44"/>
      <c r="CRD3" s="44"/>
      <c r="CRE3" s="44"/>
      <c r="CRF3" s="67"/>
      <c r="CRG3" s="67"/>
      <c r="CRH3" s="67"/>
      <c r="CRI3" s="67"/>
      <c r="CRJ3" s="75" t="s">
        <v>281</v>
      </c>
      <c r="CRK3" s="74">
        <v>399</v>
      </c>
      <c r="CRL3" s="75">
        <v>12</v>
      </c>
      <c r="CRM3" s="75" t="s">
        <v>298</v>
      </c>
      <c r="CRN3" s="48" t="str">
        <f t="shared" ref="CRN3:CRN6" si="6">IF(CRM3="Benefício","Oi benefício fidelização Multiprodutos","")</f>
        <v>Oi benefício fidelização Multiprodutos</v>
      </c>
      <c r="CRO3" s="78" t="str">
        <f t="shared" ref="CRO3:CRO6" si="7">IF(CRM3="Benefício","PCS-Fk83324","")</f>
        <v>PCS-Fk83324</v>
      </c>
      <c r="CRP3" s="78" t="str">
        <f t="shared" ref="CRP3:CRP6" si="8">IF(CRJ3="Sim","PCS-SBL553142","")</f>
        <v>PCS-SBL553142</v>
      </c>
      <c r="CRQ3" s="75" t="s">
        <v>299</v>
      </c>
      <c r="CRR3" s="79"/>
      <c r="CRS3" s="80">
        <f t="shared" ref="CRS3:CRS6" si="9">IFERROR(BB3+HR3+AGE3+IF(LEFT(AV3,23)&lt;&gt;"Oi Total Fixo + Oi Mais",CDD3,CMQ3),"")</f>
        <v>79.800000000000011</v>
      </c>
      <c r="CRT3" s="81">
        <f t="shared" ref="CRT3:CRT6" si="10">IFERROR(BB3+HR3+AHH3+IF(LEFT(AV3,23)&lt;&gt;"Oi Total Fixo + Oi Mais",CDD3,CMQ3),"")</f>
        <v>35</v>
      </c>
      <c r="CRU3" s="81">
        <f t="shared" ref="CRU3:CRU6" si="11">IFERROR(BB3+HR3+AIK3+IF(LEFT(AV3,23)&lt;&gt;"Oi Total Fixo + Oi Mais",CDD3,CMQ3),"")</f>
        <v>35</v>
      </c>
      <c r="CRV3" s="81">
        <f t="shared" ref="CRV3:CRV6" si="12">IFERROR(BB3+HR3+AWX3+IF(LEFT(AV3,23)&lt;&gt;"Oi Total Fixo + Oi Mais",CDD3,CMQ3),"")</f>
        <v>35</v>
      </c>
      <c r="CRW3" s="81">
        <f t="shared" ref="CRW3:CRW6" si="13">IFERROR(BB3+HR3+AKQ3+IF(LEFT(AV3,23)&lt;&gt;"Oi Total Fixo + Oi Mais",CDD3,CMQ3),"")</f>
        <v>35</v>
      </c>
      <c r="CRX3" s="81">
        <f t="shared" ref="CRX3:CRX6" si="14">IFERROR(BB3+HR3+ALT3+IF(LEFT(AV3,23)&lt;&gt;"Oi Total Fixo + Oi Mais",CDD3,CMQ3),"")</f>
        <v>35</v>
      </c>
      <c r="CRY3" s="81">
        <f t="shared" ref="CRY3:CRY6" si="15">IFERROR(BB3+HR3+AMW3+IF(LEFT(AV3,23)&lt;&gt;"Oi Total Fixo + Oi Mais",CDD3,CMQ3),"")</f>
        <v>35</v>
      </c>
      <c r="CRZ3" s="81">
        <f t="shared" ref="CRZ3:CRZ6" si="16">IFERROR(BB3+HR3+ANZ3+IF(LEFT(AV3,23)&lt;&gt;"Oi Total Fixo + Oi Mais",CDD3,CMQ3),"")</f>
        <v>35</v>
      </c>
      <c r="CSA3" s="81">
        <f t="shared" ref="CSA3:CSA6" si="17">IFERROR(BB3+HR3+APC3+IF(LEFT(AV3,23)&lt;&gt;"Oi Total Fixo + Oi Mais",CDD3,CMQ3),"")</f>
        <v>35</v>
      </c>
      <c r="CSB3" s="81">
        <f t="shared" ref="CSB3:CSB6" si="18">IFERROR(BB3+HR3+AQF3+IF(LEFT(AV3,23)&lt;&gt;"Oi Total Fixo + Oi Mais",CDD3,CMQ3),"")</f>
        <v>35</v>
      </c>
      <c r="CSC3" s="81">
        <f t="shared" ref="CSC3:CSC6" si="19">IFERROR(BB3+HR3+ARI3+IF(LEFT(AV3,23)&lt;&gt;"Oi Total Fixo + Oi Mais",CDD3,CMQ3),"")</f>
        <v>35</v>
      </c>
      <c r="CSD3" s="81">
        <f t="shared" ref="CSD3:CSD6" si="20">IFERROR(BB3+HR3+ASL3+IF(LEFT(AV3,23)&lt;&gt;"Oi Total Fixo + Oi Mais",CDD3,CMQ3),"")</f>
        <v>35</v>
      </c>
      <c r="CSE3" s="81">
        <f t="shared" ref="CSE3:CSE6" si="21">IFERROR(BB3+HR3+ATO3+IF(LEFT(AV3,23)&lt;&gt;"Oi Total Fixo + Oi Mais",CDD3,CMQ3),"")</f>
        <v>35</v>
      </c>
      <c r="CSF3" s="81">
        <f t="shared" ref="CSF3:CSF6" si="22">IFERROR(BB3+HR3+AUR3+IF(LEFT(AV3,23)&lt;&gt;"Oi Total Fixo + Oi Mais",CDD3,CMQ3),"")</f>
        <v>35</v>
      </c>
      <c r="CSG3" s="81">
        <f t="shared" ref="CSG3:CSG6" si="23">IFERROR(BB3+HR3+AVU3+IF(LEFT(AV3,23)&lt;&gt;"Oi Total Fixo + Oi Mais",CDD3,CMQ3),"")</f>
        <v>35</v>
      </c>
      <c r="CSH3" s="81">
        <f t="shared" ref="CSH3:CSH6" si="24">IFERROR(BB3+HR3+AWX3+IF(LEFT(AV3,23)&lt;&gt;"Oi Total Fixo + Oi Mais",CDD3,CMQ3),"")</f>
        <v>35</v>
      </c>
      <c r="CSI3" s="81">
        <f t="shared" ref="CSI3:CSI6" si="25">IFERROR(BB3+HR3+AYA3+IF(LEFT(AV3,23)&lt;&gt;"Oi Total Fixo + Oi Mais",CDD3,CMQ3),"")</f>
        <v>35</v>
      </c>
      <c r="CSJ3" s="81">
        <f t="shared" ref="CSJ3:CSJ6" si="26">IFERROR(BB3+HR3+AZD3+IF(LEFT(AV3,23)&lt;&gt;"Oi Total Fixo + Oi Mais",CDD3,CMQ3),"")</f>
        <v>35</v>
      </c>
      <c r="CSK3" s="81">
        <f t="shared" ref="CSK3:CSK6" si="27">IFERROR(BB3+HR3+BAG3+IF(LEFT(AV3,23)&lt;&gt;"Oi Total Fixo + Oi Mais",CDD3,CMQ3),"")</f>
        <v>35</v>
      </c>
      <c r="CSL3" s="81">
        <f t="shared" ref="CSL3:CSL6" si="28">IFERROR(BB3+HR3+BBJ3+IF(LEFT(AV3,23)&lt;&gt;"Oi Total Fixo + Oi Mais",CDD3,CMQ3),"")</f>
        <v>35</v>
      </c>
      <c r="CSM3" s="81">
        <f t="shared" ref="CSM3:CSM6" si="29">IFERROR(BB3+HR3+BCM3+IF(LEFT(AV3,23)&lt;&gt;"Oi Total Fixo + Oi Mais",CDD3,CMQ3),"")</f>
        <v>35</v>
      </c>
      <c r="CSN3" s="81">
        <f t="shared" ref="CSN3:CSN6" si="30">IFERROR(BB3+HR3+BDP3+IF(LEFT(AV3,23)&lt;&gt;"Oi Total Fixo + Oi Mais",CDD3,CMQ3),"")</f>
        <v>35</v>
      </c>
      <c r="CSO3" s="81">
        <f t="shared" ref="CSO3:CSO6" si="31">IFERROR(BB3+HR3+BES3+IF(LEFT(AV3,23)&lt;&gt;"Oi Total Fixo + Oi Mais",CDD3,CMQ3),"")</f>
        <v>35</v>
      </c>
      <c r="CSP3" s="81">
        <f t="shared" ref="CSP3:CSP6" si="32">IFERROR(BB3+HR3+BFV3+IF(LEFT(AV3,23)&lt;&gt;"Oi Total Fixo + Oi Mais",CDD3,CMQ3),"")</f>
        <v>35</v>
      </c>
      <c r="CSQ3" s="81">
        <f t="shared" ref="CSQ3:CSQ6" si="33">IFERROR(BB3+HR3+BGY3+IF(LEFT(AV3,23)&lt;&gt;"Oi Total Fixo + Oi Mais",CDD3,CMQ3),"")</f>
        <v>35</v>
      </c>
      <c r="CSR3" s="82"/>
      <c r="CSS3" s="14" t="s">
        <v>300</v>
      </c>
    </row>
    <row r="4" spans="1:2541" x14ac:dyDescent="0.25">
      <c r="A4" s="25" t="s">
        <v>280</v>
      </c>
      <c r="B4" s="25" t="s">
        <v>281</v>
      </c>
      <c r="C4" s="26" t="s">
        <v>282</v>
      </c>
      <c r="D4" s="26" t="s">
        <v>283</v>
      </c>
      <c r="E4" s="26" t="s">
        <v>284</v>
      </c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8"/>
      <c r="AE4" s="27" t="s">
        <v>285</v>
      </c>
      <c r="AF4" s="29" t="s">
        <v>303</v>
      </c>
      <c r="AG4" s="30" t="s">
        <v>287</v>
      </c>
      <c r="AH4" s="31" t="s">
        <v>304</v>
      </c>
      <c r="AI4" s="32">
        <v>43238</v>
      </c>
      <c r="AJ4" s="32">
        <v>43281</v>
      </c>
      <c r="AK4" s="33" t="s">
        <v>289</v>
      </c>
      <c r="AL4" s="33" t="s">
        <v>289</v>
      </c>
      <c r="AM4" s="34"/>
      <c r="AN4" s="34" t="s">
        <v>290</v>
      </c>
      <c r="AO4" s="34">
        <v>20</v>
      </c>
      <c r="AP4" s="34">
        <v>10000</v>
      </c>
      <c r="AQ4" s="35" t="s">
        <v>291</v>
      </c>
      <c r="AR4" s="35" t="s">
        <v>281</v>
      </c>
      <c r="AS4" s="35" t="s">
        <v>284</v>
      </c>
      <c r="AT4" s="35" t="s">
        <v>284</v>
      </c>
      <c r="AU4" s="29" t="s">
        <v>303</v>
      </c>
      <c r="AV4" s="36" t="s">
        <v>305</v>
      </c>
      <c r="AW4" s="37" t="str">
        <f>IF(AV4="","",VLOOKUP(AV4,[2]PickList!A:B,2,0))</f>
        <v>PCS-2PMepi</v>
      </c>
      <c r="AX4" s="38" t="s">
        <v>284</v>
      </c>
      <c r="AY4" s="37" t="str">
        <f t="shared" si="0"/>
        <v/>
      </c>
      <c r="AZ4" s="39"/>
      <c r="BA4" s="40"/>
      <c r="BB4" s="41">
        <v>35</v>
      </c>
      <c r="BC4" s="42">
        <f t="shared" si="1"/>
        <v>19.57</v>
      </c>
      <c r="BD4" s="42">
        <v>15.43</v>
      </c>
      <c r="BE4" s="43" t="e">
        <f ca="1">VLOOKUP($AV4&amp;BF4&amp;"Template de desconto FLAT bundle - Fixo - Varejo - Ganho Tributário",[2]BENEFICIOS!$A:$G,5,0)</f>
        <v>#N/A</v>
      </c>
      <c r="BF4" s="44">
        <f ca="1">ROUNDUP(IF(IFERROR(IF($BC4="","",IF($BC4=0,1,1-$BC4/HLOOKUP(BF$3,[2]ARBOR_REAJUSTE18!$1:$2,VLOOKUP($BB$2,[2]ARBOR_REAJUSTE18!$A:$B,2,0),0))),"")&lt;0.01%,0.01%,IFERROR(IF($BC4="","",IF($BC4=0,1,1-$BC4/HLOOKUP(BF$3,[2]ARBOR_REAJUSTE18!$1:$2,VLOOKUP($BB$2,[2]ARBOR_REAJUSTE18!$A:$B,2,0),0))),"")),4)</f>
        <v>0.72909999999999997</v>
      </c>
      <c r="BG4" s="44">
        <f ca="1">ROUNDUP(IF(IFERROR(IF($BC4="","",IF($BC4=0,1,1-$BC4/HLOOKUP(BG$3,[2]ARBOR_REAJUSTE18!$1:$2,VLOOKUP($BB$2,[2]ARBOR_REAJUSTE18!$A:$B,2,0),0))),"")&lt;0.01%,0.01%,IFERROR(IF($BC4="","",IF($BC4=0,1,1-$BC4/HLOOKUP(BG$3,[2]ARBOR_REAJUSTE18!$1:$2,VLOOKUP($BB$2,[2]ARBOR_REAJUSTE18!$A:$B,2,0),0))),"")),4)</f>
        <v>0.73270000000000002</v>
      </c>
      <c r="BH4" s="44">
        <f ca="1">ROUNDUP(IF(IFERROR(IF($BC4="","",IF($BC4=0,1,1-$BC4/HLOOKUP(BH$3,[2]ARBOR_REAJUSTE18!$1:$2,VLOOKUP($BB$2,[2]ARBOR_REAJUSTE18!$A:$B,2,0),0))),"")&lt;0.01%,0.01%,IFERROR(IF($BC4="","",IF($BC4=0,1,1-$BC4/HLOOKUP(BH$3,[2]ARBOR_REAJUSTE18!$1:$2,VLOOKUP($BB$2,[2]ARBOR_REAJUSTE18!$A:$B,2,0),0))),"")),4)</f>
        <v>0.73270000000000002</v>
      </c>
      <c r="BI4" s="44">
        <f ca="1">ROUNDUP(IF(IFERROR(IF($BC4="","",IF($BC4=0,1,1-$BC4/HLOOKUP(BI$3,[2]ARBOR_REAJUSTE18!$1:$2,VLOOKUP($BB$2,[2]ARBOR_REAJUSTE18!$A:$B,2,0),0))),"")&lt;0.01%,0.01%,IFERROR(IF($BC4="","",IF($BC4=0,1,1-$BC4/HLOOKUP(BI$3,[2]ARBOR_REAJUSTE18!$1:$2,VLOOKUP($BB$2,[2]ARBOR_REAJUSTE18!$A:$B,2,0),0))),"")),4)</f>
        <v>0.73080000000000001</v>
      </c>
      <c r="BJ4" s="44">
        <f ca="1">ROUNDUP(IF(IFERROR(IF($BC4="","",IF($BC4=0,1,1-$BC4/HLOOKUP(BJ$3,[2]ARBOR_REAJUSTE18!$1:$2,VLOOKUP($BB$2,[2]ARBOR_REAJUSTE18!$A:$B,2,0),0))),"")&lt;0.01%,0.01%,IFERROR(IF($BC4="","",IF($BC4=0,1,1-$BC4/HLOOKUP(BJ$3,[2]ARBOR_REAJUSTE18!$1:$2,VLOOKUP($BB$2,[2]ARBOR_REAJUSTE18!$A:$B,2,0),0))),"")),4)</f>
        <v>0.72899999999999998</v>
      </c>
      <c r="BK4" s="44">
        <f ca="1">ROUNDUP(IF(IFERROR(IF($BC4="","",IF($BC4=0,1,1-$BC4/HLOOKUP(BK$3,[2]ARBOR_REAJUSTE18!$1:$2,VLOOKUP($BB$2,[2]ARBOR_REAJUSTE18!$A:$B,2,0),0))),"")&lt;0.01%,0.01%,IFERROR(IF($BC4="","",IF($BC4=0,1,1-$BC4/HLOOKUP(BK$3,[2]ARBOR_REAJUSTE18!$1:$2,VLOOKUP($BB$2,[2]ARBOR_REAJUSTE18!$A:$B,2,0),0))),"")),4)</f>
        <v>0.68740000000000001</v>
      </c>
      <c r="BL4" s="44">
        <f ca="1">ROUNDUP(IF(IFERROR(IF($BC4="","",IF($BC4=0,1,1-$BC4/HLOOKUP(BL$3,[2]ARBOR_REAJUSTE18!$1:$2,VLOOKUP($BB$2,[2]ARBOR_REAJUSTE18!$A:$B,2,0),0))),"")&lt;0.01%,0.01%,IFERROR(IF($BC4="","",IF($BC4=0,1,1-$BC4/HLOOKUP(BL$3,[2]ARBOR_REAJUSTE18!$1:$2,VLOOKUP($BB$2,[2]ARBOR_REAJUSTE18!$A:$B,2,0),0))),"")),4)</f>
        <v>0.73429999999999995</v>
      </c>
      <c r="BM4" s="44">
        <f ca="1">ROUNDUP(IF(IFERROR(IF($BC4="","",IF($BC4=0,1,1-$BC4/HLOOKUP(BM$3,[2]ARBOR_REAJUSTE18!$1:$2,VLOOKUP($BB$2,[2]ARBOR_REAJUSTE18!$A:$B,2,0),0))),"")&lt;0.01%,0.01%,IFERROR(IF($BC4="","",IF($BC4=0,1,1-$BC4/HLOOKUP(BM$3,[2]ARBOR_REAJUSTE18!$1:$2,VLOOKUP($BB$2,[2]ARBOR_REAJUSTE18!$A:$B,2,0),0))),"")),4)</f>
        <v>0.72360000000000002</v>
      </c>
      <c r="BN4" s="44">
        <f ca="1">ROUNDUP(IF(IFERROR(IF($BC4="","",IF($BC4=0,1,1-$BC4/HLOOKUP(BN$3,[2]ARBOR_REAJUSTE18!$1:$2,VLOOKUP($BB$2,[2]ARBOR_REAJUSTE18!$A:$B,2,0),0))),"")&lt;0.01%,0.01%,IFERROR(IF($BC4="","",IF($BC4=0,1,1-$BC4/HLOOKUP(BN$3,[2]ARBOR_REAJUSTE18!$1:$2,VLOOKUP($BB$2,[2]ARBOR_REAJUSTE18!$A:$B,2,0),0))),"")),4)</f>
        <v>0.73609999999999998</v>
      </c>
      <c r="BO4" s="44">
        <f ca="1">ROUNDUP(IF(IFERROR(IF($BC4="","",IF($BC4=0,1,1-$BC4/HLOOKUP(BO$3,[2]ARBOR_REAJUSTE18!$1:$2,VLOOKUP($BB$2,[2]ARBOR_REAJUSTE18!$A:$B,2,0),0))),"")&lt;0.01%,0.01%,IFERROR(IF($BC4="","",IF($BC4=0,1,1-$BC4/HLOOKUP(BO$3,[2]ARBOR_REAJUSTE18!$1:$2,VLOOKUP($BB$2,[2]ARBOR_REAJUSTE18!$A:$B,2,0),0))),"")),4)</f>
        <v>0.6986</v>
      </c>
      <c r="BP4" s="44">
        <f ca="1">ROUNDUP(IF(IFERROR(IF($BC4="","",IF($BC4=0,1,1-$BC4/HLOOKUP(BP$3,[2]ARBOR_REAJUSTE18!$1:$2,VLOOKUP($BB$2,[2]ARBOR_REAJUSTE18!$A:$B,2,0),0))),"")&lt;0.01%,0.01%,IFERROR(IF($BC4="","",IF($BC4=0,1,1-$BC4/HLOOKUP(BP$3,[2]ARBOR_REAJUSTE18!$1:$2,VLOOKUP($BB$2,[2]ARBOR_REAJUSTE18!$A:$B,2,0),0))),"")),4)</f>
        <v>0.72709999999999997</v>
      </c>
      <c r="BQ4" s="44">
        <f ca="1">ROUNDUP(IF(IFERROR(IF($BC4="","",IF($BC4=0,1,1-$BC4/HLOOKUP(BQ$3,[2]ARBOR_REAJUSTE18!$1:$2,VLOOKUP($BB$2,[2]ARBOR_REAJUSTE18!$A:$B,2,0),0))),"")&lt;0.01%,0.01%,IFERROR(IF($BC4="","",IF($BC4=0,1,1-$BC4/HLOOKUP(BQ$3,[2]ARBOR_REAJUSTE18!$1:$2,VLOOKUP($BB$2,[2]ARBOR_REAJUSTE18!$A:$B,2,0),0))),"")),4)</f>
        <v>0.73609999999999998</v>
      </c>
      <c r="BR4" s="44">
        <f ca="1">ROUNDUP(IF(IFERROR(IF($BC4="","",IF($BC4=0,1,1-$BC4/HLOOKUP(BR$3,[2]ARBOR_REAJUSTE18!$1:$2,VLOOKUP($BB$2,[2]ARBOR_REAJUSTE18!$A:$B,2,0),0))),"")&lt;0.01%,0.01%,IFERROR(IF($BC4="","",IF($BC4=0,1,1-$BC4/HLOOKUP(BR$3,[2]ARBOR_REAJUSTE18!$1:$2,VLOOKUP($BB$2,[2]ARBOR_REAJUSTE18!$A:$B,2,0),0))),"")),4)</f>
        <v>0.73250000000000004</v>
      </c>
      <c r="BS4" s="44">
        <f ca="1">ROUNDUP(IF(IFERROR(IF($BC4="","",IF($BC4=0,1,1-$BC4/HLOOKUP(BS$3,[2]ARBOR_REAJUSTE18!$1:$2,VLOOKUP($BB$2,[2]ARBOR_REAJUSTE18!$A:$B,2,0),0))),"")&lt;0.01%,0.01%,IFERROR(IF($BC4="","",IF($BC4=0,1,1-$BC4/HLOOKUP(BS$3,[2]ARBOR_REAJUSTE18!$1:$2,VLOOKUP($BB$2,[2]ARBOR_REAJUSTE18!$A:$B,2,0),0))),"")),4)</f>
        <v>0.73270000000000002</v>
      </c>
      <c r="BT4" s="44">
        <f ca="1">ROUNDUP(IF(IFERROR(IF($BC4="","",IF($BC4=0,1,1-$BC4/HLOOKUP(BT$3,[2]ARBOR_REAJUSTE18!$1:$2,VLOOKUP($BB$2,[2]ARBOR_REAJUSTE18!$A:$B,2,0),0))),"")&lt;0.01%,0.01%,IFERROR(IF($BC4="","",IF($BC4=0,1,1-$BC4/HLOOKUP(BT$3,[2]ARBOR_REAJUSTE18!$1:$2,VLOOKUP($BB$2,[2]ARBOR_REAJUSTE18!$A:$B,2,0),0))),"")),4)</f>
        <v>0.68740000000000001</v>
      </c>
      <c r="BU4" s="44">
        <f ca="1">ROUNDUP(IF(IFERROR(IF($BC4="","",IF($BC4=0,1,1-$BC4/HLOOKUP(BU$3,[2]ARBOR_REAJUSTE18!$1:$2,VLOOKUP($BB$2,[2]ARBOR_REAJUSTE18!$A:$B,2,0),0))),"")&lt;0.01%,0.01%,IFERROR(IF($BC4="","",IF($BC4=0,1,1-$BC4/HLOOKUP(BU$3,[2]ARBOR_REAJUSTE18!$1:$2,VLOOKUP($BB$2,[2]ARBOR_REAJUSTE18!$A:$B,2,0),0))),"")),4)</f>
        <v>0.73270000000000002</v>
      </c>
      <c r="BV4" s="44">
        <f ca="1">ROUNDUP(IF(IFERROR(IF($BC4="","",IF($BC4=0,1,1-$BC4/HLOOKUP(BV$3,[2]ARBOR_REAJUSTE18!$1:$2,VLOOKUP($BB$2,[2]ARBOR_REAJUSTE18!$A:$B,2,0),0))),"")&lt;0.01%,0.01%,IFERROR(IF($BC4="","",IF($BC4=0,1,1-$BC4/HLOOKUP(BV$3,[2]ARBOR_REAJUSTE18!$1:$2,VLOOKUP($BB$2,[2]ARBOR_REAJUSTE18!$A:$B,2,0),0))),"")),4)</f>
        <v>0.71</v>
      </c>
      <c r="BW4" s="44">
        <f ca="1">ROUNDUP(IF(IFERROR(IF($BC4="","",IF($BC4=0,1,1-$BC4/HLOOKUP(BW$3,[2]ARBOR_REAJUSTE18!$1:$2,VLOOKUP($BB$2,[2]ARBOR_REAJUSTE18!$A:$B,2,0),0))),"")&lt;0.01%,0.01%,IFERROR(IF($BC4="","",IF($BC4=0,1,1-$BC4/HLOOKUP(BW$3,[2]ARBOR_REAJUSTE18!$1:$2,VLOOKUP($BB$2,[2]ARBOR_REAJUSTE18!$A:$B,2,0),0))),"")),4)</f>
        <v>0.73609999999999998</v>
      </c>
      <c r="BX4" s="44">
        <f ca="1">ROUNDUP(IF(IFERROR(IF($BC4="","",IF($BC4=0,1,1-$BC4/HLOOKUP(BX$3,[2]ARBOR_REAJUSTE18!$1:$2,VLOOKUP($BB$2,[2]ARBOR_REAJUSTE18!$A:$B,2,0),0))),"")&lt;0.01%,0.01%,IFERROR(IF($BC4="","",IF($BC4=0,1,1-$BC4/HLOOKUP(BX$3,[2]ARBOR_REAJUSTE18!$1:$2,VLOOKUP($BB$2,[2]ARBOR_REAJUSTE18!$A:$B,2,0),0))),"")),4)</f>
        <v>0.74109999999999998</v>
      </c>
      <c r="BY4" s="44">
        <f ca="1">ROUNDUP(IF(IFERROR(IF($BC4="","",IF($BC4=0,1,1-$BC4/HLOOKUP(BY$3,[2]ARBOR_REAJUSTE18!$1:$2,VLOOKUP($BB$2,[2]ARBOR_REAJUSTE18!$A:$B,2,0),0))),"")&lt;0.01%,0.01%,IFERROR(IF($BC4="","",IF($BC4=0,1,1-$BC4/HLOOKUP(BY$3,[2]ARBOR_REAJUSTE18!$1:$2,VLOOKUP($BB$2,[2]ARBOR_REAJUSTE18!$A:$B,2,0),0))),"")),4)</f>
        <v>0.73270000000000002</v>
      </c>
      <c r="BZ4" s="44">
        <f ca="1">ROUNDUP(IF(IFERROR(IF($BC4="","",IF($BC4=0,1,1-$BC4/HLOOKUP(BZ$3,[2]ARBOR_REAJUSTE18!$1:$2,VLOOKUP($BB$2,[2]ARBOR_REAJUSTE18!$A:$B,2,0),0))),"")&lt;0.01%,0.01%,IFERROR(IF($BC4="","",IF($BC4=0,1,1-$BC4/HLOOKUP(BZ$3,[2]ARBOR_REAJUSTE18!$1:$2,VLOOKUP($BB$2,[2]ARBOR_REAJUSTE18!$A:$B,2,0),0))),"")),4)</f>
        <v>0.7379</v>
      </c>
      <c r="CA4" s="44">
        <f ca="1">ROUNDUP(IF(IFERROR(IF($BC4="","",IF($BC4=0,1,1-$BC4/HLOOKUP(CA$3,[2]ARBOR_REAJUSTE18!$1:$2,VLOOKUP($BB$2,[2]ARBOR_REAJUSTE18!$A:$B,2,0),0))),"")&lt;0.01%,0.01%,IFERROR(IF($BC4="","",IF($BC4=0,1,1-$BC4/HLOOKUP(CA$3,[2]ARBOR_REAJUSTE18!$1:$2,VLOOKUP($BB$2,[2]ARBOR_REAJUSTE18!$A:$B,2,0),0))),"")),4)</f>
        <v>0.72360000000000002</v>
      </c>
      <c r="CB4" s="44">
        <f ca="1">ROUNDUP(IF(IFERROR(IF($BC4="","",IF($BC4=0,1,1-$BC4/HLOOKUP(CB$3,[2]ARBOR_REAJUSTE18!$1:$2,VLOOKUP($BB$2,[2]ARBOR_REAJUSTE18!$A:$B,2,0),0))),"")&lt;0.01%,0.01%,IFERROR(IF($BC4="","",IF($BC4=0,1,1-$BC4/HLOOKUP(CB$3,[2]ARBOR_REAJUSTE18!$1:$2,VLOOKUP($BB$2,[2]ARBOR_REAJUSTE18!$A:$B,2,0),0))),"")),4)</f>
        <v>0.7379</v>
      </c>
      <c r="CC4" s="44">
        <f ca="1">ROUNDUP(IF(IFERROR(IF($BC4="","",IF($BC4=0,1,1-$BC4/HLOOKUP(CC$3,[2]ARBOR_REAJUSTE18!$1:$2,VLOOKUP($BB$2,[2]ARBOR_REAJUSTE18!$A:$B,2,0),0))),"")&lt;0.01%,0.01%,IFERROR(IF($BC4="","",IF($BC4=0,1,1-$BC4/HLOOKUP(CC$3,[2]ARBOR_REAJUSTE18!$1:$2,VLOOKUP($BB$2,[2]ARBOR_REAJUSTE18!$A:$B,2,0),0))),"")),4)</f>
        <v>0.72909999999999997</v>
      </c>
      <c r="CD4" s="44">
        <f ca="1">ROUNDUP(IF(IFERROR(IF($BC4="","",IF($BC4=0,1,1-$BC4/HLOOKUP(CD$3,[2]ARBOR_REAJUSTE18!$1:$2,VLOOKUP($BB$2,[2]ARBOR_REAJUSTE18!$A:$B,2,0),0))),"")&lt;0.01%,0.01%,IFERROR(IF($BC4="","",IF($BC4=0,1,1-$BC4/HLOOKUP(CD$3,[2]ARBOR_REAJUSTE18!$1:$2,VLOOKUP($BB$2,[2]ARBOR_REAJUSTE18!$A:$B,2,0),0))),"")),4)</f>
        <v>0.73270000000000002</v>
      </c>
      <c r="CE4" s="44" t="e">
        <f ca="1">ROUNDUP(IF(IFERROR(IF($BC4="","",IF($BC4=0,1,1-$BC4/HLOOKUP(CE$3,[2]ARBOR_REAJUSTE18!$1:$2,VLOOKUP($BB$2,[2]ARBOR_REAJUSTE18!$A:$B,2,0),0))),"")&lt;0.01%,0.01%,IFERROR(IF($BC4="","",IF($BC4=0,1,1-$BC4/HLOOKUP(CE$3,[2]ARBOR_REAJUSTE18!$1:$2,VLOOKUP($BB$2,[2]ARBOR_REAJUSTE18!$A:$B,2,0),0))),"")),4)</f>
        <v>#VALUE!</v>
      </c>
      <c r="CF4" s="44">
        <f ca="1">ROUNDUP(IF(IFERROR(IF($BC4="","",IF($BC4=0,1,1-$BC4/HLOOKUP(CF$3,[2]ARBOR_REAJUSTE18!$1:$2,VLOOKUP($BB$2,[2]ARBOR_REAJUSTE18!$A:$B,2,0),0))),"")&lt;0.01%,0.01%,IFERROR(IF($BC4="","",IF($BC4=0,1,1-$BC4/HLOOKUP(CF$3,[2]ARBOR_REAJUSTE18!$1:$2,VLOOKUP($BB$2,[2]ARBOR_REAJUSTE18!$A:$B,2,0),0))),"")),4)</f>
        <v>0.73609999999999998</v>
      </c>
      <c r="CG4" s="45">
        <v>5</v>
      </c>
      <c r="CH4" s="46">
        <v>4</v>
      </c>
      <c r="CI4" s="42">
        <f t="shared" si="2"/>
        <v>30</v>
      </c>
      <c r="CJ4" s="42">
        <f t="shared" si="3"/>
        <v>14.57</v>
      </c>
      <c r="CK4" s="43" t="e">
        <f ca="1">VLOOKUP($AV4&amp;CL4&amp;"Template de desconto percentual Bundle - Fixo - Varejo - Ganho Tributário Cross",[2]BENEFICIOS!$A:$G,5,0)</f>
        <v>#N/A</v>
      </c>
      <c r="CL4" s="44">
        <f ca="1">ROUNDUP(IF(IFERROR(IF($CJ4="","",IF($CJ4=0,1,1-$CJ4/HLOOKUP(CL$3,[2]ARBOR_REAJUSTE18!$1:$2,VLOOKUP($BB$2,[2]ARBOR_REAJUSTE18!$A:$B,2,0),0))),"")&lt;0.01%,0.01%,(IFERROR(IF($CJ4="","",IF($CJ4=0,1,1-$CJ4/HLOOKUP(CL$3,[2]ARBOR_REAJUSTE18!$1:$2,VLOOKUP($BB$2,[2]ARBOR_REAJUSTE18!$A:$B,2,0),0))),""))),4)-BF4</f>
        <v>6.9200000000000039E-2</v>
      </c>
      <c r="CM4" s="44">
        <f ca="1">ROUNDUP(IF(IFERROR(IF($CJ4="","",IF($CJ4=0,1,1-$CJ4/HLOOKUP(CM$3,[2]ARBOR_REAJUSTE18!$1:$2,VLOOKUP($BB$2,[2]ARBOR_REAJUSTE18!$A:$B,2,0),0))),"")&lt;0.01%,0.01%,(IFERROR(IF($CJ4="","",IF($CJ4=0,1,1-$CJ4/HLOOKUP(CM$3,[2]ARBOR_REAJUSTE18!$1:$2,VLOOKUP($BB$2,[2]ARBOR_REAJUSTE18!$A:$B,2,0),0))),""))),4)-BG4</f>
        <v>6.8299999999999916E-2</v>
      </c>
      <c r="CN4" s="44">
        <f ca="1">ROUNDUP(IF(IFERROR(IF($CJ4="","",IF($CJ4=0,1,1-$CJ4/HLOOKUP(CN$3,[2]ARBOR_REAJUSTE18!$1:$2,VLOOKUP($BB$2,[2]ARBOR_REAJUSTE18!$A:$B,2,0),0))),"")&lt;0.01%,0.01%,(IFERROR(IF($CJ4="","",IF($CJ4=0,1,1-$CJ4/HLOOKUP(CN$3,[2]ARBOR_REAJUSTE18!$1:$2,VLOOKUP($BB$2,[2]ARBOR_REAJUSTE18!$A:$B,2,0),0))),""))),4)-BH4</f>
        <v>6.8299999999999916E-2</v>
      </c>
      <c r="CO4" s="44">
        <f ca="1">ROUNDUP(IF(IFERROR(IF($CJ4="","",IF($CJ4=0,1,1-$CJ4/HLOOKUP(CO$3,[2]ARBOR_REAJUSTE18!$1:$2,VLOOKUP($BB$2,[2]ARBOR_REAJUSTE18!$A:$B,2,0),0))),"")&lt;0.01%,0.01%,(IFERROR(IF($CJ4="","",IF($CJ4=0,1,1-$CJ4/HLOOKUP(CO$3,[2]ARBOR_REAJUSTE18!$1:$2,VLOOKUP($BB$2,[2]ARBOR_REAJUSTE18!$A:$B,2,0),0))),""))),4)-BI4</f>
        <v>6.8799999999999972E-2</v>
      </c>
      <c r="CP4" s="44">
        <f ca="1">ROUNDUP(IF(IFERROR(IF($CJ4="","",IF($CJ4=0,1,1-$CJ4/HLOOKUP(CP$3,[2]ARBOR_REAJUSTE18!$1:$2,VLOOKUP($BB$2,[2]ARBOR_REAJUSTE18!$A:$B,2,0),0))),"")&lt;0.01%,0.01%,(IFERROR(IF($CJ4="","",IF($CJ4=0,1,1-$CJ4/HLOOKUP(CP$3,[2]ARBOR_REAJUSTE18!$1:$2,VLOOKUP($BB$2,[2]ARBOR_REAJUSTE18!$A:$B,2,0),0))),""))),4)-BJ4</f>
        <v>6.9200000000000039E-2</v>
      </c>
      <c r="CQ4" s="44">
        <f ca="1">ROUNDUP(IF(IFERROR(IF($CJ4="","",IF($CJ4=0,1,1-$CJ4/HLOOKUP(CQ$3,[2]ARBOR_REAJUSTE18!$1:$2,VLOOKUP($BB$2,[2]ARBOR_REAJUSTE18!$A:$B,2,0),0))),"")&lt;0.01%,0.01%,(IFERROR(IF($CJ4="","",IF($CJ4=0,1,1-$CJ4/HLOOKUP(CQ$3,[2]ARBOR_REAJUSTE18!$1:$2,VLOOKUP($BB$2,[2]ARBOR_REAJUSTE18!$A:$B,2,0),0))),""))),4)-BK4</f>
        <v>7.9899999999999971E-2</v>
      </c>
      <c r="CR4" s="44">
        <f ca="1">ROUNDUP(IF(IFERROR(IF($CJ4="","",IF($CJ4=0,1,1-$CJ4/HLOOKUP(CR$3,[2]ARBOR_REAJUSTE18!$1:$2,VLOOKUP($BB$2,[2]ARBOR_REAJUSTE18!$A:$B,2,0),0))),"")&lt;0.01%,0.01%,(IFERROR(IF($CJ4="","",IF($CJ4=0,1,1-$CJ4/HLOOKUP(CR$3,[2]ARBOR_REAJUSTE18!$1:$2,VLOOKUP($BB$2,[2]ARBOR_REAJUSTE18!$A:$B,2,0),0))),""))),4)-BL4</f>
        <v>6.7900000000000071E-2</v>
      </c>
      <c r="CS4" s="44">
        <f ca="1">ROUNDUP(IF(IFERROR(IF($CJ4="","",IF($CJ4=0,1,1-$CJ4/HLOOKUP(CS$3,[2]ARBOR_REAJUSTE18!$1:$2,VLOOKUP($BB$2,[2]ARBOR_REAJUSTE18!$A:$B,2,0),0))),"")&lt;0.01%,0.01%,(IFERROR(IF($CJ4="","",IF($CJ4=0,1,1-$CJ4/HLOOKUP(CS$3,[2]ARBOR_REAJUSTE18!$1:$2,VLOOKUP($BB$2,[2]ARBOR_REAJUSTE18!$A:$B,2,0),0))),""))),4)-BM4</f>
        <v>7.0699999999999985E-2</v>
      </c>
      <c r="CT4" s="44">
        <f ca="1">ROUNDUP(IF(IFERROR(IF($CJ4="","",IF($CJ4=0,1,1-$CJ4/HLOOKUP(CT$3,[2]ARBOR_REAJUSTE18!$1:$2,VLOOKUP($BB$2,[2]ARBOR_REAJUSTE18!$A:$B,2,0),0))),"")&lt;0.01%,0.01%,(IFERROR(IF($CJ4="","",IF($CJ4=0,1,1-$CJ4/HLOOKUP(CT$3,[2]ARBOR_REAJUSTE18!$1:$2,VLOOKUP($BB$2,[2]ARBOR_REAJUSTE18!$A:$B,2,0),0))),""))),4)-BN4</f>
        <v>6.7400000000000015E-2</v>
      </c>
      <c r="CU4" s="44">
        <f ca="1">ROUNDUP(IF(IFERROR(IF($CJ4="","",IF($CJ4=0,1,1-$CJ4/HLOOKUP(CU$3,[2]ARBOR_REAJUSTE18!$1:$2,VLOOKUP($BB$2,[2]ARBOR_REAJUSTE18!$A:$B,2,0),0))),"")&lt;0.01%,0.01%,(IFERROR(IF($CJ4="","",IF($CJ4=0,1,1-$CJ4/HLOOKUP(CU$3,[2]ARBOR_REAJUSTE18!$1:$2,VLOOKUP($BB$2,[2]ARBOR_REAJUSTE18!$A:$B,2,0),0))),""))),4)-BO4</f>
        <v>7.6999999999999957E-2</v>
      </c>
      <c r="CV4" s="44">
        <f ca="1">ROUNDUP(IF(IFERROR(IF($CJ4="","",IF($CJ4=0,1,1-$CJ4/HLOOKUP(CV$3,[2]ARBOR_REAJUSTE18!$1:$2,VLOOKUP($BB$2,[2]ARBOR_REAJUSTE18!$A:$B,2,0),0))),"")&lt;0.01%,0.01%,(IFERROR(IF($CJ4="","",IF($CJ4=0,1,1-$CJ4/HLOOKUP(CV$3,[2]ARBOR_REAJUSTE18!$1:$2,VLOOKUP($BB$2,[2]ARBOR_REAJUSTE18!$A:$B,2,0),0))),""))),4)-BP4</f>
        <v>6.9799999999999973E-2</v>
      </c>
      <c r="CW4" s="44">
        <f ca="1">ROUNDUP(IF(IFERROR(IF($CJ4="","",IF($CJ4=0,1,1-$CJ4/HLOOKUP(CW$3,[2]ARBOR_REAJUSTE18!$1:$2,VLOOKUP($BB$2,[2]ARBOR_REAJUSTE18!$A:$B,2,0),0))),"")&lt;0.01%,0.01%,(IFERROR(IF($CJ4="","",IF($CJ4=0,1,1-$CJ4/HLOOKUP(CW$3,[2]ARBOR_REAJUSTE18!$1:$2,VLOOKUP($BB$2,[2]ARBOR_REAJUSTE18!$A:$B,2,0),0))),""))),4)-BQ4</f>
        <v>6.7400000000000015E-2</v>
      </c>
      <c r="CX4" s="44">
        <f ca="1">ROUNDUP(IF(IFERROR(IF($CJ4="","",IF($CJ4=0,1,1-$CJ4/HLOOKUP(CX$3,[2]ARBOR_REAJUSTE18!$1:$2,VLOOKUP($BB$2,[2]ARBOR_REAJUSTE18!$A:$B,2,0),0))),"")&lt;0.01%,0.01%,(IFERROR(IF($CJ4="","",IF($CJ4=0,1,1-$CJ4/HLOOKUP(CX$3,[2]ARBOR_REAJUSTE18!$1:$2,VLOOKUP($BB$2,[2]ARBOR_REAJUSTE18!$A:$B,2,0),0))),""))),4)-BR4</f>
        <v>6.8399999999999905E-2</v>
      </c>
      <c r="CY4" s="44">
        <f ca="1">ROUNDUP(IF(IFERROR(IF($CJ4="","",IF($CJ4=0,1,1-$CJ4/HLOOKUP(CY$3,[2]ARBOR_REAJUSTE18!$1:$2,VLOOKUP($BB$2,[2]ARBOR_REAJUSTE18!$A:$B,2,0),0))),"")&lt;0.01%,0.01%,(IFERROR(IF($CJ4="","",IF($CJ4=0,1,1-$CJ4/HLOOKUP(CY$3,[2]ARBOR_REAJUSTE18!$1:$2,VLOOKUP($BB$2,[2]ARBOR_REAJUSTE18!$A:$B,2,0),0))),""))),4)-BS4</f>
        <v>6.8299999999999916E-2</v>
      </c>
      <c r="CZ4" s="44">
        <f ca="1">ROUNDUP(IF(IFERROR(IF($CJ4="","",IF($CJ4=0,1,1-$CJ4/HLOOKUP(CZ$3,[2]ARBOR_REAJUSTE18!$1:$2,VLOOKUP($BB$2,[2]ARBOR_REAJUSTE18!$A:$B,2,0),0))),"")&lt;0.01%,0.01%,(IFERROR(IF($CJ4="","",IF($CJ4=0,1,1-$CJ4/HLOOKUP(CZ$3,[2]ARBOR_REAJUSTE18!$1:$2,VLOOKUP($BB$2,[2]ARBOR_REAJUSTE18!$A:$B,2,0),0))),""))),4)-BT4</f>
        <v>7.9899999999999971E-2</v>
      </c>
      <c r="DA4" s="44">
        <f ca="1">ROUNDUP(IF(IFERROR(IF($CJ4="","",IF($CJ4=0,1,1-$CJ4/HLOOKUP(DA$3,[2]ARBOR_REAJUSTE18!$1:$2,VLOOKUP($BB$2,[2]ARBOR_REAJUSTE18!$A:$B,2,0),0))),"")&lt;0.01%,0.01%,(IFERROR(IF($CJ4="","",IF($CJ4=0,1,1-$CJ4/HLOOKUP(DA$3,[2]ARBOR_REAJUSTE18!$1:$2,VLOOKUP($BB$2,[2]ARBOR_REAJUSTE18!$A:$B,2,0),0))),""))),4)-BU4</f>
        <v>6.8299999999999916E-2</v>
      </c>
      <c r="DB4" s="44">
        <f ca="1">ROUNDUP(IF(IFERROR(IF($CJ4="","",IF($CJ4=0,1,1-$CJ4/HLOOKUP(DB$3,[2]ARBOR_REAJUSTE18!$1:$2,VLOOKUP($BB$2,[2]ARBOR_REAJUSTE18!$A:$B,2,0),0))),"")&lt;0.01%,0.01%,(IFERROR(IF($CJ4="","",IF($CJ4=0,1,1-$CJ4/HLOOKUP(DB$3,[2]ARBOR_REAJUSTE18!$1:$2,VLOOKUP($BB$2,[2]ARBOR_REAJUSTE18!$A:$B,2,0),0))),""))),4)-BV4</f>
        <v>7.4100000000000055E-2</v>
      </c>
      <c r="DC4" s="44">
        <f ca="1">ROUNDUP(IF(IFERROR(IF($CJ4="","",IF($CJ4=0,1,1-$CJ4/HLOOKUP(DC$3,[2]ARBOR_REAJUSTE18!$1:$2,VLOOKUP($BB$2,[2]ARBOR_REAJUSTE18!$A:$B,2,0),0))),"")&lt;0.01%,0.01%,(IFERROR(IF($CJ4="","",IF($CJ4=0,1,1-$CJ4/HLOOKUP(DC$3,[2]ARBOR_REAJUSTE18!$1:$2,VLOOKUP($BB$2,[2]ARBOR_REAJUSTE18!$A:$B,2,0),0))),""))),4)-BW4</f>
        <v>6.7400000000000015E-2</v>
      </c>
      <c r="DD4" s="44">
        <f ca="1">ROUNDUP(IF(IFERROR(IF($CJ4="","",IF($CJ4=0,1,1-$CJ4/HLOOKUP(DD$3,[2]ARBOR_REAJUSTE18!$1:$2,VLOOKUP($BB$2,[2]ARBOR_REAJUSTE18!$A:$B,2,0),0))),"")&lt;0.01%,0.01%,(IFERROR(IF($CJ4="","",IF($CJ4=0,1,1-$CJ4/HLOOKUP(DD$3,[2]ARBOR_REAJUSTE18!$1:$2,VLOOKUP($BB$2,[2]ARBOR_REAJUSTE18!$A:$B,2,0),0))),""))),4)-BX4</f>
        <v>6.6100000000000048E-2</v>
      </c>
      <c r="DE4" s="44">
        <f ca="1">ROUNDUP(IF(IFERROR(IF($CJ4="","",IF($CJ4=0,1,1-$CJ4/HLOOKUP(DE$3,[2]ARBOR_REAJUSTE18!$1:$2,VLOOKUP($BB$2,[2]ARBOR_REAJUSTE18!$A:$B,2,0),0))),"")&lt;0.01%,0.01%,(IFERROR(IF($CJ4="","",IF($CJ4=0,1,1-$CJ4/HLOOKUP(DE$3,[2]ARBOR_REAJUSTE18!$1:$2,VLOOKUP($BB$2,[2]ARBOR_REAJUSTE18!$A:$B,2,0),0))),""))),4)-BY4</f>
        <v>6.8299999999999916E-2</v>
      </c>
      <c r="DF4" s="44">
        <f ca="1">ROUNDUP(IF(IFERROR(IF($CJ4="","",IF($CJ4=0,1,1-$CJ4/HLOOKUP(DF$3,[2]ARBOR_REAJUSTE18!$1:$2,VLOOKUP($BB$2,[2]ARBOR_REAJUSTE18!$A:$B,2,0),0))),"")&lt;0.01%,0.01%,(IFERROR(IF($CJ4="","",IF($CJ4=0,1,1-$CJ4/HLOOKUP(DF$3,[2]ARBOR_REAJUSTE18!$1:$2,VLOOKUP($BB$2,[2]ARBOR_REAJUSTE18!$A:$B,2,0),0))),""))),4)-BZ4</f>
        <v>6.6999999999999948E-2</v>
      </c>
      <c r="DG4" s="44">
        <f ca="1">ROUNDUP(IF(IFERROR(IF($CJ4="","",IF($CJ4=0,1,1-$CJ4/HLOOKUP(DG$3,[2]ARBOR_REAJUSTE18!$1:$2,VLOOKUP($BB$2,[2]ARBOR_REAJUSTE18!$A:$B,2,0),0))),"")&lt;0.01%,0.01%,(IFERROR(IF($CJ4="","",IF($CJ4=0,1,1-$CJ4/HLOOKUP(DG$3,[2]ARBOR_REAJUSTE18!$1:$2,VLOOKUP($BB$2,[2]ARBOR_REAJUSTE18!$A:$B,2,0),0))),""))),4)-CA4</f>
        <v>7.0699999999999985E-2</v>
      </c>
      <c r="DH4" s="44">
        <f ca="1">ROUNDUP(IF(IFERROR(IF($CJ4="","",IF($CJ4=0,1,1-$CJ4/HLOOKUP(DH$3,[2]ARBOR_REAJUSTE18!$1:$2,VLOOKUP($BB$2,[2]ARBOR_REAJUSTE18!$A:$B,2,0),0))),"")&lt;0.01%,0.01%,(IFERROR(IF($CJ4="","",IF($CJ4=0,1,1-$CJ4/HLOOKUP(DH$3,[2]ARBOR_REAJUSTE18!$1:$2,VLOOKUP($BB$2,[2]ARBOR_REAJUSTE18!$A:$B,2,0),0))),""))),4)-CB4</f>
        <v>6.6999999999999948E-2</v>
      </c>
      <c r="DI4" s="44">
        <f ca="1">ROUNDUP(IF(IFERROR(IF($CJ4="","",IF($CJ4=0,1,1-$CJ4/HLOOKUP(DI$3,[2]ARBOR_REAJUSTE18!$1:$2,VLOOKUP($BB$2,[2]ARBOR_REAJUSTE18!$A:$B,2,0),0))),"")&lt;0.01%,0.01%,(IFERROR(IF($CJ4="","",IF($CJ4=0,1,1-$CJ4/HLOOKUP(DI$3,[2]ARBOR_REAJUSTE18!$1:$2,VLOOKUP($BB$2,[2]ARBOR_REAJUSTE18!$A:$B,2,0),0))),""))),4)-CC4</f>
        <v>6.9200000000000039E-2</v>
      </c>
      <c r="DJ4" s="44">
        <f ca="1">ROUNDUP(IF(IFERROR(IF($CJ4="","",IF($CJ4=0,1,1-$CJ4/HLOOKUP(DJ$3,[2]ARBOR_REAJUSTE18!$1:$2,VLOOKUP($BB$2,[2]ARBOR_REAJUSTE18!$A:$B,2,0),0))),"")&lt;0.01%,0.01%,(IFERROR(IF($CJ4="","",IF($CJ4=0,1,1-$CJ4/HLOOKUP(DJ$3,[2]ARBOR_REAJUSTE18!$1:$2,VLOOKUP($BB$2,[2]ARBOR_REAJUSTE18!$A:$B,2,0),0))),""))),4)-CD4</f>
        <v>6.8299999999999916E-2</v>
      </c>
      <c r="DK4" s="44" t="e">
        <f ca="1">ROUNDUP(IF(IFERROR(IF($CJ4="","",IF($CJ4=0,1,1-$CJ4/HLOOKUP(DK$3,[2]ARBOR_REAJUSTE18!$1:$2,VLOOKUP($BB$2,[2]ARBOR_REAJUSTE18!$A:$B,2,0),0))),"")&lt;0.01%,0.01%,(IFERROR(IF($CJ4="","",IF($CJ4=0,1,1-$CJ4/HLOOKUP(DK$3,[2]ARBOR_REAJUSTE18!$1:$2,VLOOKUP($BB$2,[2]ARBOR_REAJUSTE18!$A:$B,2,0),0))),""))),4)-CE4</f>
        <v>#VALUE!</v>
      </c>
      <c r="DL4" s="44">
        <f ca="1">ROUNDUP(IF(IFERROR(IF($CJ4="","",IF($CJ4=0,1,1-$CJ4/HLOOKUP(DL$3,[2]ARBOR_REAJUSTE18!$1:$2,VLOOKUP($BB$2,[2]ARBOR_REAJUSTE18!$A:$B,2,0),0))),"")&lt;0.01%,0.01%,(IFERROR(IF($CJ4="","",IF($CJ4=0,1,1-$CJ4/HLOOKUP(DL$3,[2]ARBOR_REAJUSTE18!$1:$2,VLOOKUP($BB$2,[2]ARBOR_REAJUSTE18!$A:$B,2,0),0))),""))),4)-CF4</f>
        <v>6.7400000000000015E-2</v>
      </c>
      <c r="DM4" s="47" t="s">
        <v>293</v>
      </c>
      <c r="DN4" s="48" t="s">
        <v>294</v>
      </c>
      <c r="DO4" s="48" t="s">
        <v>295</v>
      </c>
      <c r="DP4" s="49"/>
      <c r="DQ4" s="50"/>
      <c r="DR4" s="51"/>
      <c r="DS4" s="51"/>
      <c r="DT4" s="50"/>
      <c r="DU4" s="52"/>
      <c r="DV4" s="52"/>
      <c r="DW4" s="52"/>
      <c r="DX4" s="52"/>
      <c r="DY4" s="52"/>
      <c r="DZ4" s="53"/>
      <c r="EA4" s="54"/>
      <c r="EB4" s="37" t="str">
        <f t="shared" si="4"/>
        <v/>
      </c>
      <c r="EC4" s="39"/>
      <c r="ED4" s="40"/>
      <c r="EE4" s="55"/>
      <c r="EF4" s="56"/>
      <c r="EG4" s="43"/>
      <c r="EH4" s="44"/>
      <c r="EI4" s="44"/>
      <c r="EJ4" s="44"/>
      <c r="EK4" s="44"/>
      <c r="EL4" s="44"/>
      <c r="EM4" s="44"/>
      <c r="EN4" s="44"/>
      <c r="EO4" s="44"/>
      <c r="EP4" s="44"/>
      <c r="EQ4" s="44"/>
      <c r="ER4" s="44"/>
      <c r="ES4" s="44"/>
      <c r="ET4" s="44"/>
      <c r="EU4" s="44"/>
      <c r="EV4" s="44"/>
      <c r="EW4" s="44"/>
      <c r="EX4" s="44"/>
      <c r="EY4" s="44"/>
      <c r="EZ4" s="44"/>
      <c r="FA4" s="44"/>
      <c r="FB4" s="44"/>
      <c r="FC4" s="44"/>
      <c r="FD4" s="44"/>
      <c r="FE4" s="44"/>
      <c r="FF4" s="44"/>
      <c r="FG4" s="44"/>
      <c r="FH4" s="44"/>
      <c r="FI4" s="55"/>
      <c r="FJ4" s="57"/>
      <c r="FK4" s="43"/>
      <c r="FL4" s="44"/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44"/>
      <c r="GD4" s="44"/>
      <c r="GE4" s="44"/>
      <c r="GF4" s="44"/>
      <c r="GG4" s="44"/>
      <c r="GH4" s="44"/>
      <c r="GI4" s="44"/>
      <c r="GJ4" s="44"/>
      <c r="GK4" s="44"/>
      <c r="GL4" s="44"/>
      <c r="GM4" s="55"/>
      <c r="GN4" s="57"/>
      <c r="GO4" s="43"/>
      <c r="GP4" s="44"/>
      <c r="GQ4" s="44"/>
      <c r="GR4" s="44"/>
      <c r="GS4" s="44"/>
      <c r="GT4" s="44"/>
      <c r="GU4" s="44"/>
      <c r="GV4" s="44"/>
      <c r="GW4" s="44"/>
      <c r="GX4" s="44"/>
      <c r="GY4" s="44"/>
      <c r="GZ4" s="44"/>
      <c r="HA4" s="44"/>
      <c r="HB4" s="44"/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55"/>
      <c r="HR4" s="57"/>
      <c r="HS4" s="43"/>
      <c r="HT4" s="44"/>
      <c r="HU4" s="44"/>
      <c r="HV4" s="44"/>
      <c r="HW4" s="44"/>
      <c r="HX4" s="44"/>
      <c r="HY4" s="44"/>
      <c r="HZ4" s="44"/>
      <c r="IA4" s="44"/>
      <c r="IB4" s="44"/>
      <c r="IC4" s="44"/>
      <c r="ID4" s="44"/>
      <c r="IE4" s="44"/>
      <c r="IF4" s="44"/>
      <c r="IG4" s="44"/>
      <c r="IH4" s="44"/>
      <c r="II4" s="44"/>
      <c r="IJ4" s="44"/>
      <c r="IK4" s="44"/>
      <c r="IL4" s="44"/>
      <c r="IM4" s="44"/>
      <c r="IN4" s="44"/>
      <c r="IO4" s="44"/>
      <c r="IP4" s="44"/>
      <c r="IQ4" s="44"/>
      <c r="IR4" s="44"/>
      <c r="IS4" s="44"/>
      <c r="IT4" s="44"/>
      <c r="IU4" s="55"/>
      <c r="IV4" s="58"/>
      <c r="IW4" s="43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44"/>
      <c r="JJ4" s="44"/>
      <c r="JK4" s="44"/>
      <c r="JL4" s="44"/>
      <c r="JM4" s="44"/>
      <c r="JN4" s="44"/>
      <c r="JO4" s="44"/>
      <c r="JP4" s="44"/>
      <c r="JQ4" s="44"/>
      <c r="JR4" s="44"/>
      <c r="JS4" s="44"/>
      <c r="JT4" s="44"/>
      <c r="JU4" s="44"/>
      <c r="JV4" s="44"/>
      <c r="JW4" s="44"/>
      <c r="JX4" s="44"/>
      <c r="JY4" s="55"/>
      <c r="JZ4" s="58"/>
      <c r="KA4" s="43"/>
      <c r="KB4" s="44"/>
      <c r="KC4" s="44"/>
      <c r="KD4" s="44"/>
      <c r="KE4" s="44"/>
      <c r="KF4" s="44"/>
      <c r="KG4" s="44"/>
      <c r="KH4" s="44"/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44"/>
      <c r="KZ4" s="44"/>
      <c r="LA4" s="44"/>
      <c r="LB4" s="44"/>
      <c r="LC4" s="55"/>
      <c r="LD4" s="58"/>
      <c r="LE4" s="43"/>
      <c r="LF4" s="44"/>
      <c r="LG4" s="44"/>
      <c r="LH4" s="44"/>
      <c r="LI4" s="44"/>
      <c r="LJ4" s="44"/>
      <c r="LK4" s="44"/>
      <c r="LL4" s="44"/>
      <c r="LM4" s="44"/>
      <c r="LN4" s="44"/>
      <c r="LO4" s="44"/>
      <c r="LP4" s="44"/>
      <c r="LQ4" s="44"/>
      <c r="LR4" s="44"/>
      <c r="LS4" s="44"/>
      <c r="LT4" s="44"/>
      <c r="LU4" s="44"/>
      <c r="LV4" s="44"/>
      <c r="LW4" s="44"/>
      <c r="LX4" s="44"/>
      <c r="LY4" s="44"/>
      <c r="LZ4" s="44"/>
      <c r="MA4" s="44"/>
      <c r="MB4" s="44"/>
      <c r="MC4" s="44"/>
      <c r="MD4" s="44"/>
      <c r="ME4" s="44"/>
      <c r="MF4" s="44"/>
      <c r="MG4" s="55"/>
      <c r="MH4" s="56"/>
      <c r="MI4" s="43"/>
      <c r="MJ4" s="44"/>
      <c r="MK4" s="44"/>
      <c r="ML4" s="44"/>
      <c r="MM4" s="44"/>
      <c r="MN4" s="44"/>
      <c r="MO4" s="44"/>
      <c r="MP4" s="44"/>
      <c r="MQ4" s="44"/>
      <c r="MR4" s="44"/>
      <c r="MS4" s="44"/>
      <c r="MT4" s="44"/>
      <c r="MU4" s="44"/>
      <c r="MV4" s="44"/>
      <c r="MW4" s="44"/>
      <c r="MX4" s="44"/>
      <c r="MY4" s="44"/>
      <c r="MZ4" s="44"/>
      <c r="NA4" s="44"/>
      <c r="NB4" s="44"/>
      <c r="NC4" s="44"/>
      <c r="ND4" s="44"/>
      <c r="NE4" s="44"/>
      <c r="NF4" s="44"/>
      <c r="NG4" s="44"/>
      <c r="NH4" s="44"/>
      <c r="NI4" s="44"/>
      <c r="NJ4" s="44"/>
      <c r="NK4" s="56"/>
      <c r="NL4" s="51"/>
      <c r="NM4" s="59"/>
      <c r="NN4" s="43"/>
      <c r="NO4" s="44"/>
      <c r="NP4" s="44"/>
      <c r="NQ4" s="44"/>
      <c r="NR4" s="44"/>
      <c r="NS4" s="44"/>
      <c r="NT4" s="44"/>
      <c r="NU4" s="44"/>
      <c r="NV4" s="44"/>
      <c r="NW4" s="44"/>
      <c r="NX4" s="44"/>
      <c r="NY4" s="44"/>
      <c r="NZ4" s="44"/>
      <c r="OA4" s="44"/>
      <c r="OB4" s="44"/>
      <c r="OC4" s="44"/>
      <c r="OD4" s="44"/>
      <c r="OE4" s="44"/>
      <c r="OF4" s="44"/>
      <c r="OG4" s="44"/>
      <c r="OH4" s="44"/>
      <c r="OI4" s="44"/>
      <c r="OJ4" s="44"/>
      <c r="OK4" s="44"/>
      <c r="OL4" s="44"/>
      <c r="OM4" s="44"/>
      <c r="ON4" s="44"/>
      <c r="OO4" s="44"/>
      <c r="OP4" s="55"/>
      <c r="OQ4" s="57"/>
      <c r="OR4" s="43"/>
      <c r="OS4" s="44"/>
      <c r="OT4" s="44"/>
      <c r="OU4" s="44"/>
      <c r="OV4" s="44"/>
      <c r="OW4" s="44"/>
      <c r="OX4" s="44"/>
      <c r="OY4" s="44"/>
      <c r="OZ4" s="44"/>
      <c r="PA4" s="44"/>
      <c r="PB4" s="44"/>
      <c r="PC4" s="44"/>
      <c r="PD4" s="44"/>
      <c r="PE4" s="44"/>
      <c r="PF4" s="44"/>
      <c r="PG4" s="44"/>
      <c r="PH4" s="44"/>
      <c r="PI4" s="44"/>
      <c r="PJ4" s="44"/>
      <c r="PK4" s="44"/>
      <c r="PL4" s="44"/>
      <c r="PM4" s="44"/>
      <c r="PN4" s="44"/>
      <c r="PO4" s="44"/>
      <c r="PP4" s="44"/>
      <c r="PQ4" s="44"/>
      <c r="PR4" s="44"/>
      <c r="PS4" s="44"/>
      <c r="PT4" s="57"/>
      <c r="PU4" s="60"/>
      <c r="PV4" s="59"/>
      <c r="PW4" s="43"/>
      <c r="PX4" s="44"/>
      <c r="PY4" s="44"/>
      <c r="PZ4" s="44"/>
      <c r="QA4" s="44"/>
      <c r="QB4" s="44"/>
      <c r="QC4" s="44"/>
      <c r="QD4" s="44"/>
      <c r="QE4" s="44"/>
      <c r="QF4" s="44"/>
      <c r="QG4" s="44"/>
      <c r="QH4" s="44"/>
      <c r="QI4" s="44"/>
      <c r="QJ4" s="44"/>
      <c r="QK4" s="44"/>
      <c r="QL4" s="44"/>
      <c r="QM4" s="44"/>
      <c r="QN4" s="44"/>
      <c r="QO4" s="44"/>
      <c r="QP4" s="44"/>
      <c r="QQ4" s="44"/>
      <c r="QR4" s="44"/>
      <c r="QS4" s="44"/>
      <c r="QT4" s="44"/>
      <c r="QU4" s="44"/>
      <c r="QV4" s="44"/>
      <c r="QW4" s="44"/>
      <c r="QX4" s="44"/>
      <c r="QY4" s="55"/>
      <c r="QZ4" s="56"/>
      <c r="RA4" s="43"/>
      <c r="RB4" s="44"/>
      <c r="RC4" s="44"/>
      <c r="RD4" s="44"/>
      <c r="RE4" s="44"/>
      <c r="RF4" s="44"/>
      <c r="RG4" s="44"/>
      <c r="RH4" s="44"/>
      <c r="RI4" s="44"/>
      <c r="RJ4" s="44"/>
      <c r="RK4" s="44"/>
      <c r="RL4" s="44"/>
      <c r="RM4" s="44"/>
      <c r="RN4" s="44"/>
      <c r="RO4" s="44"/>
      <c r="RP4" s="44"/>
      <c r="RQ4" s="44"/>
      <c r="RR4" s="44"/>
      <c r="RS4" s="44"/>
      <c r="RT4" s="44"/>
      <c r="RU4" s="44"/>
      <c r="RV4" s="44"/>
      <c r="RW4" s="44"/>
      <c r="RX4" s="44"/>
      <c r="RY4" s="44"/>
      <c r="RZ4" s="44"/>
      <c r="SA4" s="44"/>
      <c r="SB4" s="44"/>
      <c r="SC4" s="56"/>
      <c r="SD4" s="61"/>
      <c r="SE4" s="59"/>
      <c r="SF4" s="43"/>
      <c r="SG4" s="44"/>
      <c r="SH4" s="44"/>
      <c r="SI4" s="44"/>
      <c r="SJ4" s="44"/>
      <c r="SK4" s="44"/>
      <c r="SL4" s="44"/>
      <c r="SM4" s="44"/>
      <c r="SN4" s="44"/>
      <c r="SO4" s="44"/>
      <c r="SP4" s="44"/>
      <c r="SQ4" s="44"/>
      <c r="SR4" s="44"/>
      <c r="SS4" s="44"/>
      <c r="ST4" s="44"/>
      <c r="SU4" s="44"/>
      <c r="SV4" s="44"/>
      <c r="SW4" s="44"/>
      <c r="SX4" s="44"/>
      <c r="SY4" s="44"/>
      <c r="SZ4" s="44"/>
      <c r="TA4" s="44"/>
      <c r="TB4" s="44"/>
      <c r="TC4" s="44"/>
      <c r="TD4" s="44"/>
      <c r="TE4" s="44"/>
      <c r="TF4" s="44"/>
      <c r="TG4" s="44"/>
      <c r="TH4" s="55"/>
      <c r="TI4" s="58"/>
      <c r="TJ4" s="43"/>
      <c r="TK4" s="44"/>
      <c r="TL4" s="44"/>
      <c r="TM4" s="44"/>
      <c r="TN4" s="44"/>
      <c r="TO4" s="44"/>
      <c r="TP4" s="44"/>
      <c r="TQ4" s="44"/>
      <c r="TR4" s="44"/>
      <c r="TS4" s="44"/>
      <c r="TT4" s="44"/>
      <c r="TU4" s="44"/>
      <c r="TV4" s="44"/>
      <c r="TW4" s="44"/>
      <c r="TX4" s="44"/>
      <c r="TY4" s="44"/>
      <c r="TZ4" s="44"/>
      <c r="UA4" s="44"/>
      <c r="UB4" s="44"/>
      <c r="UC4" s="44"/>
      <c r="UD4" s="44"/>
      <c r="UE4" s="44"/>
      <c r="UF4" s="44"/>
      <c r="UG4" s="44"/>
      <c r="UH4" s="44"/>
      <c r="UI4" s="44"/>
      <c r="UJ4" s="44"/>
      <c r="UK4" s="44"/>
      <c r="UL4" s="57"/>
      <c r="UM4" s="61"/>
      <c r="UN4" s="59"/>
      <c r="UO4" s="43"/>
      <c r="UP4" s="44"/>
      <c r="UQ4" s="44"/>
      <c r="UR4" s="44"/>
      <c r="US4" s="44"/>
      <c r="UT4" s="44"/>
      <c r="UU4" s="44"/>
      <c r="UV4" s="44"/>
      <c r="UW4" s="44"/>
      <c r="UX4" s="44"/>
      <c r="UY4" s="44"/>
      <c r="UZ4" s="44"/>
      <c r="VA4" s="44"/>
      <c r="VB4" s="44"/>
      <c r="VC4" s="44"/>
      <c r="VD4" s="44"/>
      <c r="VE4" s="44"/>
      <c r="VF4" s="44"/>
      <c r="VG4" s="44"/>
      <c r="VH4" s="44"/>
      <c r="VI4" s="44"/>
      <c r="VJ4" s="44"/>
      <c r="VK4" s="44"/>
      <c r="VL4" s="44"/>
      <c r="VM4" s="44"/>
      <c r="VN4" s="44"/>
      <c r="VO4" s="44"/>
      <c r="VP4" s="44"/>
      <c r="VQ4" s="55"/>
      <c r="VR4" s="58"/>
      <c r="VS4" s="43"/>
      <c r="VT4" s="44"/>
      <c r="VU4" s="44"/>
      <c r="VV4" s="44"/>
      <c r="VW4" s="44"/>
      <c r="VX4" s="44"/>
      <c r="VY4" s="44"/>
      <c r="VZ4" s="44"/>
      <c r="WA4" s="44"/>
      <c r="WB4" s="44"/>
      <c r="WC4" s="44"/>
      <c r="WD4" s="44"/>
      <c r="WE4" s="44"/>
      <c r="WF4" s="44"/>
      <c r="WG4" s="44"/>
      <c r="WH4" s="44"/>
      <c r="WI4" s="44"/>
      <c r="WJ4" s="44"/>
      <c r="WK4" s="44"/>
      <c r="WL4" s="44"/>
      <c r="WM4" s="44"/>
      <c r="WN4" s="44"/>
      <c r="WO4" s="44"/>
      <c r="WP4" s="44"/>
      <c r="WQ4" s="44"/>
      <c r="WR4" s="44"/>
      <c r="WS4" s="44"/>
      <c r="WT4" s="44"/>
      <c r="WU4" s="57"/>
      <c r="WV4" s="61"/>
      <c r="WW4" s="59"/>
      <c r="WX4" s="43"/>
      <c r="WY4" s="44"/>
      <c r="WZ4" s="44"/>
      <c r="XA4" s="44"/>
      <c r="XB4" s="44"/>
      <c r="XC4" s="44"/>
      <c r="XD4" s="44"/>
      <c r="XE4" s="44"/>
      <c r="XF4" s="44"/>
      <c r="XG4" s="44"/>
      <c r="XH4" s="44"/>
      <c r="XI4" s="44"/>
      <c r="XJ4" s="44"/>
      <c r="XK4" s="44"/>
      <c r="XL4" s="44"/>
      <c r="XM4" s="44"/>
      <c r="XN4" s="44"/>
      <c r="XO4" s="44"/>
      <c r="XP4" s="44"/>
      <c r="XQ4" s="44"/>
      <c r="XR4" s="44"/>
      <c r="XS4" s="44"/>
      <c r="XT4" s="44"/>
      <c r="XU4" s="44"/>
      <c r="XV4" s="44"/>
      <c r="XW4" s="44"/>
      <c r="XX4" s="44"/>
      <c r="XY4" s="44"/>
      <c r="XZ4" s="55"/>
      <c r="YA4" s="58"/>
      <c r="YB4" s="43"/>
      <c r="YC4" s="44"/>
      <c r="YD4" s="44"/>
      <c r="YE4" s="44"/>
      <c r="YF4" s="44"/>
      <c r="YG4" s="44"/>
      <c r="YH4" s="44"/>
      <c r="YI4" s="44"/>
      <c r="YJ4" s="44"/>
      <c r="YK4" s="44"/>
      <c r="YL4" s="44"/>
      <c r="YM4" s="44"/>
      <c r="YN4" s="44"/>
      <c r="YO4" s="44"/>
      <c r="YP4" s="44"/>
      <c r="YQ4" s="44"/>
      <c r="YR4" s="44"/>
      <c r="YS4" s="44"/>
      <c r="YT4" s="44"/>
      <c r="YU4" s="44"/>
      <c r="YV4" s="44"/>
      <c r="YW4" s="44"/>
      <c r="YX4" s="44"/>
      <c r="YY4" s="44"/>
      <c r="YZ4" s="44"/>
      <c r="ZA4" s="44"/>
      <c r="ZB4" s="44"/>
      <c r="ZC4" s="44"/>
      <c r="ZD4" s="57"/>
      <c r="ZE4" s="61"/>
      <c r="ZF4" s="59"/>
      <c r="ZG4" s="43"/>
      <c r="ZH4" s="44"/>
      <c r="ZI4" s="44"/>
      <c r="ZJ4" s="44"/>
      <c r="ZK4" s="44"/>
      <c r="ZL4" s="44"/>
      <c r="ZM4" s="44"/>
      <c r="ZN4" s="44"/>
      <c r="ZO4" s="44"/>
      <c r="ZP4" s="44"/>
      <c r="ZQ4" s="44"/>
      <c r="ZR4" s="44"/>
      <c r="ZS4" s="44"/>
      <c r="ZT4" s="44"/>
      <c r="ZU4" s="44"/>
      <c r="ZV4" s="44"/>
      <c r="ZW4" s="44"/>
      <c r="ZX4" s="44"/>
      <c r="ZY4" s="44"/>
      <c r="ZZ4" s="44"/>
      <c r="AAA4" s="44"/>
      <c r="AAB4" s="44"/>
      <c r="AAC4" s="44"/>
      <c r="AAD4" s="44"/>
      <c r="AAE4" s="44"/>
      <c r="AAF4" s="44"/>
      <c r="AAG4" s="44"/>
      <c r="AAH4" s="44"/>
      <c r="AAI4" s="55"/>
      <c r="AAJ4" s="58"/>
      <c r="AAK4" s="43"/>
      <c r="AAL4" s="44"/>
      <c r="AAM4" s="44"/>
      <c r="AAN4" s="44"/>
      <c r="AAO4" s="44"/>
      <c r="AAP4" s="44"/>
      <c r="AAQ4" s="44"/>
      <c r="AAR4" s="44"/>
      <c r="AAS4" s="44"/>
      <c r="AAT4" s="44"/>
      <c r="AAU4" s="44"/>
      <c r="AAV4" s="44"/>
      <c r="AAW4" s="44"/>
      <c r="AAX4" s="44"/>
      <c r="AAY4" s="44"/>
      <c r="AAZ4" s="44"/>
      <c r="ABA4" s="44"/>
      <c r="ABB4" s="44"/>
      <c r="ABC4" s="44"/>
      <c r="ABD4" s="44"/>
      <c r="ABE4" s="44"/>
      <c r="ABF4" s="44"/>
      <c r="ABG4" s="44"/>
      <c r="ABH4" s="44"/>
      <c r="ABI4" s="44"/>
      <c r="ABJ4" s="44"/>
      <c r="ABK4" s="44"/>
      <c r="ABL4" s="44"/>
      <c r="ABM4" s="57"/>
      <c r="ABN4" s="61"/>
      <c r="ABO4" s="59"/>
      <c r="ABP4" s="43"/>
      <c r="ABQ4" s="44"/>
      <c r="ABR4" s="44"/>
      <c r="ABS4" s="44"/>
      <c r="ABT4" s="44"/>
      <c r="ABU4" s="44"/>
      <c r="ABV4" s="44"/>
      <c r="ABW4" s="44"/>
      <c r="ABX4" s="44"/>
      <c r="ABY4" s="44"/>
      <c r="ABZ4" s="44"/>
      <c r="ACA4" s="44"/>
      <c r="ACB4" s="44"/>
      <c r="ACC4" s="44"/>
      <c r="ACD4" s="44"/>
      <c r="ACE4" s="44"/>
      <c r="ACF4" s="44"/>
      <c r="ACG4" s="44"/>
      <c r="ACH4" s="44"/>
      <c r="ACI4" s="44"/>
      <c r="ACJ4" s="44"/>
      <c r="ACK4" s="44"/>
      <c r="ACL4" s="44"/>
      <c r="ACM4" s="44"/>
      <c r="ACN4" s="44"/>
      <c r="ACO4" s="44"/>
      <c r="ACP4" s="44"/>
      <c r="ACQ4" s="44"/>
      <c r="ACR4" s="58"/>
      <c r="ACS4" s="43"/>
      <c r="ACT4" s="44" t="e">
        <f>ROUNDUP(IF(IFERROR(IF($ACR4="","",IF($ACR4=0,1,1-$ACR4/HLOOKUP(ACT$3,[2]ARBOR_REAJUSTE18!$A:$AE,VLOOKUP($ACR$2,[2]ARBOR_REAJUSTE18!$A:$B,2,0),0))),"")&lt;0.01%,0.01%,(IFERROR(IF($ACR4="","",IF($ACR4=0,1,1-$ACR4/HLOOKUP(ACT$3,[2]ARBOR_REAJUSTE18!$A:$AE,VLOOKUP($ACR$2,[2]ARBOR_REAJUSTE18!$A:$B,2,0),0))),""))),4)</f>
        <v>#VALUE!</v>
      </c>
      <c r="ACU4" s="44" t="e">
        <f>ROUNDUP(IF(IFERROR(IF($ACR4="","",IF($ACR4=0,1,1-$ACR4/HLOOKUP(ACU$3,[2]ARBOR_REAJUSTE18!$A:$AE,VLOOKUP($ACR$2,[2]ARBOR_REAJUSTE18!$A:$B,2,0),0))),"")&lt;0.01%,0.01%,(IFERROR(IF($ACR4="","",IF($ACR4=0,1,1-$ACR4/HLOOKUP(ACU$3,[2]ARBOR_REAJUSTE18!$A:$AE,VLOOKUP($ACR$2,[2]ARBOR_REAJUSTE18!$A:$B,2,0),0))),""))),4)</f>
        <v>#VALUE!</v>
      </c>
      <c r="ACV4" s="44" t="e">
        <f>ROUNDUP(IF(IFERROR(IF($ACR4="","",IF($ACR4=0,1,1-$ACR4/HLOOKUP(ACV$3,[2]ARBOR_REAJUSTE18!$A:$AE,VLOOKUP($ACR$2,[2]ARBOR_REAJUSTE18!$A:$B,2,0),0))),"")&lt;0.01%,0.01%,(IFERROR(IF($ACR4="","",IF($ACR4=0,1,1-$ACR4/HLOOKUP(ACV$3,[2]ARBOR_REAJUSTE18!$A:$AE,VLOOKUP($ACR$2,[2]ARBOR_REAJUSTE18!$A:$B,2,0),0))),""))),4)</f>
        <v>#VALUE!</v>
      </c>
      <c r="ACW4" s="44" t="e">
        <f>ROUNDUP(IF(IFERROR(IF($ACR4="","",IF($ACR4=0,1,1-$ACR4/HLOOKUP(ACW$3,[2]ARBOR_REAJUSTE18!$A:$AE,VLOOKUP($ACR$2,[2]ARBOR_REAJUSTE18!$A:$B,2,0),0))),"")&lt;0.01%,0.01%,(IFERROR(IF($ACR4="","",IF($ACR4=0,1,1-$ACR4/HLOOKUP(ACW$3,[2]ARBOR_REAJUSTE18!$A:$AE,VLOOKUP($ACR$2,[2]ARBOR_REAJUSTE18!$A:$B,2,0),0))),""))),4)</f>
        <v>#VALUE!</v>
      </c>
      <c r="ACX4" s="44" t="e">
        <f>ROUNDUP(IF(IFERROR(IF($ACR4="","",IF($ACR4=0,1,1-$ACR4/HLOOKUP(ACX$3,[2]ARBOR_REAJUSTE18!$A:$AE,VLOOKUP($ACR$2,[2]ARBOR_REAJUSTE18!$A:$B,2,0),0))),"")&lt;0.01%,0.01%,(IFERROR(IF($ACR4="","",IF($ACR4=0,1,1-$ACR4/HLOOKUP(ACX$3,[2]ARBOR_REAJUSTE18!$A:$AE,VLOOKUP($ACR$2,[2]ARBOR_REAJUSTE18!$A:$B,2,0),0))),""))),4)</f>
        <v>#VALUE!</v>
      </c>
      <c r="ACY4" s="44" t="e">
        <f>ROUNDUP(IF(IFERROR(IF($ACR4="","",IF($ACR4=0,1,1-$ACR4/HLOOKUP(ACY$3,[2]ARBOR_REAJUSTE18!$A:$AE,VLOOKUP($ACR$2,[2]ARBOR_REAJUSTE18!$A:$B,2,0),0))),"")&lt;0.01%,0.01%,(IFERROR(IF($ACR4="","",IF($ACR4=0,1,1-$ACR4/HLOOKUP(ACY$3,[2]ARBOR_REAJUSTE18!$A:$AE,VLOOKUP($ACR$2,[2]ARBOR_REAJUSTE18!$A:$B,2,0),0))),""))),4)</f>
        <v>#VALUE!</v>
      </c>
      <c r="ACZ4" s="44" t="e">
        <f>ROUNDUP(IF(IFERROR(IF($ACR4="","",IF($ACR4=0,1,1-$ACR4/HLOOKUP(ACZ$3,[2]ARBOR_REAJUSTE18!$A:$AE,VLOOKUP($ACR$2,[2]ARBOR_REAJUSTE18!$A:$B,2,0),0))),"")&lt;0.01%,0.01%,(IFERROR(IF($ACR4="","",IF($ACR4=0,1,1-$ACR4/HLOOKUP(ACZ$3,[2]ARBOR_REAJUSTE18!$A:$AE,VLOOKUP($ACR$2,[2]ARBOR_REAJUSTE18!$A:$B,2,0),0))),""))),4)</f>
        <v>#VALUE!</v>
      </c>
      <c r="ADA4" s="44" t="e">
        <f>ROUNDUP(IF(IFERROR(IF($ACR4="","",IF($ACR4=0,1,1-$ACR4/HLOOKUP(ADA$3,[2]ARBOR_REAJUSTE18!$A:$AE,VLOOKUP($ACR$2,[2]ARBOR_REAJUSTE18!$A:$B,2,0),0))),"")&lt;0.01%,0.01%,(IFERROR(IF($ACR4="","",IF($ACR4=0,1,1-$ACR4/HLOOKUP(ADA$3,[2]ARBOR_REAJUSTE18!$A:$AE,VLOOKUP($ACR$2,[2]ARBOR_REAJUSTE18!$A:$B,2,0),0))),""))),4)</f>
        <v>#VALUE!</v>
      </c>
      <c r="ADB4" s="44" t="e">
        <f>ROUNDUP(IF(IFERROR(IF($ACR4="","",IF($ACR4=0,1,1-$ACR4/HLOOKUP(ADB$3,[2]ARBOR_REAJUSTE18!$A:$AE,VLOOKUP($ACR$2,[2]ARBOR_REAJUSTE18!$A:$B,2,0),0))),"")&lt;0.01%,0.01%,(IFERROR(IF($ACR4="","",IF($ACR4=0,1,1-$ACR4/HLOOKUP(ADB$3,[2]ARBOR_REAJUSTE18!$A:$AE,VLOOKUP($ACR$2,[2]ARBOR_REAJUSTE18!$A:$B,2,0),0))),""))),4)</f>
        <v>#VALUE!</v>
      </c>
      <c r="ADC4" s="44" t="e">
        <f>ROUNDUP(IF(IFERROR(IF($ACR4="","",IF($ACR4=0,1,1-$ACR4/HLOOKUP(ADC$3,[2]ARBOR_REAJUSTE18!$A:$AE,VLOOKUP($ACR$2,[2]ARBOR_REAJUSTE18!$A:$B,2,0),0))),"")&lt;0.01%,0.01%,(IFERROR(IF($ACR4="","",IF($ACR4=0,1,1-$ACR4/HLOOKUP(ADC$3,[2]ARBOR_REAJUSTE18!$A:$AE,VLOOKUP($ACR$2,[2]ARBOR_REAJUSTE18!$A:$B,2,0),0))),""))),4)</f>
        <v>#VALUE!</v>
      </c>
      <c r="ADD4" s="44" t="e">
        <f>ROUNDUP(IF(IFERROR(IF($ACR4="","",IF($ACR4=0,1,1-$ACR4/HLOOKUP(ADD$3,[2]ARBOR_REAJUSTE18!$A:$AE,VLOOKUP($ACR$2,[2]ARBOR_REAJUSTE18!$A:$B,2,0),0))),"")&lt;0.01%,0.01%,(IFERROR(IF($ACR4="","",IF($ACR4=0,1,1-$ACR4/HLOOKUP(ADD$3,[2]ARBOR_REAJUSTE18!$A:$AE,VLOOKUP($ACR$2,[2]ARBOR_REAJUSTE18!$A:$B,2,0),0))),""))),4)</f>
        <v>#VALUE!</v>
      </c>
      <c r="ADE4" s="44" t="e">
        <f>ROUNDUP(IF(IFERROR(IF($ACR4="","",IF($ACR4=0,1,1-$ACR4/HLOOKUP(ADE$3,[2]ARBOR_REAJUSTE18!$A:$AE,VLOOKUP($ACR$2,[2]ARBOR_REAJUSTE18!$A:$B,2,0),0))),"")&lt;0.01%,0.01%,(IFERROR(IF($ACR4="","",IF($ACR4=0,1,1-$ACR4/HLOOKUP(ADE$3,[2]ARBOR_REAJUSTE18!$A:$AE,VLOOKUP($ACR$2,[2]ARBOR_REAJUSTE18!$A:$B,2,0),0))),""))),4)</f>
        <v>#VALUE!</v>
      </c>
      <c r="ADF4" s="44" t="e">
        <f>ROUNDUP(IF(IFERROR(IF($ACR4="","",IF($ACR4=0,1,1-$ACR4/HLOOKUP(ADF$3,[2]ARBOR_REAJUSTE18!$A:$AE,VLOOKUP($ACR$2,[2]ARBOR_REAJUSTE18!$A:$B,2,0),0))),"")&lt;0.01%,0.01%,(IFERROR(IF($ACR4="","",IF($ACR4=0,1,1-$ACR4/HLOOKUP(ADF$3,[2]ARBOR_REAJUSTE18!$A:$AE,VLOOKUP($ACR$2,[2]ARBOR_REAJUSTE18!$A:$B,2,0),0))),""))),4)</f>
        <v>#VALUE!</v>
      </c>
      <c r="ADG4" s="44" t="e">
        <f>ROUNDUP(IF(IFERROR(IF($ACR4="","",IF($ACR4=0,1,1-$ACR4/HLOOKUP(ADG$3,[2]ARBOR_REAJUSTE18!$A:$AE,VLOOKUP($ACR$2,[2]ARBOR_REAJUSTE18!$A:$B,2,0),0))),"")&lt;0.01%,0.01%,(IFERROR(IF($ACR4="","",IF($ACR4=0,1,1-$ACR4/HLOOKUP(ADG$3,[2]ARBOR_REAJUSTE18!$A:$AE,VLOOKUP($ACR$2,[2]ARBOR_REAJUSTE18!$A:$B,2,0),0))),""))),4)</f>
        <v>#VALUE!</v>
      </c>
      <c r="ADH4" s="44" t="e">
        <f>ROUNDUP(IF(IFERROR(IF($ACR4="","",IF($ACR4=0,1,1-$ACR4/HLOOKUP(ADH$3,[2]ARBOR_REAJUSTE18!$A:$AE,VLOOKUP($ACR$2,[2]ARBOR_REAJUSTE18!$A:$B,2,0),0))),"")&lt;0.01%,0.01%,(IFERROR(IF($ACR4="","",IF($ACR4=0,1,1-$ACR4/HLOOKUP(ADH$3,[2]ARBOR_REAJUSTE18!$A:$AE,VLOOKUP($ACR$2,[2]ARBOR_REAJUSTE18!$A:$B,2,0),0))),""))),4)</f>
        <v>#VALUE!</v>
      </c>
      <c r="ADI4" s="44" t="e">
        <f>ROUNDUP(IF(IFERROR(IF($ACR4="","",IF($ACR4=0,1,1-$ACR4/HLOOKUP(ADI$3,[2]ARBOR_REAJUSTE18!$A:$AE,VLOOKUP($ACR$2,[2]ARBOR_REAJUSTE18!$A:$B,2,0),0))),"")&lt;0.01%,0.01%,(IFERROR(IF($ACR4="","",IF($ACR4=0,1,1-$ACR4/HLOOKUP(ADI$3,[2]ARBOR_REAJUSTE18!$A:$AE,VLOOKUP($ACR$2,[2]ARBOR_REAJUSTE18!$A:$B,2,0),0))),""))),4)</f>
        <v>#VALUE!</v>
      </c>
      <c r="ADJ4" s="44" t="e">
        <f>ROUNDUP(IF(IFERROR(IF($ACR4="","",IF($ACR4=0,1,1-$ACR4/HLOOKUP(ADJ$3,[2]ARBOR_REAJUSTE18!$A:$AE,VLOOKUP($ACR$2,[2]ARBOR_REAJUSTE18!$A:$B,2,0),0))),"")&lt;0.01%,0.01%,(IFERROR(IF($ACR4="","",IF($ACR4=0,1,1-$ACR4/HLOOKUP(ADJ$3,[2]ARBOR_REAJUSTE18!$A:$AE,VLOOKUP($ACR$2,[2]ARBOR_REAJUSTE18!$A:$B,2,0),0))),""))),4)</f>
        <v>#VALUE!</v>
      </c>
      <c r="ADK4" s="44" t="e">
        <f>ROUNDUP(IF(IFERROR(IF($ACR4="","",IF($ACR4=0,1,1-$ACR4/HLOOKUP(ADK$3,[2]ARBOR_REAJUSTE18!$A:$AE,VLOOKUP($ACR$2,[2]ARBOR_REAJUSTE18!$A:$B,2,0),0))),"")&lt;0.01%,0.01%,(IFERROR(IF($ACR4="","",IF($ACR4=0,1,1-$ACR4/HLOOKUP(ADK$3,[2]ARBOR_REAJUSTE18!$A:$AE,VLOOKUP($ACR$2,[2]ARBOR_REAJUSTE18!$A:$B,2,0),0))),""))),4)</f>
        <v>#VALUE!</v>
      </c>
      <c r="ADL4" s="44" t="e">
        <f>ROUNDUP(IF(IFERROR(IF($ACR4="","",IF($ACR4=0,1,1-$ACR4/HLOOKUP(ADL$3,[2]ARBOR_REAJUSTE18!$A:$AE,VLOOKUP($ACR$2,[2]ARBOR_REAJUSTE18!$A:$B,2,0),0))),"")&lt;0.01%,0.01%,(IFERROR(IF($ACR4="","",IF($ACR4=0,1,1-$ACR4/HLOOKUP(ADL$3,[2]ARBOR_REAJUSTE18!$A:$AE,VLOOKUP($ACR$2,[2]ARBOR_REAJUSTE18!$A:$B,2,0),0))),""))),4)</f>
        <v>#VALUE!</v>
      </c>
      <c r="ADM4" s="44" t="e">
        <f>ROUNDUP(IF(IFERROR(IF($ACR4="","",IF($ACR4=0,1,1-$ACR4/HLOOKUP(ADM$3,[2]ARBOR_REAJUSTE18!$A:$AE,VLOOKUP($ACR$2,[2]ARBOR_REAJUSTE18!$A:$B,2,0),0))),"")&lt;0.01%,0.01%,(IFERROR(IF($ACR4="","",IF($ACR4=0,1,1-$ACR4/HLOOKUP(ADM$3,[2]ARBOR_REAJUSTE18!$A:$AE,VLOOKUP($ACR$2,[2]ARBOR_REAJUSTE18!$A:$B,2,0),0))),""))),4)</f>
        <v>#VALUE!</v>
      </c>
      <c r="ADN4" s="44" t="e">
        <f>ROUNDUP(IF(IFERROR(IF($ACR4="","",IF($ACR4=0,1,1-$ACR4/HLOOKUP(ADN$3,[2]ARBOR_REAJUSTE18!$A:$AE,VLOOKUP($ACR$2,[2]ARBOR_REAJUSTE18!$A:$B,2,0),0))),"")&lt;0.01%,0.01%,(IFERROR(IF($ACR4="","",IF($ACR4=0,1,1-$ACR4/HLOOKUP(ADN$3,[2]ARBOR_REAJUSTE18!$A:$AE,VLOOKUP($ACR$2,[2]ARBOR_REAJUSTE18!$A:$B,2,0),0))),""))),4)</f>
        <v>#VALUE!</v>
      </c>
      <c r="ADO4" s="44" t="e">
        <f>ROUNDUP(IF(IFERROR(IF($ACR4="","",IF($ACR4=0,1,1-$ACR4/HLOOKUP(ADO$3,[2]ARBOR_REAJUSTE18!$A:$AE,VLOOKUP($ACR$2,[2]ARBOR_REAJUSTE18!$A:$B,2,0),0))),"")&lt;0.01%,0.01%,(IFERROR(IF($ACR4="","",IF($ACR4=0,1,1-$ACR4/HLOOKUP(ADO$3,[2]ARBOR_REAJUSTE18!$A:$AE,VLOOKUP($ACR$2,[2]ARBOR_REAJUSTE18!$A:$B,2,0),0))),""))),4)</f>
        <v>#VALUE!</v>
      </c>
      <c r="ADP4" s="44" t="e">
        <f>ROUNDUP(IF(IFERROR(IF($ACR4="","",IF($ACR4=0,1,1-$ACR4/HLOOKUP(ADP$3,[2]ARBOR_REAJUSTE18!$A:$AE,VLOOKUP($ACR$2,[2]ARBOR_REAJUSTE18!$A:$B,2,0),0))),"")&lt;0.01%,0.01%,(IFERROR(IF($ACR4="","",IF($ACR4=0,1,1-$ACR4/HLOOKUP(ADP$3,[2]ARBOR_REAJUSTE18!$A:$AE,VLOOKUP($ACR$2,[2]ARBOR_REAJUSTE18!$A:$B,2,0),0))),""))),4)</f>
        <v>#VALUE!</v>
      </c>
      <c r="ADQ4" s="44" t="e">
        <f>ROUNDUP(IF(IFERROR(IF($ACR4="","",IF($ACR4=0,1,1-$ACR4/HLOOKUP(ADQ$3,[2]ARBOR_REAJUSTE18!$A:$AE,VLOOKUP($ACR$2,[2]ARBOR_REAJUSTE18!$A:$B,2,0),0))),"")&lt;0.01%,0.01%,(IFERROR(IF($ACR4="","",IF($ACR4=0,1,1-$ACR4/HLOOKUP(ADQ$3,[2]ARBOR_REAJUSTE18!$A:$AE,VLOOKUP($ACR$2,[2]ARBOR_REAJUSTE18!$A:$B,2,0),0))),""))),4)</f>
        <v>#VALUE!</v>
      </c>
      <c r="ADR4" s="44" t="e">
        <f>ROUNDUP(IF(IFERROR(IF($ACR4="","",IF($ACR4=0,1,1-$ACR4/HLOOKUP(ADR$3,[2]ARBOR_REAJUSTE18!$A:$AE,VLOOKUP($ACR$2,[2]ARBOR_REAJUSTE18!$A:$B,2,0),0))),"")&lt;0.01%,0.01%,(IFERROR(IF($ACR4="","",IF($ACR4=0,1,1-$ACR4/HLOOKUP(ADR$3,[2]ARBOR_REAJUSTE18!$A:$AE,VLOOKUP($ACR$2,[2]ARBOR_REAJUSTE18!$A:$B,2,0),0))),""))),4)</f>
        <v>#VALUE!</v>
      </c>
      <c r="ADS4" s="44" t="e">
        <f>ROUNDUP(IF(IFERROR(IF($ACR4="","",IF($ACR4=0,1,1-$ACR4/HLOOKUP(ADS$3,[2]ARBOR_REAJUSTE18!$A:$AE,VLOOKUP($ACR$2,[2]ARBOR_REAJUSTE18!$A:$B,2,0),0))),"")&lt;0.01%,0.01%,(IFERROR(IF($ACR4="","",IF($ACR4=0,1,1-$ACR4/HLOOKUP(ADS$3,[2]ARBOR_REAJUSTE18!$A:$AE,VLOOKUP($ACR$2,[2]ARBOR_REAJUSTE18!$A:$B,2,0),0))),""))),4)</f>
        <v>#VALUE!</v>
      </c>
      <c r="ADT4" s="44" t="e">
        <f>ROUNDUP(IF(IFERROR(IF($ACR4="","",IF($ACR4=0,1,1-$ACR4/HLOOKUP(ADT$3,[2]ARBOR_REAJUSTE18!$A:$AE,VLOOKUP($ACR$2,[2]ARBOR_REAJUSTE18!$A:$B,2,0),0))),"")&lt;0.01%,0.01%,(IFERROR(IF($ACR4="","",IF($ACR4=0,1,1-$ACR4/HLOOKUP(ADT$3,[2]ARBOR_REAJUSTE18!$A:$AE,VLOOKUP($ACR$2,[2]ARBOR_REAJUSTE18!$A:$B,2,0),0))),""))),4)</f>
        <v>#VALUE!</v>
      </c>
      <c r="ADU4" s="57"/>
      <c r="ADV4" s="62"/>
      <c r="ADW4" s="44"/>
      <c r="ADX4" s="44"/>
      <c r="ADY4" s="44"/>
      <c r="ADZ4" s="44"/>
      <c r="AEA4" s="44"/>
      <c r="AEB4" s="44"/>
      <c r="AEC4" s="44"/>
      <c r="AED4" s="44"/>
      <c r="AEE4" s="44"/>
      <c r="AEF4" s="44"/>
      <c r="AEG4" s="44"/>
      <c r="AEH4" s="44"/>
      <c r="AEI4" s="44"/>
      <c r="AEJ4" s="44"/>
      <c r="AEK4" s="44"/>
      <c r="AEL4" s="44"/>
      <c r="AEM4" s="44"/>
      <c r="AEN4" s="44"/>
      <c r="AEO4" s="44"/>
      <c r="AEP4" s="44"/>
      <c r="AEQ4" s="44"/>
      <c r="AER4" s="44"/>
      <c r="AES4" s="44"/>
      <c r="AET4" s="44"/>
      <c r="AEU4" s="44"/>
      <c r="AEV4" s="44"/>
      <c r="AEW4" s="44"/>
      <c r="AEX4" s="58"/>
      <c r="AEY4" s="63"/>
      <c r="AEZ4" s="62"/>
      <c r="AFA4" s="44" t="str">
        <f t="shared" si="5"/>
        <v/>
      </c>
      <c r="AFB4" s="44" t="str">
        <f t="shared" si="5"/>
        <v/>
      </c>
      <c r="AFC4" s="44" t="str">
        <f t="shared" si="5"/>
        <v/>
      </c>
      <c r="AFD4" s="44" t="str">
        <f t="shared" si="5"/>
        <v/>
      </c>
      <c r="AFE4" s="44" t="str">
        <f t="shared" si="5"/>
        <v/>
      </c>
      <c r="AFF4" s="44" t="str">
        <f t="shared" si="5"/>
        <v/>
      </c>
      <c r="AFG4" s="44" t="str">
        <f t="shared" si="5"/>
        <v/>
      </c>
      <c r="AFH4" s="44" t="str">
        <f t="shared" si="5"/>
        <v/>
      </c>
      <c r="AFI4" s="44" t="str">
        <f t="shared" si="5"/>
        <v/>
      </c>
      <c r="AFJ4" s="44" t="str">
        <f t="shared" si="5"/>
        <v/>
      </c>
      <c r="AFK4" s="44" t="str">
        <f t="shared" si="5"/>
        <v/>
      </c>
      <c r="AFL4" s="44" t="str">
        <f t="shared" si="5"/>
        <v/>
      </c>
      <c r="AFM4" s="44" t="str">
        <f t="shared" si="5"/>
        <v/>
      </c>
      <c r="AFN4" s="44" t="str">
        <f t="shared" si="5"/>
        <v/>
      </c>
      <c r="AFO4" s="44" t="str">
        <f t="shared" si="5"/>
        <v/>
      </c>
      <c r="AFP4" s="44" t="str">
        <f t="shared" si="5"/>
        <v/>
      </c>
      <c r="AFQ4" s="44" t="str">
        <f t="shared" si="5"/>
        <v/>
      </c>
      <c r="AFR4" s="44" t="str">
        <f t="shared" si="5"/>
        <v/>
      </c>
      <c r="AFS4" s="44" t="str">
        <f t="shared" si="5"/>
        <v/>
      </c>
      <c r="AFT4" s="44" t="str">
        <f t="shared" si="5"/>
        <v/>
      </c>
      <c r="AFU4" s="44" t="str">
        <f t="shared" si="5"/>
        <v/>
      </c>
      <c r="AFV4" s="44" t="str">
        <f t="shared" si="5"/>
        <v/>
      </c>
      <c r="AFW4" s="44" t="str">
        <f t="shared" si="5"/>
        <v/>
      </c>
      <c r="AFX4" s="44" t="str">
        <f t="shared" si="5"/>
        <v/>
      </c>
      <c r="AFY4" s="44" t="str">
        <f t="shared" si="5"/>
        <v/>
      </c>
      <c r="AFZ4" s="44" t="str">
        <f t="shared" si="5"/>
        <v/>
      </c>
      <c r="AGA4" s="44" t="str">
        <f t="shared" si="5"/>
        <v/>
      </c>
      <c r="AGB4" s="25"/>
      <c r="AGC4" s="25"/>
      <c r="AGD4" s="43"/>
      <c r="AGE4" s="56"/>
      <c r="AGF4" s="43"/>
      <c r="AGG4" s="44" t="e">
        <f>ROUNDUP(IF(IFERROR(IF($AGE4="","",IF($AGE4=0,1,1-$AGE4/HLOOKUP(AGG$3,[2]ARBOR_REAJUSTE18!$A:$AE,VLOOKUP($AGE$2,[2]ARBOR_REAJUSTE18!$A:$B,2,0),0))),"")&lt;0.01%,0.01%,(IFERROR(IF($AGE4="","",IF($AGE4=0,1,1-$AGE4/HLOOKUP(AGG$3,[2]ARBOR_REAJUSTE18!$A:$AE,VLOOKUP($AGE$2,[2]ARBOR_REAJUSTE18!$A:$B,2,0),0))),""))),4)</f>
        <v>#VALUE!</v>
      </c>
      <c r="AGH4" s="44" t="e">
        <f>ROUNDUP(IF(IFERROR(IF($AGE4="","",IF($AGE4=0,1,1-$AGE4/HLOOKUP(AGH$3,[2]ARBOR_REAJUSTE18!$A:$AE,VLOOKUP($AGE$2,[2]ARBOR_REAJUSTE18!$A:$B,2,0),0))),"")&lt;0.01%,0.01%,(IFERROR(IF($AGE4="","",IF($AGE4=0,1,1-$AGE4/HLOOKUP(AGH$3,[2]ARBOR_REAJUSTE18!$A:$AE,VLOOKUP($AGE$2,[2]ARBOR_REAJUSTE18!$A:$B,2,0),0))),""))),4)</f>
        <v>#VALUE!</v>
      </c>
      <c r="AGI4" s="44" t="e">
        <f>ROUNDUP(IF(IFERROR(IF($AGE4="","",IF($AGE4=0,1,1-$AGE4/HLOOKUP(AGI$3,[2]ARBOR_REAJUSTE18!$A:$AE,VLOOKUP($AGE$2,[2]ARBOR_REAJUSTE18!$A:$B,2,0),0))),"")&lt;0.01%,0.01%,(IFERROR(IF($AGE4="","",IF($AGE4=0,1,1-$AGE4/HLOOKUP(AGI$3,[2]ARBOR_REAJUSTE18!$A:$AE,VLOOKUP($AGE$2,[2]ARBOR_REAJUSTE18!$A:$B,2,0),0))),""))),4)</f>
        <v>#VALUE!</v>
      </c>
      <c r="AGJ4" s="44" t="e">
        <f>ROUNDUP(IF(IFERROR(IF($AGE4="","",IF($AGE4=0,1,1-$AGE4/HLOOKUP(AGJ$3,[2]ARBOR_REAJUSTE18!$A:$AE,VLOOKUP($AGE$2,[2]ARBOR_REAJUSTE18!$A:$B,2,0),0))),"")&lt;0.01%,0.01%,(IFERROR(IF($AGE4="","",IF($AGE4=0,1,1-$AGE4/HLOOKUP(AGJ$3,[2]ARBOR_REAJUSTE18!$A:$AE,VLOOKUP($AGE$2,[2]ARBOR_REAJUSTE18!$A:$B,2,0),0))),""))),4)</f>
        <v>#VALUE!</v>
      </c>
      <c r="AGK4" s="44" t="e">
        <f>ROUNDUP(IF(IFERROR(IF($AGE4="","",IF($AGE4=0,1,1-$AGE4/HLOOKUP(AGK$3,[2]ARBOR_REAJUSTE18!$A:$AE,VLOOKUP($AGE$2,[2]ARBOR_REAJUSTE18!$A:$B,2,0),0))),"")&lt;0.01%,0.01%,(IFERROR(IF($AGE4="","",IF($AGE4=0,1,1-$AGE4/HLOOKUP(AGK$3,[2]ARBOR_REAJUSTE18!$A:$AE,VLOOKUP($AGE$2,[2]ARBOR_REAJUSTE18!$A:$B,2,0),0))),""))),4)</f>
        <v>#VALUE!</v>
      </c>
      <c r="AGL4" s="44" t="e">
        <f>ROUNDUP(IF(IFERROR(IF($AGE4="","",IF($AGE4=0,1,1-$AGE4/HLOOKUP(AGL$3,[2]ARBOR_REAJUSTE18!$A:$AE,VLOOKUP($AGE$2,[2]ARBOR_REAJUSTE18!$A:$B,2,0),0))),"")&lt;0.01%,0.01%,(IFERROR(IF($AGE4="","",IF($AGE4=0,1,1-$AGE4/HLOOKUP(AGL$3,[2]ARBOR_REAJUSTE18!$A:$AE,VLOOKUP($AGE$2,[2]ARBOR_REAJUSTE18!$A:$B,2,0),0))),""))),4)</f>
        <v>#VALUE!</v>
      </c>
      <c r="AGM4" s="44" t="e">
        <f>ROUNDUP(IF(IFERROR(IF($AGE4="","",IF($AGE4=0,1,1-$AGE4/HLOOKUP(AGM$3,[2]ARBOR_REAJUSTE18!$A:$AE,VLOOKUP($AGE$2,[2]ARBOR_REAJUSTE18!$A:$B,2,0),0))),"")&lt;0.01%,0.01%,(IFERROR(IF($AGE4="","",IF($AGE4=0,1,1-$AGE4/HLOOKUP(AGM$3,[2]ARBOR_REAJUSTE18!$A:$AE,VLOOKUP($AGE$2,[2]ARBOR_REAJUSTE18!$A:$B,2,0),0))),""))),4)</f>
        <v>#VALUE!</v>
      </c>
      <c r="AGN4" s="44" t="e">
        <f>ROUNDUP(IF(IFERROR(IF($AGE4="","",IF($AGE4=0,1,1-$AGE4/HLOOKUP(AGN$3,[2]ARBOR_REAJUSTE18!$A:$AE,VLOOKUP($AGE$2,[2]ARBOR_REAJUSTE18!$A:$B,2,0),0))),"")&lt;0.01%,0.01%,(IFERROR(IF($AGE4="","",IF($AGE4=0,1,1-$AGE4/HLOOKUP(AGN$3,[2]ARBOR_REAJUSTE18!$A:$AE,VLOOKUP($AGE$2,[2]ARBOR_REAJUSTE18!$A:$B,2,0),0))),""))),4)</f>
        <v>#VALUE!</v>
      </c>
      <c r="AGO4" s="44" t="e">
        <f>ROUNDUP(IF(IFERROR(IF($AGE4="","",IF($AGE4=0,1,1-$AGE4/HLOOKUP(AGO$3,[2]ARBOR_REAJUSTE18!$A:$AE,VLOOKUP($AGE$2,[2]ARBOR_REAJUSTE18!$A:$B,2,0),0))),"")&lt;0.01%,0.01%,(IFERROR(IF($AGE4="","",IF($AGE4=0,1,1-$AGE4/HLOOKUP(AGO$3,[2]ARBOR_REAJUSTE18!$A:$AE,VLOOKUP($AGE$2,[2]ARBOR_REAJUSTE18!$A:$B,2,0),0))),""))),4)</f>
        <v>#VALUE!</v>
      </c>
      <c r="AGP4" s="44" t="e">
        <f>ROUNDUP(IF(IFERROR(IF($AGE4="","",IF($AGE4=0,1,1-$AGE4/HLOOKUP(AGP$3,[2]ARBOR_REAJUSTE18!$A:$AE,VLOOKUP($AGE$2,[2]ARBOR_REAJUSTE18!$A:$B,2,0),0))),"")&lt;0.01%,0.01%,(IFERROR(IF($AGE4="","",IF($AGE4=0,1,1-$AGE4/HLOOKUP(AGP$3,[2]ARBOR_REAJUSTE18!$A:$AE,VLOOKUP($AGE$2,[2]ARBOR_REAJUSTE18!$A:$B,2,0),0))),""))),4)</f>
        <v>#VALUE!</v>
      </c>
      <c r="AGQ4" s="44" t="e">
        <f>ROUNDUP(IF(IFERROR(IF($AGE4="","",IF($AGE4=0,1,1-$AGE4/HLOOKUP(AGQ$3,[2]ARBOR_REAJUSTE18!$A:$AE,VLOOKUP($AGE$2,[2]ARBOR_REAJUSTE18!$A:$B,2,0),0))),"")&lt;0.01%,0.01%,(IFERROR(IF($AGE4="","",IF($AGE4=0,1,1-$AGE4/HLOOKUP(AGQ$3,[2]ARBOR_REAJUSTE18!$A:$AE,VLOOKUP($AGE$2,[2]ARBOR_REAJUSTE18!$A:$B,2,0),0))),""))),4)</f>
        <v>#VALUE!</v>
      </c>
      <c r="AGR4" s="44" t="e">
        <f>ROUNDUP(IF(IFERROR(IF($AGE4="","",IF($AGE4=0,1,1-$AGE4/HLOOKUP(AGR$3,[2]ARBOR_REAJUSTE18!$A:$AE,VLOOKUP($AGE$2,[2]ARBOR_REAJUSTE18!$A:$B,2,0),0))),"")&lt;0.01%,0.01%,(IFERROR(IF($AGE4="","",IF($AGE4=0,1,1-$AGE4/HLOOKUP(AGR$3,[2]ARBOR_REAJUSTE18!$A:$AE,VLOOKUP($AGE$2,[2]ARBOR_REAJUSTE18!$A:$B,2,0),0))),""))),4)</f>
        <v>#VALUE!</v>
      </c>
      <c r="AGS4" s="44" t="e">
        <f>ROUNDUP(IF(IFERROR(IF($AGE4="","",IF($AGE4=0,1,1-$AGE4/HLOOKUP(AGS$3,[2]ARBOR_REAJUSTE18!$A:$AE,VLOOKUP($AGE$2,[2]ARBOR_REAJUSTE18!$A:$B,2,0),0))),"")&lt;0.01%,0.01%,(IFERROR(IF($AGE4="","",IF($AGE4=0,1,1-$AGE4/HLOOKUP(AGS$3,[2]ARBOR_REAJUSTE18!$A:$AE,VLOOKUP($AGE$2,[2]ARBOR_REAJUSTE18!$A:$B,2,0),0))),""))),4)</f>
        <v>#VALUE!</v>
      </c>
      <c r="AGT4" s="44" t="e">
        <f>ROUNDUP(IF(IFERROR(IF($AGE4="","",IF($AGE4=0,1,1-$AGE4/HLOOKUP(AGT$3,[2]ARBOR_REAJUSTE18!$A:$AE,VLOOKUP($AGE$2,[2]ARBOR_REAJUSTE18!$A:$B,2,0),0))),"")&lt;0.01%,0.01%,(IFERROR(IF($AGE4="","",IF($AGE4=0,1,1-$AGE4/HLOOKUP(AGT$3,[2]ARBOR_REAJUSTE18!$A:$AE,VLOOKUP($AGE$2,[2]ARBOR_REAJUSTE18!$A:$B,2,0),0))),""))),4)</f>
        <v>#VALUE!</v>
      </c>
      <c r="AGU4" s="44" t="e">
        <f>ROUNDUP(IF(IFERROR(IF($AGE4="","",IF($AGE4=0,1,1-$AGE4/HLOOKUP(AGU$3,[2]ARBOR_REAJUSTE18!$A:$AE,VLOOKUP($AGE$2,[2]ARBOR_REAJUSTE18!$A:$B,2,0),0))),"")&lt;0.01%,0.01%,(IFERROR(IF($AGE4="","",IF($AGE4=0,1,1-$AGE4/HLOOKUP(AGU$3,[2]ARBOR_REAJUSTE18!$A:$AE,VLOOKUP($AGE$2,[2]ARBOR_REAJUSTE18!$A:$B,2,0),0))),""))),4)</f>
        <v>#VALUE!</v>
      </c>
      <c r="AGV4" s="44" t="e">
        <f>ROUNDUP(IF(IFERROR(IF($AGE4="","",IF($AGE4=0,1,1-$AGE4/HLOOKUP(AGV$3,[2]ARBOR_REAJUSTE18!$A:$AE,VLOOKUP($AGE$2,[2]ARBOR_REAJUSTE18!$A:$B,2,0),0))),"")&lt;0.01%,0.01%,(IFERROR(IF($AGE4="","",IF($AGE4=0,1,1-$AGE4/HLOOKUP(AGV$3,[2]ARBOR_REAJUSTE18!$A:$AE,VLOOKUP($AGE$2,[2]ARBOR_REAJUSTE18!$A:$B,2,0),0))),""))),4)</f>
        <v>#VALUE!</v>
      </c>
      <c r="AGW4" s="44" t="e">
        <f>ROUNDUP(IF(IFERROR(IF($AGE4="","",IF($AGE4=0,1,1-$AGE4/HLOOKUP(AGW$3,[2]ARBOR_REAJUSTE18!$A:$AE,VLOOKUP($AGE$2,[2]ARBOR_REAJUSTE18!$A:$B,2,0),0))),"")&lt;0.01%,0.01%,(IFERROR(IF($AGE4="","",IF($AGE4=0,1,1-$AGE4/HLOOKUP(AGW$3,[2]ARBOR_REAJUSTE18!$A:$AE,VLOOKUP($AGE$2,[2]ARBOR_REAJUSTE18!$A:$B,2,0),0))),""))),4)</f>
        <v>#VALUE!</v>
      </c>
      <c r="AGX4" s="44" t="e">
        <f>ROUNDUP(IF(IFERROR(IF($AGE4="","",IF($AGE4=0,1,1-$AGE4/HLOOKUP(AGX$3,[2]ARBOR_REAJUSTE18!$A:$AE,VLOOKUP($AGE$2,[2]ARBOR_REAJUSTE18!$A:$B,2,0),0))),"")&lt;0.01%,0.01%,(IFERROR(IF($AGE4="","",IF($AGE4=0,1,1-$AGE4/HLOOKUP(AGX$3,[2]ARBOR_REAJUSTE18!$A:$AE,VLOOKUP($AGE$2,[2]ARBOR_REAJUSTE18!$A:$B,2,0),0))),""))),4)</f>
        <v>#VALUE!</v>
      </c>
      <c r="AGY4" s="44" t="e">
        <f>ROUNDUP(IF(IFERROR(IF($AGE4="","",IF($AGE4=0,1,1-$AGE4/HLOOKUP(AGY$3,[2]ARBOR_REAJUSTE18!$A:$AE,VLOOKUP($AGE$2,[2]ARBOR_REAJUSTE18!$A:$B,2,0),0))),"")&lt;0.01%,0.01%,(IFERROR(IF($AGE4="","",IF($AGE4=0,1,1-$AGE4/HLOOKUP(AGY$3,[2]ARBOR_REAJUSTE18!$A:$AE,VLOOKUP($AGE$2,[2]ARBOR_REAJUSTE18!$A:$B,2,0),0))),""))),4)</f>
        <v>#VALUE!</v>
      </c>
      <c r="AGZ4" s="44" t="e">
        <f>ROUNDUP(IF(IFERROR(IF($AGE4="","",IF($AGE4=0,1,1-$AGE4/HLOOKUP(AGZ$3,[2]ARBOR_REAJUSTE18!$A:$AE,VLOOKUP($AGE$2,[2]ARBOR_REAJUSTE18!$A:$B,2,0),0))),"")&lt;0.01%,0.01%,(IFERROR(IF($AGE4="","",IF($AGE4=0,1,1-$AGE4/HLOOKUP(AGZ$3,[2]ARBOR_REAJUSTE18!$A:$AE,VLOOKUP($AGE$2,[2]ARBOR_REAJUSTE18!$A:$B,2,0),0))),""))),4)</f>
        <v>#VALUE!</v>
      </c>
      <c r="AHA4" s="44" t="e">
        <f>ROUNDUP(IF(IFERROR(IF($AGE4="","",IF($AGE4=0,1,1-$AGE4/HLOOKUP(AHA$3,[2]ARBOR_REAJUSTE18!$A:$AE,VLOOKUP($AGE$2,[2]ARBOR_REAJUSTE18!$A:$B,2,0),0))),"")&lt;0.01%,0.01%,(IFERROR(IF($AGE4="","",IF($AGE4=0,1,1-$AGE4/HLOOKUP(AHA$3,[2]ARBOR_REAJUSTE18!$A:$AE,VLOOKUP($AGE$2,[2]ARBOR_REAJUSTE18!$A:$B,2,0),0))),""))),4)</f>
        <v>#VALUE!</v>
      </c>
      <c r="AHB4" s="44" t="e">
        <f>ROUNDUP(IF(IFERROR(IF($AGE4="","",IF($AGE4=0,1,1-$AGE4/HLOOKUP(AHB$3,[2]ARBOR_REAJUSTE18!$A:$AE,VLOOKUP($AGE$2,[2]ARBOR_REAJUSTE18!$A:$B,2,0),0))),"")&lt;0.01%,0.01%,(IFERROR(IF($AGE4="","",IF($AGE4=0,1,1-$AGE4/HLOOKUP(AHB$3,[2]ARBOR_REAJUSTE18!$A:$AE,VLOOKUP($AGE$2,[2]ARBOR_REAJUSTE18!$A:$B,2,0),0))),""))),4)</f>
        <v>#VALUE!</v>
      </c>
      <c r="AHC4" s="44" t="e">
        <f>ROUNDUP(IF(IFERROR(IF($AGE4="","",IF($AGE4=0,1,1-$AGE4/HLOOKUP(AHC$3,[2]ARBOR_REAJUSTE18!$A:$AE,VLOOKUP($AGE$2,[2]ARBOR_REAJUSTE18!$A:$B,2,0),0))),"")&lt;0.01%,0.01%,(IFERROR(IF($AGE4="","",IF($AGE4=0,1,1-$AGE4/HLOOKUP(AHC$3,[2]ARBOR_REAJUSTE18!$A:$AE,VLOOKUP($AGE$2,[2]ARBOR_REAJUSTE18!$A:$B,2,0),0))),""))),4)</f>
        <v>#VALUE!</v>
      </c>
      <c r="AHD4" s="44" t="e">
        <f>ROUNDUP(IF(IFERROR(IF($AGE4="","",IF($AGE4=0,1,1-$AGE4/HLOOKUP(AHD$3,[2]ARBOR_REAJUSTE18!$A:$AE,VLOOKUP($AGE$2,[2]ARBOR_REAJUSTE18!$A:$B,2,0),0))),"")&lt;0.01%,0.01%,(IFERROR(IF($AGE4="","",IF($AGE4=0,1,1-$AGE4/HLOOKUP(AHD$3,[2]ARBOR_REAJUSTE18!$A:$AE,VLOOKUP($AGE$2,[2]ARBOR_REAJUSTE18!$A:$B,2,0),0))),""))),4)</f>
        <v>#VALUE!</v>
      </c>
      <c r="AHE4" s="44" t="e">
        <f>ROUNDUP(IF(IFERROR(IF($AGE4="","",IF($AGE4=0,1,1-$AGE4/HLOOKUP(AHE$3,[2]ARBOR_REAJUSTE18!$A:$AE,VLOOKUP($AGE$2,[2]ARBOR_REAJUSTE18!$A:$B,2,0),0))),"")&lt;0.01%,0.01%,(IFERROR(IF($AGE4="","",IF($AGE4=0,1,1-$AGE4/HLOOKUP(AHE$3,[2]ARBOR_REAJUSTE18!$A:$AE,VLOOKUP($AGE$2,[2]ARBOR_REAJUSTE18!$A:$B,2,0),0))),""))),4)</f>
        <v>#VALUE!</v>
      </c>
      <c r="AHF4" s="44" t="e">
        <f>ROUNDUP(IF(IFERROR(IF($AGE4="","",IF($AGE4=0,1,1-$AGE4/HLOOKUP(AHF$3,[2]ARBOR_REAJUSTE18!$A:$AE,VLOOKUP($AGE$2,[2]ARBOR_REAJUSTE18!$A:$B,2,0),0))),"")&lt;0.01%,0.01%,(IFERROR(IF($AGE4="","",IF($AGE4=0,1,1-$AGE4/HLOOKUP(AHF$3,[2]ARBOR_REAJUSTE18!$A:$AE,VLOOKUP($AGE$2,[2]ARBOR_REAJUSTE18!$A:$B,2,0),0))),""))),4)</f>
        <v>#VALUE!</v>
      </c>
      <c r="AHG4" s="44" t="e">
        <f>ROUNDUP(IF(IFERROR(IF($AGE4="","",IF($AGE4=0,1,1-$AGE4/HLOOKUP(AHG$3,[2]ARBOR_REAJUSTE18!$A:$AE,VLOOKUP($AGE$2,[2]ARBOR_REAJUSTE18!$A:$B,2,0),0))),"")&lt;0.01%,0.01%,(IFERROR(IF($AGE4="","",IF($AGE4=0,1,1-$AGE4/HLOOKUP(AHG$3,[2]ARBOR_REAJUSTE18!$A:$AE,VLOOKUP($AGE$2,[2]ARBOR_REAJUSTE18!$A:$B,2,0),0))),""))),4)</f>
        <v>#VALUE!</v>
      </c>
      <c r="AHH4" s="56">
        <v>54.800000000000011</v>
      </c>
      <c r="AHI4" s="64" t="e">
        <f>VLOOKUP($AV4&amp;AHJ4&amp;"Template desconto FLAT Plano Principal Oi TV nível conta",[2]BENEFICIOS!$A:$G,5,0)</f>
        <v>#VALUE!</v>
      </c>
      <c r="AHJ4" s="44" t="e">
        <f>ROUNDUP(IF(IFERROR(IF($AHH4="","",IF($AHH4=0,1,1-$AHH4/HLOOKUP(AHJ$3,[2]ARBOR_REAJUSTE18!$A:$AE,VLOOKUP($AHH$2,[2]ARBOR_REAJUSTE18!$A:$B,2,0),0))),"")&lt;0.01%,0.01%,(IFERROR(IF($AHH4="","",IF($AHH4=0,1,1-$AHH4/HLOOKUP(AHJ$3,[2]ARBOR_REAJUSTE18!$A:$AE,VLOOKUP($AHH$2,[2]ARBOR_REAJUSTE18!$A:$B,2,0),0))),""))),4)</f>
        <v>#VALUE!</v>
      </c>
      <c r="AHK4" s="44" t="e">
        <f>ROUNDUP(IF(IFERROR(IF($AHH4="","",IF($AHH4=0,1,1-$AHH4/HLOOKUP(AHK$3,[2]ARBOR_REAJUSTE18!$A:$AE,VLOOKUP($AHH$2,[2]ARBOR_REAJUSTE18!$A:$B,2,0),0))),"")&lt;0.01%,0.01%,(IFERROR(IF($AHH4="","",IF($AHH4=0,1,1-$AHH4/HLOOKUP(AHK$3,[2]ARBOR_REAJUSTE18!$A:$AE,VLOOKUP($AHH$2,[2]ARBOR_REAJUSTE18!$A:$B,2,0),0))),""))),4)</f>
        <v>#VALUE!</v>
      </c>
      <c r="AHL4" s="44" t="e">
        <f>ROUNDUP(IF(IFERROR(IF($AHH4="","",IF($AHH4=0,1,1-$AHH4/HLOOKUP(AHL$3,[2]ARBOR_REAJUSTE18!$A:$AE,VLOOKUP($AHH$2,[2]ARBOR_REAJUSTE18!$A:$B,2,0),0))),"")&lt;0.01%,0.01%,(IFERROR(IF($AHH4="","",IF($AHH4=0,1,1-$AHH4/HLOOKUP(AHL$3,[2]ARBOR_REAJUSTE18!$A:$AE,VLOOKUP($AHH$2,[2]ARBOR_REAJUSTE18!$A:$B,2,0),0))),""))),4)</f>
        <v>#VALUE!</v>
      </c>
      <c r="AHM4" s="44" t="e">
        <f>ROUNDUP(IF(IFERROR(IF($AHH4="","",IF($AHH4=0,1,1-$AHH4/HLOOKUP(AHM$3,[2]ARBOR_REAJUSTE18!$A:$AE,VLOOKUP($AHH$2,[2]ARBOR_REAJUSTE18!$A:$B,2,0),0))),"")&lt;0.01%,0.01%,(IFERROR(IF($AHH4="","",IF($AHH4=0,1,1-$AHH4/HLOOKUP(AHM$3,[2]ARBOR_REAJUSTE18!$A:$AE,VLOOKUP($AHH$2,[2]ARBOR_REAJUSTE18!$A:$B,2,0),0))),""))),4)</f>
        <v>#VALUE!</v>
      </c>
      <c r="AHN4" s="44" t="e">
        <f>ROUNDUP(IF(IFERROR(IF($AHH4="","",IF($AHH4=0,1,1-$AHH4/HLOOKUP(AHN$3,[2]ARBOR_REAJUSTE18!$A:$AE,VLOOKUP($AHH$2,[2]ARBOR_REAJUSTE18!$A:$B,2,0),0))),"")&lt;0.01%,0.01%,(IFERROR(IF($AHH4="","",IF($AHH4=0,1,1-$AHH4/HLOOKUP(AHN$3,[2]ARBOR_REAJUSTE18!$A:$AE,VLOOKUP($AHH$2,[2]ARBOR_REAJUSTE18!$A:$B,2,0),0))),""))),4)</f>
        <v>#VALUE!</v>
      </c>
      <c r="AHO4" s="44" t="e">
        <f>ROUNDUP(IF(IFERROR(IF($AHH4="","",IF($AHH4=0,1,1-$AHH4/HLOOKUP(AHO$3,[2]ARBOR_REAJUSTE18!$A:$AE,VLOOKUP($AHH$2,[2]ARBOR_REAJUSTE18!$A:$B,2,0),0))),"")&lt;0.01%,0.01%,(IFERROR(IF($AHH4="","",IF($AHH4=0,1,1-$AHH4/HLOOKUP(AHO$3,[2]ARBOR_REAJUSTE18!$A:$AE,VLOOKUP($AHH$2,[2]ARBOR_REAJUSTE18!$A:$B,2,0),0))),""))),4)</f>
        <v>#VALUE!</v>
      </c>
      <c r="AHP4" s="44" t="e">
        <f>ROUNDUP(IF(IFERROR(IF($AHH4="","",IF($AHH4=0,1,1-$AHH4/HLOOKUP(AHP$3,[2]ARBOR_REAJUSTE18!$A:$AE,VLOOKUP($AHH$2,[2]ARBOR_REAJUSTE18!$A:$B,2,0),0))),"")&lt;0.01%,0.01%,(IFERROR(IF($AHH4="","",IF($AHH4=0,1,1-$AHH4/HLOOKUP(AHP$3,[2]ARBOR_REAJUSTE18!$A:$AE,VLOOKUP($AHH$2,[2]ARBOR_REAJUSTE18!$A:$B,2,0),0))),""))),4)</f>
        <v>#VALUE!</v>
      </c>
      <c r="AHQ4" s="44" t="e">
        <f>ROUNDUP(IF(IFERROR(IF($AHH4="","",IF($AHH4=0,1,1-$AHH4/HLOOKUP(AHQ$3,[2]ARBOR_REAJUSTE18!$A:$AE,VLOOKUP($AHH$2,[2]ARBOR_REAJUSTE18!$A:$B,2,0),0))),"")&lt;0.01%,0.01%,(IFERROR(IF($AHH4="","",IF($AHH4=0,1,1-$AHH4/HLOOKUP(AHQ$3,[2]ARBOR_REAJUSTE18!$A:$AE,VLOOKUP($AHH$2,[2]ARBOR_REAJUSTE18!$A:$B,2,0),0))),""))),4)</f>
        <v>#VALUE!</v>
      </c>
      <c r="AHR4" s="44" t="e">
        <f>ROUNDUP(IF(IFERROR(IF($AHH4="","",IF($AHH4=0,1,1-$AHH4/HLOOKUP(AHR$3,[2]ARBOR_REAJUSTE18!$A:$AE,VLOOKUP($AHH$2,[2]ARBOR_REAJUSTE18!$A:$B,2,0),0))),"")&lt;0.01%,0.01%,(IFERROR(IF($AHH4="","",IF($AHH4=0,1,1-$AHH4/HLOOKUP(AHR$3,[2]ARBOR_REAJUSTE18!$A:$AE,VLOOKUP($AHH$2,[2]ARBOR_REAJUSTE18!$A:$B,2,0),0))),""))),4)</f>
        <v>#VALUE!</v>
      </c>
      <c r="AHS4" s="44" t="e">
        <f>ROUNDUP(IF(IFERROR(IF($AHH4="","",IF($AHH4=0,1,1-$AHH4/HLOOKUP(AHS$3,[2]ARBOR_REAJUSTE18!$A:$AE,VLOOKUP($AHH$2,[2]ARBOR_REAJUSTE18!$A:$B,2,0),0))),"")&lt;0.01%,0.01%,(IFERROR(IF($AHH4="","",IF($AHH4=0,1,1-$AHH4/HLOOKUP(AHS$3,[2]ARBOR_REAJUSTE18!$A:$AE,VLOOKUP($AHH$2,[2]ARBOR_REAJUSTE18!$A:$B,2,0),0))),""))),4)</f>
        <v>#VALUE!</v>
      </c>
      <c r="AHT4" s="44" t="e">
        <f>ROUNDUP(IF(IFERROR(IF($AHH4="","",IF($AHH4=0,1,1-$AHH4/HLOOKUP(AHT$3,[2]ARBOR_REAJUSTE18!$A:$AE,VLOOKUP($AHH$2,[2]ARBOR_REAJUSTE18!$A:$B,2,0),0))),"")&lt;0.01%,0.01%,(IFERROR(IF($AHH4="","",IF($AHH4=0,1,1-$AHH4/HLOOKUP(AHT$3,[2]ARBOR_REAJUSTE18!$A:$AE,VLOOKUP($AHH$2,[2]ARBOR_REAJUSTE18!$A:$B,2,0),0))),""))),4)</f>
        <v>#VALUE!</v>
      </c>
      <c r="AHU4" s="44" t="e">
        <f>ROUNDUP(IF(IFERROR(IF($AHH4="","",IF($AHH4=0,1,1-$AHH4/HLOOKUP(AHU$3,[2]ARBOR_REAJUSTE18!$A:$AE,VLOOKUP($AHH$2,[2]ARBOR_REAJUSTE18!$A:$B,2,0),0))),"")&lt;0.01%,0.01%,(IFERROR(IF($AHH4="","",IF($AHH4=0,1,1-$AHH4/HLOOKUP(AHU$3,[2]ARBOR_REAJUSTE18!$A:$AE,VLOOKUP($AHH$2,[2]ARBOR_REAJUSTE18!$A:$B,2,0),0))),""))),4)</f>
        <v>#VALUE!</v>
      </c>
      <c r="AHV4" s="44" t="e">
        <f>ROUNDUP(IF(IFERROR(IF($AHH4="","",IF($AHH4=0,1,1-$AHH4/HLOOKUP(AHV$3,[2]ARBOR_REAJUSTE18!$A:$AE,VLOOKUP($AHH$2,[2]ARBOR_REAJUSTE18!$A:$B,2,0),0))),"")&lt;0.01%,0.01%,(IFERROR(IF($AHH4="","",IF($AHH4=0,1,1-$AHH4/HLOOKUP(AHV$3,[2]ARBOR_REAJUSTE18!$A:$AE,VLOOKUP($AHH$2,[2]ARBOR_REAJUSTE18!$A:$B,2,0),0))),""))),4)</f>
        <v>#VALUE!</v>
      </c>
      <c r="AHW4" s="44" t="e">
        <f>ROUNDUP(IF(IFERROR(IF($AHH4="","",IF($AHH4=0,1,1-$AHH4/HLOOKUP(AHW$3,[2]ARBOR_REAJUSTE18!$A:$AE,VLOOKUP($AHH$2,[2]ARBOR_REAJUSTE18!$A:$B,2,0),0))),"")&lt;0.01%,0.01%,(IFERROR(IF($AHH4="","",IF($AHH4=0,1,1-$AHH4/HLOOKUP(AHW$3,[2]ARBOR_REAJUSTE18!$A:$AE,VLOOKUP($AHH$2,[2]ARBOR_REAJUSTE18!$A:$B,2,0),0))),""))),4)</f>
        <v>#VALUE!</v>
      </c>
      <c r="AHX4" s="44" t="e">
        <f>ROUNDUP(IF(IFERROR(IF($AHH4="","",IF($AHH4=0,1,1-$AHH4/HLOOKUP(AHX$3,[2]ARBOR_REAJUSTE18!$A:$AE,VLOOKUP($AHH$2,[2]ARBOR_REAJUSTE18!$A:$B,2,0),0))),"")&lt;0.01%,0.01%,(IFERROR(IF($AHH4="","",IF($AHH4=0,1,1-$AHH4/HLOOKUP(AHX$3,[2]ARBOR_REAJUSTE18!$A:$AE,VLOOKUP($AHH$2,[2]ARBOR_REAJUSTE18!$A:$B,2,0),0))),""))),4)</f>
        <v>#VALUE!</v>
      </c>
      <c r="AHY4" s="44" t="e">
        <f>ROUNDUP(IF(IFERROR(IF($AHH4="","",IF($AHH4=0,1,1-$AHH4/HLOOKUP(AHY$3,[2]ARBOR_REAJUSTE18!$A:$AE,VLOOKUP($AHH$2,[2]ARBOR_REAJUSTE18!$A:$B,2,0),0))),"")&lt;0.01%,0.01%,(IFERROR(IF($AHH4="","",IF($AHH4=0,1,1-$AHH4/HLOOKUP(AHY$3,[2]ARBOR_REAJUSTE18!$A:$AE,VLOOKUP($AHH$2,[2]ARBOR_REAJUSTE18!$A:$B,2,0),0))),""))),4)</f>
        <v>#VALUE!</v>
      </c>
      <c r="AHZ4" s="44" t="e">
        <f>ROUNDUP(IF(IFERROR(IF($AHH4="","",IF($AHH4=0,1,1-$AHH4/HLOOKUP(AHZ$3,[2]ARBOR_REAJUSTE18!$A:$AE,VLOOKUP($AHH$2,[2]ARBOR_REAJUSTE18!$A:$B,2,0),0))),"")&lt;0.01%,0.01%,(IFERROR(IF($AHH4="","",IF($AHH4=0,1,1-$AHH4/HLOOKUP(AHZ$3,[2]ARBOR_REAJUSTE18!$A:$AE,VLOOKUP($AHH$2,[2]ARBOR_REAJUSTE18!$A:$B,2,0),0))),""))),4)</f>
        <v>#VALUE!</v>
      </c>
      <c r="AIA4" s="44" t="e">
        <f>ROUNDUP(IF(IFERROR(IF($AHH4="","",IF($AHH4=0,1,1-$AHH4/HLOOKUP(AIA$3,[2]ARBOR_REAJUSTE18!$A:$AE,VLOOKUP($AHH$2,[2]ARBOR_REAJUSTE18!$A:$B,2,0),0))),"")&lt;0.01%,0.01%,(IFERROR(IF($AHH4="","",IF($AHH4=0,1,1-$AHH4/HLOOKUP(AIA$3,[2]ARBOR_REAJUSTE18!$A:$AE,VLOOKUP($AHH$2,[2]ARBOR_REAJUSTE18!$A:$B,2,0),0))),""))),4)</f>
        <v>#VALUE!</v>
      </c>
      <c r="AIB4" s="44" t="e">
        <f>ROUNDUP(IF(IFERROR(IF($AHH4="","",IF($AHH4=0,1,1-$AHH4/HLOOKUP(AIB$3,[2]ARBOR_REAJUSTE18!$A:$AE,VLOOKUP($AHH$2,[2]ARBOR_REAJUSTE18!$A:$B,2,0),0))),"")&lt;0.01%,0.01%,(IFERROR(IF($AHH4="","",IF($AHH4=0,1,1-$AHH4/HLOOKUP(AIB$3,[2]ARBOR_REAJUSTE18!$A:$AE,VLOOKUP($AHH$2,[2]ARBOR_REAJUSTE18!$A:$B,2,0),0))),""))),4)</f>
        <v>#VALUE!</v>
      </c>
      <c r="AIC4" s="44" t="e">
        <f>ROUNDUP(IF(IFERROR(IF($AHH4="","",IF($AHH4=0,1,1-$AHH4/HLOOKUP(AIC$3,[2]ARBOR_REAJUSTE18!$A:$AE,VLOOKUP($AHH$2,[2]ARBOR_REAJUSTE18!$A:$B,2,0),0))),"")&lt;0.01%,0.01%,(IFERROR(IF($AHH4="","",IF($AHH4=0,1,1-$AHH4/HLOOKUP(AIC$3,[2]ARBOR_REAJUSTE18!$A:$AE,VLOOKUP($AHH$2,[2]ARBOR_REAJUSTE18!$A:$B,2,0),0))),""))),4)</f>
        <v>#VALUE!</v>
      </c>
      <c r="AID4" s="44" t="e">
        <f>ROUNDUP(IF(IFERROR(IF($AHH4="","",IF($AHH4=0,1,1-$AHH4/HLOOKUP(AID$3,[2]ARBOR_REAJUSTE18!$A:$AE,VLOOKUP($AHH$2,[2]ARBOR_REAJUSTE18!$A:$B,2,0),0))),"")&lt;0.01%,0.01%,(IFERROR(IF($AHH4="","",IF($AHH4=0,1,1-$AHH4/HLOOKUP(AID$3,[2]ARBOR_REAJUSTE18!$A:$AE,VLOOKUP($AHH$2,[2]ARBOR_REAJUSTE18!$A:$B,2,0),0))),""))),4)</f>
        <v>#VALUE!</v>
      </c>
      <c r="AIE4" s="44" t="e">
        <f>ROUNDUP(IF(IFERROR(IF($AHH4="","",IF($AHH4=0,1,1-$AHH4/HLOOKUP(AIE$3,[2]ARBOR_REAJUSTE18!$A:$AE,VLOOKUP($AHH$2,[2]ARBOR_REAJUSTE18!$A:$B,2,0),0))),"")&lt;0.01%,0.01%,(IFERROR(IF($AHH4="","",IF($AHH4=0,1,1-$AHH4/HLOOKUP(AIE$3,[2]ARBOR_REAJUSTE18!$A:$AE,VLOOKUP($AHH$2,[2]ARBOR_REAJUSTE18!$A:$B,2,0),0))),""))),4)</f>
        <v>#VALUE!</v>
      </c>
      <c r="AIF4" s="44" t="e">
        <f>ROUNDUP(IF(IFERROR(IF($AHH4="","",IF($AHH4=0,1,1-$AHH4/HLOOKUP(AIF$3,[2]ARBOR_REAJUSTE18!$A:$AE,VLOOKUP($AHH$2,[2]ARBOR_REAJUSTE18!$A:$B,2,0),0))),"")&lt;0.01%,0.01%,(IFERROR(IF($AHH4="","",IF($AHH4=0,1,1-$AHH4/HLOOKUP(AIF$3,[2]ARBOR_REAJUSTE18!$A:$AE,VLOOKUP($AHH$2,[2]ARBOR_REAJUSTE18!$A:$B,2,0),0))),""))),4)</f>
        <v>#VALUE!</v>
      </c>
      <c r="AIG4" s="44" t="e">
        <f>ROUNDUP(IF(IFERROR(IF($AHH4="","",IF($AHH4=0,1,1-$AHH4/HLOOKUP(AIG$3,[2]ARBOR_REAJUSTE18!$A:$AE,VLOOKUP($AHH$2,[2]ARBOR_REAJUSTE18!$A:$B,2,0),0))),"")&lt;0.01%,0.01%,(IFERROR(IF($AHH4="","",IF($AHH4=0,1,1-$AHH4/HLOOKUP(AIG$3,[2]ARBOR_REAJUSTE18!$A:$AE,VLOOKUP($AHH$2,[2]ARBOR_REAJUSTE18!$A:$B,2,0),0))),""))),4)</f>
        <v>#VALUE!</v>
      </c>
      <c r="AIH4" s="44" t="e">
        <f>ROUNDUP(IF(IFERROR(IF($AHH4="","",IF($AHH4=0,1,1-$AHH4/HLOOKUP(AIH$3,[2]ARBOR_REAJUSTE18!$A:$AE,VLOOKUP($AHH$2,[2]ARBOR_REAJUSTE18!$A:$B,2,0),0))),"")&lt;0.01%,0.01%,(IFERROR(IF($AHH4="","",IF($AHH4=0,1,1-$AHH4/HLOOKUP(AIH$3,[2]ARBOR_REAJUSTE18!$A:$AE,VLOOKUP($AHH$2,[2]ARBOR_REAJUSTE18!$A:$B,2,0),0))),""))),4)</f>
        <v>#VALUE!</v>
      </c>
      <c r="AII4" s="44" t="e">
        <f>ROUNDUP(IF(IFERROR(IF($AHH4="","",IF($AHH4=0,1,1-$AHH4/HLOOKUP(AII$3,[2]ARBOR_REAJUSTE18!$A:$AE,VLOOKUP($AHH$2,[2]ARBOR_REAJUSTE18!$A:$B,2,0),0))),"")&lt;0.01%,0.01%,(IFERROR(IF($AHH4="","",IF($AHH4=0,1,1-$AHH4/HLOOKUP(AII$3,[2]ARBOR_REAJUSTE18!$A:$AE,VLOOKUP($AHH$2,[2]ARBOR_REAJUSTE18!$A:$B,2,0),0))),""))),4)</f>
        <v>#VALUE!</v>
      </c>
      <c r="AIJ4" s="44" t="e">
        <f>ROUNDUP(IF(IFERROR(IF($AHH4="","",IF($AHH4=0,1,1-$AHH4/HLOOKUP(AIJ$3,[2]ARBOR_REAJUSTE18!$A:$AE,VLOOKUP($AHH$2,[2]ARBOR_REAJUSTE18!$A:$B,2,0),0))),"")&lt;0.01%,0.01%,(IFERROR(IF($AHH4="","",IF($AHH4=0,1,1-$AHH4/HLOOKUP(AIJ$3,[2]ARBOR_REAJUSTE18!$A:$AE,VLOOKUP($AHH$2,[2]ARBOR_REAJUSTE18!$A:$B,2,0),0))),""))),4)</f>
        <v>#VALUE!</v>
      </c>
      <c r="AIK4" s="56"/>
      <c r="AIL4" s="64"/>
      <c r="AIM4" s="44" t="e">
        <f>ROUNDUP(IF(IFERROR(IF($AIK4="","",IF($AIK4=0,1,1-$AIK4/HLOOKUP(AIM$3,[2]ARBOR_REAJUSTE18!$A:$AE,VLOOKUP($AIK$2,[2]ARBOR_REAJUSTE18!$A:$B,2,0),0))),"")&lt;0.01%,0.01%,(IFERROR(IF($AIK4="","",IF($AIK4=0,1,1-$AIK4/HLOOKUP(AIM$3,[2]ARBOR_REAJUSTE18!$A:$AE,VLOOKUP($AIK$2,[2]ARBOR_REAJUSTE18!$A:$B,2,0),0))),""))),4)</f>
        <v>#VALUE!</v>
      </c>
      <c r="AIN4" s="44" t="e">
        <f>ROUNDUP(IF(IFERROR(IF($AIK4="","",IF($AIK4=0,1,1-$AIK4/HLOOKUP(AIN$3,[2]ARBOR_REAJUSTE18!$A:$AE,VLOOKUP($AIK$2,[2]ARBOR_REAJUSTE18!$A:$B,2,0),0))),"")&lt;0.01%,0.01%,(IFERROR(IF($AIK4="","",IF($AIK4=0,1,1-$AIK4/HLOOKUP(AIN$3,[2]ARBOR_REAJUSTE18!$A:$AE,VLOOKUP($AIK$2,[2]ARBOR_REAJUSTE18!$A:$B,2,0),0))),""))),4)</f>
        <v>#VALUE!</v>
      </c>
      <c r="AIO4" s="44" t="e">
        <f>ROUNDUP(IF(IFERROR(IF($AIK4="","",IF($AIK4=0,1,1-$AIK4/HLOOKUP(AIO$3,[2]ARBOR_REAJUSTE18!$A:$AE,VLOOKUP($AIK$2,[2]ARBOR_REAJUSTE18!$A:$B,2,0),0))),"")&lt;0.01%,0.01%,(IFERROR(IF($AIK4="","",IF($AIK4=0,1,1-$AIK4/HLOOKUP(AIO$3,[2]ARBOR_REAJUSTE18!$A:$AE,VLOOKUP($AIK$2,[2]ARBOR_REAJUSTE18!$A:$B,2,0),0))),""))),4)</f>
        <v>#VALUE!</v>
      </c>
      <c r="AIP4" s="44" t="e">
        <f>ROUNDUP(IF(IFERROR(IF($AIK4="","",IF($AIK4=0,1,1-$AIK4/HLOOKUP(AIP$3,[2]ARBOR_REAJUSTE18!$A:$AE,VLOOKUP($AIK$2,[2]ARBOR_REAJUSTE18!$A:$B,2,0),0))),"")&lt;0.01%,0.01%,(IFERROR(IF($AIK4="","",IF($AIK4=0,1,1-$AIK4/HLOOKUP(AIP$3,[2]ARBOR_REAJUSTE18!$A:$AE,VLOOKUP($AIK$2,[2]ARBOR_REAJUSTE18!$A:$B,2,0),0))),""))),4)</f>
        <v>#VALUE!</v>
      </c>
      <c r="AIQ4" s="44" t="e">
        <f>ROUNDUP(IF(IFERROR(IF($AIK4="","",IF($AIK4=0,1,1-$AIK4/HLOOKUP(AIQ$3,[2]ARBOR_REAJUSTE18!$A:$AE,VLOOKUP($AIK$2,[2]ARBOR_REAJUSTE18!$A:$B,2,0),0))),"")&lt;0.01%,0.01%,(IFERROR(IF($AIK4="","",IF($AIK4=0,1,1-$AIK4/HLOOKUP(AIQ$3,[2]ARBOR_REAJUSTE18!$A:$AE,VLOOKUP($AIK$2,[2]ARBOR_REAJUSTE18!$A:$B,2,0),0))),""))),4)</f>
        <v>#VALUE!</v>
      </c>
      <c r="AIR4" s="44" t="e">
        <f>ROUNDUP(IF(IFERROR(IF($AIK4="","",IF($AIK4=0,1,1-$AIK4/HLOOKUP(AIR$3,[2]ARBOR_REAJUSTE18!$A:$AE,VLOOKUP($AIK$2,[2]ARBOR_REAJUSTE18!$A:$B,2,0),0))),"")&lt;0.01%,0.01%,(IFERROR(IF($AIK4="","",IF($AIK4=0,1,1-$AIK4/HLOOKUP(AIR$3,[2]ARBOR_REAJUSTE18!$A:$AE,VLOOKUP($AIK$2,[2]ARBOR_REAJUSTE18!$A:$B,2,0),0))),""))),4)</f>
        <v>#VALUE!</v>
      </c>
      <c r="AIS4" s="44" t="e">
        <f>ROUNDUP(IF(IFERROR(IF($AIK4="","",IF($AIK4=0,1,1-$AIK4/HLOOKUP(AIS$3,[2]ARBOR_REAJUSTE18!$A:$AE,VLOOKUP($AIK$2,[2]ARBOR_REAJUSTE18!$A:$B,2,0),0))),"")&lt;0.01%,0.01%,(IFERROR(IF($AIK4="","",IF($AIK4=0,1,1-$AIK4/HLOOKUP(AIS$3,[2]ARBOR_REAJUSTE18!$A:$AE,VLOOKUP($AIK$2,[2]ARBOR_REAJUSTE18!$A:$B,2,0),0))),""))),4)</f>
        <v>#VALUE!</v>
      </c>
      <c r="AIT4" s="44" t="e">
        <f>ROUNDUP(IF(IFERROR(IF($AIK4="","",IF($AIK4=0,1,1-$AIK4/HLOOKUP(AIT$3,[2]ARBOR_REAJUSTE18!$A:$AE,VLOOKUP($AIK$2,[2]ARBOR_REAJUSTE18!$A:$B,2,0),0))),"")&lt;0.01%,0.01%,(IFERROR(IF($AIK4="","",IF($AIK4=0,1,1-$AIK4/HLOOKUP(AIT$3,[2]ARBOR_REAJUSTE18!$A:$AE,VLOOKUP($AIK$2,[2]ARBOR_REAJUSTE18!$A:$B,2,0),0))),""))),4)</f>
        <v>#VALUE!</v>
      </c>
      <c r="AIU4" s="44" t="e">
        <f>ROUNDUP(IF(IFERROR(IF($AIK4="","",IF($AIK4=0,1,1-$AIK4/HLOOKUP(AIU$3,[2]ARBOR_REAJUSTE18!$A:$AE,VLOOKUP($AIK$2,[2]ARBOR_REAJUSTE18!$A:$B,2,0),0))),"")&lt;0.01%,0.01%,(IFERROR(IF($AIK4="","",IF($AIK4=0,1,1-$AIK4/HLOOKUP(AIU$3,[2]ARBOR_REAJUSTE18!$A:$AE,VLOOKUP($AIK$2,[2]ARBOR_REAJUSTE18!$A:$B,2,0),0))),""))),4)</f>
        <v>#VALUE!</v>
      </c>
      <c r="AIV4" s="44" t="e">
        <f>ROUNDUP(IF(IFERROR(IF($AIK4="","",IF($AIK4=0,1,1-$AIK4/HLOOKUP(AIV$3,[2]ARBOR_REAJUSTE18!$A:$AE,VLOOKUP($AIK$2,[2]ARBOR_REAJUSTE18!$A:$B,2,0),0))),"")&lt;0.01%,0.01%,(IFERROR(IF($AIK4="","",IF($AIK4=0,1,1-$AIK4/HLOOKUP(AIV$3,[2]ARBOR_REAJUSTE18!$A:$AE,VLOOKUP($AIK$2,[2]ARBOR_REAJUSTE18!$A:$B,2,0),0))),""))),4)</f>
        <v>#VALUE!</v>
      </c>
      <c r="AIW4" s="44" t="e">
        <f>ROUNDUP(IF(IFERROR(IF($AIK4="","",IF($AIK4=0,1,1-$AIK4/HLOOKUP(AIW$3,[2]ARBOR_REAJUSTE18!$A:$AE,VLOOKUP($AIK$2,[2]ARBOR_REAJUSTE18!$A:$B,2,0),0))),"")&lt;0.01%,0.01%,(IFERROR(IF($AIK4="","",IF($AIK4=0,1,1-$AIK4/HLOOKUP(AIW$3,[2]ARBOR_REAJUSTE18!$A:$AE,VLOOKUP($AIK$2,[2]ARBOR_REAJUSTE18!$A:$B,2,0),0))),""))),4)</f>
        <v>#VALUE!</v>
      </c>
      <c r="AIX4" s="44" t="e">
        <f>ROUNDUP(IF(IFERROR(IF($AIK4="","",IF($AIK4=0,1,1-$AIK4/HLOOKUP(AIX$3,[2]ARBOR_REAJUSTE18!$A:$AE,VLOOKUP($AIK$2,[2]ARBOR_REAJUSTE18!$A:$B,2,0),0))),"")&lt;0.01%,0.01%,(IFERROR(IF($AIK4="","",IF($AIK4=0,1,1-$AIK4/HLOOKUP(AIX$3,[2]ARBOR_REAJUSTE18!$A:$AE,VLOOKUP($AIK$2,[2]ARBOR_REAJUSTE18!$A:$B,2,0),0))),""))),4)</f>
        <v>#VALUE!</v>
      </c>
      <c r="AIY4" s="44" t="e">
        <f>ROUNDUP(IF(IFERROR(IF($AIK4="","",IF($AIK4=0,1,1-$AIK4/HLOOKUP(AIY$3,[2]ARBOR_REAJUSTE18!$A:$AE,VLOOKUP($AIK$2,[2]ARBOR_REAJUSTE18!$A:$B,2,0),0))),"")&lt;0.01%,0.01%,(IFERROR(IF($AIK4="","",IF($AIK4=0,1,1-$AIK4/HLOOKUP(AIY$3,[2]ARBOR_REAJUSTE18!$A:$AE,VLOOKUP($AIK$2,[2]ARBOR_REAJUSTE18!$A:$B,2,0),0))),""))),4)</f>
        <v>#VALUE!</v>
      </c>
      <c r="AIZ4" s="44" t="e">
        <f>ROUNDUP(IF(IFERROR(IF($AIK4="","",IF($AIK4=0,1,1-$AIK4/HLOOKUP(AIZ$3,[2]ARBOR_REAJUSTE18!$A:$AE,VLOOKUP($AIK$2,[2]ARBOR_REAJUSTE18!$A:$B,2,0),0))),"")&lt;0.01%,0.01%,(IFERROR(IF($AIK4="","",IF($AIK4=0,1,1-$AIK4/HLOOKUP(AIZ$3,[2]ARBOR_REAJUSTE18!$A:$AE,VLOOKUP($AIK$2,[2]ARBOR_REAJUSTE18!$A:$B,2,0),0))),""))),4)</f>
        <v>#VALUE!</v>
      </c>
      <c r="AJA4" s="44" t="e">
        <f>ROUNDUP(IF(IFERROR(IF($AIK4="","",IF($AIK4=0,1,1-$AIK4/HLOOKUP(AJA$3,[2]ARBOR_REAJUSTE18!$A:$AE,VLOOKUP($AIK$2,[2]ARBOR_REAJUSTE18!$A:$B,2,0),0))),"")&lt;0.01%,0.01%,(IFERROR(IF($AIK4="","",IF($AIK4=0,1,1-$AIK4/HLOOKUP(AJA$3,[2]ARBOR_REAJUSTE18!$A:$AE,VLOOKUP($AIK$2,[2]ARBOR_REAJUSTE18!$A:$B,2,0),0))),""))),4)</f>
        <v>#VALUE!</v>
      </c>
      <c r="AJB4" s="44" t="e">
        <f>ROUNDUP(IF(IFERROR(IF($AIK4="","",IF($AIK4=0,1,1-$AIK4/HLOOKUP(AJB$3,[2]ARBOR_REAJUSTE18!$A:$AE,VLOOKUP($AIK$2,[2]ARBOR_REAJUSTE18!$A:$B,2,0),0))),"")&lt;0.01%,0.01%,(IFERROR(IF($AIK4="","",IF($AIK4=0,1,1-$AIK4/HLOOKUP(AJB$3,[2]ARBOR_REAJUSTE18!$A:$AE,VLOOKUP($AIK$2,[2]ARBOR_REAJUSTE18!$A:$B,2,0),0))),""))),4)</f>
        <v>#VALUE!</v>
      </c>
      <c r="AJC4" s="44" t="e">
        <f>ROUNDUP(IF(IFERROR(IF($AIK4="","",IF($AIK4=0,1,1-$AIK4/HLOOKUP(AJC$3,[2]ARBOR_REAJUSTE18!$A:$AE,VLOOKUP($AIK$2,[2]ARBOR_REAJUSTE18!$A:$B,2,0),0))),"")&lt;0.01%,0.01%,(IFERROR(IF($AIK4="","",IF($AIK4=0,1,1-$AIK4/HLOOKUP(AJC$3,[2]ARBOR_REAJUSTE18!$A:$AE,VLOOKUP($AIK$2,[2]ARBOR_REAJUSTE18!$A:$B,2,0),0))),""))),4)</f>
        <v>#VALUE!</v>
      </c>
      <c r="AJD4" s="44" t="e">
        <f>ROUNDUP(IF(IFERROR(IF($AIK4="","",IF($AIK4=0,1,1-$AIK4/HLOOKUP(AJD$3,[2]ARBOR_REAJUSTE18!$A:$AE,VLOOKUP($AIK$2,[2]ARBOR_REAJUSTE18!$A:$B,2,0),0))),"")&lt;0.01%,0.01%,(IFERROR(IF($AIK4="","",IF($AIK4=0,1,1-$AIK4/HLOOKUP(AJD$3,[2]ARBOR_REAJUSTE18!$A:$AE,VLOOKUP($AIK$2,[2]ARBOR_REAJUSTE18!$A:$B,2,0),0))),""))),4)</f>
        <v>#VALUE!</v>
      </c>
      <c r="AJE4" s="44" t="e">
        <f>ROUNDUP(IF(IFERROR(IF($AIK4="","",IF($AIK4=0,1,1-$AIK4/HLOOKUP(AJE$3,[2]ARBOR_REAJUSTE18!$A:$AE,VLOOKUP($AIK$2,[2]ARBOR_REAJUSTE18!$A:$B,2,0),0))),"")&lt;0.01%,0.01%,(IFERROR(IF($AIK4="","",IF($AIK4=0,1,1-$AIK4/HLOOKUP(AJE$3,[2]ARBOR_REAJUSTE18!$A:$AE,VLOOKUP($AIK$2,[2]ARBOR_REAJUSTE18!$A:$B,2,0),0))),""))),4)</f>
        <v>#VALUE!</v>
      </c>
      <c r="AJF4" s="44" t="e">
        <f>ROUNDUP(IF(IFERROR(IF($AIK4="","",IF($AIK4=0,1,1-$AIK4/HLOOKUP(AJF$3,[2]ARBOR_REAJUSTE18!$A:$AE,VLOOKUP($AIK$2,[2]ARBOR_REAJUSTE18!$A:$B,2,0),0))),"")&lt;0.01%,0.01%,(IFERROR(IF($AIK4="","",IF($AIK4=0,1,1-$AIK4/HLOOKUP(AJF$3,[2]ARBOR_REAJUSTE18!$A:$AE,VLOOKUP($AIK$2,[2]ARBOR_REAJUSTE18!$A:$B,2,0),0))),""))),4)</f>
        <v>#VALUE!</v>
      </c>
      <c r="AJG4" s="44" t="e">
        <f>ROUNDUP(IF(IFERROR(IF($AIK4="","",IF($AIK4=0,1,1-$AIK4/HLOOKUP(AJG$3,[2]ARBOR_REAJUSTE18!$A:$AE,VLOOKUP($AIK$2,[2]ARBOR_REAJUSTE18!$A:$B,2,0),0))),"")&lt;0.01%,0.01%,(IFERROR(IF($AIK4="","",IF($AIK4=0,1,1-$AIK4/HLOOKUP(AJG$3,[2]ARBOR_REAJUSTE18!$A:$AE,VLOOKUP($AIK$2,[2]ARBOR_REAJUSTE18!$A:$B,2,0),0))),""))),4)</f>
        <v>#VALUE!</v>
      </c>
      <c r="AJH4" s="44" t="e">
        <f>ROUNDUP(IF(IFERROR(IF($AIK4="","",IF($AIK4=0,1,1-$AIK4/HLOOKUP(AJH$3,[2]ARBOR_REAJUSTE18!$A:$AE,VLOOKUP($AIK$2,[2]ARBOR_REAJUSTE18!$A:$B,2,0),0))),"")&lt;0.01%,0.01%,(IFERROR(IF($AIK4="","",IF($AIK4=0,1,1-$AIK4/HLOOKUP(AJH$3,[2]ARBOR_REAJUSTE18!$A:$AE,VLOOKUP($AIK$2,[2]ARBOR_REAJUSTE18!$A:$B,2,0),0))),""))),4)</f>
        <v>#VALUE!</v>
      </c>
      <c r="AJI4" s="44" t="e">
        <f>ROUNDUP(IF(IFERROR(IF($AIK4="","",IF($AIK4=0,1,1-$AIK4/HLOOKUP(AJI$3,[2]ARBOR_REAJUSTE18!$A:$AE,VLOOKUP($AIK$2,[2]ARBOR_REAJUSTE18!$A:$B,2,0),0))),"")&lt;0.01%,0.01%,(IFERROR(IF($AIK4="","",IF($AIK4=0,1,1-$AIK4/HLOOKUP(AJI$3,[2]ARBOR_REAJUSTE18!$A:$AE,VLOOKUP($AIK$2,[2]ARBOR_REAJUSTE18!$A:$B,2,0),0))),""))),4)</f>
        <v>#VALUE!</v>
      </c>
      <c r="AJJ4" s="44" t="e">
        <f>ROUNDUP(IF(IFERROR(IF($AIK4="","",IF($AIK4=0,1,1-$AIK4/HLOOKUP(AJJ$3,[2]ARBOR_REAJUSTE18!$A:$AE,VLOOKUP($AIK$2,[2]ARBOR_REAJUSTE18!$A:$B,2,0),0))),"")&lt;0.01%,0.01%,(IFERROR(IF($AIK4="","",IF($AIK4=0,1,1-$AIK4/HLOOKUP(AJJ$3,[2]ARBOR_REAJUSTE18!$A:$AE,VLOOKUP($AIK$2,[2]ARBOR_REAJUSTE18!$A:$B,2,0),0))),""))),4)</f>
        <v>#VALUE!</v>
      </c>
      <c r="AJK4" s="44" t="e">
        <f>ROUNDUP(IF(IFERROR(IF($AIK4="","",IF($AIK4=0,1,1-$AIK4/HLOOKUP(AJK$3,[2]ARBOR_REAJUSTE18!$A:$AE,VLOOKUP($AIK$2,[2]ARBOR_REAJUSTE18!$A:$B,2,0),0))),"")&lt;0.01%,0.01%,(IFERROR(IF($AIK4="","",IF($AIK4=0,1,1-$AIK4/HLOOKUP(AJK$3,[2]ARBOR_REAJUSTE18!$A:$AE,VLOOKUP($AIK$2,[2]ARBOR_REAJUSTE18!$A:$B,2,0),0))),""))),4)</f>
        <v>#VALUE!</v>
      </c>
      <c r="AJL4" s="44" t="e">
        <f>ROUNDUP(IF(IFERROR(IF($AIK4="","",IF($AIK4=0,1,1-$AIK4/HLOOKUP(AJL$3,[2]ARBOR_REAJUSTE18!$A:$AE,VLOOKUP($AIK$2,[2]ARBOR_REAJUSTE18!$A:$B,2,0),0))),"")&lt;0.01%,0.01%,(IFERROR(IF($AIK4="","",IF($AIK4=0,1,1-$AIK4/HLOOKUP(AJL$3,[2]ARBOR_REAJUSTE18!$A:$AE,VLOOKUP($AIK$2,[2]ARBOR_REAJUSTE18!$A:$B,2,0),0))),""))),4)</f>
        <v>#VALUE!</v>
      </c>
      <c r="AJM4" s="44" t="e">
        <f>ROUNDUP(IF(IFERROR(IF($AIK4="","",IF($AIK4=0,1,1-$AIK4/HLOOKUP(AJM$3,[2]ARBOR_REAJUSTE18!$A:$AE,VLOOKUP($AIK$2,[2]ARBOR_REAJUSTE18!$A:$B,2,0),0))),"")&lt;0.01%,0.01%,(IFERROR(IF($AIK4="","",IF($AIK4=0,1,1-$AIK4/HLOOKUP(AJM$3,[2]ARBOR_REAJUSTE18!$A:$AE,VLOOKUP($AIK$2,[2]ARBOR_REAJUSTE18!$A:$B,2,0),0))),""))),4)</f>
        <v>#VALUE!</v>
      </c>
      <c r="AJN4" s="56"/>
      <c r="AJO4" s="64"/>
      <c r="AJP4" s="44" t="e">
        <f>ROUNDUP(IF(IFERROR(IF($AJN4="","",IF($AJN4=0,1,1-$AJN4/HLOOKUP(AJP$3,[2]ARBOR_REAJUSTE18!$A:$AE,VLOOKUP($AJN$2,[2]ARBOR_REAJUSTE18!$A:$B,2,0),0))),"")&lt;0.01%,0.01%,(IFERROR(IF($AJN4="","",IF($AJN4=0,1,1-$AJN4/HLOOKUP(AJP$3,[2]ARBOR_REAJUSTE18!$A:$AE,VLOOKUP($AJN$2,[2]ARBOR_REAJUSTE18!$A:$B,2,0),0))),""))),4)</f>
        <v>#VALUE!</v>
      </c>
      <c r="AJQ4" s="44" t="e">
        <f>ROUNDUP(IF(IFERROR(IF($AJN4="","",IF($AJN4=0,1,1-$AJN4/HLOOKUP(AJQ$3,[2]ARBOR_REAJUSTE18!$A:$AE,VLOOKUP($AJN$2,[2]ARBOR_REAJUSTE18!$A:$B,2,0),0))),"")&lt;0.01%,0.01%,(IFERROR(IF($AJN4="","",IF($AJN4=0,1,1-$AJN4/HLOOKUP(AJQ$3,[2]ARBOR_REAJUSTE18!$A:$AE,VLOOKUP($AJN$2,[2]ARBOR_REAJUSTE18!$A:$B,2,0),0))),""))),4)</f>
        <v>#VALUE!</v>
      </c>
      <c r="AJR4" s="44" t="e">
        <f>ROUNDUP(IF(IFERROR(IF($AJN4="","",IF($AJN4=0,1,1-$AJN4/HLOOKUP(AJR$3,[2]ARBOR_REAJUSTE18!$A:$AE,VLOOKUP($AJN$2,[2]ARBOR_REAJUSTE18!$A:$B,2,0),0))),"")&lt;0.01%,0.01%,(IFERROR(IF($AJN4="","",IF($AJN4=0,1,1-$AJN4/HLOOKUP(AJR$3,[2]ARBOR_REAJUSTE18!$A:$AE,VLOOKUP($AJN$2,[2]ARBOR_REAJUSTE18!$A:$B,2,0),0))),""))),4)</f>
        <v>#VALUE!</v>
      </c>
      <c r="AJS4" s="44" t="e">
        <f>ROUNDUP(IF(IFERROR(IF($AJN4="","",IF($AJN4=0,1,1-$AJN4/HLOOKUP(AJS$3,[2]ARBOR_REAJUSTE18!$A:$AE,VLOOKUP($AJN$2,[2]ARBOR_REAJUSTE18!$A:$B,2,0),0))),"")&lt;0.01%,0.01%,(IFERROR(IF($AJN4="","",IF($AJN4=0,1,1-$AJN4/HLOOKUP(AJS$3,[2]ARBOR_REAJUSTE18!$A:$AE,VLOOKUP($AJN$2,[2]ARBOR_REAJUSTE18!$A:$B,2,0),0))),""))),4)</f>
        <v>#VALUE!</v>
      </c>
      <c r="AJT4" s="44" t="e">
        <f>ROUNDUP(IF(IFERROR(IF($AJN4="","",IF($AJN4=0,1,1-$AJN4/HLOOKUP(AJT$3,[2]ARBOR_REAJUSTE18!$A:$AE,VLOOKUP($AJN$2,[2]ARBOR_REAJUSTE18!$A:$B,2,0),0))),"")&lt;0.01%,0.01%,(IFERROR(IF($AJN4="","",IF($AJN4=0,1,1-$AJN4/HLOOKUP(AJT$3,[2]ARBOR_REAJUSTE18!$A:$AE,VLOOKUP($AJN$2,[2]ARBOR_REAJUSTE18!$A:$B,2,0),0))),""))),4)</f>
        <v>#VALUE!</v>
      </c>
      <c r="AJU4" s="44" t="e">
        <f>ROUNDUP(IF(IFERROR(IF($AJN4="","",IF($AJN4=0,1,1-$AJN4/HLOOKUP(AJU$3,[2]ARBOR_REAJUSTE18!$A:$AE,VLOOKUP($AJN$2,[2]ARBOR_REAJUSTE18!$A:$B,2,0),0))),"")&lt;0.01%,0.01%,(IFERROR(IF($AJN4="","",IF($AJN4=0,1,1-$AJN4/HLOOKUP(AJU$3,[2]ARBOR_REAJUSTE18!$A:$AE,VLOOKUP($AJN$2,[2]ARBOR_REAJUSTE18!$A:$B,2,0),0))),""))),4)</f>
        <v>#VALUE!</v>
      </c>
      <c r="AJV4" s="44" t="e">
        <f>ROUNDUP(IF(IFERROR(IF($AJN4="","",IF($AJN4=0,1,1-$AJN4/HLOOKUP(AJV$3,[2]ARBOR_REAJUSTE18!$A:$AE,VLOOKUP($AJN$2,[2]ARBOR_REAJUSTE18!$A:$B,2,0),0))),"")&lt;0.01%,0.01%,(IFERROR(IF($AJN4="","",IF($AJN4=0,1,1-$AJN4/HLOOKUP(AJV$3,[2]ARBOR_REAJUSTE18!$A:$AE,VLOOKUP($AJN$2,[2]ARBOR_REAJUSTE18!$A:$B,2,0),0))),""))),4)</f>
        <v>#VALUE!</v>
      </c>
      <c r="AJW4" s="44" t="e">
        <f>ROUNDUP(IF(IFERROR(IF($AJN4="","",IF($AJN4=0,1,1-$AJN4/HLOOKUP(AJW$3,[2]ARBOR_REAJUSTE18!$A:$AE,VLOOKUP($AJN$2,[2]ARBOR_REAJUSTE18!$A:$B,2,0),0))),"")&lt;0.01%,0.01%,(IFERROR(IF($AJN4="","",IF($AJN4=0,1,1-$AJN4/HLOOKUP(AJW$3,[2]ARBOR_REAJUSTE18!$A:$AE,VLOOKUP($AJN$2,[2]ARBOR_REAJUSTE18!$A:$B,2,0),0))),""))),4)</f>
        <v>#VALUE!</v>
      </c>
      <c r="AJX4" s="44" t="e">
        <f>ROUNDUP(IF(IFERROR(IF($AJN4="","",IF($AJN4=0,1,1-$AJN4/HLOOKUP(AJX$3,[2]ARBOR_REAJUSTE18!$A:$AE,VLOOKUP($AJN$2,[2]ARBOR_REAJUSTE18!$A:$B,2,0),0))),"")&lt;0.01%,0.01%,(IFERROR(IF($AJN4="","",IF($AJN4=0,1,1-$AJN4/HLOOKUP(AJX$3,[2]ARBOR_REAJUSTE18!$A:$AE,VLOOKUP($AJN$2,[2]ARBOR_REAJUSTE18!$A:$B,2,0),0))),""))),4)</f>
        <v>#VALUE!</v>
      </c>
      <c r="AJY4" s="44" t="e">
        <f>ROUNDUP(IF(IFERROR(IF($AJN4="","",IF($AJN4=0,1,1-$AJN4/HLOOKUP(AJY$3,[2]ARBOR_REAJUSTE18!$A:$AE,VLOOKUP($AJN$2,[2]ARBOR_REAJUSTE18!$A:$B,2,0),0))),"")&lt;0.01%,0.01%,(IFERROR(IF($AJN4="","",IF($AJN4=0,1,1-$AJN4/HLOOKUP(AJY$3,[2]ARBOR_REAJUSTE18!$A:$AE,VLOOKUP($AJN$2,[2]ARBOR_REAJUSTE18!$A:$B,2,0),0))),""))),4)</f>
        <v>#VALUE!</v>
      </c>
      <c r="AJZ4" s="44" t="e">
        <f>ROUNDUP(IF(IFERROR(IF($AJN4="","",IF($AJN4=0,1,1-$AJN4/HLOOKUP(AJZ$3,[2]ARBOR_REAJUSTE18!$A:$AE,VLOOKUP($AJN$2,[2]ARBOR_REAJUSTE18!$A:$B,2,0),0))),"")&lt;0.01%,0.01%,(IFERROR(IF($AJN4="","",IF($AJN4=0,1,1-$AJN4/HLOOKUP(AJZ$3,[2]ARBOR_REAJUSTE18!$A:$AE,VLOOKUP($AJN$2,[2]ARBOR_REAJUSTE18!$A:$B,2,0),0))),""))),4)</f>
        <v>#VALUE!</v>
      </c>
      <c r="AKA4" s="44" t="e">
        <f>ROUNDUP(IF(IFERROR(IF($AJN4="","",IF($AJN4=0,1,1-$AJN4/HLOOKUP(AKA$3,[2]ARBOR_REAJUSTE18!$A:$AE,VLOOKUP($AJN$2,[2]ARBOR_REAJUSTE18!$A:$B,2,0),0))),"")&lt;0.01%,0.01%,(IFERROR(IF($AJN4="","",IF($AJN4=0,1,1-$AJN4/HLOOKUP(AKA$3,[2]ARBOR_REAJUSTE18!$A:$AE,VLOOKUP($AJN$2,[2]ARBOR_REAJUSTE18!$A:$B,2,0),0))),""))),4)</f>
        <v>#VALUE!</v>
      </c>
      <c r="AKB4" s="44" t="e">
        <f>ROUNDUP(IF(IFERROR(IF($AJN4="","",IF($AJN4=0,1,1-$AJN4/HLOOKUP(AKB$3,[2]ARBOR_REAJUSTE18!$A:$AE,VLOOKUP($AJN$2,[2]ARBOR_REAJUSTE18!$A:$B,2,0),0))),"")&lt;0.01%,0.01%,(IFERROR(IF($AJN4="","",IF($AJN4=0,1,1-$AJN4/HLOOKUP(AKB$3,[2]ARBOR_REAJUSTE18!$A:$AE,VLOOKUP($AJN$2,[2]ARBOR_REAJUSTE18!$A:$B,2,0),0))),""))),4)</f>
        <v>#VALUE!</v>
      </c>
      <c r="AKC4" s="44" t="e">
        <f>ROUNDUP(IF(IFERROR(IF($AJN4="","",IF($AJN4=0,1,1-$AJN4/HLOOKUP(AKC$3,[2]ARBOR_REAJUSTE18!$A:$AE,VLOOKUP($AJN$2,[2]ARBOR_REAJUSTE18!$A:$B,2,0),0))),"")&lt;0.01%,0.01%,(IFERROR(IF($AJN4="","",IF($AJN4=0,1,1-$AJN4/HLOOKUP(AKC$3,[2]ARBOR_REAJUSTE18!$A:$AE,VLOOKUP($AJN$2,[2]ARBOR_REAJUSTE18!$A:$B,2,0),0))),""))),4)</f>
        <v>#VALUE!</v>
      </c>
      <c r="AKD4" s="44" t="e">
        <f>ROUNDUP(IF(IFERROR(IF($AJN4="","",IF($AJN4=0,1,1-$AJN4/HLOOKUP(AKD$3,[2]ARBOR_REAJUSTE18!$A:$AE,VLOOKUP($AJN$2,[2]ARBOR_REAJUSTE18!$A:$B,2,0),0))),"")&lt;0.01%,0.01%,(IFERROR(IF($AJN4="","",IF($AJN4=0,1,1-$AJN4/HLOOKUP(AKD$3,[2]ARBOR_REAJUSTE18!$A:$AE,VLOOKUP($AJN$2,[2]ARBOR_REAJUSTE18!$A:$B,2,0),0))),""))),4)</f>
        <v>#VALUE!</v>
      </c>
      <c r="AKE4" s="44" t="e">
        <f>ROUNDUP(IF(IFERROR(IF($AJN4="","",IF($AJN4=0,1,1-$AJN4/HLOOKUP(AKE$3,[2]ARBOR_REAJUSTE18!$A:$AE,VLOOKUP($AJN$2,[2]ARBOR_REAJUSTE18!$A:$B,2,0),0))),"")&lt;0.01%,0.01%,(IFERROR(IF($AJN4="","",IF($AJN4=0,1,1-$AJN4/HLOOKUP(AKE$3,[2]ARBOR_REAJUSTE18!$A:$AE,VLOOKUP($AJN$2,[2]ARBOR_REAJUSTE18!$A:$B,2,0),0))),""))),4)</f>
        <v>#VALUE!</v>
      </c>
      <c r="AKF4" s="44" t="e">
        <f>ROUNDUP(IF(IFERROR(IF($AJN4="","",IF($AJN4=0,1,1-$AJN4/HLOOKUP(AKF$3,[2]ARBOR_REAJUSTE18!$A:$AE,VLOOKUP($AJN$2,[2]ARBOR_REAJUSTE18!$A:$B,2,0),0))),"")&lt;0.01%,0.01%,(IFERROR(IF($AJN4="","",IF($AJN4=0,1,1-$AJN4/HLOOKUP(AKF$3,[2]ARBOR_REAJUSTE18!$A:$AE,VLOOKUP($AJN$2,[2]ARBOR_REAJUSTE18!$A:$B,2,0),0))),""))),4)</f>
        <v>#VALUE!</v>
      </c>
      <c r="AKG4" s="44" t="e">
        <f>ROUNDUP(IF(IFERROR(IF($AJN4="","",IF($AJN4=0,1,1-$AJN4/HLOOKUP(AKG$3,[2]ARBOR_REAJUSTE18!$A:$AE,VLOOKUP($AJN$2,[2]ARBOR_REAJUSTE18!$A:$B,2,0),0))),"")&lt;0.01%,0.01%,(IFERROR(IF($AJN4="","",IF($AJN4=0,1,1-$AJN4/HLOOKUP(AKG$3,[2]ARBOR_REAJUSTE18!$A:$AE,VLOOKUP($AJN$2,[2]ARBOR_REAJUSTE18!$A:$B,2,0),0))),""))),4)</f>
        <v>#VALUE!</v>
      </c>
      <c r="AKH4" s="44" t="e">
        <f>ROUNDUP(IF(IFERROR(IF($AJN4="","",IF($AJN4=0,1,1-$AJN4/HLOOKUP(AKH$3,[2]ARBOR_REAJUSTE18!$A:$AE,VLOOKUP($AJN$2,[2]ARBOR_REAJUSTE18!$A:$B,2,0),0))),"")&lt;0.01%,0.01%,(IFERROR(IF($AJN4="","",IF($AJN4=0,1,1-$AJN4/HLOOKUP(AKH$3,[2]ARBOR_REAJUSTE18!$A:$AE,VLOOKUP($AJN$2,[2]ARBOR_REAJUSTE18!$A:$B,2,0),0))),""))),4)</f>
        <v>#VALUE!</v>
      </c>
      <c r="AKI4" s="44" t="e">
        <f>ROUNDUP(IF(IFERROR(IF($AJN4="","",IF($AJN4=0,1,1-$AJN4/HLOOKUP(AKI$3,[2]ARBOR_REAJUSTE18!$A:$AE,VLOOKUP($AJN$2,[2]ARBOR_REAJUSTE18!$A:$B,2,0),0))),"")&lt;0.01%,0.01%,(IFERROR(IF($AJN4="","",IF($AJN4=0,1,1-$AJN4/HLOOKUP(AKI$3,[2]ARBOR_REAJUSTE18!$A:$AE,VLOOKUP($AJN$2,[2]ARBOR_REAJUSTE18!$A:$B,2,0),0))),""))),4)</f>
        <v>#VALUE!</v>
      </c>
      <c r="AKJ4" s="44" t="e">
        <f>ROUNDUP(IF(IFERROR(IF($AJN4="","",IF($AJN4=0,1,1-$AJN4/HLOOKUP(AKJ$3,[2]ARBOR_REAJUSTE18!$A:$AE,VLOOKUP($AJN$2,[2]ARBOR_REAJUSTE18!$A:$B,2,0),0))),"")&lt;0.01%,0.01%,(IFERROR(IF($AJN4="","",IF($AJN4=0,1,1-$AJN4/HLOOKUP(AKJ$3,[2]ARBOR_REAJUSTE18!$A:$AE,VLOOKUP($AJN$2,[2]ARBOR_REAJUSTE18!$A:$B,2,0),0))),""))),4)</f>
        <v>#VALUE!</v>
      </c>
      <c r="AKK4" s="44" t="e">
        <f>ROUNDUP(IF(IFERROR(IF($AJN4="","",IF($AJN4=0,1,1-$AJN4/HLOOKUP(AKK$3,[2]ARBOR_REAJUSTE18!$A:$AE,VLOOKUP($AJN$2,[2]ARBOR_REAJUSTE18!$A:$B,2,0),0))),"")&lt;0.01%,0.01%,(IFERROR(IF($AJN4="","",IF($AJN4=0,1,1-$AJN4/HLOOKUP(AKK$3,[2]ARBOR_REAJUSTE18!$A:$AE,VLOOKUP($AJN$2,[2]ARBOR_REAJUSTE18!$A:$B,2,0),0))),""))),4)</f>
        <v>#VALUE!</v>
      </c>
      <c r="AKL4" s="44" t="e">
        <f>ROUNDUP(IF(IFERROR(IF($AJN4="","",IF($AJN4=0,1,1-$AJN4/HLOOKUP(AKL$3,[2]ARBOR_REAJUSTE18!$A:$AE,VLOOKUP($AJN$2,[2]ARBOR_REAJUSTE18!$A:$B,2,0),0))),"")&lt;0.01%,0.01%,(IFERROR(IF($AJN4="","",IF($AJN4=0,1,1-$AJN4/HLOOKUP(AKL$3,[2]ARBOR_REAJUSTE18!$A:$AE,VLOOKUP($AJN$2,[2]ARBOR_REAJUSTE18!$A:$B,2,0),0))),""))),4)</f>
        <v>#VALUE!</v>
      </c>
      <c r="AKM4" s="44" t="e">
        <f>ROUNDUP(IF(IFERROR(IF($AJN4="","",IF($AJN4=0,1,1-$AJN4/HLOOKUP(AKM$3,[2]ARBOR_REAJUSTE18!$A:$AE,VLOOKUP($AJN$2,[2]ARBOR_REAJUSTE18!$A:$B,2,0),0))),"")&lt;0.01%,0.01%,(IFERROR(IF($AJN4="","",IF($AJN4=0,1,1-$AJN4/HLOOKUP(AKM$3,[2]ARBOR_REAJUSTE18!$A:$AE,VLOOKUP($AJN$2,[2]ARBOR_REAJUSTE18!$A:$B,2,0),0))),""))),4)</f>
        <v>#VALUE!</v>
      </c>
      <c r="AKN4" s="44" t="e">
        <f>ROUNDUP(IF(IFERROR(IF($AJN4="","",IF($AJN4=0,1,1-$AJN4/HLOOKUP(AKN$3,[2]ARBOR_REAJUSTE18!$A:$AE,VLOOKUP($AJN$2,[2]ARBOR_REAJUSTE18!$A:$B,2,0),0))),"")&lt;0.01%,0.01%,(IFERROR(IF($AJN4="","",IF($AJN4=0,1,1-$AJN4/HLOOKUP(AKN$3,[2]ARBOR_REAJUSTE18!$A:$AE,VLOOKUP($AJN$2,[2]ARBOR_REAJUSTE18!$A:$B,2,0),0))),""))),4)</f>
        <v>#VALUE!</v>
      </c>
      <c r="AKO4" s="44" t="e">
        <f>ROUNDUP(IF(IFERROR(IF($AJN4="","",IF($AJN4=0,1,1-$AJN4/HLOOKUP(AKO$3,[2]ARBOR_REAJUSTE18!$A:$AE,VLOOKUP($AJN$2,[2]ARBOR_REAJUSTE18!$A:$B,2,0),0))),"")&lt;0.01%,0.01%,(IFERROR(IF($AJN4="","",IF($AJN4=0,1,1-$AJN4/HLOOKUP(AKO$3,[2]ARBOR_REAJUSTE18!$A:$AE,VLOOKUP($AJN$2,[2]ARBOR_REAJUSTE18!$A:$B,2,0),0))),""))),4)</f>
        <v>#VALUE!</v>
      </c>
      <c r="AKP4" s="44" t="e">
        <f>ROUNDUP(IF(IFERROR(IF($AJN4="","",IF($AJN4=0,1,1-$AJN4/HLOOKUP(AKP$3,[2]ARBOR_REAJUSTE18!$A:$AE,VLOOKUP($AJN$2,[2]ARBOR_REAJUSTE18!$A:$B,2,0),0))),"")&lt;0.01%,0.01%,(IFERROR(IF($AJN4="","",IF($AJN4=0,1,1-$AJN4/HLOOKUP(AKP$3,[2]ARBOR_REAJUSTE18!$A:$AE,VLOOKUP($AJN$2,[2]ARBOR_REAJUSTE18!$A:$B,2,0),0))),""))),4)</f>
        <v>#VALUE!</v>
      </c>
      <c r="AKQ4" s="56"/>
      <c r="AKR4" s="64"/>
      <c r="AKS4" s="44" t="e">
        <f>ROUNDUP(IF(IFERROR(IF($AKQ4="","",IF($AKQ4=0,1,1-$AKQ4/HLOOKUP(AKS$3,[2]ARBOR_REAJUSTE18!$A:$AE,VLOOKUP($AKQ$2,[2]ARBOR_REAJUSTE18!$A:$B,2,0),0))),"")&lt;0.01%,0.01%,(IFERROR(IF($AKQ4="","",IF($AKQ4=0,1,1-$AKQ4/HLOOKUP(AKS$3,[2]ARBOR_REAJUSTE18!$A:$AE,VLOOKUP($AKQ$2,[2]ARBOR_REAJUSTE18!$A:$B,2,0),0))),""))),4)</f>
        <v>#VALUE!</v>
      </c>
      <c r="AKT4" s="44" t="e">
        <f>ROUNDUP(IF(IFERROR(IF($AKQ4="","",IF($AKQ4=0,1,1-$AKQ4/HLOOKUP(AKT$3,[2]ARBOR_REAJUSTE18!$A:$AE,VLOOKUP($AKQ$2,[2]ARBOR_REAJUSTE18!$A:$B,2,0),0))),"")&lt;0.01%,0.01%,(IFERROR(IF($AKQ4="","",IF($AKQ4=0,1,1-$AKQ4/HLOOKUP(AKT$3,[2]ARBOR_REAJUSTE18!$A:$AE,VLOOKUP($AKQ$2,[2]ARBOR_REAJUSTE18!$A:$B,2,0),0))),""))),4)</f>
        <v>#VALUE!</v>
      </c>
      <c r="AKU4" s="44" t="e">
        <f>ROUNDUP(IF(IFERROR(IF($AKQ4="","",IF($AKQ4=0,1,1-$AKQ4/HLOOKUP(AKU$3,[2]ARBOR_REAJUSTE18!$A:$AE,VLOOKUP($AKQ$2,[2]ARBOR_REAJUSTE18!$A:$B,2,0),0))),"")&lt;0.01%,0.01%,(IFERROR(IF($AKQ4="","",IF($AKQ4=0,1,1-$AKQ4/HLOOKUP(AKU$3,[2]ARBOR_REAJUSTE18!$A:$AE,VLOOKUP($AKQ$2,[2]ARBOR_REAJUSTE18!$A:$B,2,0),0))),""))),4)</f>
        <v>#VALUE!</v>
      </c>
      <c r="AKV4" s="44" t="e">
        <f>ROUNDUP(IF(IFERROR(IF($AKQ4="","",IF($AKQ4=0,1,1-$AKQ4/HLOOKUP(AKV$3,[2]ARBOR_REAJUSTE18!$A:$AE,VLOOKUP($AKQ$2,[2]ARBOR_REAJUSTE18!$A:$B,2,0),0))),"")&lt;0.01%,0.01%,(IFERROR(IF($AKQ4="","",IF($AKQ4=0,1,1-$AKQ4/HLOOKUP(AKV$3,[2]ARBOR_REAJUSTE18!$A:$AE,VLOOKUP($AKQ$2,[2]ARBOR_REAJUSTE18!$A:$B,2,0),0))),""))),4)</f>
        <v>#VALUE!</v>
      </c>
      <c r="AKW4" s="44" t="e">
        <f>ROUNDUP(IF(IFERROR(IF($AKQ4="","",IF($AKQ4=0,1,1-$AKQ4/HLOOKUP(AKW$3,[2]ARBOR_REAJUSTE18!$A:$AE,VLOOKUP($AKQ$2,[2]ARBOR_REAJUSTE18!$A:$B,2,0),0))),"")&lt;0.01%,0.01%,(IFERROR(IF($AKQ4="","",IF($AKQ4=0,1,1-$AKQ4/HLOOKUP(AKW$3,[2]ARBOR_REAJUSTE18!$A:$AE,VLOOKUP($AKQ$2,[2]ARBOR_REAJUSTE18!$A:$B,2,0),0))),""))),4)</f>
        <v>#VALUE!</v>
      </c>
      <c r="AKX4" s="44" t="e">
        <f>ROUNDUP(IF(IFERROR(IF($AKQ4="","",IF($AKQ4=0,1,1-$AKQ4/HLOOKUP(AKX$3,[2]ARBOR_REAJUSTE18!$A:$AE,VLOOKUP($AKQ$2,[2]ARBOR_REAJUSTE18!$A:$B,2,0),0))),"")&lt;0.01%,0.01%,(IFERROR(IF($AKQ4="","",IF($AKQ4=0,1,1-$AKQ4/HLOOKUP(AKX$3,[2]ARBOR_REAJUSTE18!$A:$AE,VLOOKUP($AKQ$2,[2]ARBOR_REAJUSTE18!$A:$B,2,0),0))),""))),4)</f>
        <v>#VALUE!</v>
      </c>
      <c r="AKY4" s="44" t="e">
        <f>ROUNDUP(IF(IFERROR(IF($AKQ4="","",IF($AKQ4=0,1,1-$AKQ4/HLOOKUP(AKY$3,[2]ARBOR_REAJUSTE18!$A:$AE,VLOOKUP($AKQ$2,[2]ARBOR_REAJUSTE18!$A:$B,2,0),0))),"")&lt;0.01%,0.01%,(IFERROR(IF($AKQ4="","",IF($AKQ4=0,1,1-$AKQ4/HLOOKUP(AKY$3,[2]ARBOR_REAJUSTE18!$A:$AE,VLOOKUP($AKQ$2,[2]ARBOR_REAJUSTE18!$A:$B,2,0),0))),""))),4)</f>
        <v>#VALUE!</v>
      </c>
      <c r="AKZ4" s="44" t="e">
        <f>ROUNDUP(IF(IFERROR(IF($AKQ4="","",IF($AKQ4=0,1,1-$AKQ4/HLOOKUP(AKZ$3,[2]ARBOR_REAJUSTE18!$A:$AE,VLOOKUP($AKQ$2,[2]ARBOR_REAJUSTE18!$A:$B,2,0),0))),"")&lt;0.01%,0.01%,(IFERROR(IF($AKQ4="","",IF($AKQ4=0,1,1-$AKQ4/HLOOKUP(AKZ$3,[2]ARBOR_REAJUSTE18!$A:$AE,VLOOKUP($AKQ$2,[2]ARBOR_REAJUSTE18!$A:$B,2,0),0))),""))),4)</f>
        <v>#VALUE!</v>
      </c>
      <c r="ALA4" s="44" t="e">
        <f>ROUNDUP(IF(IFERROR(IF($AKQ4="","",IF($AKQ4=0,1,1-$AKQ4/HLOOKUP(ALA$3,[2]ARBOR_REAJUSTE18!$A:$AE,VLOOKUP($AKQ$2,[2]ARBOR_REAJUSTE18!$A:$B,2,0),0))),"")&lt;0.01%,0.01%,(IFERROR(IF($AKQ4="","",IF($AKQ4=0,1,1-$AKQ4/HLOOKUP(ALA$3,[2]ARBOR_REAJUSTE18!$A:$AE,VLOOKUP($AKQ$2,[2]ARBOR_REAJUSTE18!$A:$B,2,0),0))),""))),4)</f>
        <v>#VALUE!</v>
      </c>
      <c r="ALB4" s="44" t="e">
        <f>ROUNDUP(IF(IFERROR(IF($AKQ4="","",IF($AKQ4=0,1,1-$AKQ4/HLOOKUP(ALB$3,[2]ARBOR_REAJUSTE18!$A:$AE,VLOOKUP($AKQ$2,[2]ARBOR_REAJUSTE18!$A:$B,2,0),0))),"")&lt;0.01%,0.01%,(IFERROR(IF($AKQ4="","",IF($AKQ4=0,1,1-$AKQ4/HLOOKUP(ALB$3,[2]ARBOR_REAJUSTE18!$A:$AE,VLOOKUP($AKQ$2,[2]ARBOR_REAJUSTE18!$A:$B,2,0),0))),""))),4)</f>
        <v>#VALUE!</v>
      </c>
      <c r="ALC4" s="44" t="e">
        <f>ROUNDUP(IF(IFERROR(IF($AKQ4="","",IF($AKQ4=0,1,1-$AKQ4/HLOOKUP(ALC$3,[2]ARBOR_REAJUSTE18!$A:$AE,VLOOKUP($AKQ$2,[2]ARBOR_REAJUSTE18!$A:$B,2,0),0))),"")&lt;0.01%,0.01%,(IFERROR(IF($AKQ4="","",IF($AKQ4=0,1,1-$AKQ4/HLOOKUP(ALC$3,[2]ARBOR_REAJUSTE18!$A:$AE,VLOOKUP($AKQ$2,[2]ARBOR_REAJUSTE18!$A:$B,2,0),0))),""))),4)</f>
        <v>#VALUE!</v>
      </c>
      <c r="ALD4" s="44" t="e">
        <f>ROUNDUP(IF(IFERROR(IF($AKQ4="","",IF($AKQ4=0,1,1-$AKQ4/HLOOKUP(ALD$3,[2]ARBOR_REAJUSTE18!$A:$AE,VLOOKUP($AKQ$2,[2]ARBOR_REAJUSTE18!$A:$B,2,0),0))),"")&lt;0.01%,0.01%,(IFERROR(IF($AKQ4="","",IF($AKQ4=0,1,1-$AKQ4/HLOOKUP(ALD$3,[2]ARBOR_REAJUSTE18!$A:$AE,VLOOKUP($AKQ$2,[2]ARBOR_REAJUSTE18!$A:$B,2,0),0))),""))),4)</f>
        <v>#VALUE!</v>
      </c>
      <c r="ALE4" s="44" t="e">
        <f>ROUNDUP(IF(IFERROR(IF($AKQ4="","",IF($AKQ4=0,1,1-$AKQ4/HLOOKUP(ALE$3,[2]ARBOR_REAJUSTE18!$A:$AE,VLOOKUP($AKQ$2,[2]ARBOR_REAJUSTE18!$A:$B,2,0),0))),"")&lt;0.01%,0.01%,(IFERROR(IF($AKQ4="","",IF($AKQ4=0,1,1-$AKQ4/HLOOKUP(ALE$3,[2]ARBOR_REAJUSTE18!$A:$AE,VLOOKUP($AKQ$2,[2]ARBOR_REAJUSTE18!$A:$B,2,0),0))),""))),4)</f>
        <v>#VALUE!</v>
      </c>
      <c r="ALF4" s="44" t="e">
        <f>ROUNDUP(IF(IFERROR(IF($AKQ4="","",IF($AKQ4=0,1,1-$AKQ4/HLOOKUP(ALF$3,[2]ARBOR_REAJUSTE18!$A:$AE,VLOOKUP($AKQ$2,[2]ARBOR_REAJUSTE18!$A:$B,2,0),0))),"")&lt;0.01%,0.01%,(IFERROR(IF($AKQ4="","",IF($AKQ4=0,1,1-$AKQ4/HLOOKUP(ALF$3,[2]ARBOR_REAJUSTE18!$A:$AE,VLOOKUP($AKQ$2,[2]ARBOR_REAJUSTE18!$A:$B,2,0),0))),""))),4)</f>
        <v>#VALUE!</v>
      </c>
      <c r="ALG4" s="44" t="e">
        <f>ROUNDUP(IF(IFERROR(IF($AKQ4="","",IF($AKQ4=0,1,1-$AKQ4/HLOOKUP(ALG$3,[2]ARBOR_REAJUSTE18!$A:$AE,VLOOKUP($AKQ$2,[2]ARBOR_REAJUSTE18!$A:$B,2,0),0))),"")&lt;0.01%,0.01%,(IFERROR(IF($AKQ4="","",IF($AKQ4=0,1,1-$AKQ4/HLOOKUP(ALG$3,[2]ARBOR_REAJUSTE18!$A:$AE,VLOOKUP($AKQ$2,[2]ARBOR_REAJUSTE18!$A:$B,2,0),0))),""))),4)</f>
        <v>#VALUE!</v>
      </c>
      <c r="ALH4" s="44" t="e">
        <f>ROUNDUP(IF(IFERROR(IF($AKQ4="","",IF($AKQ4=0,1,1-$AKQ4/HLOOKUP(ALH$3,[2]ARBOR_REAJUSTE18!$A:$AE,VLOOKUP($AKQ$2,[2]ARBOR_REAJUSTE18!$A:$B,2,0),0))),"")&lt;0.01%,0.01%,(IFERROR(IF($AKQ4="","",IF($AKQ4=0,1,1-$AKQ4/HLOOKUP(ALH$3,[2]ARBOR_REAJUSTE18!$A:$AE,VLOOKUP($AKQ$2,[2]ARBOR_REAJUSTE18!$A:$B,2,0),0))),""))),4)</f>
        <v>#VALUE!</v>
      </c>
      <c r="ALI4" s="44" t="e">
        <f>ROUNDUP(IF(IFERROR(IF($AKQ4="","",IF($AKQ4=0,1,1-$AKQ4/HLOOKUP(ALI$3,[2]ARBOR_REAJUSTE18!$A:$AE,VLOOKUP($AKQ$2,[2]ARBOR_REAJUSTE18!$A:$B,2,0),0))),"")&lt;0.01%,0.01%,(IFERROR(IF($AKQ4="","",IF($AKQ4=0,1,1-$AKQ4/HLOOKUP(ALI$3,[2]ARBOR_REAJUSTE18!$A:$AE,VLOOKUP($AKQ$2,[2]ARBOR_REAJUSTE18!$A:$B,2,0),0))),""))),4)</f>
        <v>#VALUE!</v>
      </c>
      <c r="ALJ4" s="44" t="e">
        <f>ROUNDUP(IF(IFERROR(IF($AKQ4="","",IF($AKQ4=0,1,1-$AKQ4/HLOOKUP(ALJ$3,[2]ARBOR_REAJUSTE18!$A:$AE,VLOOKUP($AKQ$2,[2]ARBOR_REAJUSTE18!$A:$B,2,0),0))),"")&lt;0.01%,0.01%,(IFERROR(IF($AKQ4="","",IF($AKQ4=0,1,1-$AKQ4/HLOOKUP(ALJ$3,[2]ARBOR_REAJUSTE18!$A:$AE,VLOOKUP($AKQ$2,[2]ARBOR_REAJUSTE18!$A:$B,2,0),0))),""))),4)</f>
        <v>#VALUE!</v>
      </c>
      <c r="ALK4" s="44" t="e">
        <f>ROUNDUP(IF(IFERROR(IF($AKQ4="","",IF($AKQ4=0,1,1-$AKQ4/HLOOKUP(ALK$3,[2]ARBOR_REAJUSTE18!$A:$AE,VLOOKUP($AKQ$2,[2]ARBOR_REAJUSTE18!$A:$B,2,0),0))),"")&lt;0.01%,0.01%,(IFERROR(IF($AKQ4="","",IF($AKQ4=0,1,1-$AKQ4/HLOOKUP(ALK$3,[2]ARBOR_REAJUSTE18!$A:$AE,VLOOKUP($AKQ$2,[2]ARBOR_REAJUSTE18!$A:$B,2,0),0))),""))),4)</f>
        <v>#VALUE!</v>
      </c>
      <c r="ALL4" s="44" t="e">
        <f>ROUNDUP(IF(IFERROR(IF($AKQ4="","",IF($AKQ4=0,1,1-$AKQ4/HLOOKUP(ALL$3,[2]ARBOR_REAJUSTE18!$A:$AE,VLOOKUP($AKQ$2,[2]ARBOR_REAJUSTE18!$A:$B,2,0),0))),"")&lt;0.01%,0.01%,(IFERROR(IF($AKQ4="","",IF($AKQ4=0,1,1-$AKQ4/HLOOKUP(ALL$3,[2]ARBOR_REAJUSTE18!$A:$AE,VLOOKUP($AKQ$2,[2]ARBOR_REAJUSTE18!$A:$B,2,0),0))),""))),4)</f>
        <v>#VALUE!</v>
      </c>
      <c r="ALM4" s="44" t="e">
        <f>ROUNDUP(IF(IFERROR(IF($AKQ4="","",IF($AKQ4=0,1,1-$AKQ4/HLOOKUP(ALM$3,[2]ARBOR_REAJUSTE18!$A:$AE,VLOOKUP($AKQ$2,[2]ARBOR_REAJUSTE18!$A:$B,2,0),0))),"")&lt;0.01%,0.01%,(IFERROR(IF($AKQ4="","",IF($AKQ4=0,1,1-$AKQ4/HLOOKUP(ALM$3,[2]ARBOR_REAJUSTE18!$A:$AE,VLOOKUP($AKQ$2,[2]ARBOR_REAJUSTE18!$A:$B,2,0),0))),""))),4)</f>
        <v>#VALUE!</v>
      </c>
      <c r="ALN4" s="44" t="e">
        <f>ROUNDUP(IF(IFERROR(IF($AKQ4="","",IF($AKQ4=0,1,1-$AKQ4/HLOOKUP(ALN$3,[2]ARBOR_REAJUSTE18!$A:$AE,VLOOKUP($AKQ$2,[2]ARBOR_REAJUSTE18!$A:$B,2,0),0))),"")&lt;0.01%,0.01%,(IFERROR(IF($AKQ4="","",IF($AKQ4=0,1,1-$AKQ4/HLOOKUP(ALN$3,[2]ARBOR_REAJUSTE18!$A:$AE,VLOOKUP($AKQ$2,[2]ARBOR_REAJUSTE18!$A:$B,2,0),0))),""))),4)</f>
        <v>#VALUE!</v>
      </c>
      <c r="ALO4" s="44" t="e">
        <f>ROUNDUP(IF(IFERROR(IF($AKQ4="","",IF($AKQ4=0,1,1-$AKQ4/HLOOKUP(ALO$3,[2]ARBOR_REAJUSTE18!$A:$AE,VLOOKUP($AKQ$2,[2]ARBOR_REAJUSTE18!$A:$B,2,0),0))),"")&lt;0.01%,0.01%,(IFERROR(IF($AKQ4="","",IF($AKQ4=0,1,1-$AKQ4/HLOOKUP(ALO$3,[2]ARBOR_REAJUSTE18!$A:$AE,VLOOKUP($AKQ$2,[2]ARBOR_REAJUSTE18!$A:$B,2,0),0))),""))),4)</f>
        <v>#VALUE!</v>
      </c>
      <c r="ALP4" s="44" t="e">
        <f>ROUNDUP(IF(IFERROR(IF($AKQ4="","",IF($AKQ4=0,1,1-$AKQ4/HLOOKUP(ALP$3,[2]ARBOR_REAJUSTE18!$A:$AE,VLOOKUP($AKQ$2,[2]ARBOR_REAJUSTE18!$A:$B,2,0),0))),"")&lt;0.01%,0.01%,(IFERROR(IF($AKQ4="","",IF($AKQ4=0,1,1-$AKQ4/HLOOKUP(ALP$3,[2]ARBOR_REAJUSTE18!$A:$AE,VLOOKUP($AKQ$2,[2]ARBOR_REAJUSTE18!$A:$B,2,0),0))),""))),4)</f>
        <v>#VALUE!</v>
      </c>
      <c r="ALQ4" s="44" t="e">
        <f>ROUNDUP(IF(IFERROR(IF($AKQ4="","",IF($AKQ4=0,1,1-$AKQ4/HLOOKUP(ALQ$3,[2]ARBOR_REAJUSTE18!$A:$AE,VLOOKUP($AKQ$2,[2]ARBOR_REAJUSTE18!$A:$B,2,0),0))),"")&lt;0.01%,0.01%,(IFERROR(IF($AKQ4="","",IF($AKQ4=0,1,1-$AKQ4/HLOOKUP(ALQ$3,[2]ARBOR_REAJUSTE18!$A:$AE,VLOOKUP($AKQ$2,[2]ARBOR_REAJUSTE18!$A:$B,2,0),0))),""))),4)</f>
        <v>#VALUE!</v>
      </c>
      <c r="ALR4" s="44" t="e">
        <f>ROUNDUP(IF(IFERROR(IF($AKQ4="","",IF($AKQ4=0,1,1-$AKQ4/HLOOKUP(ALR$3,[2]ARBOR_REAJUSTE18!$A:$AE,VLOOKUP($AKQ$2,[2]ARBOR_REAJUSTE18!$A:$B,2,0),0))),"")&lt;0.01%,0.01%,(IFERROR(IF($AKQ4="","",IF($AKQ4=0,1,1-$AKQ4/HLOOKUP(ALR$3,[2]ARBOR_REAJUSTE18!$A:$AE,VLOOKUP($AKQ$2,[2]ARBOR_REAJUSTE18!$A:$B,2,0),0))),""))),4)</f>
        <v>#VALUE!</v>
      </c>
      <c r="ALS4" s="44" t="e">
        <f>ROUNDUP(IF(IFERROR(IF($AKQ4="","",IF($AKQ4=0,1,1-$AKQ4/HLOOKUP(ALS$3,[2]ARBOR_REAJUSTE18!$A:$AE,VLOOKUP($AKQ$2,[2]ARBOR_REAJUSTE18!$A:$B,2,0),0))),"")&lt;0.01%,0.01%,(IFERROR(IF($AKQ4="","",IF($AKQ4=0,1,1-$AKQ4/HLOOKUP(ALS$3,[2]ARBOR_REAJUSTE18!$A:$AE,VLOOKUP($AKQ$2,[2]ARBOR_REAJUSTE18!$A:$B,2,0),0))),""))),4)</f>
        <v>#VALUE!</v>
      </c>
      <c r="ALT4" s="56"/>
      <c r="ALU4" s="64"/>
      <c r="ALV4" s="44" t="e">
        <f>ROUNDUP(IF(IFERROR(IF($ALT4="","",IF($ALT4=0,1,1-$ALT4/HLOOKUP(ALV$3,[2]ARBOR_REAJUSTE18!$A:$AE,VLOOKUP($ALT$2,[2]ARBOR_REAJUSTE18!$A:$B,2,0),0))),"")&lt;0.01%,0.01%,(IFERROR(IF($ALT4="","",IF($ALT4=0,1,1-$ALT4/HLOOKUP(ALV$3,[2]ARBOR_REAJUSTE18!$A:$AE,VLOOKUP($ALT$2,[2]ARBOR_REAJUSTE18!$A:$B,2,0),0))),""))),4)</f>
        <v>#VALUE!</v>
      </c>
      <c r="ALW4" s="44" t="e">
        <f>ROUNDUP(IF(IFERROR(IF($ALT4="","",IF($ALT4=0,1,1-$ALT4/HLOOKUP(ALW$3,[2]ARBOR_REAJUSTE18!$A:$AE,VLOOKUP($ALT$2,[2]ARBOR_REAJUSTE18!$A:$B,2,0),0))),"")&lt;0.01%,0.01%,(IFERROR(IF($ALT4="","",IF($ALT4=0,1,1-$ALT4/HLOOKUP(ALW$3,[2]ARBOR_REAJUSTE18!$A:$AE,VLOOKUP($ALT$2,[2]ARBOR_REAJUSTE18!$A:$B,2,0),0))),""))),4)</f>
        <v>#VALUE!</v>
      </c>
      <c r="ALX4" s="44" t="e">
        <f>ROUNDUP(IF(IFERROR(IF($ALT4="","",IF($ALT4=0,1,1-$ALT4/HLOOKUP(ALX$3,[2]ARBOR_REAJUSTE18!$A:$AE,VLOOKUP($ALT$2,[2]ARBOR_REAJUSTE18!$A:$B,2,0),0))),"")&lt;0.01%,0.01%,(IFERROR(IF($ALT4="","",IF($ALT4=0,1,1-$ALT4/HLOOKUP(ALX$3,[2]ARBOR_REAJUSTE18!$A:$AE,VLOOKUP($ALT$2,[2]ARBOR_REAJUSTE18!$A:$B,2,0),0))),""))),4)</f>
        <v>#VALUE!</v>
      </c>
      <c r="ALY4" s="44" t="e">
        <f>ROUNDUP(IF(IFERROR(IF($ALT4="","",IF($ALT4=0,1,1-$ALT4/HLOOKUP(ALY$3,[2]ARBOR_REAJUSTE18!$A:$AE,VLOOKUP($ALT$2,[2]ARBOR_REAJUSTE18!$A:$B,2,0),0))),"")&lt;0.01%,0.01%,(IFERROR(IF($ALT4="","",IF($ALT4=0,1,1-$ALT4/HLOOKUP(ALY$3,[2]ARBOR_REAJUSTE18!$A:$AE,VLOOKUP($ALT$2,[2]ARBOR_REAJUSTE18!$A:$B,2,0),0))),""))),4)</f>
        <v>#VALUE!</v>
      </c>
      <c r="ALZ4" s="44" t="e">
        <f>ROUNDUP(IF(IFERROR(IF($ALT4="","",IF($ALT4=0,1,1-$ALT4/HLOOKUP(ALZ$3,[2]ARBOR_REAJUSTE18!$A:$AE,VLOOKUP($ALT$2,[2]ARBOR_REAJUSTE18!$A:$B,2,0),0))),"")&lt;0.01%,0.01%,(IFERROR(IF($ALT4="","",IF($ALT4=0,1,1-$ALT4/HLOOKUP(ALZ$3,[2]ARBOR_REAJUSTE18!$A:$AE,VLOOKUP($ALT$2,[2]ARBOR_REAJUSTE18!$A:$B,2,0),0))),""))),4)</f>
        <v>#VALUE!</v>
      </c>
      <c r="AMA4" s="44" t="e">
        <f>ROUNDUP(IF(IFERROR(IF($ALT4="","",IF($ALT4=0,1,1-$ALT4/HLOOKUP(AMA$3,[2]ARBOR_REAJUSTE18!$A:$AE,VLOOKUP($ALT$2,[2]ARBOR_REAJUSTE18!$A:$B,2,0),0))),"")&lt;0.01%,0.01%,(IFERROR(IF($ALT4="","",IF($ALT4=0,1,1-$ALT4/HLOOKUP(AMA$3,[2]ARBOR_REAJUSTE18!$A:$AE,VLOOKUP($ALT$2,[2]ARBOR_REAJUSTE18!$A:$B,2,0),0))),""))),4)</f>
        <v>#VALUE!</v>
      </c>
      <c r="AMB4" s="44" t="e">
        <f>ROUNDUP(IF(IFERROR(IF($ALT4="","",IF($ALT4=0,1,1-$ALT4/HLOOKUP(AMB$3,[2]ARBOR_REAJUSTE18!$A:$AE,VLOOKUP($ALT$2,[2]ARBOR_REAJUSTE18!$A:$B,2,0),0))),"")&lt;0.01%,0.01%,(IFERROR(IF($ALT4="","",IF($ALT4=0,1,1-$ALT4/HLOOKUP(AMB$3,[2]ARBOR_REAJUSTE18!$A:$AE,VLOOKUP($ALT$2,[2]ARBOR_REAJUSTE18!$A:$B,2,0),0))),""))),4)</f>
        <v>#VALUE!</v>
      </c>
      <c r="AMC4" s="44" t="e">
        <f>ROUNDUP(IF(IFERROR(IF($ALT4="","",IF($ALT4=0,1,1-$ALT4/HLOOKUP(AMC$3,[2]ARBOR_REAJUSTE18!$A:$AE,VLOOKUP($ALT$2,[2]ARBOR_REAJUSTE18!$A:$B,2,0),0))),"")&lt;0.01%,0.01%,(IFERROR(IF($ALT4="","",IF($ALT4=0,1,1-$ALT4/HLOOKUP(AMC$3,[2]ARBOR_REAJUSTE18!$A:$AE,VLOOKUP($ALT$2,[2]ARBOR_REAJUSTE18!$A:$B,2,0),0))),""))),4)</f>
        <v>#VALUE!</v>
      </c>
      <c r="AMD4" s="44" t="e">
        <f>ROUNDUP(IF(IFERROR(IF($ALT4="","",IF($ALT4=0,1,1-$ALT4/HLOOKUP(AMD$3,[2]ARBOR_REAJUSTE18!$A:$AE,VLOOKUP($ALT$2,[2]ARBOR_REAJUSTE18!$A:$B,2,0),0))),"")&lt;0.01%,0.01%,(IFERROR(IF($ALT4="","",IF($ALT4=0,1,1-$ALT4/HLOOKUP(AMD$3,[2]ARBOR_REAJUSTE18!$A:$AE,VLOOKUP($ALT$2,[2]ARBOR_REAJUSTE18!$A:$B,2,0),0))),""))),4)</f>
        <v>#VALUE!</v>
      </c>
      <c r="AME4" s="44" t="e">
        <f>ROUNDUP(IF(IFERROR(IF($ALT4="","",IF($ALT4=0,1,1-$ALT4/HLOOKUP(AME$3,[2]ARBOR_REAJUSTE18!$A:$AE,VLOOKUP($ALT$2,[2]ARBOR_REAJUSTE18!$A:$B,2,0),0))),"")&lt;0.01%,0.01%,(IFERROR(IF($ALT4="","",IF($ALT4=0,1,1-$ALT4/HLOOKUP(AME$3,[2]ARBOR_REAJUSTE18!$A:$AE,VLOOKUP($ALT$2,[2]ARBOR_REAJUSTE18!$A:$B,2,0),0))),""))),4)</f>
        <v>#VALUE!</v>
      </c>
      <c r="AMF4" s="44" t="e">
        <f>ROUNDUP(IF(IFERROR(IF($ALT4="","",IF($ALT4=0,1,1-$ALT4/HLOOKUP(AMF$3,[2]ARBOR_REAJUSTE18!$A:$AE,VLOOKUP($ALT$2,[2]ARBOR_REAJUSTE18!$A:$B,2,0),0))),"")&lt;0.01%,0.01%,(IFERROR(IF($ALT4="","",IF($ALT4=0,1,1-$ALT4/HLOOKUP(AMF$3,[2]ARBOR_REAJUSTE18!$A:$AE,VLOOKUP($ALT$2,[2]ARBOR_REAJUSTE18!$A:$B,2,0),0))),""))),4)</f>
        <v>#VALUE!</v>
      </c>
      <c r="AMG4" s="44" t="e">
        <f>ROUNDUP(IF(IFERROR(IF($ALT4="","",IF($ALT4=0,1,1-$ALT4/HLOOKUP(AMG$3,[2]ARBOR_REAJUSTE18!$A:$AE,VLOOKUP($ALT$2,[2]ARBOR_REAJUSTE18!$A:$B,2,0),0))),"")&lt;0.01%,0.01%,(IFERROR(IF($ALT4="","",IF($ALT4=0,1,1-$ALT4/HLOOKUP(AMG$3,[2]ARBOR_REAJUSTE18!$A:$AE,VLOOKUP($ALT$2,[2]ARBOR_REAJUSTE18!$A:$B,2,0),0))),""))),4)</f>
        <v>#VALUE!</v>
      </c>
      <c r="AMH4" s="44" t="e">
        <f>ROUNDUP(IF(IFERROR(IF($ALT4="","",IF($ALT4=0,1,1-$ALT4/HLOOKUP(AMH$3,[2]ARBOR_REAJUSTE18!$A:$AE,VLOOKUP($ALT$2,[2]ARBOR_REAJUSTE18!$A:$B,2,0),0))),"")&lt;0.01%,0.01%,(IFERROR(IF($ALT4="","",IF($ALT4=0,1,1-$ALT4/HLOOKUP(AMH$3,[2]ARBOR_REAJUSTE18!$A:$AE,VLOOKUP($ALT$2,[2]ARBOR_REAJUSTE18!$A:$B,2,0),0))),""))),4)</f>
        <v>#VALUE!</v>
      </c>
      <c r="AMI4" s="44" t="e">
        <f>ROUNDUP(IF(IFERROR(IF($ALT4="","",IF($ALT4=0,1,1-$ALT4/HLOOKUP(AMI$3,[2]ARBOR_REAJUSTE18!$A:$AE,VLOOKUP($ALT$2,[2]ARBOR_REAJUSTE18!$A:$B,2,0),0))),"")&lt;0.01%,0.01%,(IFERROR(IF($ALT4="","",IF($ALT4=0,1,1-$ALT4/HLOOKUP(AMI$3,[2]ARBOR_REAJUSTE18!$A:$AE,VLOOKUP($ALT$2,[2]ARBOR_REAJUSTE18!$A:$B,2,0),0))),""))),4)</f>
        <v>#VALUE!</v>
      </c>
      <c r="AMJ4" s="44" t="e">
        <f>ROUNDUP(IF(IFERROR(IF($ALT4="","",IF($ALT4=0,1,1-$ALT4/HLOOKUP(AMJ$3,[2]ARBOR_REAJUSTE18!$A:$AE,VLOOKUP($ALT$2,[2]ARBOR_REAJUSTE18!$A:$B,2,0),0))),"")&lt;0.01%,0.01%,(IFERROR(IF($ALT4="","",IF($ALT4=0,1,1-$ALT4/HLOOKUP(AMJ$3,[2]ARBOR_REAJUSTE18!$A:$AE,VLOOKUP($ALT$2,[2]ARBOR_REAJUSTE18!$A:$B,2,0),0))),""))),4)</f>
        <v>#VALUE!</v>
      </c>
      <c r="AMK4" s="44" t="e">
        <f>ROUNDUP(IF(IFERROR(IF($ALT4="","",IF($ALT4=0,1,1-$ALT4/HLOOKUP(AMK$3,[2]ARBOR_REAJUSTE18!$A:$AE,VLOOKUP($ALT$2,[2]ARBOR_REAJUSTE18!$A:$B,2,0),0))),"")&lt;0.01%,0.01%,(IFERROR(IF($ALT4="","",IF($ALT4=0,1,1-$ALT4/HLOOKUP(AMK$3,[2]ARBOR_REAJUSTE18!$A:$AE,VLOOKUP($ALT$2,[2]ARBOR_REAJUSTE18!$A:$B,2,0),0))),""))),4)</f>
        <v>#VALUE!</v>
      </c>
      <c r="AML4" s="44" t="e">
        <f>ROUNDUP(IF(IFERROR(IF($ALT4="","",IF($ALT4=0,1,1-$ALT4/HLOOKUP(AML$3,[2]ARBOR_REAJUSTE18!$A:$AE,VLOOKUP($ALT$2,[2]ARBOR_REAJUSTE18!$A:$B,2,0),0))),"")&lt;0.01%,0.01%,(IFERROR(IF($ALT4="","",IF($ALT4=0,1,1-$ALT4/HLOOKUP(AML$3,[2]ARBOR_REAJUSTE18!$A:$AE,VLOOKUP($ALT$2,[2]ARBOR_REAJUSTE18!$A:$B,2,0),0))),""))),4)</f>
        <v>#VALUE!</v>
      </c>
      <c r="AMM4" s="44" t="e">
        <f>ROUNDUP(IF(IFERROR(IF($ALT4="","",IF($ALT4=0,1,1-$ALT4/HLOOKUP(AMM$3,[2]ARBOR_REAJUSTE18!$A:$AE,VLOOKUP($ALT$2,[2]ARBOR_REAJUSTE18!$A:$B,2,0),0))),"")&lt;0.01%,0.01%,(IFERROR(IF($ALT4="","",IF($ALT4=0,1,1-$ALT4/HLOOKUP(AMM$3,[2]ARBOR_REAJUSTE18!$A:$AE,VLOOKUP($ALT$2,[2]ARBOR_REAJUSTE18!$A:$B,2,0),0))),""))),4)</f>
        <v>#VALUE!</v>
      </c>
      <c r="AMN4" s="44" t="e">
        <f>ROUNDUP(IF(IFERROR(IF($ALT4="","",IF($ALT4=0,1,1-$ALT4/HLOOKUP(AMN$3,[2]ARBOR_REAJUSTE18!$A:$AE,VLOOKUP($ALT$2,[2]ARBOR_REAJUSTE18!$A:$B,2,0),0))),"")&lt;0.01%,0.01%,(IFERROR(IF($ALT4="","",IF($ALT4=0,1,1-$ALT4/HLOOKUP(AMN$3,[2]ARBOR_REAJUSTE18!$A:$AE,VLOOKUP($ALT$2,[2]ARBOR_REAJUSTE18!$A:$B,2,0),0))),""))),4)</f>
        <v>#VALUE!</v>
      </c>
      <c r="AMO4" s="44" t="e">
        <f>ROUNDUP(IF(IFERROR(IF($ALT4="","",IF($ALT4=0,1,1-$ALT4/HLOOKUP(AMO$3,[2]ARBOR_REAJUSTE18!$A:$AE,VLOOKUP($ALT$2,[2]ARBOR_REAJUSTE18!$A:$B,2,0),0))),"")&lt;0.01%,0.01%,(IFERROR(IF($ALT4="","",IF($ALT4=0,1,1-$ALT4/HLOOKUP(AMO$3,[2]ARBOR_REAJUSTE18!$A:$AE,VLOOKUP($ALT$2,[2]ARBOR_REAJUSTE18!$A:$B,2,0),0))),""))),4)</f>
        <v>#VALUE!</v>
      </c>
      <c r="AMP4" s="44" t="e">
        <f>ROUNDUP(IF(IFERROR(IF($ALT4="","",IF($ALT4=0,1,1-$ALT4/HLOOKUP(AMP$3,[2]ARBOR_REAJUSTE18!$A:$AE,VLOOKUP($ALT$2,[2]ARBOR_REAJUSTE18!$A:$B,2,0),0))),"")&lt;0.01%,0.01%,(IFERROR(IF($ALT4="","",IF($ALT4=0,1,1-$ALT4/HLOOKUP(AMP$3,[2]ARBOR_REAJUSTE18!$A:$AE,VLOOKUP($ALT$2,[2]ARBOR_REAJUSTE18!$A:$B,2,0),0))),""))),4)</f>
        <v>#VALUE!</v>
      </c>
      <c r="AMQ4" s="44" t="e">
        <f>ROUNDUP(IF(IFERROR(IF($ALT4="","",IF($ALT4=0,1,1-$ALT4/HLOOKUP(AMQ$3,[2]ARBOR_REAJUSTE18!$A:$AE,VLOOKUP($ALT$2,[2]ARBOR_REAJUSTE18!$A:$B,2,0),0))),"")&lt;0.01%,0.01%,(IFERROR(IF($ALT4="","",IF($ALT4=0,1,1-$ALT4/HLOOKUP(AMQ$3,[2]ARBOR_REAJUSTE18!$A:$AE,VLOOKUP($ALT$2,[2]ARBOR_REAJUSTE18!$A:$B,2,0),0))),""))),4)</f>
        <v>#VALUE!</v>
      </c>
      <c r="AMR4" s="44" t="e">
        <f>ROUNDUP(IF(IFERROR(IF($ALT4="","",IF($ALT4=0,1,1-$ALT4/HLOOKUP(AMR$3,[2]ARBOR_REAJUSTE18!$A:$AE,VLOOKUP($ALT$2,[2]ARBOR_REAJUSTE18!$A:$B,2,0),0))),"")&lt;0.01%,0.01%,(IFERROR(IF($ALT4="","",IF($ALT4=0,1,1-$ALT4/HLOOKUP(AMR$3,[2]ARBOR_REAJUSTE18!$A:$AE,VLOOKUP($ALT$2,[2]ARBOR_REAJUSTE18!$A:$B,2,0),0))),""))),4)</f>
        <v>#VALUE!</v>
      </c>
      <c r="AMS4" s="44" t="e">
        <f>ROUNDUP(IF(IFERROR(IF($ALT4="","",IF($ALT4=0,1,1-$ALT4/HLOOKUP(AMS$3,[2]ARBOR_REAJUSTE18!$A:$AE,VLOOKUP($ALT$2,[2]ARBOR_REAJUSTE18!$A:$B,2,0),0))),"")&lt;0.01%,0.01%,(IFERROR(IF($ALT4="","",IF($ALT4=0,1,1-$ALT4/HLOOKUP(AMS$3,[2]ARBOR_REAJUSTE18!$A:$AE,VLOOKUP($ALT$2,[2]ARBOR_REAJUSTE18!$A:$B,2,0),0))),""))),4)</f>
        <v>#VALUE!</v>
      </c>
      <c r="AMT4" s="44" t="e">
        <f>ROUNDUP(IF(IFERROR(IF($ALT4="","",IF($ALT4=0,1,1-$ALT4/HLOOKUP(AMT$3,[2]ARBOR_REAJUSTE18!$A:$AE,VLOOKUP($ALT$2,[2]ARBOR_REAJUSTE18!$A:$B,2,0),0))),"")&lt;0.01%,0.01%,(IFERROR(IF($ALT4="","",IF($ALT4=0,1,1-$ALT4/HLOOKUP(AMT$3,[2]ARBOR_REAJUSTE18!$A:$AE,VLOOKUP($ALT$2,[2]ARBOR_REAJUSTE18!$A:$B,2,0),0))),""))),4)</f>
        <v>#VALUE!</v>
      </c>
      <c r="AMU4" s="44" t="e">
        <f>ROUNDUP(IF(IFERROR(IF($ALT4="","",IF($ALT4=0,1,1-$ALT4/HLOOKUP(AMU$3,[2]ARBOR_REAJUSTE18!$A:$AE,VLOOKUP($ALT$2,[2]ARBOR_REAJUSTE18!$A:$B,2,0),0))),"")&lt;0.01%,0.01%,(IFERROR(IF($ALT4="","",IF($ALT4=0,1,1-$ALT4/HLOOKUP(AMU$3,[2]ARBOR_REAJUSTE18!$A:$AE,VLOOKUP($ALT$2,[2]ARBOR_REAJUSTE18!$A:$B,2,0),0))),""))),4)</f>
        <v>#VALUE!</v>
      </c>
      <c r="AMV4" s="44" t="e">
        <f>ROUNDUP(IF(IFERROR(IF($ALT4="","",IF($ALT4=0,1,1-$ALT4/HLOOKUP(AMV$3,[2]ARBOR_REAJUSTE18!$A:$AE,VLOOKUP($ALT$2,[2]ARBOR_REAJUSTE18!$A:$B,2,0),0))),"")&lt;0.01%,0.01%,(IFERROR(IF($ALT4="","",IF($ALT4=0,1,1-$ALT4/HLOOKUP(AMV$3,[2]ARBOR_REAJUSTE18!$A:$AE,VLOOKUP($ALT$2,[2]ARBOR_REAJUSTE18!$A:$B,2,0),0))),""))),4)</f>
        <v>#VALUE!</v>
      </c>
      <c r="AMW4" s="56"/>
      <c r="AMX4" s="64"/>
      <c r="AMY4" s="44" t="e">
        <f>ROUNDUP(IF(IFERROR(IF($AMW4="","",IF($AMW4=0,1,1-$AMW4/HLOOKUP(AMY$3,[2]ARBOR_REAJUSTE18!$A:$AE,VLOOKUP($AMW$2,[2]ARBOR_REAJUSTE18!$A:$B,2,0),0))),"")&lt;0.01%,0.01%,(IFERROR(IF($AMW4="","",IF($AMW4=0,1,1-$AMW4/HLOOKUP(AMY$3,[2]ARBOR_REAJUSTE18!$A:$AE,VLOOKUP($AMW$2,[2]ARBOR_REAJUSTE18!$A:$B,2,0),0))),""))),4)</f>
        <v>#VALUE!</v>
      </c>
      <c r="AMZ4" s="44" t="e">
        <f>ROUNDUP(IF(IFERROR(IF($AMW4="","",IF($AMW4=0,1,1-$AMW4/HLOOKUP(AMZ$3,[2]ARBOR_REAJUSTE18!$A:$AE,VLOOKUP($AMW$2,[2]ARBOR_REAJUSTE18!$A:$B,2,0),0))),"")&lt;0.01%,0.01%,(IFERROR(IF($AMW4="","",IF($AMW4=0,1,1-$AMW4/HLOOKUP(AMZ$3,[2]ARBOR_REAJUSTE18!$A:$AE,VLOOKUP($AMW$2,[2]ARBOR_REAJUSTE18!$A:$B,2,0),0))),""))),4)</f>
        <v>#VALUE!</v>
      </c>
      <c r="ANA4" s="44" t="e">
        <f>ROUNDUP(IF(IFERROR(IF($AMW4="","",IF($AMW4=0,1,1-$AMW4/HLOOKUP(ANA$3,[2]ARBOR_REAJUSTE18!$A:$AE,VLOOKUP($AMW$2,[2]ARBOR_REAJUSTE18!$A:$B,2,0),0))),"")&lt;0.01%,0.01%,(IFERROR(IF($AMW4="","",IF($AMW4=0,1,1-$AMW4/HLOOKUP(ANA$3,[2]ARBOR_REAJUSTE18!$A:$AE,VLOOKUP($AMW$2,[2]ARBOR_REAJUSTE18!$A:$B,2,0),0))),""))),4)</f>
        <v>#VALUE!</v>
      </c>
      <c r="ANB4" s="44" t="e">
        <f>ROUNDUP(IF(IFERROR(IF($AMW4="","",IF($AMW4=0,1,1-$AMW4/HLOOKUP(ANB$3,[2]ARBOR_REAJUSTE18!$A:$AE,VLOOKUP($AMW$2,[2]ARBOR_REAJUSTE18!$A:$B,2,0),0))),"")&lt;0.01%,0.01%,(IFERROR(IF($AMW4="","",IF($AMW4=0,1,1-$AMW4/HLOOKUP(ANB$3,[2]ARBOR_REAJUSTE18!$A:$AE,VLOOKUP($AMW$2,[2]ARBOR_REAJUSTE18!$A:$B,2,0),0))),""))),4)</f>
        <v>#VALUE!</v>
      </c>
      <c r="ANC4" s="44" t="e">
        <f>ROUNDUP(IF(IFERROR(IF($AMW4="","",IF($AMW4=0,1,1-$AMW4/HLOOKUP(ANC$3,[2]ARBOR_REAJUSTE18!$A:$AE,VLOOKUP($AMW$2,[2]ARBOR_REAJUSTE18!$A:$B,2,0),0))),"")&lt;0.01%,0.01%,(IFERROR(IF($AMW4="","",IF($AMW4=0,1,1-$AMW4/HLOOKUP(ANC$3,[2]ARBOR_REAJUSTE18!$A:$AE,VLOOKUP($AMW$2,[2]ARBOR_REAJUSTE18!$A:$B,2,0),0))),""))),4)</f>
        <v>#VALUE!</v>
      </c>
      <c r="AND4" s="44" t="e">
        <f>ROUNDUP(IF(IFERROR(IF($AMW4="","",IF($AMW4=0,1,1-$AMW4/HLOOKUP(AND$3,[2]ARBOR_REAJUSTE18!$A:$AE,VLOOKUP($AMW$2,[2]ARBOR_REAJUSTE18!$A:$B,2,0),0))),"")&lt;0.01%,0.01%,(IFERROR(IF($AMW4="","",IF($AMW4=0,1,1-$AMW4/HLOOKUP(AND$3,[2]ARBOR_REAJUSTE18!$A:$AE,VLOOKUP($AMW$2,[2]ARBOR_REAJUSTE18!$A:$B,2,0),0))),""))),4)</f>
        <v>#VALUE!</v>
      </c>
      <c r="ANE4" s="44" t="e">
        <f>ROUNDUP(IF(IFERROR(IF($AMW4="","",IF($AMW4=0,1,1-$AMW4/HLOOKUP(ANE$3,[2]ARBOR_REAJUSTE18!$A:$AE,VLOOKUP($AMW$2,[2]ARBOR_REAJUSTE18!$A:$B,2,0),0))),"")&lt;0.01%,0.01%,(IFERROR(IF($AMW4="","",IF($AMW4=0,1,1-$AMW4/HLOOKUP(ANE$3,[2]ARBOR_REAJUSTE18!$A:$AE,VLOOKUP($AMW$2,[2]ARBOR_REAJUSTE18!$A:$B,2,0),0))),""))),4)</f>
        <v>#VALUE!</v>
      </c>
      <c r="ANF4" s="44" t="e">
        <f>ROUNDUP(IF(IFERROR(IF($AMW4="","",IF($AMW4=0,1,1-$AMW4/HLOOKUP(ANF$3,[2]ARBOR_REAJUSTE18!$A:$AE,VLOOKUP($AMW$2,[2]ARBOR_REAJUSTE18!$A:$B,2,0),0))),"")&lt;0.01%,0.01%,(IFERROR(IF($AMW4="","",IF($AMW4=0,1,1-$AMW4/HLOOKUP(ANF$3,[2]ARBOR_REAJUSTE18!$A:$AE,VLOOKUP($AMW$2,[2]ARBOR_REAJUSTE18!$A:$B,2,0),0))),""))),4)</f>
        <v>#VALUE!</v>
      </c>
      <c r="ANG4" s="44" t="e">
        <f>ROUNDUP(IF(IFERROR(IF($AMW4="","",IF($AMW4=0,1,1-$AMW4/HLOOKUP(ANG$3,[2]ARBOR_REAJUSTE18!$A:$AE,VLOOKUP($AMW$2,[2]ARBOR_REAJUSTE18!$A:$B,2,0),0))),"")&lt;0.01%,0.01%,(IFERROR(IF($AMW4="","",IF($AMW4=0,1,1-$AMW4/HLOOKUP(ANG$3,[2]ARBOR_REAJUSTE18!$A:$AE,VLOOKUP($AMW$2,[2]ARBOR_REAJUSTE18!$A:$B,2,0),0))),""))),4)</f>
        <v>#VALUE!</v>
      </c>
      <c r="ANH4" s="44" t="e">
        <f>ROUNDUP(IF(IFERROR(IF($AMW4="","",IF($AMW4=0,1,1-$AMW4/HLOOKUP(ANH$3,[2]ARBOR_REAJUSTE18!$A:$AE,VLOOKUP($AMW$2,[2]ARBOR_REAJUSTE18!$A:$B,2,0),0))),"")&lt;0.01%,0.01%,(IFERROR(IF($AMW4="","",IF($AMW4=0,1,1-$AMW4/HLOOKUP(ANH$3,[2]ARBOR_REAJUSTE18!$A:$AE,VLOOKUP($AMW$2,[2]ARBOR_REAJUSTE18!$A:$B,2,0),0))),""))),4)</f>
        <v>#VALUE!</v>
      </c>
      <c r="ANI4" s="44" t="e">
        <f>ROUNDUP(IF(IFERROR(IF($AMW4="","",IF($AMW4=0,1,1-$AMW4/HLOOKUP(ANI$3,[2]ARBOR_REAJUSTE18!$A:$AE,VLOOKUP($AMW$2,[2]ARBOR_REAJUSTE18!$A:$B,2,0),0))),"")&lt;0.01%,0.01%,(IFERROR(IF($AMW4="","",IF($AMW4=0,1,1-$AMW4/HLOOKUP(ANI$3,[2]ARBOR_REAJUSTE18!$A:$AE,VLOOKUP($AMW$2,[2]ARBOR_REAJUSTE18!$A:$B,2,0),0))),""))),4)</f>
        <v>#VALUE!</v>
      </c>
      <c r="ANJ4" s="44" t="e">
        <f>ROUNDUP(IF(IFERROR(IF($AMW4="","",IF($AMW4=0,1,1-$AMW4/HLOOKUP(ANJ$3,[2]ARBOR_REAJUSTE18!$A:$AE,VLOOKUP($AMW$2,[2]ARBOR_REAJUSTE18!$A:$B,2,0),0))),"")&lt;0.01%,0.01%,(IFERROR(IF($AMW4="","",IF($AMW4=0,1,1-$AMW4/HLOOKUP(ANJ$3,[2]ARBOR_REAJUSTE18!$A:$AE,VLOOKUP($AMW$2,[2]ARBOR_REAJUSTE18!$A:$B,2,0),0))),""))),4)</f>
        <v>#VALUE!</v>
      </c>
      <c r="ANK4" s="44" t="e">
        <f>ROUNDUP(IF(IFERROR(IF($AMW4="","",IF($AMW4=0,1,1-$AMW4/HLOOKUP(ANK$3,[2]ARBOR_REAJUSTE18!$A:$AE,VLOOKUP($AMW$2,[2]ARBOR_REAJUSTE18!$A:$B,2,0),0))),"")&lt;0.01%,0.01%,(IFERROR(IF($AMW4="","",IF($AMW4=0,1,1-$AMW4/HLOOKUP(ANK$3,[2]ARBOR_REAJUSTE18!$A:$AE,VLOOKUP($AMW$2,[2]ARBOR_REAJUSTE18!$A:$B,2,0),0))),""))),4)</f>
        <v>#VALUE!</v>
      </c>
      <c r="ANL4" s="44" t="e">
        <f>ROUNDUP(IF(IFERROR(IF($AMW4="","",IF($AMW4=0,1,1-$AMW4/HLOOKUP(ANL$3,[2]ARBOR_REAJUSTE18!$A:$AE,VLOOKUP($AMW$2,[2]ARBOR_REAJUSTE18!$A:$B,2,0),0))),"")&lt;0.01%,0.01%,(IFERROR(IF($AMW4="","",IF($AMW4=0,1,1-$AMW4/HLOOKUP(ANL$3,[2]ARBOR_REAJUSTE18!$A:$AE,VLOOKUP($AMW$2,[2]ARBOR_REAJUSTE18!$A:$B,2,0),0))),""))),4)</f>
        <v>#VALUE!</v>
      </c>
      <c r="ANM4" s="44" t="e">
        <f>ROUNDUP(IF(IFERROR(IF($AMW4="","",IF($AMW4=0,1,1-$AMW4/HLOOKUP(ANM$3,[2]ARBOR_REAJUSTE18!$A:$AE,VLOOKUP($AMW$2,[2]ARBOR_REAJUSTE18!$A:$B,2,0),0))),"")&lt;0.01%,0.01%,(IFERROR(IF($AMW4="","",IF($AMW4=0,1,1-$AMW4/HLOOKUP(ANM$3,[2]ARBOR_REAJUSTE18!$A:$AE,VLOOKUP($AMW$2,[2]ARBOR_REAJUSTE18!$A:$B,2,0),0))),""))),4)</f>
        <v>#VALUE!</v>
      </c>
      <c r="ANN4" s="44" t="e">
        <f>ROUNDUP(IF(IFERROR(IF($AMW4="","",IF($AMW4=0,1,1-$AMW4/HLOOKUP(ANN$3,[2]ARBOR_REAJUSTE18!$A:$AE,VLOOKUP($AMW$2,[2]ARBOR_REAJUSTE18!$A:$B,2,0),0))),"")&lt;0.01%,0.01%,(IFERROR(IF($AMW4="","",IF($AMW4=0,1,1-$AMW4/HLOOKUP(ANN$3,[2]ARBOR_REAJUSTE18!$A:$AE,VLOOKUP($AMW$2,[2]ARBOR_REAJUSTE18!$A:$B,2,0),0))),""))),4)</f>
        <v>#VALUE!</v>
      </c>
      <c r="ANO4" s="44" t="e">
        <f>ROUNDUP(IF(IFERROR(IF($AMW4="","",IF($AMW4=0,1,1-$AMW4/HLOOKUP(ANO$3,[2]ARBOR_REAJUSTE18!$A:$AE,VLOOKUP($AMW$2,[2]ARBOR_REAJUSTE18!$A:$B,2,0),0))),"")&lt;0.01%,0.01%,(IFERROR(IF($AMW4="","",IF($AMW4=0,1,1-$AMW4/HLOOKUP(ANO$3,[2]ARBOR_REAJUSTE18!$A:$AE,VLOOKUP($AMW$2,[2]ARBOR_REAJUSTE18!$A:$B,2,0),0))),""))),4)</f>
        <v>#VALUE!</v>
      </c>
      <c r="ANP4" s="44" t="e">
        <f>ROUNDUP(IF(IFERROR(IF($AMW4="","",IF($AMW4=0,1,1-$AMW4/HLOOKUP(ANP$3,[2]ARBOR_REAJUSTE18!$A:$AE,VLOOKUP($AMW$2,[2]ARBOR_REAJUSTE18!$A:$B,2,0),0))),"")&lt;0.01%,0.01%,(IFERROR(IF($AMW4="","",IF($AMW4=0,1,1-$AMW4/HLOOKUP(ANP$3,[2]ARBOR_REAJUSTE18!$A:$AE,VLOOKUP($AMW$2,[2]ARBOR_REAJUSTE18!$A:$B,2,0),0))),""))),4)</f>
        <v>#VALUE!</v>
      </c>
      <c r="ANQ4" s="44" t="e">
        <f>ROUNDUP(IF(IFERROR(IF($AMW4="","",IF($AMW4=0,1,1-$AMW4/HLOOKUP(ANQ$3,[2]ARBOR_REAJUSTE18!$A:$AE,VLOOKUP($AMW$2,[2]ARBOR_REAJUSTE18!$A:$B,2,0),0))),"")&lt;0.01%,0.01%,(IFERROR(IF($AMW4="","",IF($AMW4=0,1,1-$AMW4/HLOOKUP(ANQ$3,[2]ARBOR_REAJUSTE18!$A:$AE,VLOOKUP($AMW$2,[2]ARBOR_REAJUSTE18!$A:$B,2,0),0))),""))),4)</f>
        <v>#VALUE!</v>
      </c>
      <c r="ANR4" s="44" t="e">
        <f>ROUNDUP(IF(IFERROR(IF($AMW4="","",IF($AMW4=0,1,1-$AMW4/HLOOKUP(ANR$3,[2]ARBOR_REAJUSTE18!$A:$AE,VLOOKUP($AMW$2,[2]ARBOR_REAJUSTE18!$A:$B,2,0),0))),"")&lt;0.01%,0.01%,(IFERROR(IF($AMW4="","",IF($AMW4=0,1,1-$AMW4/HLOOKUP(ANR$3,[2]ARBOR_REAJUSTE18!$A:$AE,VLOOKUP($AMW$2,[2]ARBOR_REAJUSTE18!$A:$B,2,0),0))),""))),4)</f>
        <v>#VALUE!</v>
      </c>
      <c r="ANS4" s="44" t="e">
        <f>ROUNDUP(IF(IFERROR(IF($AMW4="","",IF($AMW4=0,1,1-$AMW4/HLOOKUP(ANS$3,[2]ARBOR_REAJUSTE18!$A:$AE,VLOOKUP($AMW$2,[2]ARBOR_REAJUSTE18!$A:$B,2,0),0))),"")&lt;0.01%,0.01%,(IFERROR(IF($AMW4="","",IF($AMW4=0,1,1-$AMW4/HLOOKUP(ANS$3,[2]ARBOR_REAJUSTE18!$A:$AE,VLOOKUP($AMW$2,[2]ARBOR_REAJUSTE18!$A:$B,2,0),0))),""))),4)</f>
        <v>#VALUE!</v>
      </c>
      <c r="ANT4" s="44" t="e">
        <f>ROUNDUP(IF(IFERROR(IF($AMW4="","",IF($AMW4=0,1,1-$AMW4/HLOOKUP(ANT$3,[2]ARBOR_REAJUSTE18!$A:$AE,VLOOKUP($AMW$2,[2]ARBOR_REAJUSTE18!$A:$B,2,0),0))),"")&lt;0.01%,0.01%,(IFERROR(IF($AMW4="","",IF($AMW4=0,1,1-$AMW4/HLOOKUP(ANT$3,[2]ARBOR_REAJUSTE18!$A:$AE,VLOOKUP($AMW$2,[2]ARBOR_REAJUSTE18!$A:$B,2,0),0))),""))),4)</f>
        <v>#VALUE!</v>
      </c>
      <c r="ANU4" s="44" t="e">
        <f>ROUNDUP(IF(IFERROR(IF($AMW4="","",IF($AMW4=0,1,1-$AMW4/HLOOKUP(ANU$3,[2]ARBOR_REAJUSTE18!$A:$AE,VLOOKUP($AMW$2,[2]ARBOR_REAJUSTE18!$A:$B,2,0),0))),"")&lt;0.01%,0.01%,(IFERROR(IF($AMW4="","",IF($AMW4=0,1,1-$AMW4/HLOOKUP(ANU$3,[2]ARBOR_REAJUSTE18!$A:$AE,VLOOKUP($AMW$2,[2]ARBOR_REAJUSTE18!$A:$B,2,0),0))),""))),4)</f>
        <v>#VALUE!</v>
      </c>
      <c r="ANV4" s="44" t="e">
        <f>ROUNDUP(IF(IFERROR(IF($AMW4="","",IF($AMW4=0,1,1-$AMW4/HLOOKUP(ANV$3,[2]ARBOR_REAJUSTE18!$A:$AE,VLOOKUP($AMW$2,[2]ARBOR_REAJUSTE18!$A:$B,2,0),0))),"")&lt;0.01%,0.01%,(IFERROR(IF($AMW4="","",IF($AMW4=0,1,1-$AMW4/HLOOKUP(ANV$3,[2]ARBOR_REAJUSTE18!$A:$AE,VLOOKUP($AMW$2,[2]ARBOR_REAJUSTE18!$A:$B,2,0),0))),""))),4)</f>
        <v>#VALUE!</v>
      </c>
      <c r="ANW4" s="44" t="e">
        <f>ROUNDUP(IF(IFERROR(IF($AMW4="","",IF($AMW4=0,1,1-$AMW4/HLOOKUP(ANW$3,[2]ARBOR_REAJUSTE18!$A:$AE,VLOOKUP($AMW$2,[2]ARBOR_REAJUSTE18!$A:$B,2,0),0))),"")&lt;0.01%,0.01%,(IFERROR(IF($AMW4="","",IF($AMW4=0,1,1-$AMW4/HLOOKUP(ANW$3,[2]ARBOR_REAJUSTE18!$A:$AE,VLOOKUP($AMW$2,[2]ARBOR_REAJUSTE18!$A:$B,2,0),0))),""))),4)</f>
        <v>#VALUE!</v>
      </c>
      <c r="ANX4" s="44" t="e">
        <f>ROUNDUP(IF(IFERROR(IF($AMW4="","",IF($AMW4=0,1,1-$AMW4/HLOOKUP(ANX$3,[2]ARBOR_REAJUSTE18!$A:$AE,VLOOKUP($AMW$2,[2]ARBOR_REAJUSTE18!$A:$B,2,0),0))),"")&lt;0.01%,0.01%,(IFERROR(IF($AMW4="","",IF($AMW4=0,1,1-$AMW4/HLOOKUP(ANX$3,[2]ARBOR_REAJUSTE18!$A:$AE,VLOOKUP($AMW$2,[2]ARBOR_REAJUSTE18!$A:$B,2,0),0))),""))),4)</f>
        <v>#VALUE!</v>
      </c>
      <c r="ANY4" s="44" t="e">
        <f>ROUNDUP(IF(IFERROR(IF($AMW4="","",IF($AMW4=0,1,1-$AMW4/HLOOKUP(ANY$3,[2]ARBOR_REAJUSTE18!$A:$AE,VLOOKUP($AMW$2,[2]ARBOR_REAJUSTE18!$A:$B,2,0),0))),"")&lt;0.01%,0.01%,(IFERROR(IF($AMW4="","",IF($AMW4=0,1,1-$AMW4/HLOOKUP(ANY$3,[2]ARBOR_REAJUSTE18!$A:$AE,VLOOKUP($AMW$2,[2]ARBOR_REAJUSTE18!$A:$B,2,0),0))),""))),4)</f>
        <v>#VALUE!</v>
      </c>
      <c r="ANZ4" s="56"/>
      <c r="AOA4" s="64"/>
      <c r="AOB4" s="44" t="e">
        <f>ROUNDUP(IF(IFERROR(IF($ANZ4="","",IF($ANZ4=0,1,1-$ANZ4/HLOOKUP(AOB$3,[2]ARBOR_REAJUSTE18!$A:$AE,VLOOKUP($ANZ$2,[2]ARBOR_REAJUSTE18!$A:$B,2,0),0))),"")&lt;0.01%,0.01%,(IFERROR(IF($ANZ4="","",IF($ANZ4=0,1,1-$ANZ4/HLOOKUP(AOB$3,[2]ARBOR_REAJUSTE18!$A:$AE,VLOOKUP($ANZ$2,[2]ARBOR_REAJUSTE18!$A:$B,2,0),0))),""))),4)</f>
        <v>#VALUE!</v>
      </c>
      <c r="AOC4" s="44" t="e">
        <f>ROUNDUP(IF(IFERROR(IF($ANZ4="","",IF($ANZ4=0,1,1-$ANZ4/HLOOKUP(AOC$3,[2]ARBOR_REAJUSTE18!$A:$AE,VLOOKUP($ANZ$2,[2]ARBOR_REAJUSTE18!$A:$B,2,0),0))),"")&lt;0.01%,0.01%,(IFERROR(IF($ANZ4="","",IF($ANZ4=0,1,1-$ANZ4/HLOOKUP(AOC$3,[2]ARBOR_REAJUSTE18!$A:$AE,VLOOKUP($ANZ$2,[2]ARBOR_REAJUSTE18!$A:$B,2,0),0))),""))),4)</f>
        <v>#VALUE!</v>
      </c>
      <c r="AOD4" s="44" t="e">
        <f>ROUNDUP(IF(IFERROR(IF($ANZ4="","",IF($ANZ4=0,1,1-$ANZ4/HLOOKUP(AOD$3,[2]ARBOR_REAJUSTE18!$A:$AE,VLOOKUP($ANZ$2,[2]ARBOR_REAJUSTE18!$A:$B,2,0),0))),"")&lt;0.01%,0.01%,(IFERROR(IF($ANZ4="","",IF($ANZ4=0,1,1-$ANZ4/HLOOKUP(AOD$3,[2]ARBOR_REAJUSTE18!$A:$AE,VLOOKUP($ANZ$2,[2]ARBOR_REAJUSTE18!$A:$B,2,0),0))),""))),4)</f>
        <v>#VALUE!</v>
      </c>
      <c r="AOE4" s="44" t="e">
        <f>ROUNDUP(IF(IFERROR(IF($ANZ4="","",IF($ANZ4=0,1,1-$ANZ4/HLOOKUP(AOE$3,[2]ARBOR_REAJUSTE18!$A:$AE,VLOOKUP($ANZ$2,[2]ARBOR_REAJUSTE18!$A:$B,2,0),0))),"")&lt;0.01%,0.01%,(IFERROR(IF($ANZ4="","",IF($ANZ4=0,1,1-$ANZ4/HLOOKUP(AOE$3,[2]ARBOR_REAJUSTE18!$A:$AE,VLOOKUP($ANZ$2,[2]ARBOR_REAJUSTE18!$A:$B,2,0),0))),""))),4)</f>
        <v>#VALUE!</v>
      </c>
      <c r="AOF4" s="44" t="e">
        <f>ROUNDUP(IF(IFERROR(IF($ANZ4="","",IF($ANZ4=0,1,1-$ANZ4/HLOOKUP(AOF$3,[2]ARBOR_REAJUSTE18!$A:$AE,VLOOKUP($ANZ$2,[2]ARBOR_REAJUSTE18!$A:$B,2,0),0))),"")&lt;0.01%,0.01%,(IFERROR(IF($ANZ4="","",IF($ANZ4=0,1,1-$ANZ4/HLOOKUP(AOF$3,[2]ARBOR_REAJUSTE18!$A:$AE,VLOOKUP($ANZ$2,[2]ARBOR_REAJUSTE18!$A:$B,2,0),0))),""))),4)</f>
        <v>#VALUE!</v>
      </c>
      <c r="AOG4" s="44" t="e">
        <f>ROUNDUP(IF(IFERROR(IF($ANZ4="","",IF($ANZ4=0,1,1-$ANZ4/HLOOKUP(AOG$3,[2]ARBOR_REAJUSTE18!$A:$AE,VLOOKUP($ANZ$2,[2]ARBOR_REAJUSTE18!$A:$B,2,0),0))),"")&lt;0.01%,0.01%,(IFERROR(IF($ANZ4="","",IF($ANZ4=0,1,1-$ANZ4/HLOOKUP(AOG$3,[2]ARBOR_REAJUSTE18!$A:$AE,VLOOKUP($ANZ$2,[2]ARBOR_REAJUSTE18!$A:$B,2,0),0))),""))),4)</f>
        <v>#VALUE!</v>
      </c>
      <c r="AOH4" s="44" t="e">
        <f>ROUNDUP(IF(IFERROR(IF($ANZ4="","",IF($ANZ4=0,1,1-$ANZ4/HLOOKUP(AOH$3,[2]ARBOR_REAJUSTE18!$A:$AE,VLOOKUP($ANZ$2,[2]ARBOR_REAJUSTE18!$A:$B,2,0),0))),"")&lt;0.01%,0.01%,(IFERROR(IF($ANZ4="","",IF($ANZ4=0,1,1-$ANZ4/HLOOKUP(AOH$3,[2]ARBOR_REAJUSTE18!$A:$AE,VLOOKUP($ANZ$2,[2]ARBOR_REAJUSTE18!$A:$B,2,0),0))),""))),4)</f>
        <v>#VALUE!</v>
      </c>
      <c r="AOI4" s="44" t="e">
        <f>ROUNDUP(IF(IFERROR(IF($ANZ4="","",IF($ANZ4=0,1,1-$ANZ4/HLOOKUP(AOI$3,[2]ARBOR_REAJUSTE18!$A:$AE,VLOOKUP($ANZ$2,[2]ARBOR_REAJUSTE18!$A:$B,2,0),0))),"")&lt;0.01%,0.01%,(IFERROR(IF($ANZ4="","",IF($ANZ4=0,1,1-$ANZ4/HLOOKUP(AOI$3,[2]ARBOR_REAJUSTE18!$A:$AE,VLOOKUP($ANZ$2,[2]ARBOR_REAJUSTE18!$A:$B,2,0),0))),""))),4)</f>
        <v>#VALUE!</v>
      </c>
      <c r="AOJ4" s="44" t="e">
        <f>ROUNDUP(IF(IFERROR(IF($ANZ4="","",IF($ANZ4=0,1,1-$ANZ4/HLOOKUP(AOJ$3,[2]ARBOR_REAJUSTE18!$A:$AE,VLOOKUP($ANZ$2,[2]ARBOR_REAJUSTE18!$A:$B,2,0),0))),"")&lt;0.01%,0.01%,(IFERROR(IF($ANZ4="","",IF($ANZ4=0,1,1-$ANZ4/HLOOKUP(AOJ$3,[2]ARBOR_REAJUSTE18!$A:$AE,VLOOKUP($ANZ$2,[2]ARBOR_REAJUSTE18!$A:$B,2,0),0))),""))),4)</f>
        <v>#VALUE!</v>
      </c>
      <c r="AOK4" s="44" t="e">
        <f>ROUNDUP(IF(IFERROR(IF($ANZ4="","",IF($ANZ4=0,1,1-$ANZ4/HLOOKUP(AOK$3,[2]ARBOR_REAJUSTE18!$A:$AE,VLOOKUP($ANZ$2,[2]ARBOR_REAJUSTE18!$A:$B,2,0),0))),"")&lt;0.01%,0.01%,(IFERROR(IF($ANZ4="","",IF($ANZ4=0,1,1-$ANZ4/HLOOKUP(AOK$3,[2]ARBOR_REAJUSTE18!$A:$AE,VLOOKUP($ANZ$2,[2]ARBOR_REAJUSTE18!$A:$B,2,0),0))),""))),4)</f>
        <v>#VALUE!</v>
      </c>
      <c r="AOL4" s="44" t="e">
        <f>ROUNDUP(IF(IFERROR(IF($ANZ4="","",IF($ANZ4=0,1,1-$ANZ4/HLOOKUP(AOL$3,[2]ARBOR_REAJUSTE18!$A:$AE,VLOOKUP($ANZ$2,[2]ARBOR_REAJUSTE18!$A:$B,2,0),0))),"")&lt;0.01%,0.01%,(IFERROR(IF($ANZ4="","",IF($ANZ4=0,1,1-$ANZ4/HLOOKUP(AOL$3,[2]ARBOR_REAJUSTE18!$A:$AE,VLOOKUP($ANZ$2,[2]ARBOR_REAJUSTE18!$A:$B,2,0),0))),""))),4)</f>
        <v>#VALUE!</v>
      </c>
      <c r="AOM4" s="44" t="e">
        <f>ROUNDUP(IF(IFERROR(IF($ANZ4="","",IF($ANZ4=0,1,1-$ANZ4/HLOOKUP(AOM$3,[2]ARBOR_REAJUSTE18!$A:$AE,VLOOKUP($ANZ$2,[2]ARBOR_REAJUSTE18!$A:$B,2,0),0))),"")&lt;0.01%,0.01%,(IFERROR(IF($ANZ4="","",IF($ANZ4=0,1,1-$ANZ4/HLOOKUP(AOM$3,[2]ARBOR_REAJUSTE18!$A:$AE,VLOOKUP($ANZ$2,[2]ARBOR_REAJUSTE18!$A:$B,2,0),0))),""))),4)</f>
        <v>#VALUE!</v>
      </c>
      <c r="AON4" s="44" t="e">
        <f>ROUNDUP(IF(IFERROR(IF($ANZ4="","",IF($ANZ4=0,1,1-$ANZ4/HLOOKUP(AON$3,[2]ARBOR_REAJUSTE18!$A:$AE,VLOOKUP($ANZ$2,[2]ARBOR_REAJUSTE18!$A:$B,2,0),0))),"")&lt;0.01%,0.01%,(IFERROR(IF($ANZ4="","",IF($ANZ4=0,1,1-$ANZ4/HLOOKUP(AON$3,[2]ARBOR_REAJUSTE18!$A:$AE,VLOOKUP($ANZ$2,[2]ARBOR_REAJUSTE18!$A:$B,2,0),0))),""))),4)</f>
        <v>#VALUE!</v>
      </c>
      <c r="AOO4" s="44" t="e">
        <f>ROUNDUP(IF(IFERROR(IF($ANZ4="","",IF($ANZ4=0,1,1-$ANZ4/HLOOKUP(AOO$3,[2]ARBOR_REAJUSTE18!$A:$AE,VLOOKUP($ANZ$2,[2]ARBOR_REAJUSTE18!$A:$B,2,0),0))),"")&lt;0.01%,0.01%,(IFERROR(IF($ANZ4="","",IF($ANZ4=0,1,1-$ANZ4/HLOOKUP(AOO$3,[2]ARBOR_REAJUSTE18!$A:$AE,VLOOKUP($ANZ$2,[2]ARBOR_REAJUSTE18!$A:$B,2,0),0))),""))),4)</f>
        <v>#VALUE!</v>
      </c>
      <c r="AOP4" s="44" t="e">
        <f>ROUNDUP(IF(IFERROR(IF($ANZ4="","",IF($ANZ4=0,1,1-$ANZ4/HLOOKUP(AOP$3,[2]ARBOR_REAJUSTE18!$A:$AE,VLOOKUP($ANZ$2,[2]ARBOR_REAJUSTE18!$A:$B,2,0),0))),"")&lt;0.01%,0.01%,(IFERROR(IF($ANZ4="","",IF($ANZ4=0,1,1-$ANZ4/HLOOKUP(AOP$3,[2]ARBOR_REAJUSTE18!$A:$AE,VLOOKUP($ANZ$2,[2]ARBOR_REAJUSTE18!$A:$B,2,0),0))),""))),4)</f>
        <v>#VALUE!</v>
      </c>
      <c r="AOQ4" s="44" t="e">
        <f>ROUNDUP(IF(IFERROR(IF($ANZ4="","",IF($ANZ4=0,1,1-$ANZ4/HLOOKUP(AOQ$3,[2]ARBOR_REAJUSTE18!$A:$AE,VLOOKUP($ANZ$2,[2]ARBOR_REAJUSTE18!$A:$B,2,0),0))),"")&lt;0.01%,0.01%,(IFERROR(IF($ANZ4="","",IF($ANZ4=0,1,1-$ANZ4/HLOOKUP(AOQ$3,[2]ARBOR_REAJUSTE18!$A:$AE,VLOOKUP($ANZ$2,[2]ARBOR_REAJUSTE18!$A:$B,2,0),0))),""))),4)</f>
        <v>#VALUE!</v>
      </c>
      <c r="AOR4" s="44" t="e">
        <f>ROUNDUP(IF(IFERROR(IF($ANZ4="","",IF($ANZ4=0,1,1-$ANZ4/HLOOKUP(AOR$3,[2]ARBOR_REAJUSTE18!$A:$AE,VLOOKUP($ANZ$2,[2]ARBOR_REAJUSTE18!$A:$B,2,0),0))),"")&lt;0.01%,0.01%,(IFERROR(IF($ANZ4="","",IF($ANZ4=0,1,1-$ANZ4/HLOOKUP(AOR$3,[2]ARBOR_REAJUSTE18!$A:$AE,VLOOKUP($ANZ$2,[2]ARBOR_REAJUSTE18!$A:$B,2,0),0))),""))),4)</f>
        <v>#VALUE!</v>
      </c>
      <c r="AOS4" s="44" t="e">
        <f>ROUNDUP(IF(IFERROR(IF($ANZ4="","",IF($ANZ4=0,1,1-$ANZ4/HLOOKUP(AOS$3,[2]ARBOR_REAJUSTE18!$A:$AE,VLOOKUP($ANZ$2,[2]ARBOR_REAJUSTE18!$A:$B,2,0),0))),"")&lt;0.01%,0.01%,(IFERROR(IF($ANZ4="","",IF($ANZ4=0,1,1-$ANZ4/HLOOKUP(AOS$3,[2]ARBOR_REAJUSTE18!$A:$AE,VLOOKUP($ANZ$2,[2]ARBOR_REAJUSTE18!$A:$B,2,0),0))),""))),4)</f>
        <v>#VALUE!</v>
      </c>
      <c r="AOT4" s="44" t="e">
        <f>ROUNDUP(IF(IFERROR(IF($ANZ4="","",IF($ANZ4=0,1,1-$ANZ4/HLOOKUP(AOT$3,[2]ARBOR_REAJUSTE18!$A:$AE,VLOOKUP($ANZ$2,[2]ARBOR_REAJUSTE18!$A:$B,2,0),0))),"")&lt;0.01%,0.01%,(IFERROR(IF($ANZ4="","",IF($ANZ4=0,1,1-$ANZ4/HLOOKUP(AOT$3,[2]ARBOR_REAJUSTE18!$A:$AE,VLOOKUP($ANZ$2,[2]ARBOR_REAJUSTE18!$A:$B,2,0),0))),""))),4)</f>
        <v>#VALUE!</v>
      </c>
      <c r="AOU4" s="44" t="e">
        <f>ROUNDUP(IF(IFERROR(IF($ANZ4="","",IF($ANZ4=0,1,1-$ANZ4/HLOOKUP(AOU$3,[2]ARBOR_REAJUSTE18!$A:$AE,VLOOKUP($ANZ$2,[2]ARBOR_REAJUSTE18!$A:$B,2,0),0))),"")&lt;0.01%,0.01%,(IFERROR(IF($ANZ4="","",IF($ANZ4=0,1,1-$ANZ4/HLOOKUP(AOU$3,[2]ARBOR_REAJUSTE18!$A:$AE,VLOOKUP($ANZ$2,[2]ARBOR_REAJUSTE18!$A:$B,2,0),0))),""))),4)</f>
        <v>#VALUE!</v>
      </c>
      <c r="AOV4" s="44" t="e">
        <f>ROUNDUP(IF(IFERROR(IF($ANZ4="","",IF($ANZ4=0,1,1-$ANZ4/HLOOKUP(AOV$3,[2]ARBOR_REAJUSTE18!$A:$AE,VLOOKUP($ANZ$2,[2]ARBOR_REAJUSTE18!$A:$B,2,0),0))),"")&lt;0.01%,0.01%,(IFERROR(IF($ANZ4="","",IF($ANZ4=0,1,1-$ANZ4/HLOOKUP(AOV$3,[2]ARBOR_REAJUSTE18!$A:$AE,VLOOKUP($ANZ$2,[2]ARBOR_REAJUSTE18!$A:$B,2,0),0))),""))),4)</f>
        <v>#VALUE!</v>
      </c>
      <c r="AOW4" s="44" t="e">
        <f>ROUNDUP(IF(IFERROR(IF($ANZ4="","",IF($ANZ4=0,1,1-$ANZ4/HLOOKUP(AOW$3,[2]ARBOR_REAJUSTE18!$A:$AE,VLOOKUP($ANZ$2,[2]ARBOR_REAJUSTE18!$A:$B,2,0),0))),"")&lt;0.01%,0.01%,(IFERROR(IF($ANZ4="","",IF($ANZ4=0,1,1-$ANZ4/HLOOKUP(AOW$3,[2]ARBOR_REAJUSTE18!$A:$AE,VLOOKUP($ANZ$2,[2]ARBOR_REAJUSTE18!$A:$B,2,0),0))),""))),4)</f>
        <v>#VALUE!</v>
      </c>
      <c r="AOX4" s="44" t="e">
        <f>ROUNDUP(IF(IFERROR(IF($ANZ4="","",IF($ANZ4=0,1,1-$ANZ4/HLOOKUP(AOX$3,[2]ARBOR_REAJUSTE18!$A:$AE,VLOOKUP($ANZ$2,[2]ARBOR_REAJUSTE18!$A:$B,2,0),0))),"")&lt;0.01%,0.01%,(IFERROR(IF($ANZ4="","",IF($ANZ4=0,1,1-$ANZ4/HLOOKUP(AOX$3,[2]ARBOR_REAJUSTE18!$A:$AE,VLOOKUP($ANZ$2,[2]ARBOR_REAJUSTE18!$A:$B,2,0),0))),""))),4)</f>
        <v>#VALUE!</v>
      </c>
      <c r="AOY4" s="44" t="e">
        <f>ROUNDUP(IF(IFERROR(IF($ANZ4="","",IF($ANZ4=0,1,1-$ANZ4/HLOOKUP(AOY$3,[2]ARBOR_REAJUSTE18!$A:$AE,VLOOKUP($ANZ$2,[2]ARBOR_REAJUSTE18!$A:$B,2,0),0))),"")&lt;0.01%,0.01%,(IFERROR(IF($ANZ4="","",IF($ANZ4=0,1,1-$ANZ4/HLOOKUP(AOY$3,[2]ARBOR_REAJUSTE18!$A:$AE,VLOOKUP($ANZ$2,[2]ARBOR_REAJUSTE18!$A:$B,2,0),0))),""))),4)</f>
        <v>#VALUE!</v>
      </c>
      <c r="AOZ4" s="44" t="e">
        <f>ROUNDUP(IF(IFERROR(IF($ANZ4="","",IF($ANZ4=0,1,1-$ANZ4/HLOOKUP(AOZ$3,[2]ARBOR_REAJUSTE18!$A:$AE,VLOOKUP($ANZ$2,[2]ARBOR_REAJUSTE18!$A:$B,2,0),0))),"")&lt;0.01%,0.01%,(IFERROR(IF($ANZ4="","",IF($ANZ4=0,1,1-$ANZ4/HLOOKUP(AOZ$3,[2]ARBOR_REAJUSTE18!$A:$AE,VLOOKUP($ANZ$2,[2]ARBOR_REAJUSTE18!$A:$B,2,0),0))),""))),4)</f>
        <v>#VALUE!</v>
      </c>
      <c r="APA4" s="44" t="e">
        <f>ROUNDUP(IF(IFERROR(IF($ANZ4="","",IF($ANZ4=0,1,1-$ANZ4/HLOOKUP(APA$3,[2]ARBOR_REAJUSTE18!$A:$AE,VLOOKUP($ANZ$2,[2]ARBOR_REAJUSTE18!$A:$B,2,0),0))),"")&lt;0.01%,0.01%,(IFERROR(IF($ANZ4="","",IF($ANZ4=0,1,1-$ANZ4/HLOOKUP(APA$3,[2]ARBOR_REAJUSTE18!$A:$AE,VLOOKUP($ANZ$2,[2]ARBOR_REAJUSTE18!$A:$B,2,0),0))),""))),4)</f>
        <v>#VALUE!</v>
      </c>
      <c r="APB4" s="44" t="e">
        <f>ROUNDUP(IF(IFERROR(IF($ANZ4="","",IF($ANZ4=0,1,1-$ANZ4/HLOOKUP(APB$3,[2]ARBOR_REAJUSTE18!$A:$AE,VLOOKUP($ANZ$2,[2]ARBOR_REAJUSTE18!$A:$B,2,0),0))),"")&lt;0.01%,0.01%,(IFERROR(IF($ANZ4="","",IF($ANZ4=0,1,1-$ANZ4/HLOOKUP(APB$3,[2]ARBOR_REAJUSTE18!$A:$AE,VLOOKUP($ANZ$2,[2]ARBOR_REAJUSTE18!$A:$B,2,0),0))),""))),4)</f>
        <v>#VALUE!</v>
      </c>
      <c r="APC4" s="56"/>
      <c r="APD4" s="64"/>
      <c r="APE4" s="44" t="e">
        <f>ROUNDUP(IF(IFERROR(IF($APC4="","",IF($APC4=0,1,1-$APC4/HLOOKUP(APE$3,[2]ARBOR_REAJUSTE18!$A:$AE,VLOOKUP($APC$2,[2]ARBOR_REAJUSTE18!$A:$B,2,0),0))),"")&lt;0.01%,0.01%,(IFERROR(IF($APC4="","",IF($APC4=0,1,1-$APC4/HLOOKUP(APE$3,[2]ARBOR_REAJUSTE18!$A:$AE,VLOOKUP($APC$2,[2]ARBOR_REAJUSTE18!$A:$B,2,0),0))),""))),4)</f>
        <v>#VALUE!</v>
      </c>
      <c r="APF4" s="44" t="e">
        <f>ROUNDUP(IF(IFERROR(IF($APC4="","",IF($APC4=0,1,1-$APC4/HLOOKUP(APF$3,[2]ARBOR_REAJUSTE18!$A:$AE,VLOOKUP($APC$2,[2]ARBOR_REAJUSTE18!$A:$B,2,0),0))),"")&lt;0.01%,0.01%,(IFERROR(IF($APC4="","",IF($APC4=0,1,1-$APC4/HLOOKUP(APF$3,[2]ARBOR_REAJUSTE18!$A:$AE,VLOOKUP($APC$2,[2]ARBOR_REAJUSTE18!$A:$B,2,0),0))),""))),4)</f>
        <v>#VALUE!</v>
      </c>
      <c r="APG4" s="44" t="e">
        <f>ROUNDUP(IF(IFERROR(IF($APC4="","",IF($APC4=0,1,1-$APC4/HLOOKUP(APG$3,[2]ARBOR_REAJUSTE18!$A:$AE,VLOOKUP($APC$2,[2]ARBOR_REAJUSTE18!$A:$B,2,0),0))),"")&lt;0.01%,0.01%,(IFERROR(IF($APC4="","",IF($APC4=0,1,1-$APC4/HLOOKUP(APG$3,[2]ARBOR_REAJUSTE18!$A:$AE,VLOOKUP($APC$2,[2]ARBOR_REAJUSTE18!$A:$B,2,0),0))),""))),4)</f>
        <v>#VALUE!</v>
      </c>
      <c r="APH4" s="44" t="e">
        <f>ROUNDUP(IF(IFERROR(IF($APC4="","",IF($APC4=0,1,1-$APC4/HLOOKUP(APH$3,[2]ARBOR_REAJUSTE18!$A:$AE,VLOOKUP($APC$2,[2]ARBOR_REAJUSTE18!$A:$B,2,0),0))),"")&lt;0.01%,0.01%,(IFERROR(IF($APC4="","",IF($APC4=0,1,1-$APC4/HLOOKUP(APH$3,[2]ARBOR_REAJUSTE18!$A:$AE,VLOOKUP($APC$2,[2]ARBOR_REAJUSTE18!$A:$B,2,0),0))),""))),4)</f>
        <v>#VALUE!</v>
      </c>
      <c r="API4" s="44" t="e">
        <f>ROUNDUP(IF(IFERROR(IF($APC4="","",IF($APC4=0,1,1-$APC4/HLOOKUP(API$3,[2]ARBOR_REAJUSTE18!$A:$AE,VLOOKUP($APC$2,[2]ARBOR_REAJUSTE18!$A:$B,2,0),0))),"")&lt;0.01%,0.01%,(IFERROR(IF($APC4="","",IF($APC4=0,1,1-$APC4/HLOOKUP(API$3,[2]ARBOR_REAJUSTE18!$A:$AE,VLOOKUP($APC$2,[2]ARBOR_REAJUSTE18!$A:$B,2,0),0))),""))),4)</f>
        <v>#VALUE!</v>
      </c>
      <c r="APJ4" s="44" t="e">
        <f>ROUNDUP(IF(IFERROR(IF($APC4="","",IF($APC4=0,1,1-$APC4/HLOOKUP(APJ$3,[2]ARBOR_REAJUSTE18!$A:$AE,VLOOKUP($APC$2,[2]ARBOR_REAJUSTE18!$A:$B,2,0),0))),"")&lt;0.01%,0.01%,(IFERROR(IF($APC4="","",IF($APC4=0,1,1-$APC4/HLOOKUP(APJ$3,[2]ARBOR_REAJUSTE18!$A:$AE,VLOOKUP($APC$2,[2]ARBOR_REAJUSTE18!$A:$B,2,0),0))),""))),4)</f>
        <v>#VALUE!</v>
      </c>
      <c r="APK4" s="44" t="e">
        <f>ROUNDUP(IF(IFERROR(IF($APC4="","",IF($APC4=0,1,1-$APC4/HLOOKUP(APK$3,[2]ARBOR_REAJUSTE18!$A:$AE,VLOOKUP($APC$2,[2]ARBOR_REAJUSTE18!$A:$B,2,0),0))),"")&lt;0.01%,0.01%,(IFERROR(IF($APC4="","",IF($APC4=0,1,1-$APC4/HLOOKUP(APK$3,[2]ARBOR_REAJUSTE18!$A:$AE,VLOOKUP($APC$2,[2]ARBOR_REAJUSTE18!$A:$B,2,0),0))),""))),4)</f>
        <v>#VALUE!</v>
      </c>
      <c r="APL4" s="44" t="e">
        <f>ROUNDUP(IF(IFERROR(IF($APC4="","",IF($APC4=0,1,1-$APC4/HLOOKUP(APL$3,[2]ARBOR_REAJUSTE18!$A:$AE,VLOOKUP($APC$2,[2]ARBOR_REAJUSTE18!$A:$B,2,0),0))),"")&lt;0.01%,0.01%,(IFERROR(IF($APC4="","",IF($APC4=0,1,1-$APC4/HLOOKUP(APL$3,[2]ARBOR_REAJUSTE18!$A:$AE,VLOOKUP($APC$2,[2]ARBOR_REAJUSTE18!$A:$B,2,0),0))),""))),4)</f>
        <v>#VALUE!</v>
      </c>
      <c r="APM4" s="44" t="e">
        <f>ROUNDUP(IF(IFERROR(IF($APC4="","",IF($APC4=0,1,1-$APC4/HLOOKUP(APM$3,[2]ARBOR_REAJUSTE18!$A:$AE,VLOOKUP($APC$2,[2]ARBOR_REAJUSTE18!$A:$B,2,0),0))),"")&lt;0.01%,0.01%,(IFERROR(IF($APC4="","",IF($APC4=0,1,1-$APC4/HLOOKUP(APM$3,[2]ARBOR_REAJUSTE18!$A:$AE,VLOOKUP($APC$2,[2]ARBOR_REAJUSTE18!$A:$B,2,0),0))),""))),4)</f>
        <v>#VALUE!</v>
      </c>
      <c r="APN4" s="44" t="e">
        <f>ROUNDUP(IF(IFERROR(IF($APC4="","",IF($APC4=0,1,1-$APC4/HLOOKUP(APN$3,[2]ARBOR_REAJUSTE18!$A:$AE,VLOOKUP($APC$2,[2]ARBOR_REAJUSTE18!$A:$B,2,0),0))),"")&lt;0.01%,0.01%,(IFERROR(IF($APC4="","",IF($APC4=0,1,1-$APC4/HLOOKUP(APN$3,[2]ARBOR_REAJUSTE18!$A:$AE,VLOOKUP($APC$2,[2]ARBOR_REAJUSTE18!$A:$B,2,0),0))),""))),4)</f>
        <v>#VALUE!</v>
      </c>
      <c r="APO4" s="44" t="e">
        <f>ROUNDUP(IF(IFERROR(IF($APC4="","",IF($APC4=0,1,1-$APC4/HLOOKUP(APO$3,[2]ARBOR_REAJUSTE18!$A:$AE,VLOOKUP($APC$2,[2]ARBOR_REAJUSTE18!$A:$B,2,0),0))),"")&lt;0.01%,0.01%,(IFERROR(IF($APC4="","",IF($APC4=0,1,1-$APC4/HLOOKUP(APO$3,[2]ARBOR_REAJUSTE18!$A:$AE,VLOOKUP($APC$2,[2]ARBOR_REAJUSTE18!$A:$B,2,0),0))),""))),4)</f>
        <v>#VALUE!</v>
      </c>
      <c r="APP4" s="44" t="e">
        <f>ROUNDUP(IF(IFERROR(IF($APC4="","",IF($APC4=0,1,1-$APC4/HLOOKUP(APP$3,[2]ARBOR_REAJUSTE18!$A:$AE,VLOOKUP($APC$2,[2]ARBOR_REAJUSTE18!$A:$B,2,0),0))),"")&lt;0.01%,0.01%,(IFERROR(IF($APC4="","",IF($APC4=0,1,1-$APC4/HLOOKUP(APP$3,[2]ARBOR_REAJUSTE18!$A:$AE,VLOOKUP($APC$2,[2]ARBOR_REAJUSTE18!$A:$B,2,0),0))),""))),4)</f>
        <v>#VALUE!</v>
      </c>
      <c r="APQ4" s="44" t="e">
        <f>ROUNDUP(IF(IFERROR(IF($APC4="","",IF($APC4=0,1,1-$APC4/HLOOKUP(APQ$3,[2]ARBOR_REAJUSTE18!$A:$AE,VLOOKUP($APC$2,[2]ARBOR_REAJUSTE18!$A:$B,2,0),0))),"")&lt;0.01%,0.01%,(IFERROR(IF($APC4="","",IF($APC4=0,1,1-$APC4/HLOOKUP(APQ$3,[2]ARBOR_REAJUSTE18!$A:$AE,VLOOKUP($APC$2,[2]ARBOR_REAJUSTE18!$A:$B,2,0),0))),""))),4)</f>
        <v>#VALUE!</v>
      </c>
      <c r="APR4" s="44" t="e">
        <f>ROUNDUP(IF(IFERROR(IF($APC4="","",IF($APC4=0,1,1-$APC4/HLOOKUP(APR$3,[2]ARBOR_REAJUSTE18!$A:$AE,VLOOKUP($APC$2,[2]ARBOR_REAJUSTE18!$A:$B,2,0),0))),"")&lt;0.01%,0.01%,(IFERROR(IF($APC4="","",IF($APC4=0,1,1-$APC4/HLOOKUP(APR$3,[2]ARBOR_REAJUSTE18!$A:$AE,VLOOKUP($APC$2,[2]ARBOR_REAJUSTE18!$A:$B,2,0),0))),""))),4)</f>
        <v>#VALUE!</v>
      </c>
      <c r="APS4" s="44" t="e">
        <f>ROUNDUP(IF(IFERROR(IF($APC4="","",IF($APC4=0,1,1-$APC4/HLOOKUP(APS$3,[2]ARBOR_REAJUSTE18!$A:$AE,VLOOKUP($APC$2,[2]ARBOR_REAJUSTE18!$A:$B,2,0),0))),"")&lt;0.01%,0.01%,(IFERROR(IF($APC4="","",IF($APC4=0,1,1-$APC4/HLOOKUP(APS$3,[2]ARBOR_REAJUSTE18!$A:$AE,VLOOKUP($APC$2,[2]ARBOR_REAJUSTE18!$A:$B,2,0),0))),""))),4)</f>
        <v>#VALUE!</v>
      </c>
      <c r="APT4" s="44" t="e">
        <f>ROUNDUP(IF(IFERROR(IF($APC4="","",IF($APC4=0,1,1-$APC4/HLOOKUP(APT$3,[2]ARBOR_REAJUSTE18!$A:$AE,VLOOKUP($APC$2,[2]ARBOR_REAJUSTE18!$A:$B,2,0),0))),"")&lt;0.01%,0.01%,(IFERROR(IF($APC4="","",IF($APC4=0,1,1-$APC4/HLOOKUP(APT$3,[2]ARBOR_REAJUSTE18!$A:$AE,VLOOKUP($APC$2,[2]ARBOR_REAJUSTE18!$A:$B,2,0),0))),""))),4)</f>
        <v>#VALUE!</v>
      </c>
      <c r="APU4" s="44" t="e">
        <f>ROUNDUP(IF(IFERROR(IF($APC4="","",IF($APC4=0,1,1-$APC4/HLOOKUP(APU$3,[2]ARBOR_REAJUSTE18!$A:$AE,VLOOKUP($APC$2,[2]ARBOR_REAJUSTE18!$A:$B,2,0),0))),"")&lt;0.01%,0.01%,(IFERROR(IF($APC4="","",IF($APC4=0,1,1-$APC4/HLOOKUP(APU$3,[2]ARBOR_REAJUSTE18!$A:$AE,VLOOKUP($APC$2,[2]ARBOR_REAJUSTE18!$A:$B,2,0),0))),""))),4)</f>
        <v>#VALUE!</v>
      </c>
      <c r="APV4" s="44" t="e">
        <f>ROUNDUP(IF(IFERROR(IF($APC4="","",IF($APC4=0,1,1-$APC4/HLOOKUP(APV$3,[2]ARBOR_REAJUSTE18!$A:$AE,VLOOKUP($APC$2,[2]ARBOR_REAJUSTE18!$A:$B,2,0),0))),"")&lt;0.01%,0.01%,(IFERROR(IF($APC4="","",IF($APC4=0,1,1-$APC4/HLOOKUP(APV$3,[2]ARBOR_REAJUSTE18!$A:$AE,VLOOKUP($APC$2,[2]ARBOR_REAJUSTE18!$A:$B,2,0),0))),""))),4)</f>
        <v>#VALUE!</v>
      </c>
      <c r="APW4" s="44" t="e">
        <f>ROUNDUP(IF(IFERROR(IF($APC4="","",IF($APC4=0,1,1-$APC4/HLOOKUP(APW$3,[2]ARBOR_REAJUSTE18!$A:$AE,VLOOKUP($APC$2,[2]ARBOR_REAJUSTE18!$A:$B,2,0),0))),"")&lt;0.01%,0.01%,(IFERROR(IF($APC4="","",IF($APC4=0,1,1-$APC4/HLOOKUP(APW$3,[2]ARBOR_REAJUSTE18!$A:$AE,VLOOKUP($APC$2,[2]ARBOR_REAJUSTE18!$A:$B,2,0),0))),""))),4)</f>
        <v>#VALUE!</v>
      </c>
      <c r="APX4" s="44" t="e">
        <f>ROUNDUP(IF(IFERROR(IF($APC4="","",IF($APC4=0,1,1-$APC4/HLOOKUP(APX$3,[2]ARBOR_REAJUSTE18!$A:$AE,VLOOKUP($APC$2,[2]ARBOR_REAJUSTE18!$A:$B,2,0),0))),"")&lt;0.01%,0.01%,(IFERROR(IF($APC4="","",IF($APC4=0,1,1-$APC4/HLOOKUP(APX$3,[2]ARBOR_REAJUSTE18!$A:$AE,VLOOKUP($APC$2,[2]ARBOR_REAJUSTE18!$A:$B,2,0),0))),""))),4)</f>
        <v>#VALUE!</v>
      </c>
      <c r="APY4" s="44" t="e">
        <f>ROUNDUP(IF(IFERROR(IF($APC4="","",IF($APC4=0,1,1-$APC4/HLOOKUP(APY$3,[2]ARBOR_REAJUSTE18!$A:$AE,VLOOKUP($APC$2,[2]ARBOR_REAJUSTE18!$A:$B,2,0),0))),"")&lt;0.01%,0.01%,(IFERROR(IF($APC4="","",IF($APC4=0,1,1-$APC4/HLOOKUP(APY$3,[2]ARBOR_REAJUSTE18!$A:$AE,VLOOKUP($APC$2,[2]ARBOR_REAJUSTE18!$A:$B,2,0),0))),""))),4)</f>
        <v>#VALUE!</v>
      </c>
      <c r="APZ4" s="44" t="e">
        <f>ROUNDUP(IF(IFERROR(IF($APC4="","",IF($APC4=0,1,1-$APC4/HLOOKUP(APZ$3,[2]ARBOR_REAJUSTE18!$A:$AE,VLOOKUP($APC$2,[2]ARBOR_REAJUSTE18!$A:$B,2,0),0))),"")&lt;0.01%,0.01%,(IFERROR(IF($APC4="","",IF($APC4=0,1,1-$APC4/HLOOKUP(APZ$3,[2]ARBOR_REAJUSTE18!$A:$AE,VLOOKUP($APC$2,[2]ARBOR_REAJUSTE18!$A:$B,2,0),0))),""))),4)</f>
        <v>#VALUE!</v>
      </c>
      <c r="AQA4" s="44" t="e">
        <f>ROUNDUP(IF(IFERROR(IF($APC4="","",IF($APC4=0,1,1-$APC4/HLOOKUP(AQA$3,[2]ARBOR_REAJUSTE18!$A:$AE,VLOOKUP($APC$2,[2]ARBOR_REAJUSTE18!$A:$B,2,0),0))),"")&lt;0.01%,0.01%,(IFERROR(IF($APC4="","",IF($APC4=0,1,1-$APC4/HLOOKUP(AQA$3,[2]ARBOR_REAJUSTE18!$A:$AE,VLOOKUP($APC$2,[2]ARBOR_REAJUSTE18!$A:$B,2,0),0))),""))),4)</f>
        <v>#VALUE!</v>
      </c>
      <c r="AQB4" s="44" t="e">
        <f>ROUNDUP(IF(IFERROR(IF($APC4="","",IF($APC4=0,1,1-$APC4/HLOOKUP(AQB$3,[2]ARBOR_REAJUSTE18!$A:$AE,VLOOKUP($APC$2,[2]ARBOR_REAJUSTE18!$A:$B,2,0),0))),"")&lt;0.01%,0.01%,(IFERROR(IF($APC4="","",IF($APC4=0,1,1-$APC4/HLOOKUP(AQB$3,[2]ARBOR_REAJUSTE18!$A:$AE,VLOOKUP($APC$2,[2]ARBOR_REAJUSTE18!$A:$B,2,0),0))),""))),4)</f>
        <v>#VALUE!</v>
      </c>
      <c r="AQC4" s="44" t="e">
        <f>ROUNDUP(IF(IFERROR(IF($APC4="","",IF($APC4=0,1,1-$APC4/HLOOKUP(AQC$3,[2]ARBOR_REAJUSTE18!$A:$AE,VLOOKUP($APC$2,[2]ARBOR_REAJUSTE18!$A:$B,2,0),0))),"")&lt;0.01%,0.01%,(IFERROR(IF($APC4="","",IF($APC4=0,1,1-$APC4/HLOOKUP(AQC$3,[2]ARBOR_REAJUSTE18!$A:$AE,VLOOKUP($APC$2,[2]ARBOR_REAJUSTE18!$A:$B,2,0),0))),""))),4)</f>
        <v>#VALUE!</v>
      </c>
      <c r="AQD4" s="44" t="e">
        <f>ROUNDUP(IF(IFERROR(IF($APC4="","",IF($APC4=0,1,1-$APC4/HLOOKUP(AQD$3,[2]ARBOR_REAJUSTE18!$A:$AE,VLOOKUP($APC$2,[2]ARBOR_REAJUSTE18!$A:$B,2,0),0))),"")&lt;0.01%,0.01%,(IFERROR(IF($APC4="","",IF($APC4=0,1,1-$APC4/HLOOKUP(AQD$3,[2]ARBOR_REAJUSTE18!$A:$AE,VLOOKUP($APC$2,[2]ARBOR_REAJUSTE18!$A:$B,2,0),0))),""))),4)</f>
        <v>#VALUE!</v>
      </c>
      <c r="AQE4" s="44" t="e">
        <f>ROUNDUP(IF(IFERROR(IF($APC4="","",IF($APC4=0,1,1-$APC4/HLOOKUP(AQE$3,[2]ARBOR_REAJUSTE18!$A:$AE,VLOOKUP($APC$2,[2]ARBOR_REAJUSTE18!$A:$B,2,0),0))),"")&lt;0.01%,0.01%,(IFERROR(IF($APC4="","",IF($APC4=0,1,1-$APC4/HLOOKUP(AQE$3,[2]ARBOR_REAJUSTE18!$A:$AE,VLOOKUP($APC$2,[2]ARBOR_REAJUSTE18!$A:$B,2,0),0))),""))),4)</f>
        <v>#VALUE!</v>
      </c>
      <c r="AQF4" s="56"/>
      <c r="AQG4" s="64"/>
      <c r="AQH4" s="44" t="e">
        <f>ROUNDUP(IF(IFERROR(IF($AQF4="","",IF($AQF4=0,1,1-$AQF4/HLOOKUP(AQH$3,[2]ARBOR_REAJUSTE18!$A:$AE,VLOOKUP($AQF$2,[2]ARBOR_REAJUSTE18!$A:$B,2,0),0))),"")&lt;0.01%,0.01%,(IFERROR(IF($AQF4="","",IF($AQF4=0,1,1-$AQF4/HLOOKUP(AQH$3,[2]ARBOR_REAJUSTE18!$A:$AE,VLOOKUP($AQF$2,[2]ARBOR_REAJUSTE18!$A:$B,2,0),0))),""))),4)</f>
        <v>#VALUE!</v>
      </c>
      <c r="AQI4" s="44" t="e">
        <f>ROUNDUP(IF(IFERROR(IF($AQF4="","",IF($AQF4=0,1,1-$AQF4/HLOOKUP(AQI$3,[2]ARBOR_REAJUSTE18!$A:$AE,VLOOKUP($AQF$2,[2]ARBOR_REAJUSTE18!$A:$B,2,0),0))),"")&lt;0.01%,0.01%,(IFERROR(IF($AQF4="","",IF($AQF4=0,1,1-$AQF4/HLOOKUP(AQI$3,[2]ARBOR_REAJUSTE18!$A:$AE,VLOOKUP($AQF$2,[2]ARBOR_REAJUSTE18!$A:$B,2,0),0))),""))),4)</f>
        <v>#VALUE!</v>
      </c>
      <c r="AQJ4" s="44" t="e">
        <f>ROUNDUP(IF(IFERROR(IF($AQF4="","",IF($AQF4=0,1,1-$AQF4/HLOOKUP(AQJ$3,[2]ARBOR_REAJUSTE18!$A:$AE,VLOOKUP($AQF$2,[2]ARBOR_REAJUSTE18!$A:$B,2,0),0))),"")&lt;0.01%,0.01%,(IFERROR(IF($AQF4="","",IF($AQF4=0,1,1-$AQF4/HLOOKUP(AQJ$3,[2]ARBOR_REAJUSTE18!$A:$AE,VLOOKUP($AQF$2,[2]ARBOR_REAJUSTE18!$A:$B,2,0),0))),""))),4)</f>
        <v>#VALUE!</v>
      </c>
      <c r="AQK4" s="44" t="e">
        <f>ROUNDUP(IF(IFERROR(IF($AQF4="","",IF($AQF4=0,1,1-$AQF4/HLOOKUP(AQK$3,[2]ARBOR_REAJUSTE18!$A:$AE,VLOOKUP($AQF$2,[2]ARBOR_REAJUSTE18!$A:$B,2,0),0))),"")&lt;0.01%,0.01%,(IFERROR(IF($AQF4="","",IF($AQF4=0,1,1-$AQF4/HLOOKUP(AQK$3,[2]ARBOR_REAJUSTE18!$A:$AE,VLOOKUP($AQF$2,[2]ARBOR_REAJUSTE18!$A:$B,2,0),0))),""))),4)</f>
        <v>#VALUE!</v>
      </c>
      <c r="AQL4" s="44" t="e">
        <f>ROUNDUP(IF(IFERROR(IF($AQF4="","",IF($AQF4=0,1,1-$AQF4/HLOOKUP(AQL$3,[2]ARBOR_REAJUSTE18!$A:$AE,VLOOKUP($AQF$2,[2]ARBOR_REAJUSTE18!$A:$B,2,0),0))),"")&lt;0.01%,0.01%,(IFERROR(IF($AQF4="","",IF($AQF4=0,1,1-$AQF4/HLOOKUP(AQL$3,[2]ARBOR_REAJUSTE18!$A:$AE,VLOOKUP($AQF$2,[2]ARBOR_REAJUSTE18!$A:$B,2,0),0))),""))),4)</f>
        <v>#VALUE!</v>
      </c>
      <c r="AQM4" s="44" t="e">
        <f>ROUNDUP(IF(IFERROR(IF($AQF4="","",IF($AQF4=0,1,1-$AQF4/HLOOKUP(AQM$3,[2]ARBOR_REAJUSTE18!$A:$AE,VLOOKUP($AQF$2,[2]ARBOR_REAJUSTE18!$A:$B,2,0),0))),"")&lt;0.01%,0.01%,(IFERROR(IF($AQF4="","",IF($AQF4=0,1,1-$AQF4/HLOOKUP(AQM$3,[2]ARBOR_REAJUSTE18!$A:$AE,VLOOKUP($AQF$2,[2]ARBOR_REAJUSTE18!$A:$B,2,0),0))),""))),4)</f>
        <v>#VALUE!</v>
      </c>
      <c r="AQN4" s="44" t="e">
        <f>ROUNDUP(IF(IFERROR(IF($AQF4="","",IF($AQF4=0,1,1-$AQF4/HLOOKUP(AQN$3,[2]ARBOR_REAJUSTE18!$A:$AE,VLOOKUP($AQF$2,[2]ARBOR_REAJUSTE18!$A:$B,2,0),0))),"")&lt;0.01%,0.01%,(IFERROR(IF($AQF4="","",IF($AQF4=0,1,1-$AQF4/HLOOKUP(AQN$3,[2]ARBOR_REAJUSTE18!$A:$AE,VLOOKUP($AQF$2,[2]ARBOR_REAJUSTE18!$A:$B,2,0),0))),""))),4)</f>
        <v>#VALUE!</v>
      </c>
      <c r="AQO4" s="44" t="e">
        <f>ROUNDUP(IF(IFERROR(IF($AQF4="","",IF($AQF4=0,1,1-$AQF4/HLOOKUP(AQO$3,[2]ARBOR_REAJUSTE18!$A:$AE,VLOOKUP($AQF$2,[2]ARBOR_REAJUSTE18!$A:$B,2,0),0))),"")&lt;0.01%,0.01%,(IFERROR(IF($AQF4="","",IF($AQF4=0,1,1-$AQF4/HLOOKUP(AQO$3,[2]ARBOR_REAJUSTE18!$A:$AE,VLOOKUP($AQF$2,[2]ARBOR_REAJUSTE18!$A:$B,2,0),0))),""))),4)</f>
        <v>#VALUE!</v>
      </c>
      <c r="AQP4" s="44" t="e">
        <f>ROUNDUP(IF(IFERROR(IF($AQF4="","",IF($AQF4=0,1,1-$AQF4/HLOOKUP(AQP$3,[2]ARBOR_REAJUSTE18!$A:$AE,VLOOKUP($AQF$2,[2]ARBOR_REAJUSTE18!$A:$B,2,0),0))),"")&lt;0.01%,0.01%,(IFERROR(IF($AQF4="","",IF($AQF4=0,1,1-$AQF4/HLOOKUP(AQP$3,[2]ARBOR_REAJUSTE18!$A:$AE,VLOOKUP($AQF$2,[2]ARBOR_REAJUSTE18!$A:$B,2,0),0))),""))),4)</f>
        <v>#VALUE!</v>
      </c>
      <c r="AQQ4" s="44" t="e">
        <f>ROUNDUP(IF(IFERROR(IF($AQF4="","",IF($AQF4=0,1,1-$AQF4/HLOOKUP(AQQ$3,[2]ARBOR_REAJUSTE18!$A:$AE,VLOOKUP($AQF$2,[2]ARBOR_REAJUSTE18!$A:$B,2,0),0))),"")&lt;0.01%,0.01%,(IFERROR(IF($AQF4="","",IF($AQF4=0,1,1-$AQF4/HLOOKUP(AQQ$3,[2]ARBOR_REAJUSTE18!$A:$AE,VLOOKUP($AQF$2,[2]ARBOR_REAJUSTE18!$A:$B,2,0),0))),""))),4)</f>
        <v>#VALUE!</v>
      </c>
      <c r="AQR4" s="44" t="e">
        <f>ROUNDUP(IF(IFERROR(IF($AQF4="","",IF($AQF4=0,1,1-$AQF4/HLOOKUP(AQR$3,[2]ARBOR_REAJUSTE18!$A:$AE,VLOOKUP($AQF$2,[2]ARBOR_REAJUSTE18!$A:$B,2,0),0))),"")&lt;0.01%,0.01%,(IFERROR(IF($AQF4="","",IF($AQF4=0,1,1-$AQF4/HLOOKUP(AQR$3,[2]ARBOR_REAJUSTE18!$A:$AE,VLOOKUP($AQF$2,[2]ARBOR_REAJUSTE18!$A:$B,2,0),0))),""))),4)</f>
        <v>#VALUE!</v>
      </c>
      <c r="AQS4" s="44" t="e">
        <f>ROUNDUP(IF(IFERROR(IF($AQF4="","",IF($AQF4=0,1,1-$AQF4/HLOOKUP(AQS$3,[2]ARBOR_REAJUSTE18!$A:$AE,VLOOKUP($AQF$2,[2]ARBOR_REAJUSTE18!$A:$B,2,0),0))),"")&lt;0.01%,0.01%,(IFERROR(IF($AQF4="","",IF($AQF4=0,1,1-$AQF4/HLOOKUP(AQS$3,[2]ARBOR_REAJUSTE18!$A:$AE,VLOOKUP($AQF$2,[2]ARBOR_REAJUSTE18!$A:$B,2,0),0))),""))),4)</f>
        <v>#VALUE!</v>
      </c>
      <c r="AQT4" s="44" t="e">
        <f>ROUNDUP(IF(IFERROR(IF($AQF4="","",IF($AQF4=0,1,1-$AQF4/HLOOKUP(AQT$3,[2]ARBOR_REAJUSTE18!$A:$AE,VLOOKUP($AQF$2,[2]ARBOR_REAJUSTE18!$A:$B,2,0),0))),"")&lt;0.01%,0.01%,(IFERROR(IF($AQF4="","",IF($AQF4=0,1,1-$AQF4/HLOOKUP(AQT$3,[2]ARBOR_REAJUSTE18!$A:$AE,VLOOKUP($AQF$2,[2]ARBOR_REAJUSTE18!$A:$B,2,0),0))),""))),4)</f>
        <v>#VALUE!</v>
      </c>
      <c r="AQU4" s="44" t="e">
        <f>ROUNDUP(IF(IFERROR(IF($AQF4="","",IF($AQF4=0,1,1-$AQF4/HLOOKUP(AQU$3,[2]ARBOR_REAJUSTE18!$A:$AE,VLOOKUP($AQF$2,[2]ARBOR_REAJUSTE18!$A:$B,2,0),0))),"")&lt;0.01%,0.01%,(IFERROR(IF($AQF4="","",IF($AQF4=0,1,1-$AQF4/HLOOKUP(AQU$3,[2]ARBOR_REAJUSTE18!$A:$AE,VLOOKUP($AQF$2,[2]ARBOR_REAJUSTE18!$A:$B,2,0),0))),""))),4)</f>
        <v>#VALUE!</v>
      </c>
      <c r="AQV4" s="44" t="e">
        <f>ROUNDUP(IF(IFERROR(IF($AQF4="","",IF($AQF4=0,1,1-$AQF4/HLOOKUP(AQV$3,[2]ARBOR_REAJUSTE18!$A:$AE,VLOOKUP($AQF$2,[2]ARBOR_REAJUSTE18!$A:$B,2,0),0))),"")&lt;0.01%,0.01%,(IFERROR(IF($AQF4="","",IF($AQF4=0,1,1-$AQF4/HLOOKUP(AQV$3,[2]ARBOR_REAJUSTE18!$A:$AE,VLOOKUP($AQF$2,[2]ARBOR_REAJUSTE18!$A:$B,2,0),0))),""))),4)</f>
        <v>#VALUE!</v>
      </c>
      <c r="AQW4" s="44" t="e">
        <f>ROUNDUP(IF(IFERROR(IF($AQF4="","",IF($AQF4=0,1,1-$AQF4/HLOOKUP(AQW$3,[2]ARBOR_REAJUSTE18!$A:$AE,VLOOKUP($AQF$2,[2]ARBOR_REAJUSTE18!$A:$B,2,0),0))),"")&lt;0.01%,0.01%,(IFERROR(IF($AQF4="","",IF($AQF4=0,1,1-$AQF4/HLOOKUP(AQW$3,[2]ARBOR_REAJUSTE18!$A:$AE,VLOOKUP($AQF$2,[2]ARBOR_REAJUSTE18!$A:$B,2,0),0))),""))),4)</f>
        <v>#VALUE!</v>
      </c>
      <c r="AQX4" s="44" t="e">
        <f>ROUNDUP(IF(IFERROR(IF($AQF4="","",IF($AQF4=0,1,1-$AQF4/HLOOKUP(AQX$3,[2]ARBOR_REAJUSTE18!$A:$AE,VLOOKUP($AQF$2,[2]ARBOR_REAJUSTE18!$A:$B,2,0),0))),"")&lt;0.01%,0.01%,(IFERROR(IF($AQF4="","",IF($AQF4=0,1,1-$AQF4/HLOOKUP(AQX$3,[2]ARBOR_REAJUSTE18!$A:$AE,VLOOKUP($AQF$2,[2]ARBOR_REAJUSTE18!$A:$B,2,0),0))),""))),4)</f>
        <v>#VALUE!</v>
      </c>
      <c r="AQY4" s="44" t="e">
        <f>ROUNDUP(IF(IFERROR(IF($AQF4="","",IF($AQF4=0,1,1-$AQF4/HLOOKUP(AQY$3,[2]ARBOR_REAJUSTE18!$A:$AE,VLOOKUP($AQF$2,[2]ARBOR_REAJUSTE18!$A:$B,2,0),0))),"")&lt;0.01%,0.01%,(IFERROR(IF($AQF4="","",IF($AQF4=0,1,1-$AQF4/HLOOKUP(AQY$3,[2]ARBOR_REAJUSTE18!$A:$AE,VLOOKUP($AQF$2,[2]ARBOR_REAJUSTE18!$A:$B,2,0),0))),""))),4)</f>
        <v>#VALUE!</v>
      </c>
      <c r="AQZ4" s="44" t="e">
        <f>ROUNDUP(IF(IFERROR(IF($AQF4="","",IF($AQF4=0,1,1-$AQF4/HLOOKUP(AQZ$3,[2]ARBOR_REAJUSTE18!$A:$AE,VLOOKUP($AQF$2,[2]ARBOR_REAJUSTE18!$A:$B,2,0),0))),"")&lt;0.01%,0.01%,(IFERROR(IF($AQF4="","",IF($AQF4=0,1,1-$AQF4/HLOOKUP(AQZ$3,[2]ARBOR_REAJUSTE18!$A:$AE,VLOOKUP($AQF$2,[2]ARBOR_REAJUSTE18!$A:$B,2,0),0))),""))),4)</f>
        <v>#VALUE!</v>
      </c>
      <c r="ARA4" s="44" t="e">
        <f>ROUNDUP(IF(IFERROR(IF($AQF4="","",IF($AQF4=0,1,1-$AQF4/HLOOKUP(ARA$3,[2]ARBOR_REAJUSTE18!$A:$AE,VLOOKUP($AQF$2,[2]ARBOR_REAJUSTE18!$A:$B,2,0),0))),"")&lt;0.01%,0.01%,(IFERROR(IF($AQF4="","",IF($AQF4=0,1,1-$AQF4/HLOOKUP(ARA$3,[2]ARBOR_REAJUSTE18!$A:$AE,VLOOKUP($AQF$2,[2]ARBOR_REAJUSTE18!$A:$B,2,0),0))),""))),4)</f>
        <v>#VALUE!</v>
      </c>
      <c r="ARB4" s="44" t="e">
        <f>ROUNDUP(IF(IFERROR(IF($AQF4="","",IF($AQF4=0,1,1-$AQF4/HLOOKUP(ARB$3,[2]ARBOR_REAJUSTE18!$A:$AE,VLOOKUP($AQF$2,[2]ARBOR_REAJUSTE18!$A:$B,2,0),0))),"")&lt;0.01%,0.01%,(IFERROR(IF($AQF4="","",IF($AQF4=0,1,1-$AQF4/HLOOKUP(ARB$3,[2]ARBOR_REAJUSTE18!$A:$AE,VLOOKUP($AQF$2,[2]ARBOR_REAJUSTE18!$A:$B,2,0),0))),""))),4)</f>
        <v>#VALUE!</v>
      </c>
      <c r="ARC4" s="44" t="e">
        <f>ROUNDUP(IF(IFERROR(IF($AQF4="","",IF($AQF4=0,1,1-$AQF4/HLOOKUP(ARC$3,[2]ARBOR_REAJUSTE18!$A:$AE,VLOOKUP($AQF$2,[2]ARBOR_REAJUSTE18!$A:$B,2,0),0))),"")&lt;0.01%,0.01%,(IFERROR(IF($AQF4="","",IF($AQF4=0,1,1-$AQF4/HLOOKUP(ARC$3,[2]ARBOR_REAJUSTE18!$A:$AE,VLOOKUP($AQF$2,[2]ARBOR_REAJUSTE18!$A:$B,2,0),0))),""))),4)</f>
        <v>#VALUE!</v>
      </c>
      <c r="ARD4" s="44" t="e">
        <f>ROUNDUP(IF(IFERROR(IF($AQF4="","",IF($AQF4=0,1,1-$AQF4/HLOOKUP(ARD$3,[2]ARBOR_REAJUSTE18!$A:$AE,VLOOKUP($AQF$2,[2]ARBOR_REAJUSTE18!$A:$B,2,0),0))),"")&lt;0.01%,0.01%,(IFERROR(IF($AQF4="","",IF($AQF4=0,1,1-$AQF4/HLOOKUP(ARD$3,[2]ARBOR_REAJUSTE18!$A:$AE,VLOOKUP($AQF$2,[2]ARBOR_REAJUSTE18!$A:$B,2,0),0))),""))),4)</f>
        <v>#VALUE!</v>
      </c>
      <c r="ARE4" s="44" t="e">
        <f>ROUNDUP(IF(IFERROR(IF($AQF4="","",IF($AQF4=0,1,1-$AQF4/HLOOKUP(ARE$3,[2]ARBOR_REAJUSTE18!$A:$AE,VLOOKUP($AQF$2,[2]ARBOR_REAJUSTE18!$A:$B,2,0),0))),"")&lt;0.01%,0.01%,(IFERROR(IF($AQF4="","",IF($AQF4=0,1,1-$AQF4/HLOOKUP(ARE$3,[2]ARBOR_REAJUSTE18!$A:$AE,VLOOKUP($AQF$2,[2]ARBOR_REAJUSTE18!$A:$B,2,0),0))),""))),4)</f>
        <v>#VALUE!</v>
      </c>
      <c r="ARF4" s="44" t="e">
        <f>ROUNDUP(IF(IFERROR(IF($AQF4="","",IF($AQF4=0,1,1-$AQF4/HLOOKUP(ARF$3,[2]ARBOR_REAJUSTE18!$A:$AE,VLOOKUP($AQF$2,[2]ARBOR_REAJUSTE18!$A:$B,2,0),0))),"")&lt;0.01%,0.01%,(IFERROR(IF($AQF4="","",IF($AQF4=0,1,1-$AQF4/HLOOKUP(ARF$3,[2]ARBOR_REAJUSTE18!$A:$AE,VLOOKUP($AQF$2,[2]ARBOR_REAJUSTE18!$A:$B,2,0),0))),""))),4)</f>
        <v>#VALUE!</v>
      </c>
      <c r="ARG4" s="44" t="e">
        <f>ROUNDUP(IF(IFERROR(IF($AQF4="","",IF($AQF4=0,1,1-$AQF4/HLOOKUP(ARG$3,[2]ARBOR_REAJUSTE18!$A:$AE,VLOOKUP($AQF$2,[2]ARBOR_REAJUSTE18!$A:$B,2,0),0))),"")&lt;0.01%,0.01%,(IFERROR(IF($AQF4="","",IF($AQF4=0,1,1-$AQF4/HLOOKUP(ARG$3,[2]ARBOR_REAJUSTE18!$A:$AE,VLOOKUP($AQF$2,[2]ARBOR_REAJUSTE18!$A:$B,2,0),0))),""))),4)</f>
        <v>#VALUE!</v>
      </c>
      <c r="ARH4" s="44" t="e">
        <f>ROUNDUP(IF(IFERROR(IF($AQF4="","",IF($AQF4=0,1,1-$AQF4/HLOOKUP(ARH$3,[2]ARBOR_REAJUSTE18!$A:$AE,VLOOKUP($AQF$2,[2]ARBOR_REAJUSTE18!$A:$B,2,0),0))),"")&lt;0.01%,0.01%,(IFERROR(IF($AQF4="","",IF($AQF4=0,1,1-$AQF4/HLOOKUP(ARH$3,[2]ARBOR_REAJUSTE18!$A:$AE,VLOOKUP($AQF$2,[2]ARBOR_REAJUSTE18!$A:$B,2,0),0))),""))),4)</f>
        <v>#VALUE!</v>
      </c>
      <c r="ARI4" s="56"/>
      <c r="ARJ4" s="64"/>
      <c r="ARK4" s="44" t="e">
        <f>ROUNDUP(IF(IFERROR(IF($ARI4="","",IF($ARI4=0,1,1-$ARI4/HLOOKUP(ARK$3,[2]ARBOR_REAJUSTE18!$A:$AE,VLOOKUP($ARI$2,[2]ARBOR_REAJUSTE18!$A:$B,2,0),0))),"")&lt;0.01%,0.01%,(IFERROR(IF($ARI4="","",IF($ARI4=0,1,1-$ARI4/HLOOKUP(ARK$3,[2]ARBOR_REAJUSTE18!$A:$AE,VLOOKUP($ARI$2,[2]ARBOR_REAJUSTE18!$A:$B,2,0),0))),""))),4)</f>
        <v>#VALUE!</v>
      </c>
      <c r="ARL4" s="44" t="e">
        <f>ROUNDUP(IF(IFERROR(IF($ARI4="","",IF($ARI4=0,1,1-$ARI4/HLOOKUP(ARL$3,[2]ARBOR_REAJUSTE18!$A:$AE,VLOOKUP($ARI$2,[2]ARBOR_REAJUSTE18!$A:$B,2,0),0))),"")&lt;0.01%,0.01%,(IFERROR(IF($ARI4="","",IF($ARI4=0,1,1-$ARI4/HLOOKUP(ARL$3,[2]ARBOR_REAJUSTE18!$A:$AE,VLOOKUP($ARI$2,[2]ARBOR_REAJUSTE18!$A:$B,2,0),0))),""))),4)</f>
        <v>#VALUE!</v>
      </c>
      <c r="ARM4" s="44" t="e">
        <f>ROUNDUP(IF(IFERROR(IF($ARI4="","",IF($ARI4=0,1,1-$ARI4/HLOOKUP(ARM$3,[2]ARBOR_REAJUSTE18!$A:$AE,VLOOKUP($ARI$2,[2]ARBOR_REAJUSTE18!$A:$B,2,0),0))),"")&lt;0.01%,0.01%,(IFERROR(IF($ARI4="","",IF($ARI4=0,1,1-$ARI4/HLOOKUP(ARM$3,[2]ARBOR_REAJUSTE18!$A:$AE,VLOOKUP($ARI$2,[2]ARBOR_REAJUSTE18!$A:$B,2,0),0))),""))),4)</f>
        <v>#VALUE!</v>
      </c>
      <c r="ARN4" s="44" t="e">
        <f>ROUNDUP(IF(IFERROR(IF($ARI4="","",IF($ARI4=0,1,1-$ARI4/HLOOKUP(ARN$3,[2]ARBOR_REAJUSTE18!$A:$AE,VLOOKUP($ARI$2,[2]ARBOR_REAJUSTE18!$A:$B,2,0),0))),"")&lt;0.01%,0.01%,(IFERROR(IF($ARI4="","",IF($ARI4=0,1,1-$ARI4/HLOOKUP(ARN$3,[2]ARBOR_REAJUSTE18!$A:$AE,VLOOKUP($ARI$2,[2]ARBOR_REAJUSTE18!$A:$B,2,0),0))),""))),4)</f>
        <v>#VALUE!</v>
      </c>
      <c r="ARO4" s="44" t="e">
        <f>ROUNDUP(IF(IFERROR(IF($ARI4="","",IF($ARI4=0,1,1-$ARI4/HLOOKUP(ARO$3,[2]ARBOR_REAJUSTE18!$A:$AE,VLOOKUP($ARI$2,[2]ARBOR_REAJUSTE18!$A:$B,2,0),0))),"")&lt;0.01%,0.01%,(IFERROR(IF($ARI4="","",IF($ARI4=0,1,1-$ARI4/HLOOKUP(ARO$3,[2]ARBOR_REAJUSTE18!$A:$AE,VLOOKUP($ARI$2,[2]ARBOR_REAJUSTE18!$A:$B,2,0),0))),""))),4)</f>
        <v>#VALUE!</v>
      </c>
      <c r="ARP4" s="44" t="e">
        <f>ROUNDUP(IF(IFERROR(IF($ARI4="","",IF($ARI4=0,1,1-$ARI4/HLOOKUP(ARP$3,[2]ARBOR_REAJUSTE18!$A:$AE,VLOOKUP($ARI$2,[2]ARBOR_REAJUSTE18!$A:$B,2,0),0))),"")&lt;0.01%,0.01%,(IFERROR(IF($ARI4="","",IF($ARI4=0,1,1-$ARI4/HLOOKUP(ARP$3,[2]ARBOR_REAJUSTE18!$A:$AE,VLOOKUP($ARI$2,[2]ARBOR_REAJUSTE18!$A:$B,2,0),0))),""))),4)</f>
        <v>#VALUE!</v>
      </c>
      <c r="ARQ4" s="44" t="e">
        <f>ROUNDUP(IF(IFERROR(IF($ARI4="","",IF($ARI4=0,1,1-$ARI4/HLOOKUP(ARQ$3,[2]ARBOR_REAJUSTE18!$A:$AE,VLOOKUP($ARI$2,[2]ARBOR_REAJUSTE18!$A:$B,2,0),0))),"")&lt;0.01%,0.01%,(IFERROR(IF($ARI4="","",IF($ARI4=0,1,1-$ARI4/HLOOKUP(ARQ$3,[2]ARBOR_REAJUSTE18!$A:$AE,VLOOKUP($ARI$2,[2]ARBOR_REAJUSTE18!$A:$B,2,0),0))),""))),4)</f>
        <v>#VALUE!</v>
      </c>
      <c r="ARR4" s="44" t="e">
        <f>ROUNDUP(IF(IFERROR(IF($ARI4="","",IF($ARI4=0,1,1-$ARI4/HLOOKUP(ARR$3,[2]ARBOR_REAJUSTE18!$A:$AE,VLOOKUP($ARI$2,[2]ARBOR_REAJUSTE18!$A:$B,2,0),0))),"")&lt;0.01%,0.01%,(IFERROR(IF($ARI4="","",IF($ARI4=0,1,1-$ARI4/HLOOKUP(ARR$3,[2]ARBOR_REAJUSTE18!$A:$AE,VLOOKUP($ARI$2,[2]ARBOR_REAJUSTE18!$A:$B,2,0),0))),""))),4)</f>
        <v>#VALUE!</v>
      </c>
      <c r="ARS4" s="44" t="e">
        <f>ROUNDUP(IF(IFERROR(IF($ARI4="","",IF($ARI4=0,1,1-$ARI4/HLOOKUP(ARS$3,[2]ARBOR_REAJUSTE18!$A:$AE,VLOOKUP($ARI$2,[2]ARBOR_REAJUSTE18!$A:$B,2,0),0))),"")&lt;0.01%,0.01%,(IFERROR(IF($ARI4="","",IF($ARI4=0,1,1-$ARI4/HLOOKUP(ARS$3,[2]ARBOR_REAJUSTE18!$A:$AE,VLOOKUP($ARI$2,[2]ARBOR_REAJUSTE18!$A:$B,2,0),0))),""))),4)</f>
        <v>#VALUE!</v>
      </c>
      <c r="ART4" s="44" t="e">
        <f>ROUNDUP(IF(IFERROR(IF($ARI4="","",IF($ARI4=0,1,1-$ARI4/HLOOKUP(ART$3,[2]ARBOR_REAJUSTE18!$A:$AE,VLOOKUP($ARI$2,[2]ARBOR_REAJUSTE18!$A:$B,2,0),0))),"")&lt;0.01%,0.01%,(IFERROR(IF($ARI4="","",IF($ARI4=0,1,1-$ARI4/HLOOKUP(ART$3,[2]ARBOR_REAJUSTE18!$A:$AE,VLOOKUP($ARI$2,[2]ARBOR_REAJUSTE18!$A:$B,2,0),0))),""))),4)</f>
        <v>#VALUE!</v>
      </c>
      <c r="ARU4" s="44" t="e">
        <f>ROUNDUP(IF(IFERROR(IF($ARI4="","",IF($ARI4=0,1,1-$ARI4/HLOOKUP(ARU$3,[2]ARBOR_REAJUSTE18!$A:$AE,VLOOKUP($ARI$2,[2]ARBOR_REAJUSTE18!$A:$B,2,0),0))),"")&lt;0.01%,0.01%,(IFERROR(IF($ARI4="","",IF($ARI4=0,1,1-$ARI4/HLOOKUP(ARU$3,[2]ARBOR_REAJUSTE18!$A:$AE,VLOOKUP($ARI$2,[2]ARBOR_REAJUSTE18!$A:$B,2,0),0))),""))),4)</f>
        <v>#VALUE!</v>
      </c>
      <c r="ARV4" s="44" t="e">
        <f>ROUNDUP(IF(IFERROR(IF($ARI4="","",IF($ARI4=0,1,1-$ARI4/HLOOKUP(ARV$3,[2]ARBOR_REAJUSTE18!$A:$AE,VLOOKUP($ARI$2,[2]ARBOR_REAJUSTE18!$A:$B,2,0),0))),"")&lt;0.01%,0.01%,(IFERROR(IF($ARI4="","",IF($ARI4=0,1,1-$ARI4/HLOOKUP(ARV$3,[2]ARBOR_REAJUSTE18!$A:$AE,VLOOKUP($ARI$2,[2]ARBOR_REAJUSTE18!$A:$B,2,0),0))),""))),4)</f>
        <v>#VALUE!</v>
      </c>
      <c r="ARW4" s="44" t="e">
        <f>ROUNDUP(IF(IFERROR(IF($ARI4="","",IF($ARI4=0,1,1-$ARI4/HLOOKUP(ARW$3,[2]ARBOR_REAJUSTE18!$A:$AE,VLOOKUP($ARI$2,[2]ARBOR_REAJUSTE18!$A:$B,2,0),0))),"")&lt;0.01%,0.01%,(IFERROR(IF($ARI4="","",IF($ARI4=0,1,1-$ARI4/HLOOKUP(ARW$3,[2]ARBOR_REAJUSTE18!$A:$AE,VLOOKUP($ARI$2,[2]ARBOR_REAJUSTE18!$A:$B,2,0),0))),""))),4)</f>
        <v>#VALUE!</v>
      </c>
      <c r="ARX4" s="44" t="e">
        <f>ROUNDUP(IF(IFERROR(IF($ARI4="","",IF($ARI4=0,1,1-$ARI4/HLOOKUP(ARX$3,[2]ARBOR_REAJUSTE18!$A:$AE,VLOOKUP($ARI$2,[2]ARBOR_REAJUSTE18!$A:$B,2,0),0))),"")&lt;0.01%,0.01%,(IFERROR(IF($ARI4="","",IF($ARI4=0,1,1-$ARI4/HLOOKUP(ARX$3,[2]ARBOR_REAJUSTE18!$A:$AE,VLOOKUP($ARI$2,[2]ARBOR_REAJUSTE18!$A:$B,2,0),0))),""))),4)</f>
        <v>#VALUE!</v>
      </c>
      <c r="ARY4" s="44" t="e">
        <f>ROUNDUP(IF(IFERROR(IF($ARI4="","",IF($ARI4=0,1,1-$ARI4/HLOOKUP(ARY$3,[2]ARBOR_REAJUSTE18!$A:$AE,VLOOKUP($ARI$2,[2]ARBOR_REAJUSTE18!$A:$B,2,0),0))),"")&lt;0.01%,0.01%,(IFERROR(IF($ARI4="","",IF($ARI4=0,1,1-$ARI4/HLOOKUP(ARY$3,[2]ARBOR_REAJUSTE18!$A:$AE,VLOOKUP($ARI$2,[2]ARBOR_REAJUSTE18!$A:$B,2,0),0))),""))),4)</f>
        <v>#VALUE!</v>
      </c>
      <c r="ARZ4" s="44" t="e">
        <f>ROUNDUP(IF(IFERROR(IF($ARI4="","",IF($ARI4=0,1,1-$ARI4/HLOOKUP(ARZ$3,[2]ARBOR_REAJUSTE18!$A:$AE,VLOOKUP($ARI$2,[2]ARBOR_REAJUSTE18!$A:$B,2,0),0))),"")&lt;0.01%,0.01%,(IFERROR(IF($ARI4="","",IF($ARI4=0,1,1-$ARI4/HLOOKUP(ARZ$3,[2]ARBOR_REAJUSTE18!$A:$AE,VLOOKUP($ARI$2,[2]ARBOR_REAJUSTE18!$A:$B,2,0),0))),""))),4)</f>
        <v>#VALUE!</v>
      </c>
      <c r="ASA4" s="44" t="e">
        <f>ROUNDUP(IF(IFERROR(IF($ARI4="","",IF($ARI4=0,1,1-$ARI4/HLOOKUP(ASA$3,[2]ARBOR_REAJUSTE18!$A:$AE,VLOOKUP($ARI$2,[2]ARBOR_REAJUSTE18!$A:$B,2,0),0))),"")&lt;0.01%,0.01%,(IFERROR(IF($ARI4="","",IF($ARI4=0,1,1-$ARI4/HLOOKUP(ASA$3,[2]ARBOR_REAJUSTE18!$A:$AE,VLOOKUP($ARI$2,[2]ARBOR_REAJUSTE18!$A:$B,2,0),0))),""))),4)</f>
        <v>#VALUE!</v>
      </c>
      <c r="ASB4" s="44" t="e">
        <f>ROUNDUP(IF(IFERROR(IF($ARI4="","",IF($ARI4=0,1,1-$ARI4/HLOOKUP(ASB$3,[2]ARBOR_REAJUSTE18!$A:$AE,VLOOKUP($ARI$2,[2]ARBOR_REAJUSTE18!$A:$B,2,0),0))),"")&lt;0.01%,0.01%,(IFERROR(IF($ARI4="","",IF($ARI4=0,1,1-$ARI4/HLOOKUP(ASB$3,[2]ARBOR_REAJUSTE18!$A:$AE,VLOOKUP($ARI$2,[2]ARBOR_REAJUSTE18!$A:$B,2,0),0))),""))),4)</f>
        <v>#VALUE!</v>
      </c>
      <c r="ASC4" s="44" t="e">
        <f>ROUNDUP(IF(IFERROR(IF($ARI4="","",IF($ARI4=0,1,1-$ARI4/HLOOKUP(ASC$3,[2]ARBOR_REAJUSTE18!$A:$AE,VLOOKUP($ARI$2,[2]ARBOR_REAJUSTE18!$A:$B,2,0),0))),"")&lt;0.01%,0.01%,(IFERROR(IF($ARI4="","",IF($ARI4=0,1,1-$ARI4/HLOOKUP(ASC$3,[2]ARBOR_REAJUSTE18!$A:$AE,VLOOKUP($ARI$2,[2]ARBOR_REAJUSTE18!$A:$B,2,0),0))),""))),4)</f>
        <v>#VALUE!</v>
      </c>
      <c r="ASD4" s="44" t="e">
        <f>ROUNDUP(IF(IFERROR(IF($ARI4="","",IF($ARI4=0,1,1-$ARI4/HLOOKUP(ASD$3,[2]ARBOR_REAJUSTE18!$A:$AE,VLOOKUP($ARI$2,[2]ARBOR_REAJUSTE18!$A:$B,2,0),0))),"")&lt;0.01%,0.01%,(IFERROR(IF($ARI4="","",IF($ARI4=0,1,1-$ARI4/HLOOKUP(ASD$3,[2]ARBOR_REAJUSTE18!$A:$AE,VLOOKUP($ARI$2,[2]ARBOR_REAJUSTE18!$A:$B,2,0),0))),""))),4)</f>
        <v>#VALUE!</v>
      </c>
      <c r="ASE4" s="44" t="e">
        <f>ROUNDUP(IF(IFERROR(IF($ARI4="","",IF($ARI4=0,1,1-$ARI4/HLOOKUP(ASE$3,[2]ARBOR_REAJUSTE18!$A:$AE,VLOOKUP($ARI$2,[2]ARBOR_REAJUSTE18!$A:$B,2,0),0))),"")&lt;0.01%,0.01%,(IFERROR(IF($ARI4="","",IF($ARI4=0,1,1-$ARI4/HLOOKUP(ASE$3,[2]ARBOR_REAJUSTE18!$A:$AE,VLOOKUP($ARI$2,[2]ARBOR_REAJUSTE18!$A:$B,2,0),0))),""))),4)</f>
        <v>#VALUE!</v>
      </c>
      <c r="ASF4" s="44" t="e">
        <f>ROUNDUP(IF(IFERROR(IF($ARI4="","",IF($ARI4=0,1,1-$ARI4/HLOOKUP(ASF$3,[2]ARBOR_REAJUSTE18!$A:$AE,VLOOKUP($ARI$2,[2]ARBOR_REAJUSTE18!$A:$B,2,0),0))),"")&lt;0.01%,0.01%,(IFERROR(IF($ARI4="","",IF($ARI4=0,1,1-$ARI4/HLOOKUP(ASF$3,[2]ARBOR_REAJUSTE18!$A:$AE,VLOOKUP($ARI$2,[2]ARBOR_REAJUSTE18!$A:$B,2,0),0))),""))),4)</f>
        <v>#VALUE!</v>
      </c>
      <c r="ASG4" s="44" t="e">
        <f>ROUNDUP(IF(IFERROR(IF($ARI4="","",IF($ARI4=0,1,1-$ARI4/HLOOKUP(ASG$3,[2]ARBOR_REAJUSTE18!$A:$AE,VLOOKUP($ARI$2,[2]ARBOR_REAJUSTE18!$A:$B,2,0),0))),"")&lt;0.01%,0.01%,(IFERROR(IF($ARI4="","",IF($ARI4=0,1,1-$ARI4/HLOOKUP(ASG$3,[2]ARBOR_REAJUSTE18!$A:$AE,VLOOKUP($ARI$2,[2]ARBOR_REAJUSTE18!$A:$B,2,0),0))),""))),4)</f>
        <v>#VALUE!</v>
      </c>
      <c r="ASH4" s="44" t="e">
        <f>ROUNDUP(IF(IFERROR(IF($ARI4="","",IF($ARI4=0,1,1-$ARI4/HLOOKUP(ASH$3,[2]ARBOR_REAJUSTE18!$A:$AE,VLOOKUP($ARI$2,[2]ARBOR_REAJUSTE18!$A:$B,2,0),0))),"")&lt;0.01%,0.01%,(IFERROR(IF($ARI4="","",IF($ARI4=0,1,1-$ARI4/HLOOKUP(ASH$3,[2]ARBOR_REAJUSTE18!$A:$AE,VLOOKUP($ARI$2,[2]ARBOR_REAJUSTE18!$A:$B,2,0),0))),""))),4)</f>
        <v>#VALUE!</v>
      </c>
      <c r="ASI4" s="44" t="e">
        <f>ROUNDUP(IF(IFERROR(IF($ARI4="","",IF($ARI4=0,1,1-$ARI4/HLOOKUP(ASI$3,[2]ARBOR_REAJUSTE18!$A:$AE,VLOOKUP($ARI$2,[2]ARBOR_REAJUSTE18!$A:$B,2,0),0))),"")&lt;0.01%,0.01%,(IFERROR(IF($ARI4="","",IF($ARI4=0,1,1-$ARI4/HLOOKUP(ASI$3,[2]ARBOR_REAJUSTE18!$A:$AE,VLOOKUP($ARI$2,[2]ARBOR_REAJUSTE18!$A:$B,2,0),0))),""))),4)</f>
        <v>#VALUE!</v>
      </c>
      <c r="ASJ4" s="44" t="e">
        <f>ROUNDUP(IF(IFERROR(IF($ARI4="","",IF($ARI4=0,1,1-$ARI4/HLOOKUP(ASJ$3,[2]ARBOR_REAJUSTE18!$A:$AE,VLOOKUP($ARI$2,[2]ARBOR_REAJUSTE18!$A:$B,2,0),0))),"")&lt;0.01%,0.01%,(IFERROR(IF($ARI4="","",IF($ARI4=0,1,1-$ARI4/HLOOKUP(ASJ$3,[2]ARBOR_REAJUSTE18!$A:$AE,VLOOKUP($ARI$2,[2]ARBOR_REAJUSTE18!$A:$B,2,0),0))),""))),4)</f>
        <v>#VALUE!</v>
      </c>
      <c r="ASK4" s="44" t="e">
        <f>ROUNDUP(IF(IFERROR(IF($ARI4="","",IF($ARI4=0,1,1-$ARI4/HLOOKUP(ASK$3,[2]ARBOR_REAJUSTE18!$A:$AE,VLOOKUP($ARI$2,[2]ARBOR_REAJUSTE18!$A:$B,2,0),0))),"")&lt;0.01%,0.01%,(IFERROR(IF($ARI4="","",IF($ARI4=0,1,1-$ARI4/HLOOKUP(ASK$3,[2]ARBOR_REAJUSTE18!$A:$AE,VLOOKUP($ARI$2,[2]ARBOR_REAJUSTE18!$A:$B,2,0),0))),""))),4)</f>
        <v>#VALUE!</v>
      </c>
      <c r="ASL4" s="56"/>
      <c r="ASM4" s="64"/>
      <c r="ASN4" s="44" t="e">
        <f>ROUNDUP(IF(IFERROR(IF($ASL4="","",IF($ASL4=0,1,1-$ASL4/HLOOKUP(ASN$3,[2]ARBOR_REAJUSTE18!$A:$AE,VLOOKUP($ASL$2,[2]ARBOR_REAJUSTE18!$A:$B,2,0),0))),"")&lt;0.01%,0.01%,(IFERROR(IF($ASL4="","",IF($ASL4=0,1,1-$ASL4/HLOOKUP(ASN$3,[2]ARBOR_REAJUSTE18!$A:$AE,VLOOKUP($ASL$2,[2]ARBOR_REAJUSTE18!$A:$B,2,0),0))),""))),4)</f>
        <v>#VALUE!</v>
      </c>
      <c r="ASO4" s="44" t="e">
        <f>ROUNDUP(IF(IFERROR(IF($ASL4="","",IF($ASL4=0,1,1-$ASL4/HLOOKUP(ASO$3,[2]ARBOR_REAJUSTE18!$A:$AE,VLOOKUP($ASL$2,[2]ARBOR_REAJUSTE18!$A:$B,2,0),0))),"")&lt;0.01%,0.01%,(IFERROR(IF($ASL4="","",IF($ASL4=0,1,1-$ASL4/HLOOKUP(ASO$3,[2]ARBOR_REAJUSTE18!$A:$AE,VLOOKUP($ASL$2,[2]ARBOR_REAJUSTE18!$A:$B,2,0),0))),""))),4)</f>
        <v>#VALUE!</v>
      </c>
      <c r="ASP4" s="44" t="e">
        <f>ROUNDUP(IF(IFERROR(IF($ASL4="","",IF($ASL4=0,1,1-$ASL4/HLOOKUP(ASP$3,[2]ARBOR_REAJUSTE18!$A:$AE,VLOOKUP($ASL$2,[2]ARBOR_REAJUSTE18!$A:$B,2,0),0))),"")&lt;0.01%,0.01%,(IFERROR(IF($ASL4="","",IF($ASL4=0,1,1-$ASL4/HLOOKUP(ASP$3,[2]ARBOR_REAJUSTE18!$A:$AE,VLOOKUP($ASL$2,[2]ARBOR_REAJUSTE18!$A:$B,2,0),0))),""))),4)</f>
        <v>#VALUE!</v>
      </c>
      <c r="ASQ4" s="44" t="e">
        <f>ROUNDUP(IF(IFERROR(IF($ASL4="","",IF($ASL4=0,1,1-$ASL4/HLOOKUP(ASQ$3,[2]ARBOR_REAJUSTE18!$A:$AE,VLOOKUP($ASL$2,[2]ARBOR_REAJUSTE18!$A:$B,2,0),0))),"")&lt;0.01%,0.01%,(IFERROR(IF($ASL4="","",IF($ASL4=0,1,1-$ASL4/HLOOKUP(ASQ$3,[2]ARBOR_REAJUSTE18!$A:$AE,VLOOKUP($ASL$2,[2]ARBOR_REAJUSTE18!$A:$B,2,0),0))),""))),4)</f>
        <v>#VALUE!</v>
      </c>
      <c r="ASR4" s="44" t="e">
        <f>ROUNDUP(IF(IFERROR(IF($ASL4="","",IF($ASL4=0,1,1-$ASL4/HLOOKUP(ASR$3,[2]ARBOR_REAJUSTE18!$A:$AE,VLOOKUP($ASL$2,[2]ARBOR_REAJUSTE18!$A:$B,2,0),0))),"")&lt;0.01%,0.01%,(IFERROR(IF($ASL4="","",IF($ASL4=0,1,1-$ASL4/HLOOKUP(ASR$3,[2]ARBOR_REAJUSTE18!$A:$AE,VLOOKUP($ASL$2,[2]ARBOR_REAJUSTE18!$A:$B,2,0),0))),""))),4)</f>
        <v>#VALUE!</v>
      </c>
      <c r="ASS4" s="44" t="e">
        <f>ROUNDUP(IF(IFERROR(IF($ASL4="","",IF($ASL4=0,1,1-$ASL4/HLOOKUP(ASS$3,[2]ARBOR_REAJUSTE18!$A:$AE,VLOOKUP($ASL$2,[2]ARBOR_REAJUSTE18!$A:$B,2,0),0))),"")&lt;0.01%,0.01%,(IFERROR(IF($ASL4="","",IF($ASL4=0,1,1-$ASL4/HLOOKUP(ASS$3,[2]ARBOR_REAJUSTE18!$A:$AE,VLOOKUP($ASL$2,[2]ARBOR_REAJUSTE18!$A:$B,2,0),0))),""))),4)</f>
        <v>#VALUE!</v>
      </c>
      <c r="AST4" s="44" t="e">
        <f>ROUNDUP(IF(IFERROR(IF($ASL4="","",IF($ASL4=0,1,1-$ASL4/HLOOKUP(AST$3,[2]ARBOR_REAJUSTE18!$A:$AE,VLOOKUP($ASL$2,[2]ARBOR_REAJUSTE18!$A:$B,2,0),0))),"")&lt;0.01%,0.01%,(IFERROR(IF($ASL4="","",IF($ASL4=0,1,1-$ASL4/HLOOKUP(AST$3,[2]ARBOR_REAJUSTE18!$A:$AE,VLOOKUP($ASL$2,[2]ARBOR_REAJUSTE18!$A:$B,2,0),0))),""))),4)</f>
        <v>#VALUE!</v>
      </c>
      <c r="ASU4" s="44" t="e">
        <f>ROUNDUP(IF(IFERROR(IF($ASL4="","",IF($ASL4=0,1,1-$ASL4/HLOOKUP(ASU$3,[2]ARBOR_REAJUSTE18!$A:$AE,VLOOKUP($ASL$2,[2]ARBOR_REAJUSTE18!$A:$B,2,0),0))),"")&lt;0.01%,0.01%,(IFERROR(IF($ASL4="","",IF($ASL4=0,1,1-$ASL4/HLOOKUP(ASU$3,[2]ARBOR_REAJUSTE18!$A:$AE,VLOOKUP($ASL$2,[2]ARBOR_REAJUSTE18!$A:$B,2,0),0))),""))),4)</f>
        <v>#VALUE!</v>
      </c>
      <c r="ASV4" s="44" t="e">
        <f>ROUNDUP(IF(IFERROR(IF($ASL4="","",IF($ASL4=0,1,1-$ASL4/HLOOKUP(ASV$3,[2]ARBOR_REAJUSTE18!$A:$AE,VLOOKUP($ASL$2,[2]ARBOR_REAJUSTE18!$A:$B,2,0),0))),"")&lt;0.01%,0.01%,(IFERROR(IF($ASL4="","",IF($ASL4=0,1,1-$ASL4/HLOOKUP(ASV$3,[2]ARBOR_REAJUSTE18!$A:$AE,VLOOKUP($ASL$2,[2]ARBOR_REAJUSTE18!$A:$B,2,0),0))),""))),4)</f>
        <v>#VALUE!</v>
      </c>
      <c r="ASW4" s="44" t="e">
        <f>ROUNDUP(IF(IFERROR(IF($ASL4="","",IF($ASL4=0,1,1-$ASL4/HLOOKUP(ASW$3,[2]ARBOR_REAJUSTE18!$A:$AE,VLOOKUP($ASL$2,[2]ARBOR_REAJUSTE18!$A:$B,2,0),0))),"")&lt;0.01%,0.01%,(IFERROR(IF($ASL4="","",IF($ASL4=0,1,1-$ASL4/HLOOKUP(ASW$3,[2]ARBOR_REAJUSTE18!$A:$AE,VLOOKUP($ASL$2,[2]ARBOR_REAJUSTE18!$A:$B,2,0),0))),""))),4)</f>
        <v>#VALUE!</v>
      </c>
      <c r="ASX4" s="44" t="e">
        <f>ROUNDUP(IF(IFERROR(IF($ASL4="","",IF($ASL4=0,1,1-$ASL4/HLOOKUP(ASX$3,[2]ARBOR_REAJUSTE18!$A:$AE,VLOOKUP($ASL$2,[2]ARBOR_REAJUSTE18!$A:$B,2,0),0))),"")&lt;0.01%,0.01%,(IFERROR(IF($ASL4="","",IF($ASL4=0,1,1-$ASL4/HLOOKUP(ASX$3,[2]ARBOR_REAJUSTE18!$A:$AE,VLOOKUP($ASL$2,[2]ARBOR_REAJUSTE18!$A:$B,2,0),0))),""))),4)</f>
        <v>#VALUE!</v>
      </c>
      <c r="ASY4" s="44" t="e">
        <f>ROUNDUP(IF(IFERROR(IF($ASL4="","",IF($ASL4=0,1,1-$ASL4/HLOOKUP(ASY$3,[2]ARBOR_REAJUSTE18!$A:$AE,VLOOKUP($ASL$2,[2]ARBOR_REAJUSTE18!$A:$B,2,0),0))),"")&lt;0.01%,0.01%,(IFERROR(IF($ASL4="","",IF($ASL4=0,1,1-$ASL4/HLOOKUP(ASY$3,[2]ARBOR_REAJUSTE18!$A:$AE,VLOOKUP($ASL$2,[2]ARBOR_REAJUSTE18!$A:$B,2,0),0))),""))),4)</f>
        <v>#VALUE!</v>
      </c>
      <c r="ASZ4" s="44" t="e">
        <f>ROUNDUP(IF(IFERROR(IF($ASL4="","",IF($ASL4=0,1,1-$ASL4/HLOOKUP(ASZ$3,[2]ARBOR_REAJUSTE18!$A:$AE,VLOOKUP($ASL$2,[2]ARBOR_REAJUSTE18!$A:$B,2,0),0))),"")&lt;0.01%,0.01%,(IFERROR(IF($ASL4="","",IF($ASL4=0,1,1-$ASL4/HLOOKUP(ASZ$3,[2]ARBOR_REAJUSTE18!$A:$AE,VLOOKUP($ASL$2,[2]ARBOR_REAJUSTE18!$A:$B,2,0),0))),""))),4)</f>
        <v>#VALUE!</v>
      </c>
      <c r="ATA4" s="44" t="e">
        <f>ROUNDUP(IF(IFERROR(IF($ASL4="","",IF($ASL4=0,1,1-$ASL4/HLOOKUP(ATA$3,[2]ARBOR_REAJUSTE18!$A:$AE,VLOOKUP($ASL$2,[2]ARBOR_REAJUSTE18!$A:$B,2,0),0))),"")&lt;0.01%,0.01%,(IFERROR(IF($ASL4="","",IF($ASL4=0,1,1-$ASL4/HLOOKUP(ATA$3,[2]ARBOR_REAJUSTE18!$A:$AE,VLOOKUP($ASL$2,[2]ARBOR_REAJUSTE18!$A:$B,2,0),0))),""))),4)</f>
        <v>#VALUE!</v>
      </c>
      <c r="ATB4" s="44" t="e">
        <f>ROUNDUP(IF(IFERROR(IF($ASL4="","",IF($ASL4=0,1,1-$ASL4/HLOOKUP(ATB$3,[2]ARBOR_REAJUSTE18!$A:$AE,VLOOKUP($ASL$2,[2]ARBOR_REAJUSTE18!$A:$B,2,0),0))),"")&lt;0.01%,0.01%,(IFERROR(IF($ASL4="","",IF($ASL4=0,1,1-$ASL4/HLOOKUP(ATB$3,[2]ARBOR_REAJUSTE18!$A:$AE,VLOOKUP($ASL$2,[2]ARBOR_REAJUSTE18!$A:$B,2,0),0))),""))),4)</f>
        <v>#VALUE!</v>
      </c>
      <c r="ATC4" s="44" t="e">
        <f>ROUNDUP(IF(IFERROR(IF($ASL4="","",IF($ASL4=0,1,1-$ASL4/HLOOKUP(ATC$3,[2]ARBOR_REAJUSTE18!$A:$AE,VLOOKUP($ASL$2,[2]ARBOR_REAJUSTE18!$A:$B,2,0),0))),"")&lt;0.01%,0.01%,(IFERROR(IF($ASL4="","",IF($ASL4=0,1,1-$ASL4/HLOOKUP(ATC$3,[2]ARBOR_REAJUSTE18!$A:$AE,VLOOKUP($ASL$2,[2]ARBOR_REAJUSTE18!$A:$B,2,0),0))),""))),4)</f>
        <v>#VALUE!</v>
      </c>
      <c r="ATD4" s="44" t="e">
        <f>ROUNDUP(IF(IFERROR(IF($ASL4="","",IF($ASL4=0,1,1-$ASL4/HLOOKUP(ATD$3,[2]ARBOR_REAJUSTE18!$A:$AE,VLOOKUP($ASL$2,[2]ARBOR_REAJUSTE18!$A:$B,2,0),0))),"")&lt;0.01%,0.01%,(IFERROR(IF($ASL4="","",IF($ASL4=0,1,1-$ASL4/HLOOKUP(ATD$3,[2]ARBOR_REAJUSTE18!$A:$AE,VLOOKUP($ASL$2,[2]ARBOR_REAJUSTE18!$A:$B,2,0),0))),""))),4)</f>
        <v>#VALUE!</v>
      </c>
      <c r="ATE4" s="44" t="e">
        <f>ROUNDUP(IF(IFERROR(IF($ASL4="","",IF($ASL4=0,1,1-$ASL4/HLOOKUP(ATE$3,[2]ARBOR_REAJUSTE18!$A:$AE,VLOOKUP($ASL$2,[2]ARBOR_REAJUSTE18!$A:$B,2,0),0))),"")&lt;0.01%,0.01%,(IFERROR(IF($ASL4="","",IF($ASL4=0,1,1-$ASL4/HLOOKUP(ATE$3,[2]ARBOR_REAJUSTE18!$A:$AE,VLOOKUP($ASL$2,[2]ARBOR_REAJUSTE18!$A:$B,2,0),0))),""))),4)</f>
        <v>#VALUE!</v>
      </c>
      <c r="ATF4" s="44" t="e">
        <f>ROUNDUP(IF(IFERROR(IF($ASL4="","",IF($ASL4=0,1,1-$ASL4/HLOOKUP(ATF$3,[2]ARBOR_REAJUSTE18!$A:$AE,VLOOKUP($ASL$2,[2]ARBOR_REAJUSTE18!$A:$B,2,0),0))),"")&lt;0.01%,0.01%,(IFERROR(IF($ASL4="","",IF($ASL4=0,1,1-$ASL4/HLOOKUP(ATF$3,[2]ARBOR_REAJUSTE18!$A:$AE,VLOOKUP($ASL$2,[2]ARBOR_REAJUSTE18!$A:$B,2,0),0))),""))),4)</f>
        <v>#VALUE!</v>
      </c>
      <c r="ATG4" s="44" t="e">
        <f>ROUNDUP(IF(IFERROR(IF($ASL4="","",IF($ASL4=0,1,1-$ASL4/HLOOKUP(ATG$3,[2]ARBOR_REAJUSTE18!$A:$AE,VLOOKUP($ASL$2,[2]ARBOR_REAJUSTE18!$A:$B,2,0),0))),"")&lt;0.01%,0.01%,(IFERROR(IF($ASL4="","",IF($ASL4=0,1,1-$ASL4/HLOOKUP(ATG$3,[2]ARBOR_REAJUSTE18!$A:$AE,VLOOKUP($ASL$2,[2]ARBOR_REAJUSTE18!$A:$B,2,0),0))),""))),4)</f>
        <v>#VALUE!</v>
      </c>
      <c r="ATH4" s="44" t="e">
        <f>ROUNDUP(IF(IFERROR(IF($ASL4="","",IF($ASL4=0,1,1-$ASL4/HLOOKUP(ATH$3,[2]ARBOR_REAJUSTE18!$A:$AE,VLOOKUP($ASL$2,[2]ARBOR_REAJUSTE18!$A:$B,2,0),0))),"")&lt;0.01%,0.01%,(IFERROR(IF($ASL4="","",IF($ASL4=0,1,1-$ASL4/HLOOKUP(ATH$3,[2]ARBOR_REAJUSTE18!$A:$AE,VLOOKUP($ASL$2,[2]ARBOR_REAJUSTE18!$A:$B,2,0),0))),""))),4)</f>
        <v>#VALUE!</v>
      </c>
      <c r="ATI4" s="44" t="e">
        <f>ROUNDUP(IF(IFERROR(IF($ASL4="","",IF($ASL4=0,1,1-$ASL4/HLOOKUP(ATI$3,[2]ARBOR_REAJUSTE18!$A:$AE,VLOOKUP($ASL$2,[2]ARBOR_REAJUSTE18!$A:$B,2,0),0))),"")&lt;0.01%,0.01%,(IFERROR(IF($ASL4="","",IF($ASL4=0,1,1-$ASL4/HLOOKUP(ATI$3,[2]ARBOR_REAJUSTE18!$A:$AE,VLOOKUP($ASL$2,[2]ARBOR_REAJUSTE18!$A:$B,2,0),0))),""))),4)</f>
        <v>#VALUE!</v>
      </c>
      <c r="ATJ4" s="44" t="e">
        <f>ROUNDUP(IF(IFERROR(IF($ASL4="","",IF($ASL4=0,1,1-$ASL4/HLOOKUP(ATJ$3,[2]ARBOR_REAJUSTE18!$A:$AE,VLOOKUP($ASL$2,[2]ARBOR_REAJUSTE18!$A:$B,2,0),0))),"")&lt;0.01%,0.01%,(IFERROR(IF($ASL4="","",IF($ASL4=0,1,1-$ASL4/HLOOKUP(ATJ$3,[2]ARBOR_REAJUSTE18!$A:$AE,VLOOKUP($ASL$2,[2]ARBOR_REAJUSTE18!$A:$B,2,0),0))),""))),4)</f>
        <v>#VALUE!</v>
      </c>
      <c r="ATK4" s="44" t="e">
        <f>ROUNDUP(IF(IFERROR(IF($ASL4="","",IF($ASL4=0,1,1-$ASL4/HLOOKUP(ATK$3,[2]ARBOR_REAJUSTE18!$A:$AE,VLOOKUP($ASL$2,[2]ARBOR_REAJUSTE18!$A:$B,2,0),0))),"")&lt;0.01%,0.01%,(IFERROR(IF($ASL4="","",IF($ASL4=0,1,1-$ASL4/HLOOKUP(ATK$3,[2]ARBOR_REAJUSTE18!$A:$AE,VLOOKUP($ASL$2,[2]ARBOR_REAJUSTE18!$A:$B,2,0),0))),""))),4)</f>
        <v>#VALUE!</v>
      </c>
      <c r="ATL4" s="44" t="e">
        <f>ROUNDUP(IF(IFERROR(IF($ASL4="","",IF($ASL4=0,1,1-$ASL4/HLOOKUP(ATL$3,[2]ARBOR_REAJUSTE18!$A:$AE,VLOOKUP($ASL$2,[2]ARBOR_REAJUSTE18!$A:$B,2,0),0))),"")&lt;0.01%,0.01%,(IFERROR(IF($ASL4="","",IF($ASL4=0,1,1-$ASL4/HLOOKUP(ATL$3,[2]ARBOR_REAJUSTE18!$A:$AE,VLOOKUP($ASL$2,[2]ARBOR_REAJUSTE18!$A:$B,2,0),0))),""))),4)</f>
        <v>#VALUE!</v>
      </c>
      <c r="ATM4" s="44" t="e">
        <f>ROUNDUP(IF(IFERROR(IF($ASL4="","",IF($ASL4=0,1,1-$ASL4/HLOOKUP(ATM$3,[2]ARBOR_REAJUSTE18!$A:$AE,VLOOKUP($ASL$2,[2]ARBOR_REAJUSTE18!$A:$B,2,0),0))),"")&lt;0.01%,0.01%,(IFERROR(IF($ASL4="","",IF($ASL4=0,1,1-$ASL4/HLOOKUP(ATM$3,[2]ARBOR_REAJUSTE18!$A:$AE,VLOOKUP($ASL$2,[2]ARBOR_REAJUSTE18!$A:$B,2,0),0))),""))),4)</f>
        <v>#VALUE!</v>
      </c>
      <c r="ATN4" s="44" t="e">
        <f>ROUNDUP(IF(IFERROR(IF($ASL4="","",IF($ASL4=0,1,1-$ASL4/HLOOKUP(ATN$3,[2]ARBOR_REAJUSTE18!$A:$AE,VLOOKUP($ASL$2,[2]ARBOR_REAJUSTE18!$A:$B,2,0),0))),"")&lt;0.01%,0.01%,(IFERROR(IF($ASL4="","",IF($ASL4=0,1,1-$ASL4/HLOOKUP(ATN$3,[2]ARBOR_REAJUSTE18!$A:$AE,VLOOKUP($ASL$2,[2]ARBOR_REAJUSTE18!$A:$B,2,0),0))),""))),4)</f>
        <v>#VALUE!</v>
      </c>
      <c r="ATO4" s="56"/>
      <c r="ATP4" s="64"/>
      <c r="ATQ4" s="44" t="e">
        <f>ROUNDUP(IF(IFERROR(IF($ATO4="","",IF($ATO4=0,1,1-$ATO4/HLOOKUP(ATQ$3,[2]ARBOR_REAJUSTE18!$A:$AE,VLOOKUP($ATO$2,[2]ARBOR_REAJUSTE18!$A:$B,2,0),0))),"")&lt;0.01%,0.01%,(IFERROR(IF($ATO4="","",IF($ATO4=0,1,1-$ATO4/HLOOKUP(ATQ$3,[2]ARBOR_REAJUSTE18!$A:$AE,VLOOKUP($ATO$2,[2]ARBOR_REAJUSTE18!$A:$B,2,0),0))),""))),4)</f>
        <v>#VALUE!</v>
      </c>
      <c r="ATR4" s="44" t="e">
        <f>ROUNDUP(IF(IFERROR(IF($ATO4="","",IF($ATO4=0,1,1-$ATO4/HLOOKUP(ATR$3,[2]ARBOR_REAJUSTE18!$A:$AE,VLOOKUP($ATO$2,[2]ARBOR_REAJUSTE18!$A:$B,2,0),0))),"")&lt;0.01%,0.01%,(IFERROR(IF($ATO4="","",IF($ATO4=0,1,1-$ATO4/HLOOKUP(ATR$3,[2]ARBOR_REAJUSTE18!$A:$AE,VLOOKUP($ATO$2,[2]ARBOR_REAJUSTE18!$A:$B,2,0),0))),""))),4)</f>
        <v>#VALUE!</v>
      </c>
      <c r="ATS4" s="44" t="e">
        <f>ROUNDUP(IF(IFERROR(IF($ATO4="","",IF($ATO4=0,1,1-$ATO4/HLOOKUP(ATS$3,[2]ARBOR_REAJUSTE18!$A:$AE,VLOOKUP($ATO$2,[2]ARBOR_REAJUSTE18!$A:$B,2,0),0))),"")&lt;0.01%,0.01%,(IFERROR(IF($ATO4="","",IF($ATO4=0,1,1-$ATO4/HLOOKUP(ATS$3,[2]ARBOR_REAJUSTE18!$A:$AE,VLOOKUP($ATO$2,[2]ARBOR_REAJUSTE18!$A:$B,2,0),0))),""))),4)</f>
        <v>#VALUE!</v>
      </c>
      <c r="ATT4" s="44" t="e">
        <f>ROUNDUP(IF(IFERROR(IF($ATO4="","",IF($ATO4=0,1,1-$ATO4/HLOOKUP(ATT$3,[2]ARBOR_REAJUSTE18!$A:$AE,VLOOKUP($ATO$2,[2]ARBOR_REAJUSTE18!$A:$B,2,0),0))),"")&lt;0.01%,0.01%,(IFERROR(IF($ATO4="","",IF($ATO4=0,1,1-$ATO4/HLOOKUP(ATT$3,[2]ARBOR_REAJUSTE18!$A:$AE,VLOOKUP($ATO$2,[2]ARBOR_REAJUSTE18!$A:$B,2,0),0))),""))),4)</f>
        <v>#VALUE!</v>
      </c>
      <c r="ATU4" s="44" t="e">
        <f>ROUNDUP(IF(IFERROR(IF($ATO4="","",IF($ATO4=0,1,1-$ATO4/HLOOKUP(ATU$3,[2]ARBOR_REAJUSTE18!$A:$AE,VLOOKUP($ATO$2,[2]ARBOR_REAJUSTE18!$A:$B,2,0),0))),"")&lt;0.01%,0.01%,(IFERROR(IF($ATO4="","",IF($ATO4=0,1,1-$ATO4/HLOOKUP(ATU$3,[2]ARBOR_REAJUSTE18!$A:$AE,VLOOKUP($ATO$2,[2]ARBOR_REAJUSTE18!$A:$B,2,0),0))),""))),4)</f>
        <v>#VALUE!</v>
      </c>
      <c r="ATV4" s="44" t="e">
        <f>ROUNDUP(IF(IFERROR(IF($ATO4="","",IF($ATO4=0,1,1-$ATO4/HLOOKUP(ATV$3,[2]ARBOR_REAJUSTE18!$A:$AE,VLOOKUP($ATO$2,[2]ARBOR_REAJUSTE18!$A:$B,2,0),0))),"")&lt;0.01%,0.01%,(IFERROR(IF($ATO4="","",IF($ATO4=0,1,1-$ATO4/HLOOKUP(ATV$3,[2]ARBOR_REAJUSTE18!$A:$AE,VLOOKUP($ATO$2,[2]ARBOR_REAJUSTE18!$A:$B,2,0),0))),""))),4)</f>
        <v>#VALUE!</v>
      </c>
      <c r="ATW4" s="44" t="e">
        <f>ROUNDUP(IF(IFERROR(IF($ATO4="","",IF($ATO4=0,1,1-$ATO4/HLOOKUP(ATW$3,[2]ARBOR_REAJUSTE18!$A:$AE,VLOOKUP($ATO$2,[2]ARBOR_REAJUSTE18!$A:$B,2,0),0))),"")&lt;0.01%,0.01%,(IFERROR(IF($ATO4="","",IF($ATO4=0,1,1-$ATO4/HLOOKUP(ATW$3,[2]ARBOR_REAJUSTE18!$A:$AE,VLOOKUP($ATO$2,[2]ARBOR_REAJUSTE18!$A:$B,2,0),0))),""))),4)</f>
        <v>#VALUE!</v>
      </c>
      <c r="ATX4" s="44" t="e">
        <f>ROUNDUP(IF(IFERROR(IF($ATO4="","",IF($ATO4=0,1,1-$ATO4/HLOOKUP(ATX$3,[2]ARBOR_REAJUSTE18!$A:$AE,VLOOKUP($ATO$2,[2]ARBOR_REAJUSTE18!$A:$B,2,0),0))),"")&lt;0.01%,0.01%,(IFERROR(IF($ATO4="","",IF($ATO4=0,1,1-$ATO4/HLOOKUP(ATX$3,[2]ARBOR_REAJUSTE18!$A:$AE,VLOOKUP($ATO$2,[2]ARBOR_REAJUSTE18!$A:$B,2,0),0))),""))),4)</f>
        <v>#VALUE!</v>
      </c>
      <c r="ATY4" s="44" t="e">
        <f>ROUNDUP(IF(IFERROR(IF($ATO4="","",IF($ATO4=0,1,1-$ATO4/HLOOKUP(ATY$3,[2]ARBOR_REAJUSTE18!$A:$AE,VLOOKUP($ATO$2,[2]ARBOR_REAJUSTE18!$A:$B,2,0),0))),"")&lt;0.01%,0.01%,(IFERROR(IF($ATO4="","",IF($ATO4=0,1,1-$ATO4/HLOOKUP(ATY$3,[2]ARBOR_REAJUSTE18!$A:$AE,VLOOKUP($ATO$2,[2]ARBOR_REAJUSTE18!$A:$B,2,0),0))),""))),4)</f>
        <v>#VALUE!</v>
      </c>
      <c r="ATZ4" s="44" t="e">
        <f>ROUNDUP(IF(IFERROR(IF($ATO4="","",IF($ATO4=0,1,1-$ATO4/HLOOKUP(ATZ$3,[2]ARBOR_REAJUSTE18!$A:$AE,VLOOKUP($ATO$2,[2]ARBOR_REAJUSTE18!$A:$B,2,0),0))),"")&lt;0.01%,0.01%,(IFERROR(IF($ATO4="","",IF($ATO4=0,1,1-$ATO4/HLOOKUP(ATZ$3,[2]ARBOR_REAJUSTE18!$A:$AE,VLOOKUP($ATO$2,[2]ARBOR_REAJUSTE18!$A:$B,2,0),0))),""))),4)</f>
        <v>#VALUE!</v>
      </c>
      <c r="AUA4" s="44" t="e">
        <f>ROUNDUP(IF(IFERROR(IF($ATO4="","",IF($ATO4=0,1,1-$ATO4/HLOOKUP(AUA$3,[2]ARBOR_REAJUSTE18!$A:$AE,VLOOKUP($ATO$2,[2]ARBOR_REAJUSTE18!$A:$B,2,0),0))),"")&lt;0.01%,0.01%,(IFERROR(IF($ATO4="","",IF($ATO4=0,1,1-$ATO4/HLOOKUP(AUA$3,[2]ARBOR_REAJUSTE18!$A:$AE,VLOOKUP($ATO$2,[2]ARBOR_REAJUSTE18!$A:$B,2,0),0))),""))),4)</f>
        <v>#VALUE!</v>
      </c>
      <c r="AUB4" s="44" t="e">
        <f>ROUNDUP(IF(IFERROR(IF($ATO4="","",IF($ATO4=0,1,1-$ATO4/HLOOKUP(AUB$3,[2]ARBOR_REAJUSTE18!$A:$AE,VLOOKUP($ATO$2,[2]ARBOR_REAJUSTE18!$A:$B,2,0),0))),"")&lt;0.01%,0.01%,(IFERROR(IF($ATO4="","",IF($ATO4=0,1,1-$ATO4/HLOOKUP(AUB$3,[2]ARBOR_REAJUSTE18!$A:$AE,VLOOKUP($ATO$2,[2]ARBOR_REAJUSTE18!$A:$B,2,0),0))),""))),4)</f>
        <v>#VALUE!</v>
      </c>
      <c r="AUC4" s="44" t="e">
        <f>ROUNDUP(IF(IFERROR(IF($ATO4="","",IF($ATO4=0,1,1-$ATO4/HLOOKUP(AUC$3,[2]ARBOR_REAJUSTE18!$A:$AE,VLOOKUP($ATO$2,[2]ARBOR_REAJUSTE18!$A:$B,2,0),0))),"")&lt;0.01%,0.01%,(IFERROR(IF($ATO4="","",IF($ATO4=0,1,1-$ATO4/HLOOKUP(AUC$3,[2]ARBOR_REAJUSTE18!$A:$AE,VLOOKUP($ATO$2,[2]ARBOR_REAJUSTE18!$A:$B,2,0),0))),""))),4)</f>
        <v>#VALUE!</v>
      </c>
      <c r="AUD4" s="44" t="e">
        <f>ROUNDUP(IF(IFERROR(IF($ATO4="","",IF($ATO4=0,1,1-$ATO4/HLOOKUP(AUD$3,[2]ARBOR_REAJUSTE18!$A:$AE,VLOOKUP($ATO$2,[2]ARBOR_REAJUSTE18!$A:$B,2,0),0))),"")&lt;0.01%,0.01%,(IFERROR(IF($ATO4="","",IF($ATO4=0,1,1-$ATO4/HLOOKUP(AUD$3,[2]ARBOR_REAJUSTE18!$A:$AE,VLOOKUP($ATO$2,[2]ARBOR_REAJUSTE18!$A:$B,2,0),0))),""))),4)</f>
        <v>#VALUE!</v>
      </c>
      <c r="AUE4" s="44" t="e">
        <f>ROUNDUP(IF(IFERROR(IF($ATO4="","",IF($ATO4=0,1,1-$ATO4/HLOOKUP(AUE$3,[2]ARBOR_REAJUSTE18!$A:$AE,VLOOKUP($ATO$2,[2]ARBOR_REAJUSTE18!$A:$B,2,0),0))),"")&lt;0.01%,0.01%,(IFERROR(IF($ATO4="","",IF($ATO4=0,1,1-$ATO4/HLOOKUP(AUE$3,[2]ARBOR_REAJUSTE18!$A:$AE,VLOOKUP($ATO$2,[2]ARBOR_REAJUSTE18!$A:$B,2,0),0))),""))),4)</f>
        <v>#VALUE!</v>
      </c>
      <c r="AUF4" s="44" t="e">
        <f>ROUNDUP(IF(IFERROR(IF($ATO4="","",IF($ATO4=0,1,1-$ATO4/HLOOKUP(AUF$3,[2]ARBOR_REAJUSTE18!$A:$AE,VLOOKUP($ATO$2,[2]ARBOR_REAJUSTE18!$A:$B,2,0),0))),"")&lt;0.01%,0.01%,(IFERROR(IF($ATO4="","",IF($ATO4=0,1,1-$ATO4/HLOOKUP(AUF$3,[2]ARBOR_REAJUSTE18!$A:$AE,VLOOKUP($ATO$2,[2]ARBOR_REAJUSTE18!$A:$B,2,0),0))),""))),4)</f>
        <v>#VALUE!</v>
      </c>
      <c r="AUG4" s="44" t="e">
        <f>ROUNDUP(IF(IFERROR(IF($ATO4="","",IF($ATO4=0,1,1-$ATO4/HLOOKUP(AUG$3,[2]ARBOR_REAJUSTE18!$A:$AE,VLOOKUP($ATO$2,[2]ARBOR_REAJUSTE18!$A:$B,2,0),0))),"")&lt;0.01%,0.01%,(IFERROR(IF($ATO4="","",IF($ATO4=0,1,1-$ATO4/HLOOKUP(AUG$3,[2]ARBOR_REAJUSTE18!$A:$AE,VLOOKUP($ATO$2,[2]ARBOR_REAJUSTE18!$A:$B,2,0),0))),""))),4)</f>
        <v>#VALUE!</v>
      </c>
      <c r="AUH4" s="44" t="e">
        <f>ROUNDUP(IF(IFERROR(IF($ATO4="","",IF($ATO4=0,1,1-$ATO4/HLOOKUP(AUH$3,[2]ARBOR_REAJUSTE18!$A:$AE,VLOOKUP($ATO$2,[2]ARBOR_REAJUSTE18!$A:$B,2,0),0))),"")&lt;0.01%,0.01%,(IFERROR(IF($ATO4="","",IF($ATO4=0,1,1-$ATO4/HLOOKUP(AUH$3,[2]ARBOR_REAJUSTE18!$A:$AE,VLOOKUP($ATO$2,[2]ARBOR_REAJUSTE18!$A:$B,2,0),0))),""))),4)</f>
        <v>#VALUE!</v>
      </c>
      <c r="AUI4" s="44" t="e">
        <f>ROUNDUP(IF(IFERROR(IF($ATO4="","",IF($ATO4=0,1,1-$ATO4/HLOOKUP(AUI$3,[2]ARBOR_REAJUSTE18!$A:$AE,VLOOKUP($ATO$2,[2]ARBOR_REAJUSTE18!$A:$B,2,0),0))),"")&lt;0.01%,0.01%,(IFERROR(IF($ATO4="","",IF($ATO4=0,1,1-$ATO4/HLOOKUP(AUI$3,[2]ARBOR_REAJUSTE18!$A:$AE,VLOOKUP($ATO$2,[2]ARBOR_REAJUSTE18!$A:$B,2,0),0))),""))),4)</f>
        <v>#VALUE!</v>
      </c>
      <c r="AUJ4" s="44" t="e">
        <f>ROUNDUP(IF(IFERROR(IF($ATO4="","",IF($ATO4=0,1,1-$ATO4/HLOOKUP(AUJ$3,[2]ARBOR_REAJUSTE18!$A:$AE,VLOOKUP($ATO$2,[2]ARBOR_REAJUSTE18!$A:$B,2,0),0))),"")&lt;0.01%,0.01%,(IFERROR(IF($ATO4="","",IF($ATO4=0,1,1-$ATO4/HLOOKUP(AUJ$3,[2]ARBOR_REAJUSTE18!$A:$AE,VLOOKUP($ATO$2,[2]ARBOR_REAJUSTE18!$A:$B,2,0),0))),""))),4)</f>
        <v>#VALUE!</v>
      </c>
      <c r="AUK4" s="44" t="e">
        <f>ROUNDUP(IF(IFERROR(IF($ATO4="","",IF($ATO4=0,1,1-$ATO4/HLOOKUP(AUK$3,[2]ARBOR_REAJUSTE18!$A:$AE,VLOOKUP($ATO$2,[2]ARBOR_REAJUSTE18!$A:$B,2,0),0))),"")&lt;0.01%,0.01%,(IFERROR(IF($ATO4="","",IF($ATO4=0,1,1-$ATO4/HLOOKUP(AUK$3,[2]ARBOR_REAJUSTE18!$A:$AE,VLOOKUP($ATO$2,[2]ARBOR_REAJUSTE18!$A:$B,2,0),0))),""))),4)</f>
        <v>#VALUE!</v>
      </c>
      <c r="AUL4" s="44" t="e">
        <f>ROUNDUP(IF(IFERROR(IF($ATO4="","",IF($ATO4=0,1,1-$ATO4/HLOOKUP(AUL$3,[2]ARBOR_REAJUSTE18!$A:$AE,VLOOKUP($ATO$2,[2]ARBOR_REAJUSTE18!$A:$B,2,0),0))),"")&lt;0.01%,0.01%,(IFERROR(IF($ATO4="","",IF($ATO4=0,1,1-$ATO4/HLOOKUP(AUL$3,[2]ARBOR_REAJUSTE18!$A:$AE,VLOOKUP($ATO$2,[2]ARBOR_REAJUSTE18!$A:$B,2,0),0))),""))),4)</f>
        <v>#VALUE!</v>
      </c>
      <c r="AUM4" s="44" t="e">
        <f>ROUNDUP(IF(IFERROR(IF($ATO4="","",IF($ATO4=0,1,1-$ATO4/HLOOKUP(AUM$3,[2]ARBOR_REAJUSTE18!$A:$AE,VLOOKUP($ATO$2,[2]ARBOR_REAJUSTE18!$A:$B,2,0),0))),"")&lt;0.01%,0.01%,(IFERROR(IF($ATO4="","",IF($ATO4=0,1,1-$ATO4/HLOOKUP(AUM$3,[2]ARBOR_REAJUSTE18!$A:$AE,VLOOKUP($ATO$2,[2]ARBOR_REAJUSTE18!$A:$B,2,0),0))),""))),4)</f>
        <v>#VALUE!</v>
      </c>
      <c r="AUN4" s="44" t="e">
        <f>ROUNDUP(IF(IFERROR(IF($ATO4="","",IF($ATO4=0,1,1-$ATO4/HLOOKUP(AUN$3,[2]ARBOR_REAJUSTE18!$A:$AE,VLOOKUP($ATO$2,[2]ARBOR_REAJUSTE18!$A:$B,2,0),0))),"")&lt;0.01%,0.01%,(IFERROR(IF($ATO4="","",IF($ATO4=0,1,1-$ATO4/HLOOKUP(AUN$3,[2]ARBOR_REAJUSTE18!$A:$AE,VLOOKUP($ATO$2,[2]ARBOR_REAJUSTE18!$A:$B,2,0),0))),""))),4)</f>
        <v>#VALUE!</v>
      </c>
      <c r="AUO4" s="44" t="e">
        <f>ROUNDUP(IF(IFERROR(IF($ATO4="","",IF($ATO4=0,1,1-$ATO4/HLOOKUP(AUO$3,[2]ARBOR_REAJUSTE18!$A:$AE,VLOOKUP($ATO$2,[2]ARBOR_REAJUSTE18!$A:$B,2,0),0))),"")&lt;0.01%,0.01%,(IFERROR(IF($ATO4="","",IF($ATO4=0,1,1-$ATO4/HLOOKUP(AUO$3,[2]ARBOR_REAJUSTE18!$A:$AE,VLOOKUP($ATO$2,[2]ARBOR_REAJUSTE18!$A:$B,2,0),0))),""))),4)</f>
        <v>#VALUE!</v>
      </c>
      <c r="AUP4" s="44" t="e">
        <f>ROUNDUP(IF(IFERROR(IF($ATO4="","",IF($ATO4=0,1,1-$ATO4/HLOOKUP(AUP$3,[2]ARBOR_REAJUSTE18!$A:$AE,VLOOKUP($ATO$2,[2]ARBOR_REAJUSTE18!$A:$B,2,0),0))),"")&lt;0.01%,0.01%,(IFERROR(IF($ATO4="","",IF($ATO4=0,1,1-$ATO4/HLOOKUP(AUP$3,[2]ARBOR_REAJUSTE18!$A:$AE,VLOOKUP($ATO$2,[2]ARBOR_REAJUSTE18!$A:$B,2,0),0))),""))),4)</f>
        <v>#VALUE!</v>
      </c>
      <c r="AUQ4" s="44" t="e">
        <f>ROUNDUP(IF(IFERROR(IF($ATO4="","",IF($ATO4=0,1,1-$ATO4/HLOOKUP(AUQ$3,[2]ARBOR_REAJUSTE18!$A:$AE,VLOOKUP($ATO$2,[2]ARBOR_REAJUSTE18!$A:$B,2,0),0))),"")&lt;0.01%,0.01%,(IFERROR(IF($ATO4="","",IF($ATO4=0,1,1-$ATO4/HLOOKUP(AUQ$3,[2]ARBOR_REAJUSTE18!$A:$AE,VLOOKUP($ATO$2,[2]ARBOR_REAJUSTE18!$A:$B,2,0),0))),""))),4)</f>
        <v>#VALUE!</v>
      </c>
      <c r="AUR4" s="56">
        <v>74.800000000000011</v>
      </c>
      <c r="AUS4" s="64" t="e">
        <f>VLOOKUP($AV4&amp;AUT4&amp;"Template desconto FLAT Plano Principal Oi TV nível conta",[2]BENEFICIOS!$A:$G,5,0)</f>
        <v>#VALUE!</v>
      </c>
      <c r="AUT4" s="44" t="e">
        <f>ROUNDUP(IF(IFERROR(IF($AUR4="","",IF($AUR4=0,1,1-$AUR4/HLOOKUP(AUT$3,[2]ARBOR_REAJUSTE18!$A:$AE,VLOOKUP($AUR$2,[2]ARBOR_REAJUSTE18!$A:$B,2,0),0))),"")&lt;0.01%,0.01%,(IFERROR(IF($AUR4="","",IF($AUR4=0,1,1-$AUR4/HLOOKUP(AUT$3,[2]ARBOR_REAJUSTE18!$A:$AE,VLOOKUP($AUR$2,[2]ARBOR_REAJUSTE18!$A:$B,2,0),0))),""))),4)</f>
        <v>#VALUE!</v>
      </c>
      <c r="AUU4" s="44" t="e">
        <f>ROUNDUP(IF(IFERROR(IF($AUR4="","",IF($AUR4=0,1,1-$AUR4/HLOOKUP(AUU$3,[2]ARBOR_REAJUSTE18!$A:$AE,VLOOKUP($AUR$2,[2]ARBOR_REAJUSTE18!$A:$B,2,0),0))),"")&lt;0.01%,0.01%,(IFERROR(IF($AUR4="","",IF($AUR4=0,1,1-$AUR4/HLOOKUP(AUU$3,[2]ARBOR_REAJUSTE18!$A:$AE,VLOOKUP($AUR$2,[2]ARBOR_REAJUSTE18!$A:$B,2,0),0))),""))),4)</f>
        <v>#VALUE!</v>
      </c>
      <c r="AUV4" s="44" t="e">
        <f>ROUNDUP(IF(IFERROR(IF($AUR4="","",IF($AUR4=0,1,1-$AUR4/HLOOKUP(AUV$3,[2]ARBOR_REAJUSTE18!$A:$AE,VLOOKUP($AUR$2,[2]ARBOR_REAJUSTE18!$A:$B,2,0),0))),"")&lt;0.01%,0.01%,(IFERROR(IF($AUR4="","",IF($AUR4=0,1,1-$AUR4/HLOOKUP(AUV$3,[2]ARBOR_REAJUSTE18!$A:$AE,VLOOKUP($AUR$2,[2]ARBOR_REAJUSTE18!$A:$B,2,0),0))),""))),4)</f>
        <v>#VALUE!</v>
      </c>
      <c r="AUW4" s="44" t="e">
        <f>ROUNDUP(IF(IFERROR(IF($AUR4="","",IF($AUR4=0,1,1-$AUR4/HLOOKUP(AUW$3,[2]ARBOR_REAJUSTE18!$A:$AE,VLOOKUP($AUR$2,[2]ARBOR_REAJUSTE18!$A:$B,2,0),0))),"")&lt;0.01%,0.01%,(IFERROR(IF($AUR4="","",IF($AUR4=0,1,1-$AUR4/HLOOKUP(AUW$3,[2]ARBOR_REAJUSTE18!$A:$AE,VLOOKUP($AUR$2,[2]ARBOR_REAJUSTE18!$A:$B,2,0),0))),""))),4)</f>
        <v>#VALUE!</v>
      </c>
      <c r="AUX4" s="44" t="e">
        <f>ROUNDUP(IF(IFERROR(IF($AUR4="","",IF($AUR4=0,1,1-$AUR4/HLOOKUP(AUX$3,[2]ARBOR_REAJUSTE18!$A:$AE,VLOOKUP($AUR$2,[2]ARBOR_REAJUSTE18!$A:$B,2,0),0))),"")&lt;0.01%,0.01%,(IFERROR(IF($AUR4="","",IF($AUR4=0,1,1-$AUR4/HLOOKUP(AUX$3,[2]ARBOR_REAJUSTE18!$A:$AE,VLOOKUP($AUR$2,[2]ARBOR_REAJUSTE18!$A:$B,2,0),0))),""))),4)</f>
        <v>#VALUE!</v>
      </c>
      <c r="AUY4" s="44" t="e">
        <f>ROUNDUP(IF(IFERROR(IF($AUR4="","",IF($AUR4=0,1,1-$AUR4/HLOOKUP(AUY$3,[2]ARBOR_REAJUSTE18!$A:$AE,VLOOKUP($AUR$2,[2]ARBOR_REAJUSTE18!$A:$B,2,0),0))),"")&lt;0.01%,0.01%,(IFERROR(IF($AUR4="","",IF($AUR4=0,1,1-$AUR4/HLOOKUP(AUY$3,[2]ARBOR_REAJUSTE18!$A:$AE,VLOOKUP($AUR$2,[2]ARBOR_REAJUSTE18!$A:$B,2,0),0))),""))),4)</f>
        <v>#VALUE!</v>
      </c>
      <c r="AUZ4" s="44" t="e">
        <f>ROUNDUP(IF(IFERROR(IF($AUR4="","",IF($AUR4=0,1,1-$AUR4/HLOOKUP(AUZ$3,[2]ARBOR_REAJUSTE18!$A:$AE,VLOOKUP($AUR$2,[2]ARBOR_REAJUSTE18!$A:$B,2,0),0))),"")&lt;0.01%,0.01%,(IFERROR(IF($AUR4="","",IF($AUR4=0,1,1-$AUR4/HLOOKUP(AUZ$3,[2]ARBOR_REAJUSTE18!$A:$AE,VLOOKUP($AUR$2,[2]ARBOR_REAJUSTE18!$A:$B,2,0),0))),""))),4)</f>
        <v>#VALUE!</v>
      </c>
      <c r="AVA4" s="44" t="e">
        <f>ROUNDUP(IF(IFERROR(IF($AUR4="","",IF($AUR4=0,1,1-$AUR4/HLOOKUP(AVA$3,[2]ARBOR_REAJUSTE18!$A:$AE,VLOOKUP($AUR$2,[2]ARBOR_REAJUSTE18!$A:$B,2,0),0))),"")&lt;0.01%,0.01%,(IFERROR(IF($AUR4="","",IF($AUR4=0,1,1-$AUR4/HLOOKUP(AVA$3,[2]ARBOR_REAJUSTE18!$A:$AE,VLOOKUP($AUR$2,[2]ARBOR_REAJUSTE18!$A:$B,2,0),0))),""))),4)</f>
        <v>#VALUE!</v>
      </c>
      <c r="AVB4" s="44" t="e">
        <f>ROUNDUP(IF(IFERROR(IF($AUR4="","",IF($AUR4=0,1,1-$AUR4/HLOOKUP(AVB$3,[2]ARBOR_REAJUSTE18!$A:$AE,VLOOKUP($AUR$2,[2]ARBOR_REAJUSTE18!$A:$B,2,0),0))),"")&lt;0.01%,0.01%,(IFERROR(IF($AUR4="","",IF($AUR4=0,1,1-$AUR4/HLOOKUP(AVB$3,[2]ARBOR_REAJUSTE18!$A:$AE,VLOOKUP($AUR$2,[2]ARBOR_REAJUSTE18!$A:$B,2,0),0))),""))),4)</f>
        <v>#VALUE!</v>
      </c>
      <c r="AVC4" s="44" t="e">
        <f>ROUNDUP(IF(IFERROR(IF($AUR4="","",IF($AUR4=0,1,1-$AUR4/HLOOKUP(AVC$3,[2]ARBOR_REAJUSTE18!$A:$AE,VLOOKUP($AUR$2,[2]ARBOR_REAJUSTE18!$A:$B,2,0),0))),"")&lt;0.01%,0.01%,(IFERROR(IF($AUR4="","",IF($AUR4=0,1,1-$AUR4/HLOOKUP(AVC$3,[2]ARBOR_REAJUSTE18!$A:$AE,VLOOKUP($AUR$2,[2]ARBOR_REAJUSTE18!$A:$B,2,0),0))),""))),4)</f>
        <v>#VALUE!</v>
      </c>
      <c r="AVD4" s="44" t="e">
        <f>ROUNDUP(IF(IFERROR(IF($AUR4="","",IF($AUR4=0,1,1-$AUR4/HLOOKUP(AVD$3,[2]ARBOR_REAJUSTE18!$A:$AE,VLOOKUP($AUR$2,[2]ARBOR_REAJUSTE18!$A:$B,2,0),0))),"")&lt;0.01%,0.01%,(IFERROR(IF($AUR4="","",IF($AUR4=0,1,1-$AUR4/HLOOKUP(AVD$3,[2]ARBOR_REAJUSTE18!$A:$AE,VLOOKUP($AUR$2,[2]ARBOR_REAJUSTE18!$A:$B,2,0),0))),""))),4)</f>
        <v>#VALUE!</v>
      </c>
      <c r="AVE4" s="44" t="e">
        <f>ROUNDUP(IF(IFERROR(IF($AUR4="","",IF($AUR4=0,1,1-$AUR4/HLOOKUP(AVE$3,[2]ARBOR_REAJUSTE18!$A:$AE,VLOOKUP($AUR$2,[2]ARBOR_REAJUSTE18!$A:$B,2,0),0))),"")&lt;0.01%,0.01%,(IFERROR(IF($AUR4="","",IF($AUR4=0,1,1-$AUR4/HLOOKUP(AVE$3,[2]ARBOR_REAJUSTE18!$A:$AE,VLOOKUP($AUR$2,[2]ARBOR_REAJUSTE18!$A:$B,2,0),0))),""))),4)</f>
        <v>#VALUE!</v>
      </c>
      <c r="AVF4" s="44" t="e">
        <f>ROUNDUP(IF(IFERROR(IF($AUR4="","",IF($AUR4=0,1,1-$AUR4/HLOOKUP(AVF$3,[2]ARBOR_REAJUSTE18!$A:$AE,VLOOKUP($AUR$2,[2]ARBOR_REAJUSTE18!$A:$B,2,0),0))),"")&lt;0.01%,0.01%,(IFERROR(IF($AUR4="","",IF($AUR4=0,1,1-$AUR4/HLOOKUP(AVF$3,[2]ARBOR_REAJUSTE18!$A:$AE,VLOOKUP($AUR$2,[2]ARBOR_REAJUSTE18!$A:$B,2,0),0))),""))),4)</f>
        <v>#VALUE!</v>
      </c>
      <c r="AVG4" s="44" t="e">
        <f>ROUNDUP(IF(IFERROR(IF($AUR4="","",IF($AUR4=0,1,1-$AUR4/HLOOKUP(AVG$3,[2]ARBOR_REAJUSTE18!$A:$AE,VLOOKUP($AUR$2,[2]ARBOR_REAJUSTE18!$A:$B,2,0),0))),"")&lt;0.01%,0.01%,(IFERROR(IF($AUR4="","",IF($AUR4=0,1,1-$AUR4/HLOOKUP(AVG$3,[2]ARBOR_REAJUSTE18!$A:$AE,VLOOKUP($AUR$2,[2]ARBOR_REAJUSTE18!$A:$B,2,0),0))),""))),4)</f>
        <v>#VALUE!</v>
      </c>
      <c r="AVH4" s="44" t="e">
        <f>ROUNDUP(IF(IFERROR(IF($AUR4="","",IF($AUR4=0,1,1-$AUR4/HLOOKUP(AVH$3,[2]ARBOR_REAJUSTE18!$A:$AE,VLOOKUP($AUR$2,[2]ARBOR_REAJUSTE18!$A:$B,2,0),0))),"")&lt;0.01%,0.01%,(IFERROR(IF($AUR4="","",IF($AUR4=0,1,1-$AUR4/HLOOKUP(AVH$3,[2]ARBOR_REAJUSTE18!$A:$AE,VLOOKUP($AUR$2,[2]ARBOR_REAJUSTE18!$A:$B,2,0),0))),""))),4)</f>
        <v>#VALUE!</v>
      </c>
      <c r="AVI4" s="44" t="e">
        <f>ROUNDUP(IF(IFERROR(IF($AUR4="","",IF($AUR4=0,1,1-$AUR4/HLOOKUP(AVI$3,[2]ARBOR_REAJUSTE18!$A:$AE,VLOOKUP($AUR$2,[2]ARBOR_REAJUSTE18!$A:$B,2,0),0))),"")&lt;0.01%,0.01%,(IFERROR(IF($AUR4="","",IF($AUR4=0,1,1-$AUR4/HLOOKUP(AVI$3,[2]ARBOR_REAJUSTE18!$A:$AE,VLOOKUP($AUR$2,[2]ARBOR_REAJUSTE18!$A:$B,2,0),0))),""))),4)</f>
        <v>#VALUE!</v>
      </c>
      <c r="AVJ4" s="44" t="e">
        <f>ROUNDUP(IF(IFERROR(IF($AUR4="","",IF($AUR4=0,1,1-$AUR4/HLOOKUP(AVJ$3,[2]ARBOR_REAJUSTE18!$A:$AE,VLOOKUP($AUR$2,[2]ARBOR_REAJUSTE18!$A:$B,2,0),0))),"")&lt;0.01%,0.01%,(IFERROR(IF($AUR4="","",IF($AUR4=0,1,1-$AUR4/HLOOKUP(AVJ$3,[2]ARBOR_REAJUSTE18!$A:$AE,VLOOKUP($AUR$2,[2]ARBOR_REAJUSTE18!$A:$B,2,0),0))),""))),4)</f>
        <v>#VALUE!</v>
      </c>
      <c r="AVK4" s="44" t="e">
        <f>ROUNDUP(IF(IFERROR(IF($AUR4="","",IF($AUR4=0,1,1-$AUR4/HLOOKUP(AVK$3,[2]ARBOR_REAJUSTE18!$A:$AE,VLOOKUP($AUR$2,[2]ARBOR_REAJUSTE18!$A:$B,2,0),0))),"")&lt;0.01%,0.01%,(IFERROR(IF($AUR4="","",IF($AUR4=0,1,1-$AUR4/HLOOKUP(AVK$3,[2]ARBOR_REAJUSTE18!$A:$AE,VLOOKUP($AUR$2,[2]ARBOR_REAJUSTE18!$A:$B,2,0),0))),""))),4)</f>
        <v>#VALUE!</v>
      </c>
      <c r="AVL4" s="44" t="e">
        <f>ROUNDUP(IF(IFERROR(IF($AUR4="","",IF($AUR4=0,1,1-$AUR4/HLOOKUP(AVL$3,[2]ARBOR_REAJUSTE18!$A:$AE,VLOOKUP($AUR$2,[2]ARBOR_REAJUSTE18!$A:$B,2,0),0))),"")&lt;0.01%,0.01%,(IFERROR(IF($AUR4="","",IF($AUR4=0,1,1-$AUR4/HLOOKUP(AVL$3,[2]ARBOR_REAJUSTE18!$A:$AE,VLOOKUP($AUR$2,[2]ARBOR_REAJUSTE18!$A:$B,2,0),0))),""))),4)</f>
        <v>#VALUE!</v>
      </c>
      <c r="AVM4" s="44" t="e">
        <f>ROUNDUP(IF(IFERROR(IF($AUR4="","",IF($AUR4=0,1,1-$AUR4/HLOOKUP(AVM$3,[2]ARBOR_REAJUSTE18!$A:$AE,VLOOKUP($AUR$2,[2]ARBOR_REAJUSTE18!$A:$B,2,0),0))),"")&lt;0.01%,0.01%,(IFERROR(IF($AUR4="","",IF($AUR4=0,1,1-$AUR4/HLOOKUP(AVM$3,[2]ARBOR_REAJUSTE18!$A:$AE,VLOOKUP($AUR$2,[2]ARBOR_REAJUSTE18!$A:$B,2,0),0))),""))),4)</f>
        <v>#VALUE!</v>
      </c>
      <c r="AVN4" s="44" t="e">
        <f>ROUNDUP(IF(IFERROR(IF($AUR4="","",IF($AUR4=0,1,1-$AUR4/HLOOKUP(AVN$3,[2]ARBOR_REAJUSTE18!$A:$AE,VLOOKUP($AUR$2,[2]ARBOR_REAJUSTE18!$A:$B,2,0),0))),"")&lt;0.01%,0.01%,(IFERROR(IF($AUR4="","",IF($AUR4=0,1,1-$AUR4/HLOOKUP(AVN$3,[2]ARBOR_REAJUSTE18!$A:$AE,VLOOKUP($AUR$2,[2]ARBOR_REAJUSTE18!$A:$B,2,0),0))),""))),4)</f>
        <v>#VALUE!</v>
      </c>
      <c r="AVO4" s="44" t="e">
        <f>ROUNDUP(IF(IFERROR(IF($AUR4="","",IF($AUR4=0,1,1-$AUR4/HLOOKUP(AVO$3,[2]ARBOR_REAJUSTE18!$A:$AE,VLOOKUP($AUR$2,[2]ARBOR_REAJUSTE18!$A:$B,2,0),0))),"")&lt;0.01%,0.01%,(IFERROR(IF($AUR4="","",IF($AUR4=0,1,1-$AUR4/HLOOKUP(AVO$3,[2]ARBOR_REAJUSTE18!$A:$AE,VLOOKUP($AUR$2,[2]ARBOR_REAJUSTE18!$A:$B,2,0),0))),""))),4)</f>
        <v>#VALUE!</v>
      </c>
      <c r="AVP4" s="44" t="e">
        <f>ROUNDUP(IF(IFERROR(IF($AUR4="","",IF($AUR4=0,1,1-$AUR4/HLOOKUP(AVP$3,[2]ARBOR_REAJUSTE18!$A:$AE,VLOOKUP($AUR$2,[2]ARBOR_REAJUSTE18!$A:$B,2,0),0))),"")&lt;0.01%,0.01%,(IFERROR(IF($AUR4="","",IF($AUR4=0,1,1-$AUR4/HLOOKUP(AVP$3,[2]ARBOR_REAJUSTE18!$A:$AE,VLOOKUP($AUR$2,[2]ARBOR_REAJUSTE18!$A:$B,2,0),0))),""))),4)</f>
        <v>#VALUE!</v>
      </c>
      <c r="AVQ4" s="44" t="e">
        <f>ROUNDUP(IF(IFERROR(IF($AUR4="","",IF($AUR4=0,1,1-$AUR4/HLOOKUP(AVQ$3,[2]ARBOR_REAJUSTE18!$A:$AE,VLOOKUP($AUR$2,[2]ARBOR_REAJUSTE18!$A:$B,2,0),0))),"")&lt;0.01%,0.01%,(IFERROR(IF($AUR4="","",IF($AUR4=0,1,1-$AUR4/HLOOKUP(AVQ$3,[2]ARBOR_REAJUSTE18!$A:$AE,VLOOKUP($AUR$2,[2]ARBOR_REAJUSTE18!$A:$B,2,0),0))),""))),4)</f>
        <v>#VALUE!</v>
      </c>
      <c r="AVR4" s="44" t="e">
        <f>ROUNDUP(IF(IFERROR(IF($AUR4="","",IF($AUR4=0,1,1-$AUR4/HLOOKUP(AVR$3,[2]ARBOR_REAJUSTE18!$A:$AE,VLOOKUP($AUR$2,[2]ARBOR_REAJUSTE18!$A:$B,2,0),0))),"")&lt;0.01%,0.01%,(IFERROR(IF($AUR4="","",IF($AUR4=0,1,1-$AUR4/HLOOKUP(AVR$3,[2]ARBOR_REAJUSTE18!$A:$AE,VLOOKUP($AUR$2,[2]ARBOR_REAJUSTE18!$A:$B,2,0),0))),""))),4)</f>
        <v>#VALUE!</v>
      </c>
      <c r="AVS4" s="44" t="e">
        <f>ROUNDUP(IF(IFERROR(IF($AUR4="","",IF($AUR4=0,1,1-$AUR4/HLOOKUP(AVS$3,[2]ARBOR_REAJUSTE18!$A:$AE,VLOOKUP($AUR$2,[2]ARBOR_REAJUSTE18!$A:$B,2,0),0))),"")&lt;0.01%,0.01%,(IFERROR(IF($AUR4="","",IF($AUR4=0,1,1-$AUR4/HLOOKUP(AVS$3,[2]ARBOR_REAJUSTE18!$A:$AE,VLOOKUP($AUR$2,[2]ARBOR_REAJUSTE18!$A:$B,2,0),0))),""))),4)</f>
        <v>#VALUE!</v>
      </c>
      <c r="AVT4" s="44" t="e">
        <f>ROUNDUP(IF(IFERROR(IF($AUR4="","",IF($AUR4=0,1,1-$AUR4/HLOOKUP(AVT$3,[2]ARBOR_REAJUSTE18!$A:$AE,VLOOKUP($AUR$2,[2]ARBOR_REAJUSTE18!$A:$B,2,0),0))),"")&lt;0.01%,0.01%,(IFERROR(IF($AUR4="","",IF($AUR4=0,1,1-$AUR4/HLOOKUP(AVT$3,[2]ARBOR_REAJUSTE18!$A:$AE,VLOOKUP($AUR$2,[2]ARBOR_REAJUSTE18!$A:$B,2,0),0))),""))),4)</f>
        <v>#VALUE!</v>
      </c>
      <c r="AVU4" s="56"/>
      <c r="AVV4" s="64"/>
      <c r="AVW4" s="44" t="e">
        <f>ROUNDUP(IF(IFERROR(IF($AVU4="","",IF($AVU4=0,1,1-$AVU4/HLOOKUP(AVW$3,[2]ARBOR_REAJUSTE18!$A:$AE,VLOOKUP($AVU$2,[2]ARBOR_REAJUSTE18!$A:$B,2,0),0))),"")&lt;0.01%,0.01%,(IFERROR(IF($AVU4="","",IF($AVU4=0,1,1-$AVU4/HLOOKUP(AVW$3,[2]ARBOR_REAJUSTE18!$A:$AE,VLOOKUP($AVU$2,[2]ARBOR_REAJUSTE18!$A:$B,2,0),0))),""))),4)</f>
        <v>#VALUE!</v>
      </c>
      <c r="AVX4" s="44" t="e">
        <f>ROUNDUP(IF(IFERROR(IF($AVU4="","",IF($AVU4=0,1,1-$AVU4/HLOOKUP(AVX$3,[2]ARBOR_REAJUSTE18!$A:$AE,VLOOKUP($AVU$2,[2]ARBOR_REAJUSTE18!$A:$B,2,0),0))),"")&lt;0.01%,0.01%,(IFERROR(IF($AVU4="","",IF($AVU4=0,1,1-$AVU4/HLOOKUP(AVX$3,[2]ARBOR_REAJUSTE18!$A:$AE,VLOOKUP($AVU$2,[2]ARBOR_REAJUSTE18!$A:$B,2,0),0))),""))),4)</f>
        <v>#VALUE!</v>
      </c>
      <c r="AVY4" s="44" t="e">
        <f>ROUNDUP(IF(IFERROR(IF($AVU4="","",IF($AVU4=0,1,1-$AVU4/HLOOKUP(AVY$3,[2]ARBOR_REAJUSTE18!$A:$AE,VLOOKUP($AVU$2,[2]ARBOR_REAJUSTE18!$A:$B,2,0),0))),"")&lt;0.01%,0.01%,(IFERROR(IF($AVU4="","",IF($AVU4=0,1,1-$AVU4/HLOOKUP(AVY$3,[2]ARBOR_REAJUSTE18!$A:$AE,VLOOKUP($AVU$2,[2]ARBOR_REAJUSTE18!$A:$B,2,0),0))),""))),4)</f>
        <v>#VALUE!</v>
      </c>
      <c r="AVZ4" s="44" t="e">
        <f>ROUNDUP(IF(IFERROR(IF($AVU4="","",IF($AVU4=0,1,1-$AVU4/HLOOKUP(AVZ$3,[2]ARBOR_REAJUSTE18!$A:$AE,VLOOKUP($AVU$2,[2]ARBOR_REAJUSTE18!$A:$B,2,0),0))),"")&lt;0.01%,0.01%,(IFERROR(IF($AVU4="","",IF($AVU4=0,1,1-$AVU4/HLOOKUP(AVZ$3,[2]ARBOR_REAJUSTE18!$A:$AE,VLOOKUP($AVU$2,[2]ARBOR_REAJUSTE18!$A:$B,2,0),0))),""))),4)</f>
        <v>#VALUE!</v>
      </c>
      <c r="AWA4" s="44" t="e">
        <f>ROUNDUP(IF(IFERROR(IF($AVU4="","",IF($AVU4=0,1,1-$AVU4/HLOOKUP(AWA$3,[2]ARBOR_REAJUSTE18!$A:$AE,VLOOKUP($AVU$2,[2]ARBOR_REAJUSTE18!$A:$B,2,0),0))),"")&lt;0.01%,0.01%,(IFERROR(IF($AVU4="","",IF($AVU4=0,1,1-$AVU4/HLOOKUP(AWA$3,[2]ARBOR_REAJUSTE18!$A:$AE,VLOOKUP($AVU$2,[2]ARBOR_REAJUSTE18!$A:$B,2,0),0))),""))),4)</f>
        <v>#VALUE!</v>
      </c>
      <c r="AWB4" s="44" t="e">
        <f>ROUNDUP(IF(IFERROR(IF($AVU4="","",IF($AVU4=0,1,1-$AVU4/HLOOKUP(AWB$3,[2]ARBOR_REAJUSTE18!$A:$AE,VLOOKUP($AVU$2,[2]ARBOR_REAJUSTE18!$A:$B,2,0),0))),"")&lt;0.01%,0.01%,(IFERROR(IF($AVU4="","",IF($AVU4=0,1,1-$AVU4/HLOOKUP(AWB$3,[2]ARBOR_REAJUSTE18!$A:$AE,VLOOKUP($AVU$2,[2]ARBOR_REAJUSTE18!$A:$B,2,0),0))),""))),4)</f>
        <v>#VALUE!</v>
      </c>
      <c r="AWC4" s="44" t="e">
        <f>ROUNDUP(IF(IFERROR(IF($AVU4="","",IF($AVU4=0,1,1-$AVU4/HLOOKUP(AWC$3,[2]ARBOR_REAJUSTE18!$A:$AE,VLOOKUP($AVU$2,[2]ARBOR_REAJUSTE18!$A:$B,2,0),0))),"")&lt;0.01%,0.01%,(IFERROR(IF($AVU4="","",IF($AVU4=0,1,1-$AVU4/HLOOKUP(AWC$3,[2]ARBOR_REAJUSTE18!$A:$AE,VLOOKUP($AVU$2,[2]ARBOR_REAJUSTE18!$A:$B,2,0),0))),""))),4)</f>
        <v>#VALUE!</v>
      </c>
      <c r="AWD4" s="44" t="e">
        <f>ROUNDUP(IF(IFERROR(IF($AVU4="","",IF($AVU4=0,1,1-$AVU4/HLOOKUP(AWD$3,[2]ARBOR_REAJUSTE18!$A:$AE,VLOOKUP($AVU$2,[2]ARBOR_REAJUSTE18!$A:$B,2,0),0))),"")&lt;0.01%,0.01%,(IFERROR(IF($AVU4="","",IF($AVU4=0,1,1-$AVU4/HLOOKUP(AWD$3,[2]ARBOR_REAJUSTE18!$A:$AE,VLOOKUP($AVU$2,[2]ARBOR_REAJUSTE18!$A:$B,2,0),0))),""))),4)</f>
        <v>#VALUE!</v>
      </c>
      <c r="AWE4" s="44" t="e">
        <f>ROUNDUP(IF(IFERROR(IF($AVU4="","",IF($AVU4=0,1,1-$AVU4/HLOOKUP(AWE$3,[2]ARBOR_REAJUSTE18!$A:$AE,VLOOKUP($AVU$2,[2]ARBOR_REAJUSTE18!$A:$B,2,0),0))),"")&lt;0.01%,0.01%,(IFERROR(IF($AVU4="","",IF($AVU4=0,1,1-$AVU4/HLOOKUP(AWE$3,[2]ARBOR_REAJUSTE18!$A:$AE,VLOOKUP($AVU$2,[2]ARBOR_REAJUSTE18!$A:$B,2,0),0))),""))),4)</f>
        <v>#VALUE!</v>
      </c>
      <c r="AWF4" s="44" t="e">
        <f>ROUNDUP(IF(IFERROR(IF($AVU4="","",IF($AVU4=0,1,1-$AVU4/HLOOKUP(AWF$3,[2]ARBOR_REAJUSTE18!$A:$AE,VLOOKUP($AVU$2,[2]ARBOR_REAJUSTE18!$A:$B,2,0),0))),"")&lt;0.01%,0.01%,(IFERROR(IF($AVU4="","",IF($AVU4=0,1,1-$AVU4/HLOOKUP(AWF$3,[2]ARBOR_REAJUSTE18!$A:$AE,VLOOKUP($AVU$2,[2]ARBOR_REAJUSTE18!$A:$B,2,0),0))),""))),4)</f>
        <v>#VALUE!</v>
      </c>
      <c r="AWG4" s="44" t="e">
        <f>ROUNDUP(IF(IFERROR(IF($AVU4="","",IF($AVU4=0,1,1-$AVU4/HLOOKUP(AWG$3,[2]ARBOR_REAJUSTE18!$A:$AE,VLOOKUP($AVU$2,[2]ARBOR_REAJUSTE18!$A:$B,2,0),0))),"")&lt;0.01%,0.01%,(IFERROR(IF($AVU4="","",IF($AVU4=0,1,1-$AVU4/HLOOKUP(AWG$3,[2]ARBOR_REAJUSTE18!$A:$AE,VLOOKUP($AVU$2,[2]ARBOR_REAJUSTE18!$A:$B,2,0),0))),""))),4)</f>
        <v>#VALUE!</v>
      </c>
      <c r="AWH4" s="44" t="e">
        <f>ROUNDUP(IF(IFERROR(IF($AVU4="","",IF($AVU4=0,1,1-$AVU4/HLOOKUP(AWH$3,[2]ARBOR_REAJUSTE18!$A:$AE,VLOOKUP($AVU$2,[2]ARBOR_REAJUSTE18!$A:$B,2,0),0))),"")&lt;0.01%,0.01%,(IFERROR(IF($AVU4="","",IF($AVU4=0,1,1-$AVU4/HLOOKUP(AWH$3,[2]ARBOR_REAJUSTE18!$A:$AE,VLOOKUP($AVU$2,[2]ARBOR_REAJUSTE18!$A:$B,2,0),0))),""))),4)</f>
        <v>#VALUE!</v>
      </c>
      <c r="AWI4" s="44" t="e">
        <f>ROUNDUP(IF(IFERROR(IF($AVU4="","",IF($AVU4=0,1,1-$AVU4/HLOOKUP(AWI$3,[2]ARBOR_REAJUSTE18!$A:$AE,VLOOKUP($AVU$2,[2]ARBOR_REAJUSTE18!$A:$B,2,0),0))),"")&lt;0.01%,0.01%,(IFERROR(IF($AVU4="","",IF($AVU4=0,1,1-$AVU4/HLOOKUP(AWI$3,[2]ARBOR_REAJUSTE18!$A:$AE,VLOOKUP($AVU$2,[2]ARBOR_REAJUSTE18!$A:$B,2,0),0))),""))),4)</f>
        <v>#VALUE!</v>
      </c>
      <c r="AWJ4" s="44" t="e">
        <f>ROUNDUP(IF(IFERROR(IF($AVU4="","",IF($AVU4=0,1,1-$AVU4/HLOOKUP(AWJ$3,[2]ARBOR_REAJUSTE18!$A:$AE,VLOOKUP($AVU$2,[2]ARBOR_REAJUSTE18!$A:$B,2,0),0))),"")&lt;0.01%,0.01%,(IFERROR(IF($AVU4="","",IF($AVU4=0,1,1-$AVU4/HLOOKUP(AWJ$3,[2]ARBOR_REAJUSTE18!$A:$AE,VLOOKUP($AVU$2,[2]ARBOR_REAJUSTE18!$A:$B,2,0),0))),""))),4)</f>
        <v>#VALUE!</v>
      </c>
      <c r="AWK4" s="44" t="e">
        <f>ROUNDUP(IF(IFERROR(IF($AVU4="","",IF($AVU4=0,1,1-$AVU4/HLOOKUP(AWK$3,[2]ARBOR_REAJUSTE18!$A:$AE,VLOOKUP($AVU$2,[2]ARBOR_REAJUSTE18!$A:$B,2,0),0))),"")&lt;0.01%,0.01%,(IFERROR(IF($AVU4="","",IF($AVU4=0,1,1-$AVU4/HLOOKUP(AWK$3,[2]ARBOR_REAJUSTE18!$A:$AE,VLOOKUP($AVU$2,[2]ARBOR_REAJUSTE18!$A:$B,2,0),0))),""))),4)</f>
        <v>#VALUE!</v>
      </c>
      <c r="AWL4" s="44" t="e">
        <f>ROUNDUP(IF(IFERROR(IF($AVU4="","",IF($AVU4=0,1,1-$AVU4/HLOOKUP(AWL$3,[2]ARBOR_REAJUSTE18!$A:$AE,VLOOKUP($AVU$2,[2]ARBOR_REAJUSTE18!$A:$B,2,0),0))),"")&lt;0.01%,0.01%,(IFERROR(IF($AVU4="","",IF($AVU4=0,1,1-$AVU4/HLOOKUP(AWL$3,[2]ARBOR_REAJUSTE18!$A:$AE,VLOOKUP($AVU$2,[2]ARBOR_REAJUSTE18!$A:$B,2,0),0))),""))),4)</f>
        <v>#VALUE!</v>
      </c>
      <c r="AWM4" s="44" t="e">
        <f>ROUNDUP(IF(IFERROR(IF($AVU4="","",IF($AVU4=0,1,1-$AVU4/HLOOKUP(AWM$3,[2]ARBOR_REAJUSTE18!$A:$AE,VLOOKUP($AVU$2,[2]ARBOR_REAJUSTE18!$A:$B,2,0),0))),"")&lt;0.01%,0.01%,(IFERROR(IF($AVU4="","",IF($AVU4=0,1,1-$AVU4/HLOOKUP(AWM$3,[2]ARBOR_REAJUSTE18!$A:$AE,VLOOKUP($AVU$2,[2]ARBOR_REAJUSTE18!$A:$B,2,0),0))),""))),4)</f>
        <v>#VALUE!</v>
      </c>
      <c r="AWN4" s="44" t="e">
        <f>ROUNDUP(IF(IFERROR(IF($AVU4="","",IF($AVU4=0,1,1-$AVU4/HLOOKUP(AWN$3,[2]ARBOR_REAJUSTE18!$A:$AE,VLOOKUP($AVU$2,[2]ARBOR_REAJUSTE18!$A:$B,2,0),0))),"")&lt;0.01%,0.01%,(IFERROR(IF($AVU4="","",IF($AVU4=0,1,1-$AVU4/HLOOKUP(AWN$3,[2]ARBOR_REAJUSTE18!$A:$AE,VLOOKUP($AVU$2,[2]ARBOR_REAJUSTE18!$A:$B,2,0),0))),""))),4)</f>
        <v>#VALUE!</v>
      </c>
      <c r="AWO4" s="44" t="e">
        <f>ROUNDUP(IF(IFERROR(IF($AVU4="","",IF($AVU4=0,1,1-$AVU4/HLOOKUP(AWO$3,[2]ARBOR_REAJUSTE18!$A:$AE,VLOOKUP($AVU$2,[2]ARBOR_REAJUSTE18!$A:$B,2,0),0))),"")&lt;0.01%,0.01%,(IFERROR(IF($AVU4="","",IF($AVU4=0,1,1-$AVU4/HLOOKUP(AWO$3,[2]ARBOR_REAJUSTE18!$A:$AE,VLOOKUP($AVU$2,[2]ARBOR_REAJUSTE18!$A:$B,2,0),0))),""))),4)</f>
        <v>#VALUE!</v>
      </c>
      <c r="AWP4" s="44" t="e">
        <f>ROUNDUP(IF(IFERROR(IF($AVU4="","",IF($AVU4=0,1,1-$AVU4/HLOOKUP(AWP$3,[2]ARBOR_REAJUSTE18!$A:$AE,VLOOKUP($AVU$2,[2]ARBOR_REAJUSTE18!$A:$B,2,0),0))),"")&lt;0.01%,0.01%,(IFERROR(IF($AVU4="","",IF($AVU4=0,1,1-$AVU4/HLOOKUP(AWP$3,[2]ARBOR_REAJUSTE18!$A:$AE,VLOOKUP($AVU$2,[2]ARBOR_REAJUSTE18!$A:$B,2,0),0))),""))),4)</f>
        <v>#VALUE!</v>
      </c>
      <c r="AWQ4" s="44" t="e">
        <f>ROUNDUP(IF(IFERROR(IF($AVU4="","",IF($AVU4=0,1,1-$AVU4/HLOOKUP(AWQ$3,[2]ARBOR_REAJUSTE18!$A:$AE,VLOOKUP($AVU$2,[2]ARBOR_REAJUSTE18!$A:$B,2,0),0))),"")&lt;0.01%,0.01%,(IFERROR(IF($AVU4="","",IF($AVU4=0,1,1-$AVU4/HLOOKUP(AWQ$3,[2]ARBOR_REAJUSTE18!$A:$AE,VLOOKUP($AVU$2,[2]ARBOR_REAJUSTE18!$A:$B,2,0),0))),""))),4)</f>
        <v>#VALUE!</v>
      </c>
      <c r="AWR4" s="44" t="e">
        <f>ROUNDUP(IF(IFERROR(IF($AVU4="","",IF($AVU4=0,1,1-$AVU4/HLOOKUP(AWR$3,[2]ARBOR_REAJUSTE18!$A:$AE,VLOOKUP($AVU$2,[2]ARBOR_REAJUSTE18!$A:$B,2,0),0))),"")&lt;0.01%,0.01%,(IFERROR(IF($AVU4="","",IF($AVU4=0,1,1-$AVU4/HLOOKUP(AWR$3,[2]ARBOR_REAJUSTE18!$A:$AE,VLOOKUP($AVU$2,[2]ARBOR_REAJUSTE18!$A:$B,2,0),0))),""))),4)</f>
        <v>#VALUE!</v>
      </c>
      <c r="AWS4" s="44" t="e">
        <f>ROUNDUP(IF(IFERROR(IF($AVU4="","",IF($AVU4=0,1,1-$AVU4/HLOOKUP(AWS$3,[2]ARBOR_REAJUSTE18!$A:$AE,VLOOKUP($AVU$2,[2]ARBOR_REAJUSTE18!$A:$B,2,0),0))),"")&lt;0.01%,0.01%,(IFERROR(IF($AVU4="","",IF($AVU4=0,1,1-$AVU4/HLOOKUP(AWS$3,[2]ARBOR_REAJUSTE18!$A:$AE,VLOOKUP($AVU$2,[2]ARBOR_REAJUSTE18!$A:$B,2,0),0))),""))),4)</f>
        <v>#VALUE!</v>
      </c>
      <c r="AWT4" s="44" t="e">
        <f>ROUNDUP(IF(IFERROR(IF($AVU4="","",IF($AVU4=0,1,1-$AVU4/HLOOKUP(AWT$3,[2]ARBOR_REAJUSTE18!$A:$AE,VLOOKUP($AVU$2,[2]ARBOR_REAJUSTE18!$A:$B,2,0),0))),"")&lt;0.01%,0.01%,(IFERROR(IF($AVU4="","",IF($AVU4=0,1,1-$AVU4/HLOOKUP(AWT$3,[2]ARBOR_REAJUSTE18!$A:$AE,VLOOKUP($AVU$2,[2]ARBOR_REAJUSTE18!$A:$B,2,0),0))),""))),4)</f>
        <v>#VALUE!</v>
      </c>
      <c r="AWU4" s="44" t="e">
        <f>ROUNDUP(IF(IFERROR(IF($AVU4="","",IF($AVU4=0,1,1-$AVU4/HLOOKUP(AWU$3,[2]ARBOR_REAJUSTE18!$A:$AE,VLOOKUP($AVU$2,[2]ARBOR_REAJUSTE18!$A:$B,2,0),0))),"")&lt;0.01%,0.01%,(IFERROR(IF($AVU4="","",IF($AVU4=0,1,1-$AVU4/HLOOKUP(AWU$3,[2]ARBOR_REAJUSTE18!$A:$AE,VLOOKUP($AVU$2,[2]ARBOR_REAJUSTE18!$A:$B,2,0),0))),""))),4)</f>
        <v>#VALUE!</v>
      </c>
      <c r="AWV4" s="44" t="e">
        <f>ROUNDUP(IF(IFERROR(IF($AVU4="","",IF($AVU4=0,1,1-$AVU4/HLOOKUP(AWV$3,[2]ARBOR_REAJUSTE18!$A:$AE,VLOOKUP($AVU$2,[2]ARBOR_REAJUSTE18!$A:$B,2,0),0))),"")&lt;0.01%,0.01%,(IFERROR(IF($AVU4="","",IF($AVU4=0,1,1-$AVU4/HLOOKUP(AWV$3,[2]ARBOR_REAJUSTE18!$A:$AE,VLOOKUP($AVU$2,[2]ARBOR_REAJUSTE18!$A:$B,2,0),0))),""))),4)</f>
        <v>#VALUE!</v>
      </c>
      <c r="AWW4" s="44" t="e">
        <f>ROUNDUP(IF(IFERROR(IF($AVU4="","",IF($AVU4=0,1,1-$AVU4/HLOOKUP(AWW$3,[2]ARBOR_REAJUSTE18!$A:$AE,VLOOKUP($AVU$2,[2]ARBOR_REAJUSTE18!$A:$B,2,0),0))),"")&lt;0.01%,0.01%,(IFERROR(IF($AVU4="","",IF($AVU4=0,1,1-$AVU4/HLOOKUP(AWW$3,[2]ARBOR_REAJUSTE18!$A:$AE,VLOOKUP($AVU$2,[2]ARBOR_REAJUSTE18!$A:$B,2,0),0))),""))),4)</f>
        <v>#VALUE!</v>
      </c>
      <c r="AWX4" s="56"/>
      <c r="AWY4" s="64"/>
      <c r="AWZ4" s="44" t="e">
        <f>ROUNDUP(IF(IFERROR(IF($AWX4="","",IF($AWX4=0,1,1-$AWX4/HLOOKUP(AWZ$3,[2]ARBOR_REAJUSTE18!$A:$AE,VLOOKUP($AWX$2,[2]ARBOR_REAJUSTE18!$A:$B,2,0),0))),"")&lt;0.01%,0.01%,(IFERROR(IF($AWX4="","",IF($AWX4=0,1,1-$AWX4/HLOOKUP(AWZ$3,[2]ARBOR_REAJUSTE18!$A:$AE,VLOOKUP($AWX$2,[2]ARBOR_REAJUSTE18!$A:$B,2,0),0))),""))),4)</f>
        <v>#VALUE!</v>
      </c>
      <c r="AXA4" s="44" t="e">
        <f>ROUNDUP(IF(IFERROR(IF($AWX4="","",IF($AWX4=0,1,1-$AWX4/HLOOKUP(AXA$3,[2]ARBOR_REAJUSTE18!$A:$AE,VLOOKUP($AWX$2,[2]ARBOR_REAJUSTE18!$A:$B,2,0),0))),"")&lt;0.01%,0.01%,(IFERROR(IF($AWX4="","",IF($AWX4=0,1,1-$AWX4/HLOOKUP(AXA$3,[2]ARBOR_REAJUSTE18!$A:$AE,VLOOKUP($AWX$2,[2]ARBOR_REAJUSTE18!$A:$B,2,0),0))),""))),4)</f>
        <v>#VALUE!</v>
      </c>
      <c r="AXB4" s="44" t="e">
        <f>ROUNDUP(IF(IFERROR(IF($AWX4="","",IF($AWX4=0,1,1-$AWX4/HLOOKUP(AXB$3,[2]ARBOR_REAJUSTE18!$A:$AE,VLOOKUP($AWX$2,[2]ARBOR_REAJUSTE18!$A:$B,2,0),0))),"")&lt;0.01%,0.01%,(IFERROR(IF($AWX4="","",IF($AWX4=0,1,1-$AWX4/HLOOKUP(AXB$3,[2]ARBOR_REAJUSTE18!$A:$AE,VLOOKUP($AWX$2,[2]ARBOR_REAJUSTE18!$A:$B,2,0),0))),""))),4)</f>
        <v>#VALUE!</v>
      </c>
      <c r="AXC4" s="44" t="e">
        <f>ROUNDUP(IF(IFERROR(IF($AWX4="","",IF($AWX4=0,1,1-$AWX4/HLOOKUP(AXC$3,[2]ARBOR_REAJUSTE18!$A:$AE,VLOOKUP($AWX$2,[2]ARBOR_REAJUSTE18!$A:$B,2,0),0))),"")&lt;0.01%,0.01%,(IFERROR(IF($AWX4="","",IF($AWX4=0,1,1-$AWX4/HLOOKUP(AXC$3,[2]ARBOR_REAJUSTE18!$A:$AE,VLOOKUP($AWX$2,[2]ARBOR_REAJUSTE18!$A:$B,2,0),0))),""))),4)</f>
        <v>#VALUE!</v>
      </c>
      <c r="AXD4" s="44" t="e">
        <f>ROUNDUP(IF(IFERROR(IF($AWX4="","",IF($AWX4=0,1,1-$AWX4/HLOOKUP(AXD$3,[2]ARBOR_REAJUSTE18!$A:$AE,VLOOKUP($AWX$2,[2]ARBOR_REAJUSTE18!$A:$B,2,0),0))),"")&lt;0.01%,0.01%,(IFERROR(IF($AWX4="","",IF($AWX4=0,1,1-$AWX4/HLOOKUP(AXD$3,[2]ARBOR_REAJUSTE18!$A:$AE,VLOOKUP($AWX$2,[2]ARBOR_REAJUSTE18!$A:$B,2,0),0))),""))),4)</f>
        <v>#VALUE!</v>
      </c>
      <c r="AXE4" s="44" t="e">
        <f>ROUNDUP(IF(IFERROR(IF($AWX4="","",IF($AWX4=0,1,1-$AWX4/HLOOKUP(AXE$3,[2]ARBOR_REAJUSTE18!$A:$AE,VLOOKUP($AWX$2,[2]ARBOR_REAJUSTE18!$A:$B,2,0),0))),"")&lt;0.01%,0.01%,(IFERROR(IF($AWX4="","",IF($AWX4=0,1,1-$AWX4/HLOOKUP(AXE$3,[2]ARBOR_REAJUSTE18!$A:$AE,VLOOKUP($AWX$2,[2]ARBOR_REAJUSTE18!$A:$B,2,0),0))),""))),4)</f>
        <v>#VALUE!</v>
      </c>
      <c r="AXF4" s="44" t="e">
        <f>ROUNDUP(IF(IFERROR(IF($AWX4="","",IF($AWX4=0,1,1-$AWX4/HLOOKUP(AXF$3,[2]ARBOR_REAJUSTE18!$A:$AE,VLOOKUP($AWX$2,[2]ARBOR_REAJUSTE18!$A:$B,2,0),0))),"")&lt;0.01%,0.01%,(IFERROR(IF($AWX4="","",IF($AWX4=0,1,1-$AWX4/HLOOKUP(AXF$3,[2]ARBOR_REAJUSTE18!$A:$AE,VLOOKUP($AWX$2,[2]ARBOR_REAJUSTE18!$A:$B,2,0),0))),""))),4)</f>
        <v>#VALUE!</v>
      </c>
      <c r="AXG4" s="44" t="e">
        <f>ROUNDUP(IF(IFERROR(IF($AWX4="","",IF($AWX4=0,1,1-$AWX4/HLOOKUP(AXG$3,[2]ARBOR_REAJUSTE18!$A:$AE,VLOOKUP($AWX$2,[2]ARBOR_REAJUSTE18!$A:$B,2,0),0))),"")&lt;0.01%,0.01%,(IFERROR(IF($AWX4="","",IF($AWX4=0,1,1-$AWX4/HLOOKUP(AXG$3,[2]ARBOR_REAJUSTE18!$A:$AE,VLOOKUP($AWX$2,[2]ARBOR_REAJUSTE18!$A:$B,2,0),0))),""))),4)</f>
        <v>#VALUE!</v>
      </c>
      <c r="AXH4" s="44" t="e">
        <f>ROUNDUP(IF(IFERROR(IF($AWX4="","",IF($AWX4=0,1,1-$AWX4/HLOOKUP(AXH$3,[2]ARBOR_REAJUSTE18!$A:$AE,VLOOKUP($AWX$2,[2]ARBOR_REAJUSTE18!$A:$B,2,0),0))),"")&lt;0.01%,0.01%,(IFERROR(IF($AWX4="","",IF($AWX4=0,1,1-$AWX4/HLOOKUP(AXH$3,[2]ARBOR_REAJUSTE18!$A:$AE,VLOOKUP($AWX$2,[2]ARBOR_REAJUSTE18!$A:$B,2,0),0))),""))),4)</f>
        <v>#VALUE!</v>
      </c>
      <c r="AXI4" s="44" t="e">
        <f>ROUNDUP(IF(IFERROR(IF($AWX4="","",IF($AWX4=0,1,1-$AWX4/HLOOKUP(AXI$3,[2]ARBOR_REAJUSTE18!$A:$AE,VLOOKUP($AWX$2,[2]ARBOR_REAJUSTE18!$A:$B,2,0),0))),"")&lt;0.01%,0.01%,(IFERROR(IF($AWX4="","",IF($AWX4=0,1,1-$AWX4/HLOOKUP(AXI$3,[2]ARBOR_REAJUSTE18!$A:$AE,VLOOKUP($AWX$2,[2]ARBOR_REAJUSTE18!$A:$B,2,0),0))),""))),4)</f>
        <v>#VALUE!</v>
      </c>
      <c r="AXJ4" s="44" t="e">
        <f>ROUNDUP(IF(IFERROR(IF($AWX4="","",IF($AWX4=0,1,1-$AWX4/HLOOKUP(AXJ$3,[2]ARBOR_REAJUSTE18!$A:$AE,VLOOKUP($AWX$2,[2]ARBOR_REAJUSTE18!$A:$B,2,0),0))),"")&lt;0.01%,0.01%,(IFERROR(IF($AWX4="","",IF($AWX4=0,1,1-$AWX4/HLOOKUP(AXJ$3,[2]ARBOR_REAJUSTE18!$A:$AE,VLOOKUP($AWX$2,[2]ARBOR_REAJUSTE18!$A:$B,2,0),0))),""))),4)</f>
        <v>#VALUE!</v>
      </c>
      <c r="AXK4" s="44" t="e">
        <f>ROUNDUP(IF(IFERROR(IF($AWX4="","",IF($AWX4=0,1,1-$AWX4/HLOOKUP(AXK$3,[2]ARBOR_REAJUSTE18!$A:$AE,VLOOKUP($AWX$2,[2]ARBOR_REAJUSTE18!$A:$B,2,0),0))),"")&lt;0.01%,0.01%,(IFERROR(IF($AWX4="","",IF($AWX4=0,1,1-$AWX4/HLOOKUP(AXK$3,[2]ARBOR_REAJUSTE18!$A:$AE,VLOOKUP($AWX$2,[2]ARBOR_REAJUSTE18!$A:$B,2,0),0))),""))),4)</f>
        <v>#VALUE!</v>
      </c>
      <c r="AXL4" s="44" t="e">
        <f>ROUNDUP(IF(IFERROR(IF($AWX4="","",IF($AWX4=0,1,1-$AWX4/HLOOKUP(AXL$3,[2]ARBOR_REAJUSTE18!$A:$AE,VLOOKUP($AWX$2,[2]ARBOR_REAJUSTE18!$A:$B,2,0),0))),"")&lt;0.01%,0.01%,(IFERROR(IF($AWX4="","",IF($AWX4=0,1,1-$AWX4/HLOOKUP(AXL$3,[2]ARBOR_REAJUSTE18!$A:$AE,VLOOKUP($AWX$2,[2]ARBOR_REAJUSTE18!$A:$B,2,0),0))),""))),4)</f>
        <v>#VALUE!</v>
      </c>
      <c r="AXM4" s="44" t="e">
        <f>ROUNDUP(IF(IFERROR(IF($AWX4="","",IF($AWX4=0,1,1-$AWX4/HLOOKUP(AXM$3,[2]ARBOR_REAJUSTE18!$A:$AE,VLOOKUP($AWX$2,[2]ARBOR_REAJUSTE18!$A:$B,2,0),0))),"")&lt;0.01%,0.01%,(IFERROR(IF($AWX4="","",IF($AWX4=0,1,1-$AWX4/HLOOKUP(AXM$3,[2]ARBOR_REAJUSTE18!$A:$AE,VLOOKUP($AWX$2,[2]ARBOR_REAJUSTE18!$A:$B,2,0),0))),""))),4)</f>
        <v>#VALUE!</v>
      </c>
      <c r="AXN4" s="44" t="e">
        <f>ROUNDUP(IF(IFERROR(IF($AWX4="","",IF($AWX4=0,1,1-$AWX4/HLOOKUP(AXN$3,[2]ARBOR_REAJUSTE18!$A:$AE,VLOOKUP($AWX$2,[2]ARBOR_REAJUSTE18!$A:$B,2,0),0))),"")&lt;0.01%,0.01%,(IFERROR(IF($AWX4="","",IF($AWX4=0,1,1-$AWX4/HLOOKUP(AXN$3,[2]ARBOR_REAJUSTE18!$A:$AE,VLOOKUP($AWX$2,[2]ARBOR_REAJUSTE18!$A:$B,2,0),0))),""))),4)</f>
        <v>#VALUE!</v>
      </c>
      <c r="AXO4" s="44" t="e">
        <f>ROUNDUP(IF(IFERROR(IF($AWX4="","",IF($AWX4=0,1,1-$AWX4/HLOOKUP(AXO$3,[2]ARBOR_REAJUSTE18!$A:$AE,VLOOKUP($AWX$2,[2]ARBOR_REAJUSTE18!$A:$B,2,0),0))),"")&lt;0.01%,0.01%,(IFERROR(IF($AWX4="","",IF($AWX4=0,1,1-$AWX4/HLOOKUP(AXO$3,[2]ARBOR_REAJUSTE18!$A:$AE,VLOOKUP($AWX$2,[2]ARBOR_REAJUSTE18!$A:$B,2,0),0))),""))),4)</f>
        <v>#VALUE!</v>
      </c>
      <c r="AXP4" s="44" t="e">
        <f>ROUNDUP(IF(IFERROR(IF($AWX4="","",IF($AWX4=0,1,1-$AWX4/HLOOKUP(AXP$3,[2]ARBOR_REAJUSTE18!$A:$AE,VLOOKUP($AWX$2,[2]ARBOR_REAJUSTE18!$A:$B,2,0),0))),"")&lt;0.01%,0.01%,(IFERROR(IF($AWX4="","",IF($AWX4=0,1,1-$AWX4/HLOOKUP(AXP$3,[2]ARBOR_REAJUSTE18!$A:$AE,VLOOKUP($AWX$2,[2]ARBOR_REAJUSTE18!$A:$B,2,0),0))),""))),4)</f>
        <v>#VALUE!</v>
      </c>
      <c r="AXQ4" s="44" t="e">
        <f>ROUNDUP(IF(IFERROR(IF($AWX4="","",IF($AWX4=0,1,1-$AWX4/HLOOKUP(AXQ$3,[2]ARBOR_REAJUSTE18!$A:$AE,VLOOKUP($AWX$2,[2]ARBOR_REAJUSTE18!$A:$B,2,0),0))),"")&lt;0.01%,0.01%,(IFERROR(IF($AWX4="","",IF($AWX4=0,1,1-$AWX4/HLOOKUP(AXQ$3,[2]ARBOR_REAJUSTE18!$A:$AE,VLOOKUP($AWX$2,[2]ARBOR_REAJUSTE18!$A:$B,2,0),0))),""))),4)</f>
        <v>#VALUE!</v>
      </c>
      <c r="AXR4" s="44" t="e">
        <f>ROUNDUP(IF(IFERROR(IF($AWX4="","",IF($AWX4=0,1,1-$AWX4/HLOOKUP(AXR$3,[2]ARBOR_REAJUSTE18!$A:$AE,VLOOKUP($AWX$2,[2]ARBOR_REAJUSTE18!$A:$B,2,0),0))),"")&lt;0.01%,0.01%,(IFERROR(IF($AWX4="","",IF($AWX4=0,1,1-$AWX4/HLOOKUP(AXR$3,[2]ARBOR_REAJUSTE18!$A:$AE,VLOOKUP($AWX$2,[2]ARBOR_REAJUSTE18!$A:$B,2,0),0))),""))),4)</f>
        <v>#VALUE!</v>
      </c>
      <c r="AXS4" s="44" t="e">
        <f>ROUNDUP(IF(IFERROR(IF($AWX4="","",IF($AWX4=0,1,1-$AWX4/HLOOKUP(AXS$3,[2]ARBOR_REAJUSTE18!$A:$AE,VLOOKUP($AWX$2,[2]ARBOR_REAJUSTE18!$A:$B,2,0),0))),"")&lt;0.01%,0.01%,(IFERROR(IF($AWX4="","",IF($AWX4=0,1,1-$AWX4/HLOOKUP(AXS$3,[2]ARBOR_REAJUSTE18!$A:$AE,VLOOKUP($AWX$2,[2]ARBOR_REAJUSTE18!$A:$B,2,0),0))),""))),4)</f>
        <v>#VALUE!</v>
      </c>
      <c r="AXT4" s="44" t="e">
        <f>ROUNDUP(IF(IFERROR(IF($AWX4="","",IF($AWX4=0,1,1-$AWX4/HLOOKUP(AXT$3,[2]ARBOR_REAJUSTE18!$A:$AE,VLOOKUP($AWX$2,[2]ARBOR_REAJUSTE18!$A:$B,2,0),0))),"")&lt;0.01%,0.01%,(IFERROR(IF($AWX4="","",IF($AWX4=0,1,1-$AWX4/HLOOKUP(AXT$3,[2]ARBOR_REAJUSTE18!$A:$AE,VLOOKUP($AWX$2,[2]ARBOR_REAJUSTE18!$A:$B,2,0),0))),""))),4)</f>
        <v>#VALUE!</v>
      </c>
      <c r="AXU4" s="44" t="e">
        <f>ROUNDUP(IF(IFERROR(IF($AWX4="","",IF($AWX4=0,1,1-$AWX4/HLOOKUP(AXU$3,[2]ARBOR_REAJUSTE18!$A:$AE,VLOOKUP($AWX$2,[2]ARBOR_REAJUSTE18!$A:$B,2,0),0))),"")&lt;0.01%,0.01%,(IFERROR(IF($AWX4="","",IF($AWX4=0,1,1-$AWX4/HLOOKUP(AXU$3,[2]ARBOR_REAJUSTE18!$A:$AE,VLOOKUP($AWX$2,[2]ARBOR_REAJUSTE18!$A:$B,2,0),0))),""))),4)</f>
        <v>#VALUE!</v>
      </c>
      <c r="AXV4" s="44" t="e">
        <f>ROUNDUP(IF(IFERROR(IF($AWX4="","",IF($AWX4=0,1,1-$AWX4/HLOOKUP(AXV$3,[2]ARBOR_REAJUSTE18!$A:$AE,VLOOKUP($AWX$2,[2]ARBOR_REAJUSTE18!$A:$B,2,0),0))),"")&lt;0.01%,0.01%,(IFERROR(IF($AWX4="","",IF($AWX4=0,1,1-$AWX4/HLOOKUP(AXV$3,[2]ARBOR_REAJUSTE18!$A:$AE,VLOOKUP($AWX$2,[2]ARBOR_REAJUSTE18!$A:$B,2,0),0))),""))),4)</f>
        <v>#VALUE!</v>
      </c>
      <c r="AXW4" s="44" t="e">
        <f>ROUNDUP(IF(IFERROR(IF($AWX4="","",IF($AWX4=0,1,1-$AWX4/HLOOKUP(AXW$3,[2]ARBOR_REAJUSTE18!$A:$AE,VLOOKUP($AWX$2,[2]ARBOR_REAJUSTE18!$A:$B,2,0),0))),"")&lt;0.01%,0.01%,(IFERROR(IF($AWX4="","",IF($AWX4=0,1,1-$AWX4/HLOOKUP(AXW$3,[2]ARBOR_REAJUSTE18!$A:$AE,VLOOKUP($AWX$2,[2]ARBOR_REAJUSTE18!$A:$B,2,0),0))),""))),4)</f>
        <v>#VALUE!</v>
      </c>
      <c r="AXX4" s="44" t="e">
        <f>ROUNDUP(IF(IFERROR(IF($AWX4="","",IF($AWX4=0,1,1-$AWX4/HLOOKUP(AXX$3,[2]ARBOR_REAJUSTE18!$A:$AE,VLOOKUP($AWX$2,[2]ARBOR_REAJUSTE18!$A:$B,2,0),0))),"")&lt;0.01%,0.01%,(IFERROR(IF($AWX4="","",IF($AWX4=0,1,1-$AWX4/HLOOKUP(AXX$3,[2]ARBOR_REAJUSTE18!$A:$AE,VLOOKUP($AWX$2,[2]ARBOR_REAJUSTE18!$A:$B,2,0),0))),""))),4)</f>
        <v>#VALUE!</v>
      </c>
      <c r="AXY4" s="44" t="e">
        <f>ROUNDUP(IF(IFERROR(IF($AWX4="","",IF($AWX4=0,1,1-$AWX4/HLOOKUP(AXY$3,[2]ARBOR_REAJUSTE18!$A:$AE,VLOOKUP($AWX$2,[2]ARBOR_REAJUSTE18!$A:$B,2,0),0))),"")&lt;0.01%,0.01%,(IFERROR(IF($AWX4="","",IF($AWX4=0,1,1-$AWX4/HLOOKUP(AXY$3,[2]ARBOR_REAJUSTE18!$A:$AE,VLOOKUP($AWX$2,[2]ARBOR_REAJUSTE18!$A:$B,2,0),0))),""))),4)</f>
        <v>#VALUE!</v>
      </c>
      <c r="AXZ4" s="44" t="e">
        <f>ROUNDUP(IF(IFERROR(IF($AWX4="","",IF($AWX4=0,1,1-$AWX4/HLOOKUP(AXZ$3,[2]ARBOR_REAJUSTE18!$A:$AE,VLOOKUP($AWX$2,[2]ARBOR_REAJUSTE18!$A:$B,2,0),0))),"")&lt;0.01%,0.01%,(IFERROR(IF($AWX4="","",IF($AWX4=0,1,1-$AWX4/HLOOKUP(AXZ$3,[2]ARBOR_REAJUSTE18!$A:$AE,VLOOKUP($AWX$2,[2]ARBOR_REAJUSTE18!$A:$B,2,0),0))),""))),4)</f>
        <v>#VALUE!</v>
      </c>
      <c r="AYA4" s="56"/>
      <c r="AYB4" s="64"/>
      <c r="AYC4" s="44" t="e">
        <f>ROUNDUP(IF(IFERROR(IF($AYA4="","",IF($AYA4=0,1,1-$AYA4/HLOOKUP(AYC$3,[2]ARBOR_REAJUSTE18!$A:$AE,VLOOKUP($AYA$2,[2]ARBOR_REAJUSTE18!$A:$B,2,0),0))),"")&lt;0.01%,0.01%,(IFERROR(IF($AYA4="","",IF($AYA4=0,1,1-$AYA4/HLOOKUP(AYC$3,[2]ARBOR_REAJUSTE18!$A:$AE,VLOOKUP($AYA$2,[2]ARBOR_REAJUSTE18!$A:$B,2,0),0))),""))),4)</f>
        <v>#VALUE!</v>
      </c>
      <c r="AYD4" s="44" t="e">
        <f>ROUNDUP(IF(IFERROR(IF($AYA4="","",IF($AYA4=0,1,1-$AYA4/HLOOKUP(AYD$3,[2]ARBOR_REAJUSTE18!$A:$AE,VLOOKUP($AYA$2,[2]ARBOR_REAJUSTE18!$A:$B,2,0),0))),"")&lt;0.01%,0.01%,(IFERROR(IF($AYA4="","",IF($AYA4=0,1,1-$AYA4/HLOOKUP(AYD$3,[2]ARBOR_REAJUSTE18!$A:$AE,VLOOKUP($AYA$2,[2]ARBOR_REAJUSTE18!$A:$B,2,0),0))),""))),4)</f>
        <v>#VALUE!</v>
      </c>
      <c r="AYE4" s="44" t="e">
        <f>ROUNDUP(IF(IFERROR(IF($AYA4="","",IF($AYA4=0,1,1-$AYA4/HLOOKUP(AYE$3,[2]ARBOR_REAJUSTE18!$A:$AE,VLOOKUP($AYA$2,[2]ARBOR_REAJUSTE18!$A:$B,2,0),0))),"")&lt;0.01%,0.01%,(IFERROR(IF($AYA4="","",IF($AYA4=0,1,1-$AYA4/HLOOKUP(AYE$3,[2]ARBOR_REAJUSTE18!$A:$AE,VLOOKUP($AYA$2,[2]ARBOR_REAJUSTE18!$A:$B,2,0),0))),""))),4)</f>
        <v>#VALUE!</v>
      </c>
      <c r="AYF4" s="44" t="e">
        <f>ROUNDUP(IF(IFERROR(IF($AYA4="","",IF($AYA4=0,1,1-$AYA4/HLOOKUP(AYF$3,[2]ARBOR_REAJUSTE18!$A:$AE,VLOOKUP($AYA$2,[2]ARBOR_REAJUSTE18!$A:$B,2,0),0))),"")&lt;0.01%,0.01%,(IFERROR(IF($AYA4="","",IF($AYA4=0,1,1-$AYA4/HLOOKUP(AYF$3,[2]ARBOR_REAJUSTE18!$A:$AE,VLOOKUP($AYA$2,[2]ARBOR_REAJUSTE18!$A:$B,2,0),0))),""))),4)</f>
        <v>#VALUE!</v>
      </c>
      <c r="AYG4" s="44" t="e">
        <f>ROUNDUP(IF(IFERROR(IF($AYA4="","",IF($AYA4=0,1,1-$AYA4/HLOOKUP(AYG$3,[2]ARBOR_REAJUSTE18!$A:$AE,VLOOKUP($AYA$2,[2]ARBOR_REAJUSTE18!$A:$B,2,0),0))),"")&lt;0.01%,0.01%,(IFERROR(IF($AYA4="","",IF($AYA4=0,1,1-$AYA4/HLOOKUP(AYG$3,[2]ARBOR_REAJUSTE18!$A:$AE,VLOOKUP($AYA$2,[2]ARBOR_REAJUSTE18!$A:$B,2,0),0))),""))),4)</f>
        <v>#VALUE!</v>
      </c>
      <c r="AYH4" s="44" t="e">
        <f>ROUNDUP(IF(IFERROR(IF($AYA4="","",IF($AYA4=0,1,1-$AYA4/HLOOKUP(AYH$3,[2]ARBOR_REAJUSTE18!$A:$AE,VLOOKUP($AYA$2,[2]ARBOR_REAJUSTE18!$A:$B,2,0),0))),"")&lt;0.01%,0.01%,(IFERROR(IF($AYA4="","",IF($AYA4=0,1,1-$AYA4/HLOOKUP(AYH$3,[2]ARBOR_REAJUSTE18!$A:$AE,VLOOKUP($AYA$2,[2]ARBOR_REAJUSTE18!$A:$B,2,0),0))),""))),4)</f>
        <v>#VALUE!</v>
      </c>
      <c r="AYI4" s="44" t="e">
        <f>ROUNDUP(IF(IFERROR(IF($AYA4="","",IF($AYA4=0,1,1-$AYA4/HLOOKUP(AYI$3,[2]ARBOR_REAJUSTE18!$A:$AE,VLOOKUP($AYA$2,[2]ARBOR_REAJUSTE18!$A:$B,2,0),0))),"")&lt;0.01%,0.01%,(IFERROR(IF($AYA4="","",IF($AYA4=0,1,1-$AYA4/HLOOKUP(AYI$3,[2]ARBOR_REAJUSTE18!$A:$AE,VLOOKUP($AYA$2,[2]ARBOR_REAJUSTE18!$A:$B,2,0),0))),""))),4)</f>
        <v>#VALUE!</v>
      </c>
      <c r="AYJ4" s="44" t="e">
        <f>ROUNDUP(IF(IFERROR(IF($AYA4="","",IF($AYA4=0,1,1-$AYA4/HLOOKUP(AYJ$3,[2]ARBOR_REAJUSTE18!$A:$AE,VLOOKUP($AYA$2,[2]ARBOR_REAJUSTE18!$A:$B,2,0),0))),"")&lt;0.01%,0.01%,(IFERROR(IF($AYA4="","",IF($AYA4=0,1,1-$AYA4/HLOOKUP(AYJ$3,[2]ARBOR_REAJUSTE18!$A:$AE,VLOOKUP($AYA$2,[2]ARBOR_REAJUSTE18!$A:$B,2,0),0))),""))),4)</f>
        <v>#VALUE!</v>
      </c>
      <c r="AYK4" s="44" t="e">
        <f>ROUNDUP(IF(IFERROR(IF($AYA4="","",IF($AYA4=0,1,1-$AYA4/HLOOKUP(AYK$3,[2]ARBOR_REAJUSTE18!$A:$AE,VLOOKUP($AYA$2,[2]ARBOR_REAJUSTE18!$A:$B,2,0),0))),"")&lt;0.01%,0.01%,(IFERROR(IF($AYA4="","",IF($AYA4=0,1,1-$AYA4/HLOOKUP(AYK$3,[2]ARBOR_REAJUSTE18!$A:$AE,VLOOKUP($AYA$2,[2]ARBOR_REAJUSTE18!$A:$B,2,0),0))),""))),4)</f>
        <v>#VALUE!</v>
      </c>
      <c r="AYL4" s="44" t="e">
        <f>ROUNDUP(IF(IFERROR(IF($AYA4="","",IF($AYA4=0,1,1-$AYA4/HLOOKUP(AYL$3,[2]ARBOR_REAJUSTE18!$A:$AE,VLOOKUP($AYA$2,[2]ARBOR_REAJUSTE18!$A:$B,2,0),0))),"")&lt;0.01%,0.01%,(IFERROR(IF($AYA4="","",IF($AYA4=0,1,1-$AYA4/HLOOKUP(AYL$3,[2]ARBOR_REAJUSTE18!$A:$AE,VLOOKUP($AYA$2,[2]ARBOR_REAJUSTE18!$A:$B,2,0),0))),""))),4)</f>
        <v>#VALUE!</v>
      </c>
      <c r="AYM4" s="44" t="e">
        <f>ROUNDUP(IF(IFERROR(IF($AYA4="","",IF($AYA4=0,1,1-$AYA4/HLOOKUP(AYM$3,[2]ARBOR_REAJUSTE18!$A:$AE,VLOOKUP($AYA$2,[2]ARBOR_REAJUSTE18!$A:$B,2,0),0))),"")&lt;0.01%,0.01%,(IFERROR(IF($AYA4="","",IF($AYA4=0,1,1-$AYA4/HLOOKUP(AYM$3,[2]ARBOR_REAJUSTE18!$A:$AE,VLOOKUP($AYA$2,[2]ARBOR_REAJUSTE18!$A:$B,2,0),0))),""))),4)</f>
        <v>#VALUE!</v>
      </c>
      <c r="AYN4" s="44" t="e">
        <f>ROUNDUP(IF(IFERROR(IF($AYA4="","",IF($AYA4=0,1,1-$AYA4/HLOOKUP(AYN$3,[2]ARBOR_REAJUSTE18!$A:$AE,VLOOKUP($AYA$2,[2]ARBOR_REAJUSTE18!$A:$B,2,0),0))),"")&lt;0.01%,0.01%,(IFERROR(IF($AYA4="","",IF($AYA4=0,1,1-$AYA4/HLOOKUP(AYN$3,[2]ARBOR_REAJUSTE18!$A:$AE,VLOOKUP($AYA$2,[2]ARBOR_REAJUSTE18!$A:$B,2,0),0))),""))),4)</f>
        <v>#VALUE!</v>
      </c>
      <c r="AYO4" s="44" t="e">
        <f>ROUNDUP(IF(IFERROR(IF($AYA4="","",IF($AYA4=0,1,1-$AYA4/HLOOKUP(AYO$3,[2]ARBOR_REAJUSTE18!$A:$AE,VLOOKUP($AYA$2,[2]ARBOR_REAJUSTE18!$A:$B,2,0),0))),"")&lt;0.01%,0.01%,(IFERROR(IF($AYA4="","",IF($AYA4=0,1,1-$AYA4/HLOOKUP(AYO$3,[2]ARBOR_REAJUSTE18!$A:$AE,VLOOKUP($AYA$2,[2]ARBOR_REAJUSTE18!$A:$B,2,0),0))),""))),4)</f>
        <v>#VALUE!</v>
      </c>
      <c r="AYP4" s="44" t="e">
        <f>ROUNDUP(IF(IFERROR(IF($AYA4="","",IF($AYA4=0,1,1-$AYA4/HLOOKUP(AYP$3,[2]ARBOR_REAJUSTE18!$A:$AE,VLOOKUP($AYA$2,[2]ARBOR_REAJUSTE18!$A:$B,2,0),0))),"")&lt;0.01%,0.01%,(IFERROR(IF($AYA4="","",IF($AYA4=0,1,1-$AYA4/HLOOKUP(AYP$3,[2]ARBOR_REAJUSTE18!$A:$AE,VLOOKUP($AYA$2,[2]ARBOR_REAJUSTE18!$A:$B,2,0),0))),""))),4)</f>
        <v>#VALUE!</v>
      </c>
      <c r="AYQ4" s="44" t="e">
        <f>ROUNDUP(IF(IFERROR(IF($AYA4="","",IF($AYA4=0,1,1-$AYA4/HLOOKUP(AYQ$3,[2]ARBOR_REAJUSTE18!$A:$AE,VLOOKUP($AYA$2,[2]ARBOR_REAJUSTE18!$A:$B,2,0),0))),"")&lt;0.01%,0.01%,(IFERROR(IF($AYA4="","",IF($AYA4=0,1,1-$AYA4/HLOOKUP(AYQ$3,[2]ARBOR_REAJUSTE18!$A:$AE,VLOOKUP($AYA$2,[2]ARBOR_REAJUSTE18!$A:$B,2,0),0))),""))),4)</f>
        <v>#VALUE!</v>
      </c>
      <c r="AYR4" s="44" t="e">
        <f>ROUNDUP(IF(IFERROR(IF($AYA4="","",IF($AYA4=0,1,1-$AYA4/HLOOKUP(AYR$3,[2]ARBOR_REAJUSTE18!$A:$AE,VLOOKUP($AYA$2,[2]ARBOR_REAJUSTE18!$A:$B,2,0),0))),"")&lt;0.01%,0.01%,(IFERROR(IF($AYA4="","",IF($AYA4=0,1,1-$AYA4/HLOOKUP(AYR$3,[2]ARBOR_REAJUSTE18!$A:$AE,VLOOKUP($AYA$2,[2]ARBOR_REAJUSTE18!$A:$B,2,0),0))),""))),4)</f>
        <v>#VALUE!</v>
      </c>
      <c r="AYS4" s="44" t="e">
        <f>ROUNDUP(IF(IFERROR(IF($AYA4="","",IF($AYA4=0,1,1-$AYA4/HLOOKUP(AYS$3,[2]ARBOR_REAJUSTE18!$A:$AE,VLOOKUP($AYA$2,[2]ARBOR_REAJUSTE18!$A:$B,2,0),0))),"")&lt;0.01%,0.01%,(IFERROR(IF($AYA4="","",IF($AYA4=0,1,1-$AYA4/HLOOKUP(AYS$3,[2]ARBOR_REAJUSTE18!$A:$AE,VLOOKUP($AYA$2,[2]ARBOR_REAJUSTE18!$A:$B,2,0),0))),""))),4)</f>
        <v>#VALUE!</v>
      </c>
      <c r="AYT4" s="44" t="e">
        <f>ROUNDUP(IF(IFERROR(IF($AYA4="","",IF($AYA4=0,1,1-$AYA4/HLOOKUP(AYT$3,[2]ARBOR_REAJUSTE18!$A:$AE,VLOOKUP($AYA$2,[2]ARBOR_REAJUSTE18!$A:$B,2,0),0))),"")&lt;0.01%,0.01%,(IFERROR(IF($AYA4="","",IF($AYA4=0,1,1-$AYA4/HLOOKUP(AYT$3,[2]ARBOR_REAJUSTE18!$A:$AE,VLOOKUP($AYA$2,[2]ARBOR_REAJUSTE18!$A:$B,2,0),0))),""))),4)</f>
        <v>#VALUE!</v>
      </c>
      <c r="AYU4" s="44" t="e">
        <f>ROUNDUP(IF(IFERROR(IF($AYA4="","",IF($AYA4=0,1,1-$AYA4/HLOOKUP(AYU$3,[2]ARBOR_REAJUSTE18!$A:$AE,VLOOKUP($AYA$2,[2]ARBOR_REAJUSTE18!$A:$B,2,0),0))),"")&lt;0.01%,0.01%,(IFERROR(IF($AYA4="","",IF($AYA4=0,1,1-$AYA4/HLOOKUP(AYU$3,[2]ARBOR_REAJUSTE18!$A:$AE,VLOOKUP($AYA$2,[2]ARBOR_REAJUSTE18!$A:$B,2,0),0))),""))),4)</f>
        <v>#VALUE!</v>
      </c>
      <c r="AYV4" s="44" t="e">
        <f>ROUNDUP(IF(IFERROR(IF($AYA4="","",IF($AYA4=0,1,1-$AYA4/HLOOKUP(AYV$3,[2]ARBOR_REAJUSTE18!$A:$AE,VLOOKUP($AYA$2,[2]ARBOR_REAJUSTE18!$A:$B,2,0),0))),"")&lt;0.01%,0.01%,(IFERROR(IF($AYA4="","",IF($AYA4=0,1,1-$AYA4/HLOOKUP(AYV$3,[2]ARBOR_REAJUSTE18!$A:$AE,VLOOKUP($AYA$2,[2]ARBOR_REAJUSTE18!$A:$B,2,0),0))),""))),4)</f>
        <v>#VALUE!</v>
      </c>
      <c r="AYW4" s="44" t="e">
        <f>ROUNDUP(IF(IFERROR(IF($AYA4="","",IF($AYA4=0,1,1-$AYA4/HLOOKUP(AYW$3,[2]ARBOR_REAJUSTE18!$A:$AE,VLOOKUP($AYA$2,[2]ARBOR_REAJUSTE18!$A:$B,2,0),0))),"")&lt;0.01%,0.01%,(IFERROR(IF($AYA4="","",IF($AYA4=0,1,1-$AYA4/HLOOKUP(AYW$3,[2]ARBOR_REAJUSTE18!$A:$AE,VLOOKUP($AYA$2,[2]ARBOR_REAJUSTE18!$A:$B,2,0),0))),""))),4)</f>
        <v>#VALUE!</v>
      </c>
      <c r="AYX4" s="44" t="e">
        <f>ROUNDUP(IF(IFERROR(IF($AYA4="","",IF($AYA4=0,1,1-$AYA4/HLOOKUP(AYX$3,[2]ARBOR_REAJUSTE18!$A:$AE,VLOOKUP($AYA$2,[2]ARBOR_REAJUSTE18!$A:$B,2,0),0))),"")&lt;0.01%,0.01%,(IFERROR(IF($AYA4="","",IF($AYA4=0,1,1-$AYA4/HLOOKUP(AYX$3,[2]ARBOR_REAJUSTE18!$A:$AE,VLOOKUP($AYA$2,[2]ARBOR_REAJUSTE18!$A:$B,2,0),0))),""))),4)</f>
        <v>#VALUE!</v>
      </c>
      <c r="AYY4" s="44" t="e">
        <f>ROUNDUP(IF(IFERROR(IF($AYA4="","",IF($AYA4=0,1,1-$AYA4/HLOOKUP(AYY$3,[2]ARBOR_REAJUSTE18!$A:$AE,VLOOKUP($AYA$2,[2]ARBOR_REAJUSTE18!$A:$B,2,0),0))),"")&lt;0.01%,0.01%,(IFERROR(IF($AYA4="","",IF($AYA4=0,1,1-$AYA4/HLOOKUP(AYY$3,[2]ARBOR_REAJUSTE18!$A:$AE,VLOOKUP($AYA$2,[2]ARBOR_REAJUSTE18!$A:$B,2,0),0))),""))),4)</f>
        <v>#VALUE!</v>
      </c>
      <c r="AYZ4" s="44" t="e">
        <f>ROUNDUP(IF(IFERROR(IF($AYA4="","",IF($AYA4=0,1,1-$AYA4/HLOOKUP(AYZ$3,[2]ARBOR_REAJUSTE18!$A:$AE,VLOOKUP($AYA$2,[2]ARBOR_REAJUSTE18!$A:$B,2,0),0))),"")&lt;0.01%,0.01%,(IFERROR(IF($AYA4="","",IF($AYA4=0,1,1-$AYA4/HLOOKUP(AYZ$3,[2]ARBOR_REAJUSTE18!$A:$AE,VLOOKUP($AYA$2,[2]ARBOR_REAJUSTE18!$A:$B,2,0),0))),""))),4)</f>
        <v>#VALUE!</v>
      </c>
      <c r="AZA4" s="44" t="e">
        <f>ROUNDUP(IF(IFERROR(IF($AYA4="","",IF($AYA4=0,1,1-$AYA4/HLOOKUP(AZA$3,[2]ARBOR_REAJUSTE18!$A:$AE,VLOOKUP($AYA$2,[2]ARBOR_REAJUSTE18!$A:$B,2,0),0))),"")&lt;0.01%,0.01%,(IFERROR(IF($AYA4="","",IF($AYA4=0,1,1-$AYA4/HLOOKUP(AZA$3,[2]ARBOR_REAJUSTE18!$A:$AE,VLOOKUP($AYA$2,[2]ARBOR_REAJUSTE18!$A:$B,2,0),0))),""))),4)</f>
        <v>#VALUE!</v>
      </c>
      <c r="AZB4" s="44" t="e">
        <f>ROUNDUP(IF(IFERROR(IF($AYA4="","",IF($AYA4=0,1,1-$AYA4/HLOOKUP(AZB$3,[2]ARBOR_REAJUSTE18!$A:$AE,VLOOKUP($AYA$2,[2]ARBOR_REAJUSTE18!$A:$B,2,0),0))),"")&lt;0.01%,0.01%,(IFERROR(IF($AYA4="","",IF($AYA4=0,1,1-$AYA4/HLOOKUP(AZB$3,[2]ARBOR_REAJUSTE18!$A:$AE,VLOOKUP($AYA$2,[2]ARBOR_REAJUSTE18!$A:$B,2,0),0))),""))),4)</f>
        <v>#VALUE!</v>
      </c>
      <c r="AZC4" s="44" t="e">
        <f>ROUNDUP(IF(IFERROR(IF($AYA4="","",IF($AYA4=0,1,1-$AYA4/HLOOKUP(AZC$3,[2]ARBOR_REAJUSTE18!$A:$AE,VLOOKUP($AYA$2,[2]ARBOR_REAJUSTE18!$A:$B,2,0),0))),"")&lt;0.01%,0.01%,(IFERROR(IF($AYA4="","",IF($AYA4=0,1,1-$AYA4/HLOOKUP(AZC$3,[2]ARBOR_REAJUSTE18!$A:$AE,VLOOKUP($AYA$2,[2]ARBOR_REAJUSTE18!$A:$B,2,0),0))),""))),4)</f>
        <v>#VALUE!</v>
      </c>
      <c r="AZD4" s="56"/>
      <c r="AZE4" s="64"/>
      <c r="AZF4" s="44" t="e">
        <f>ROUNDUP(IF(IFERROR(IF($AZD4="","",IF($AZD4=0,1,1-$AZD4/HLOOKUP(AZF$3,[2]ARBOR_REAJUSTE18!$A:$AE,VLOOKUP($AZD$2,[2]ARBOR_REAJUSTE18!$A:$B,2,0),0))),"")&lt;0.01%,0.01%,(IFERROR(IF($AZD4="","",IF($AZD4=0,1,1-$AZD4/HLOOKUP(AZF$3,[2]ARBOR_REAJUSTE18!$A:$AE,VLOOKUP($AZD$2,[2]ARBOR_REAJUSTE18!$A:$B,2,0),0))),""))),4)</f>
        <v>#VALUE!</v>
      </c>
      <c r="AZG4" s="44" t="e">
        <f>ROUNDUP(IF(IFERROR(IF($AZD4="","",IF($AZD4=0,1,1-$AZD4/HLOOKUP(AZG$3,[2]ARBOR_REAJUSTE18!$A:$AE,VLOOKUP($AZD$2,[2]ARBOR_REAJUSTE18!$A:$B,2,0),0))),"")&lt;0.01%,0.01%,(IFERROR(IF($AZD4="","",IF($AZD4=0,1,1-$AZD4/HLOOKUP(AZG$3,[2]ARBOR_REAJUSTE18!$A:$AE,VLOOKUP($AZD$2,[2]ARBOR_REAJUSTE18!$A:$B,2,0),0))),""))),4)</f>
        <v>#VALUE!</v>
      </c>
      <c r="AZH4" s="44" t="e">
        <f>ROUNDUP(IF(IFERROR(IF($AZD4="","",IF($AZD4=0,1,1-$AZD4/HLOOKUP(AZH$3,[2]ARBOR_REAJUSTE18!$A:$AE,VLOOKUP($AZD$2,[2]ARBOR_REAJUSTE18!$A:$B,2,0),0))),"")&lt;0.01%,0.01%,(IFERROR(IF($AZD4="","",IF($AZD4=0,1,1-$AZD4/HLOOKUP(AZH$3,[2]ARBOR_REAJUSTE18!$A:$AE,VLOOKUP($AZD$2,[2]ARBOR_REAJUSTE18!$A:$B,2,0),0))),""))),4)</f>
        <v>#VALUE!</v>
      </c>
      <c r="AZI4" s="44" t="e">
        <f>ROUNDUP(IF(IFERROR(IF($AZD4="","",IF($AZD4=0,1,1-$AZD4/HLOOKUP(AZI$3,[2]ARBOR_REAJUSTE18!$A:$AE,VLOOKUP($AZD$2,[2]ARBOR_REAJUSTE18!$A:$B,2,0),0))),"")&lt;0.01%,0.01%,(IFERROR(IF($AZD4="","",IF($AZD4=0,1,1-$AZD4/HLOOKUP(AZI$3,[2]ARBOR_REAJUSTE18!$A:$AE,VLOOKUP($AZD$2,[2]ARBOR_REAJUSTE18!$A:$B,2,0),0))),""))),4)</f>
        <v>#VALUE!</v>
      </c>
      <c r="AZJ4" s="44" t="e">
        <f>ROUNDUP(IF(IFERROR(IF($AZD4="","",IF($AZD4=0,1,1-$AZD4/HLOOKUP(AZJ$3,[2]ARBOR_REAJUSTE18!$A:$AE,VLOOKUP($AZD$2,[2]ARBOR_REAJUSTE18!$A:$B,2,0),0))),"")&lt;0.01%,0.01%,(IFERROR(IF($AZD4="","",IF($AZD4=0,1,1-$AZD4/HLOOKUP(AZJ$3,[2]ARBOR_REAJUSTE18!$A:$AE,VLOOKUP($AZD$2,[2]ARBOR_REAJUSTE18!$A:$B,2,0),0))),""))),4)</f>
        <v>#VALUE!</v>
      </c>
      <c r="AZK4" s="44" t="e">
        <f>ROUNDUP(IF(IFERROR(IF($AZD4="","",IF($AZD4=0,1,1-$AZD4/HLOOKUP(AZK$3,[2]ARBOR_REAJUSTE18!$A:$AE,VLOOKUP($AZD$2,[2]ARBOR_REAJUSTE18!$A:$B,2,0),0))),"")&lt;0.01%,0.01%,(IFERROR(IF($AZD4="","",IF($AZD4=0,1,1-$AZD4/HLOOKUP(AZK$3,[2]ARBOR_REAJUSTE18!$A:$AE,VLOOKUP($AZD$2,[2]ARBOR_REAJUSTE18!$A:$B,2,0),0))),""))),4)</f>
        <v>#VALUE!</v>
      </c>
      <c r="AZL4" s="44" t="e">
        <f>ROUNDUP(IF(IFERROR(IF($AZD4="","",IF($AZD4=0,1,1-$AZD4/HLOOKUP(AZL$3,[2]ARBOR_REAJUSTE18!$A:$AE,VLOOKUP($AZD$2,[2]ARBOR_REAJUSTE18!$A:$B,2,0),0))),"")&lt;0.01%,0.01%,(IFERROR(IF($AZD4="","",IF($AZD4=0,1,1-$AZD4/HLOOKUP(AZL$3,[2]ARBOR_REAJUSTE18!$A:$AE,VLOOKUP($AZD$2,[2]ARBOR_REAJUSTE18!$A:$B,2,0),0))),""))),4)</f>
        <v>#VALUE!</v>
      </c>
      <c r="AZM4" s="44" t="e">
        <f>ROUNDUP(IF(IFERROR(IF($AZD4="","",IF($AZD4=0,1,1-$AZD4/HLOOKUP(AZM$3,[2]ARBOR_REAJUSTE18!$A:$AE,VLOOKUP($AZD$2,[2]ARBOR_REAJUSTE18!$A:$B,2,0),0))),"")&lt;0.01%,0.01%,(IFERROR(IF($AZD4="","",IF($AZD4=0,1,1-$AZD4/HLOOKUP(AZM$3,[2]ARBOR_REAJUSTE18!$A:$AE,VLOOKUP($AZD$2,[2]ARBOR_REAJUSTE18!$A:$B,2,0),0))),""))),4)</f>
        <v>#VALUE!</v>
      </c>
      <c r="AZN4" s="44" t="e">
        <f>ROUNDUP(IF(IFERROR(IF($AZD4="","",IF($AZD4=0,1,1-$AZD4/HLOOKUP(AZN$3,[2]ARBOR_REAJUSTE18!$A:$AE,VLOOKUP($AZD$2,[2]ARBOR_REAJUSTE18!$A:$B,2,0),0))),"")&lt;0.01%,0.01%,(IFERROR(IF($AZD4="","",IF($AZD4=0,1,1-$AZD4/HLOOKUP(AZN$3,[2]ARBOR_REAJUSTE18!$A:$AE,VLOOKUP($AZD$2,[2]ARBOR_REAJUSTE18!$A:$B,2,0),0))),""))),4)</f>
        <v>#VALUE!</v>
      </c>
      <c r="AZO4" s="44" t="e">
        <f>ROUNDUP(IF(IFERROR(IF($AZD4="","",IF($AZD4=0,1,1-$AZD4/HLOOKUP(AZO$3,[2]ARBOR_REAJUSTE18!$A:$AE,VLOOKUP($AZD$2,[2]ARBOR_REAJUSTE18!$A:$B,2,0),0))),"")&lt;0.01%,0.01%,(IFERROR(IF($AZD4="","",IF($AZD4=0,1,1-$AZD4/HLOOKUP(AZO$3,[2]ARBOR_REAJUSTE18!$A:$AE,VLOOKUP($AZD$2,[2]ARBOR_REAJUSTE18!$A:$B,2,0),0))),""))),4)</f>
        <v>#VALUE!</v>
      </c>
      <c r="AZP4" s="44" t="e">
        <f>ROUNDUP(IF(IFERROR(IF($AZD4="","",IF($AZD4=0,1,1-$AZD4/HLOOKUP(AZP$3,[2]ARBOR_REAJUSTE18!$A:$AE,VLOOKUP($AZD$2,[2]ARBOR_REAJUSTE18!$A:$B,2,0),0))),"")&lt;0.01%,0.01%,(IFERROR(IF($AZD4="","",IF($AZD4=0,1,1-$AZD4/HLOOKUP(AZP$3,[2]ARBOR_REAJUSTE18!$A:$AE,VLOOKUP($AZD$2,[2]ARBOR_REAJUSTE18!$A:$B,2,0),0))),""))),4)</f>
        <v>#VALUE!</v>
      </c>
      <c r="AZQ4" s="44" t="e">
        <f>ROUNDUP(IF(IFERROR(IF($AZD4="","",IF($AZD4=0,1,1-$AZD4/HLOOKUP(AZQ$3,[2]ARBOR_REAJUSTE18!$A:$AE,VLOOKUP($AZD$2,[2]ARBOR_REAJUSTE18!$A:$B,2,0),0))),"")&lt;0.01%,0.01%,(IFERROR(IF($AZD4="","",IF($AZD4=0,1,1-$AZD4/HLOOKUP(AZQ$3,[2]ARBOR_REAJUSTE18!$A:$AE,VLOOKUP($AZD$2,[2]ARBOR_REAJUSTE18!$A:$B,2,0),0))),""))),4)</f>
        <v>#VALUE!</v>
      </c>
      <c r="AZR4" s="44" t="e">
        <f>ROUNDUP(IF(IFERROR(IF($AZD4="","",IF($AZD4=0,1,1-$AZD4/HLOOKUP(AZR$3,[2]ARBOR_REAJUSTE18!$A:$AE,VLOOKUP($AZD$2,[2]ARBOR_REAJUSTE18!$A:$B,2,0),0))),"")&lt;0.01%,0.01%,(IFERROR(IF($AZD4="","",IF($AZD4=0,1,1-$AZD4/HLOOKUP(AZR$3,[2]ARBOR_REAJUSTE18!$A:$AE,VLOOKUP($AZD$2,[2]ARBOR_REAJUSTE18!$A:$B,2,0),0))),""))),4)</f>
        <v>#VALUE!</v>
      </c>
      <c r="AZS4" s="44" t="e">
        <f>ROUNDUP(IF(IFERROR(IF($AZD4="","",IF($AZD4=0,1,1-$AZD4/HLOOKUP(AZS$3,[2]ARBOR_REAJUSTE18!$A:$AE,VLOOKUP($AZD$2,[2]ARBOR_REAJUSTE18!$A:$B,2,0),0))),"")&lt;0.01%,0.01%,(IFERROR(IF($AZD4="","",IF($AZD4=0,1,1-$AZD4/HLOOKUP(AZS$3,[2]ARBOR_REAJUSTE18!$A:$AE,VLOOKUP($AZD$2,[2]ARBOR_REAJUSTE18!$A:$B,2,0),0))),""))),4)</f>
        <v>#VALUE!</v>
      </c>
      <c r="AZT4" s="44" t="e">
        <f>ROUNDUP(IF(IFERROR(IF($AZD4="","",IF($AZD4=0,1,1-$AZD4/HLOOKUP(AZT$3,[2]ARBOR_REAJUSTE18!$A:$AE,VLOOKUP($AZD$2,[2]ARBOR_REAJUSTE18!$A:$B,2,0),0))),"")&lt;0.01%,0.01%,(IFERROR(IF($AZD4="","",IF($AZD4=0,1,1-$AZD4/HLOOKUP(AZT$3,[2]ARBOR_REAJUSTE18!$A:$AE,VLOOKUP($AZD$2,[2]ARBOR_REAJUSTE18!$A:$B,2,0),0))),""))),4)</f>
        <v>#VALUE!</v>
      </c>
      <c r="AZU4" s="44" t="e">
        <f>ROUNDUP(IF(IFERROR(IF($AZD4="","",IF($AZD4=0,1,1-$AZD4/HLOOKUP(AZU$3,[2]ARBOR_REAJUSTE18!$A:$AE,VLOOKUP($AZD$2,[2]ARBOR_REAJUSTE18!$A:$B,2,0),0))),"")&lt;0.01%,0.01%,(IFERROR(IF($AZD4="","",IF($AZD4=0,1,1-$AZD4/HLOOKUP(AZU$3,[2]ARBOR_REAJUSTE18!$A:$AE,VLOOKUP($AZD$2,[2]ARBOR_REAJUSTE18!$A:$B,2,0),0))),""))),4)</f>
        <v>#VALUE!</v>
      </c>
      <c r="AZV4" s="44" t="e">
        <f>ROUNDUP(IF(IFERROR(IF($AZD4="","",IF($AZD4=0,1,1-$AZD4/HLOOKUP(AZV$3,[2]ARBOR_REAJUSTE18!$A:$AE,VLOOKUP($AZD$2,[2]ARBOR_REAJUSTE18!$A:$B,2,0),0))),"")&lt;0.01%,0.01%,(IFERROR(IF($AZD4="","",IF($AZD4=0,1,1-$AZD4/HLOOKUP(AZV$3,[2]ARBOR_REAJUSTE18!$A:$AE,VLOOKUP($AZD$2,[2]ARBOR_REAJUSTE18!$A:$B,2,0),0))),""))),4)</f>
        <v>#VALUE!</v>
      </c>
      <c r="AZW4" s="44" t="e">
        <f>ROUNDUP(IF(IFERROR(IF($AZD4="","",IF($AZD4=0,1,1-$AZD4/HLOOKUP(AZW$3,[2]ARBOR_REAJUSTE18!$A:$AE,VLOOKUP($AZD$2,[2]ARBOR_REAJUSTE18!$A:$B,2,0),0))),"")&lt;0.01%,0.01%,(IFERROR(IF($AZD4="","",IF($AZD4=0,1,1-$AZD4/HLOOKUP(AZW$3,[2]ARBOR_REAJUSTE18!$A:$AE,VLOOKUP($AZD$2,[2]ARBOR_REAJUSTE18!$A:$B,2,0),0))),""))),4)</f>
        <v>#VALUE!</v>
      </c>
      <c r="AZX4" s="44" t="e">
        <f>ROUNDUP(IF(IFERROR(IF($AZD4="","",IF($AZD4=0,1,1-$AZD4/HLOOKUP(AZX$3,[2]ARBOR_REAJUSTE18!$A:$AE,VLOOKUP($AZD$2,[2]ARBOR_REAJUSTE18!$A:$B,2,0),0))),"")&lt;0.01%,0.01%,(IFERROR(IF($AZD4="","",IF($AZD4=0,1,1-$AZD4/HLOOKUP(AZX$3,[2]ARBOR_REAJUSTE18!$A:$AE,VLOOKUP($AZD$2,[2]ARBOR_REAJUSTE18!$A:$B,2,0),0))),""))),4)</f>
        <v>#VALUE!</v>
      </c>
      <c r="AZY4" s="44" t="e">
        <f>ROUNDUP(IF(IFERROR(IF($AZD4="","",IF($AZD4=0,1,1-$AZD4/HLOOKUP(AZY$3,[2]ARBOR_REAJUSTE18!$A:$AE,VLOOKUP($AZD$2,[2]ARBOR_REAJUSTE18!$A:$B,2,0),0))),"")&lt;0.01%,0.01%,(IFERROR(IF($AZD4="","",IF($AZD4=0,1,1-$AZD4/HLOOKUP(AZY$3,[2]ARBOR_REAJUSTE18!$A:$AE,VLOOKUP($AZD$2,[2]ARBOR_REAJUSTE18!$A:$B,2,0),0))),""))),4)</f>
        <v>#VALUE!</v>
      </c>
      <c r="AZZ4" s="44" t="e">
        <f>ROUNDUP(IF(IFERROR(IF($AZD4="","",IF($AZD4=0,1,1-$AZD4/HLOOKUP(AZZ$3,[2]ARBOR_REAJUSTE18!$A:$AE,VLOOKUP($AZD$2,[2]ARBOR_REAJUSTE18!$A:$B,2,0),0))),"")&lt;0.01%,0.01%,(IFERROR(IF($AZD4="","",IF($AZD4=0,1,1-$AZD4/HLOOKUP(AZZ$3,[2]ARBOR_REAJUSTE18!$A:$AE,VLOOKUP($AZD$2,[2]ARBOR_REAJUSTE18!$A:$B,2,0),0))),""))),4)</f>
        <v>#VALUE!</v>
      </c>
      <c r="BAA4" s="44" t="e">
        <f>ROUNDUP(IF(IFERROR(IF($AZD4="","",IF($AZD4=0,1,1-$AZD4/HLOOKUP(BAA$3,[2]ARBOR_REAJUSTE18!$A:$AE,VLOOKUP($AZD$2,[2]ARBOR_REAJUSTE18!$A:$B,2,0),0))),"")&lt;0.01%,0.01%,(IFERROR(IF($AZD4="","",IF($AZD4=0,1,1-$AZD4/HLOOKUP(BAA$3,[2]ARBOR_REAJUSTE18!$A:$AE,VLOOKUP($AZD$2,[2]ARBOR_REAJUSTE18!$A:$B,2,0),0))),""))),4)</f>
        <v>#VALUE!</v>
      </c>
      <c r="BAB4" s="44" t="e">
        <f>ROUNDUP(IF(IFERROR(IF($AZD4="","",IF($AZD4=0,1,1-$AZD4/HLOOKUP(BAB$3,[2]ARBOR_REAJUSTE18!$A:$AE,VLOOKUP($AZD$2,[2]ARBOR_REAJUSTE18!$A:$B,2,0),0))),"")&lt;0.01%,0.01%,(IFERROR(IF($AZD4="","",IF($AZD4=0,1,1-$AZD4/HLOOKUP(BAB$3,[2]ARBOR_REAJUSTE18!$A:$AE,VLOOKUP($AZD$2,[2]ARBOR_REAJUSTE18!$A:$B,2,0),0))),""))),4)</f>
        <v>#VALUE!</v>
      </c>
      <c r="BAC4" s="44" t="e">
        <f>ROUNDUP(IF(IFERROR(IF($AZD4="","",IF($AZD4=0,1,1-$AZD4/HLOOKUP(BAC$3,[2]ARBOR_REAJUSTE18!$A:$AE,VLOOKUP($AZD$2,[2]ARBOR_REAJUSTE18!$A:$B,2,0),0))),"")&lt;0.01%,0.01%,(IFERROR(IF($AZD4="","",IF($AZD4=0,1,1-$AZD4/HLOOKUP(BAC$3,[2]ARBOR_REAJUSTE18!$A:$AE,VLOOKUP($AZD$2,[2]ARBOR_REAJUSTE18!$A:$B,2,0),0))),""))),4)</f>
        <v>#VALUE!</v>
      </c>
      <c r="BAD4" s="44" t="e">
        <f>ROUNDUP(IF(IFERROR(IF($AZD4="","",IF($AZD4=0,1,1-$AZD4/HLOOKUP(BAD$3,[2]ARBOR_REAJUSTE18!$A:$AE,VLOOKUP($AZD$2,[2]ARBOR_REAJUSTE18!$A:$B,2,0),0))),"")&lt;0.01%,0.01%,(IFERROR(IF($AZD4="","",IF($AZD4=0,1,1-$AZD4/HLOOKUP(BAD$3,[2]ARBOR_REAJUSTE18!$A:$AE,VLOOKUP($AZD$2,[2]ARBOR_REAJUSTE18!$A:$B,2,0),0))),""))),4)</f>
        <v>#VALUE!</v>
      </c>
      <c r="BAE4" s="44" t="e">
        <f>ROUNDUP(IF(IFERROR(IF($AZD4="","",IF($AZD4=0,1,1-$AZD4/HLOOKUP(BAE$3,[2]ARBOR_REAJUSTE18!$A:$AE,VLOOKUP($AZD$2,[2]ARBOR_REAJUSTE18!$A:$B,2,0),0))),"")&lt;0.01%,0.01%,(IFERROR(IF($AZD4="","",IF($AZD4=0,1,1-$AZD4/HLOOKUP(BAE$3,[2]ARBOR_REAJUSTE18!$A:$AE,VLOOKUP($AZD$2,[2]ARBOR_REAJUSTE18!$A:$B,2,0),0))),""))),4)</f>
        <v>#VALUE!</v>
      </c>
      <c r="BAF4" s="44" t="e">
        <f>ROUNDUP(IF(IFERROR(IF($AZD4="","",IF($AZD4=0,1,1-$AZD4/HLOOKUP(BAF$3,[2]ARBOR_REAJUSTE18!$A:$AE,VLOOKUP($AZD$2,[2]ARBOR_REAJUSTE18!$A:$B,2,0),0))),"")&lt;0.01%,0.01%,(IFERROR(IF($AZD4="","",IF($AZD4=0,1,1-$AZD4/HLOOKUP(BAF$3,[2]ARBOR_REAJUSTE18!$A:$AE,VLOOKUP($AZD$2,[2]ARBOR_REAJUSTE18!$A:$B,2,0),0))),""))),4)</f>
        <v>#VALUE!</v>
      </c>
      <c r="BAG4" s="56"/>
      <c r="BAH4" s="64"/>
      <c r="BAI4" s="44" t="e">
        <f>ROUNDUP(IF(IFERROR(IF($BAG4="","",IF($BAG4=0,1,1-$BAG4/HLOOKUP(BAI$3,[2]ARBOR_REAJUSTE18!$A:$AE,VLOOKUP($BAG$2,[2]ARBOR_REAJUSTE18!$A:$B,2,0),0))),"")&lt;0.01%,0.01%,(IFERROR(IF($BAG4="","",IF($BAG4=0,1,1-$BAG4/HLOOKUP(BAI$3,[2]ARBOR_REAJUSTE18!$A:$AE,VLOOKUP($BAG$2,[2]ARBOR_REAJUSTE18!$A:$B,2,0),0))),""))),4)</f>
        <v>#VALUE!</v>
      </c>
      <c r="BAJ4" s="44" t="e">
        <f>ROUNDUP(IF(IFERROR(IF($BAG4="","",IF($BAG4=0,1,1-$BAG4/HLOOKUP(BAJ$3,[2]ARBOR_REAJUSTE18!$A:$AE,VLOOKUP($BAG$2,[2]ARBOR_REAJUSTE18!$A:$B,2,0),0))),"")&lt;0.01%,0.01%,(IFERROR(IF($BAG4="","",IF($BAG4=0,1,1-$BAG4/HLOOKUP(BAJ$3,[2]ARBOR_REAJUSTE18!$A:$AE,VLOOKUP($BAG$2,[2]ARBOR_REAJUSTE18!$A:$B,2,0),0))),""))),4)</f>
        <v>#VALUE!</v>
      </c>
      <c r="BAK4" s="44" t="e">
        <f>ROUNDUP(IF(IFERROR(IF($BAG4="","",IF($BAG4=0,1,1-$BAG4/HLOOKUP(BAK$3,[2]ARBOR_REAJUSTE18!$A:$AE,VLOOKUP($BAG$2,[2]ARBOR_REAJUSTE18!$A:$B,2,0),0))),"")&lt;0.01%,0.01%,(IFERROR(IF($BAG4="","",IF($BAG4=0,1,1-$BAG4/HLOOKUP(BAK$3,[2]ARBOR_REAJUSTE18!$A:$AE,VLOOKUP($BAG$2,[2]ARBOR_REAJUSTE18!$A:$B,2,0),0))),""))),4)</f>
        <v>#VALUE!</v>
      </c>
      <c r="BAL4" s="44" t="e">
        <f>ROUNDUP(IF(IFERROR(IF($BAG4="","",IF($BAG4=0,1,1-$BAG4/HLOOKUP(BAL$3,[2]ARBOR_REAJUSTE18!$A:$AE,VLOOKUP($BAG$2,[2]ARBOR_REAJUSTE18!$A:$B,2,0),0))),"")&lt;0.01%,0.01%,(IFERROR(IF($BAG4="","",IF($BAG4=0,1,1-$BAG4/HLOOKUP(BAL$3,[2]ARBOR_REAJUSTE18!$A:$AE,VLOOKUP($BAG$2,[2]ARBOR_REAJUSTE18!$A:$B,2,0),0))),""))),4)</f>
        <v>#VALUE!</v>
      </c>
      <c r="BAM4" s="44" t="e">
        <f>ROUNDUP(IF(IFERROR(IF($BAG4="","",IF($BAG4=0,1,1-$BAG4/HLOOKUP(BAM$3,[2]ARBOR_REAJUSTE18!$A:$AE,VLOOKUP($BAG$2,[2]ARBOR_REAJUSTE18!$A:$B,2,0),0))),"")&lt;0.01%,0.01%,(IFERROR(IF($BAG4="","",IF($BAG4=0,1,1-$BAG4/HLOOKUP(BAM$3,[2]ARBOR_REAJUSTE18!$A:$AE,VLOOKUP($BAG$2,[2]ARBOR_REAJUSTE18!$A:$B,2,0),0))),""))),4)</f>
        <v>#VALUE!</v>
      </c>
      <c r="BAN4" s="44" t="e">
        <f>ROUNDUP(IF(IFERROR(IF($BAG4="","",IF($BAG4=0,1,1-$BAG4/HLOOKUP(BAN$3,[2]ARBOR_REAJUSTE18!$A:$AE,VLOOKUP($BAG$2,[2]ARBOR_REAJUSTE18!$A:$B,2,0),0))),"")&lt;0.01%,0.01%,(IFERROR(IF($BAG4="","",IF($BAG4=0,1,1-$BAG4/HLOOKUP(BAN$3,[2]ARBOR_REAJUSTE18!$A:$AE,VLOOKUP($BAG$2,[2]ARBOR_REAJUSTE18!$A:$B,2,0),0))),""))),4)</f>
        <v>#VALUE!</v>
      </c>
      <c r="BAO4" s="44" t="e">
        <f>ROUNDUP(IF(IFERROR(IF($BAG4="","",IF($BAG4=0,1,1-$BAG4/HLOOKUP(BAO$3,[2]ARBOR_REAJUSTE18!$A:$AE,VLOOKUP($BAG$2,[2]ARBOR_REAJUSTE18!$A:$B,2,0),0))),"")&lt;0.01%,0.01%,(IFERROR(IF($BAG4="","",IF($BAG4=0,1,1-$BAG4/HLOOKUP(BAO$3,[2]ARBOR_REAJUSTE18!$A:$AE,VLOOKUP($BAG$2,[2]ARBOR_REAJUSTE18!$A:$B,2,0),0))),""))),4)</f>
        <v>#VALUE!</v>
      </c>
      <c r="BAP4" s="44" t="e">
        <f>ROUNDUP(IF(IFERROR(IF($BAG4="","",IF($BAG4=0,1,1-$BAG4/HLOOKUP(BAP$3,[2]ARBOR_REAJUSTE18!$A:$AE,VLOOKUP($BAG$2,[2]ARBOR_REAJUSTE18!$A:$B,2,0),0))),"")&lt;0.01%,0.01%,(IFERROR(IF($BAG4="","",IF($BAG4=0,1,1-$BAG4/HLOOKUP(BAP$3,[2]ARBOR_REAJUSTE18!$A:$AE,VLOOKUP($BAG$2,[2]ARBOR_REAJUSTE18!$A:$B,2,0),0))),""))),4)</f>
        <v>#VALUE!</v>
      </c>
      <c r="BAQ4" s="44" t="e">
        <f>ROUNDUP(IF(IFERROR(IF($BAG4="","",IF($BAG4=0,1,1-$BAG4/HLOOKUP(BAQ$3,[2]ARBOR_REAJUSTE18!$A:$AE,VLOOKUP($BAG$2,[2]ARBOR_REAJUSTE18!$A:$B,2,0),0))),"")&lt;0.01%,0.01%,(IFERROR(IF($BAG4="","",IF($BAG4=0,1,1-$BAG4/HLOOKUP(BAQ$3,[2]ARBOR_REAJUSTE18!$A:$AE,VLOOKUP($BAG$2,[2]ARBOR_REAJUSTE18!$A:$B,2,0),0))),""))),4)</f>
        <v>#VALUE!</v>
      </c>
      <c r="BAR4" s="44" t="e">
        <f>ROUNDUP(IF(IFERROR(IF($BAG4="","",IF($BAG4=0,1,1-$BAG4/HLOOKUP(BAR$3,[2]ARBOR_REAJUSTE18!$A:$AE,VLOOKUP($BAG$2,[2]ARBOR_REAJUSTE18!$A:$B,2,0),0))),"")&lt;0.01%,0.01%,(IFERROR(IF($BAG4="","",IF($BAG4=0,1,1-$BAG4/HLOOKUP(BAR$3,[2]ARBOR_REAJUSTE18!$A:$AE,VLOOKUP($BAG$2,[2]ARBOR_REAJUSTE18!$A:$B,2,0),0))),""))),4)</f>
        <v>#VALUE!</v>
      </c>
      <c r="BAS4" s="44" t="e">
        <f>ROUNDUP(IF(IFERROR(IF($BAG4="","",IF($BAG4=0,1,1-$BAG4/HLOOKUP(BAS$3,[2]ARBOR_REAJUSTE18!$A:$AE,VLOOKUP($BAG$2,[2]ARBOR_REAJUSTE18!$A:$B,2,0),0))),"")&lt;0.01%,0.01%,(IFERROR(IF($BAG4="","",IF($BAG4=0,1,1-$BAG4/HLOOKUP(BAS$3,[2]ARBOR_REAJUSTE18!$A:$AE,VLOOKUP($BAG$2,[2]ARBOR_REAJUSTE18!$A:$B,2,0),0))),""))),4)</f>
        <v>#VALUE!</v>
      </c>
      <c r="BAT4" s="44" t="e">
        <f>ROUNDUP(IF(IFERROR(IF($BAG4="","",IF($BAG4=0,1,1-$BAG4/HLOOKUP(BAT$3,[2]ARBOR_REAJUSTE18!$A:$AE,VLOOKUP($BAG$2,[2]ARBOR_REAJUSTE18!$A:$B,2,0),0))),"")&lt;0.01%,0.01%,(IFERROR(IF($BAG4="","",IF($BAG4=0,1,1-$BAG4/HLOOKUP(BAT$3,[2]ARBOR_REAJUSTE18!$A:$AE,VLOOKUP($BAG$2,[2]ARBOR_REAJUSTE18!$A:$B,2,0),0))),""))),4)</f>
        <v>#VALUE!</v>
      </c>
      <c r="BAU4" s="44" t="e">
        <f>ROUNDUP(IF(IFERROR(IF($BAG4="","",IF($BAG4=0,1,1-$BAG4/HLOOKUP(BAU$3,[2]ARBOR_REAJUSTE18!$A:$AE,VLOOKUP($BAG$2,[2]ARBOR_REAJUSTE18!$A:$B,2,0),0))),"")&lt;0.01%,0.01%,(IFERROR(IF($BAG4="","",IF($BAG4=0,1,1-$BAG4/HLOOKUP(BAU$3,[2]ARBOR_REAJUSTE18!$A:$AE,VLOOKUP($BAG$2,[2]ARBOR_REAJUSTE18!$A:$B,2,0),0))),""))),4)</f>
        <v>#VALUE!</v>
      </c>
      <c r="BAV4" s="44" t="e">
        <f>ROUNDUP(IF(IFERROR(IF($BAG4="","",IF($BAG4=0,1,1-$BAG4/HLOOKUP(BAV$3,[2]ARBOR_REAJUSTE18!$A:$AE,VLOOKUP($BAG$2,[2]ARBOR_REAJUSTE18!$A:$B,2,0),0))),"")&lt;0.01%,0.01%,(IFERROR(IF($BAG4="","",IF($BAG4=0,1,1-$BAG4/HLOOKUP(BAV$3,[2]ARBOR_REAJUSTE18!$A:$AE,VLOOKUP($BAG$2,[2]ARBOR_REAJUSTE18!$A:$B,2,0),0))),""))),4)</f>
        <v>#VALUE!</v>
      </c>
      <c r="BAW4" s="44" t="e">
        <f>ROUNDUP(IF(IFERROR(IF($BAG4="","",IF($BAG4=0,1,1-$BAG4/HLOOKUP(BAW$3,[2]ARBOR_REAJUSTE18!$A:$AE,VLOOKUP($BAG$2,[2]ARBOR_REAJUSTE18!$A:$B,2,0),0))),"")&lt;0.01%,0.01%,(IFERROR(IF($BAG4="","",IF($BAG4=0,1,1-$BAG4/HLOOKUP(BAW$3,[2]ARBOR_REAJUSTE18!$A:$AE,VLOOKUP($BAG$2,[2]ARBOR_REAJUSTE18!$A:$B,2,0),0))),""))),4)</f>
        <v>#VALUE!</v>
      </c>
      <c r="BAX4" s="44" t="e">
        <f>ROUNDUP(IF(IFERROR(IF($BAG4="","",IF($BAG4=0,1,1-$BAG4/HLOOKUP(BAX$3,[2]ARBOR_REAJUSTE18!$A:$AE,VLOOKUP($BAG$2,[2]ARBOR_REAJUSTE18!$A:$B,2,0),0))),"")&lt;0.01%,0.01%,(IFERROR(IF($BAG4="","",IF($BAG4=0,1,1-$BAG4/HLOOKUP(BAX$3,[2]ARBOR_REAJUSTE18!$A:$AE,VLOOKUP($BAG$2,[2]ARBOR_REAJUSTE18!$A:$B,2,0),0))),""))),4)</f>
        <v>#VALUE!</v>
      </c>
      <c r="BAY4" s="44" t="e">
        <f>ROUNDUP(IF(IFERROR(IF($BAG4="","",IF($BAG4=0,1,1-$BAG4/HLOOKUP(BAY$3,[2]ARBOR_REAJUSTE18!$A:$AE,VLOOKUP($BAG$2,[2]ARBOR_REAJUSTE18!$A:$B,2,0),0))),"")&lt;0.01%,0.01%,(IFERROR(IF($BAG4="","",IF($BAG4=0,1,1-$BAG4/HLOOKUP(BAY$3,[2]ARBOR_REAJUSTE18!$A:$AE,VLOOKUP($BAG$2,[2]ARBOR_REAJUSTE18!$A:$B,2,0),0))),""))),4)</f>
        <v>#VALUE!</v>
      </c>
      <c r="BAZ4" s="44" t="e">
        <f>ROUNDUP(IF(IFERROR(IF($BAG4="","",IF($BAG4=0,1,1-$BAG4/HLOOKUP(BAZ$3,[2]ARBOR_REAJUSTE18!$A:$AE,VLOOKUP($BAG$2,[2]ARBOR_REAJUSTE18!$A:$B,2,0),0))),"")&lt;0.01%,0.01%,(IFERROR(IF($BAG4="","",IF($BAG4=0,1,1-$BAG4/HLOOKUP(BAZ$3,[2]ARBOR_REAJUSTE18!$A:$AE,VLOOKUP($BAG$2,[2]ARBOR_REAJUSTE18!$A:$B,2,0),0))),""))),4)</f>
        <v>#VALUE!</v>
      </c>
      <c r="BBA4" s="44" t="e">
        <f>ROUNDUP(IF(IFERROR(IF($BAG4="","",IF($BAG4=0,1,1-$BAG4/HLOOKUP(BBA$3,[2]ARBOR_REAJUSTE18!$A:$AE,VLOOKUP($BAG$2,[2]ARBOR_REAJUSTE18!$A:$B,2,0),0))),"")&lt;0.01%,0.01%,(IFERROR(IF($BAG4="","",IF($BAG4=0,1,1-$BAG4/HLOOKUP(BBA$3,[2]ARBOR_REAJUSTE18!$A:$AE,VLOOKUP($BAG$2,[2]ARBOR_REAJUSTE18!$A:$B,2,0),0))),""))),4)</f>
        <v>#VALUE!</v>
      </c>
      <c r="BBB4" s="44" t="e">
        <f>ROUNDUP(IF(IFERROR(IF($BAG4="","",IF($BAG4=0,1,1-$BAG4/HLOOKUP(BBB$3,[2]ARBOR_REAJUSTE18!$A:$AE,VLOOKUP($BAG$2,[2]ARBOR_REAJUSTE18!$A:$B,2,0),0))),"")&lt;0.01%,0.01%,(IFERROR(IF($BAG4="","",IF($BAG4=0,1,1-$BAG4/HLOOKUP(BBB$3,[2]ARBOR_REAJUSTE18!$A:$AE,VLOOKUP($BAG$2,[2]ARBOR_REAJUSTE18!$A:$B,2,0),0))),""))),4)</f>
        <v>#VALUE!</v>
      </c>
      <c r="BBC4" s="44" t="e">
        <f>ROUNDUP(IF(IFERROR(IF($BAG4="","",IF($BAG4=0,1,1-$BAG4/HLOOKUP(BBC$3,[2]ARBOR_REAJUSTE18!$A:$AE,VLOOKUP($BAG$2,[2]ARBOR_REAJUSTE18!$A:$B,2,0),0))),"")&lt;0.01%,0.01%,(IFERROR(IF($BAG4="","",IF($BAG4=0,1,1-$BAG4/HLOOKUP(BBC$3,[2]ARBOR_REAJUSTE18!$A:$AE,VLOOKUP($BAG$2,[2]ARBOR_REAJUSTE18!$A:$B,2,0),0))),""))),4)</f>
        <v>#VALUE!</v>
      </c>
      <c r="BBD4" s="44" t="e">
        <f>ROUNDUP(IF(IFERROR(IF($BAG4="","",IF($BAG4=0,1,1-$BAG4/HLOOKUP(BBD$3,[2]ARBOR_REAJUSTE18!$A:$AE,VLOOKUP($BAG$2,[2]ARBOR_REAJUSTE18!$A:$B,2,0),0))),"")&lt;0.01%,0.01%,(IFERROR(IF($BAG4="","",IF($BAG4=0,1,1-$BAG4/HLOOKUP(BBD$3,[2]ARBOR_REAJUSTE18!$A:$AE,VLOOKUP($BAG$2,[2]ARBOR_REAJUSTE18!$A:$B,2,0),0))),""))),4)</f>
        <v>#VALUE!</v>
      </c>
      <c r="BBE4" s="44" t="e">
        <f>ROUNDUP(IF(IFERROR(IF($BAG4="","",IF($BAG4=0,1,1-$BAG4/HLOOKUP(BBE$3,[2]ARBOR_REAJUSTE18!$A:$AE,VLOOKUP($BAG$2,[2]ARBOR_REAJUSTE18!$A:$B,2,0),0))),"")&lt;0.01%,0.01%,(IFERROR(IF($BAG4="","",IF($BAG4=0,1,1-$BAG4/HLOOKUP(BBE$3,[2]ARBOR_REAJUSTE18!$A:$AE,VLOOKUP($BAG$2,[2]ARBOR_REAJUSTE18!$A:$B,2,0),0))),""))),4)</f>
        <v>#VALUE!</v>
      </c>
      <c r="BBF4" s="44" t="e">
        <f>ROUNDUP(IF(IFERROR(IF($BAG4="","",IF($BAG4=0,1,1-$BAG4/HLOOKUP(BBF$3,[2]ARBOR_REAJUSTE18!$A:$AE,VLOOKUP($BAG$2,[2]ARBOR_REAJUSTE18!$A:$B,2,0),0))),"")&lt;0.01%,0.01%,(IFERROR(IF($BAG4="","",IF($BAG4=0,1,1-$BAG4/HLOOKUP(BBF$3,[2]ARBOR_REAJUSTE18!$A:$AE,VLOOKUP($BAG$2,[2]ARBOR_REAJUSTE18!$A:$B,2,0),0))),""))),4)</f>
        <v>#VALUE!</v>
      </c>
      <c r="BBG4" s="44" t="e">
        <f>ROUNDUP(IF(IFERROR(IF($BAG4="","",IF($BAG4=0,1,1-$BAG4/HLOOKUP(BBG$3,[2]ARBOR_REAJUSTE18!$A:$AE,VLOOKUP($BAG$2,[2]ARBOR_REAJUSTE18!$A:$B,2,0),0))),"")&lt;0.01%,0.01%,(IFERROR(IF($BAG4="","",IF($BAG4=0,1,1-$BAG4/HLOOKUP(BBG$3,[2]ARBOR_REAJUSTE18!$A:$AE,VLOOKUP($BAG$2,[2]ARBOR_REAJUSTE18!$A:$B,2,0),0))),""))),4)</f>
        <v>#VALUE!</v>
      </c>
      <c r="BBH4" s="44" t="e">
        <f>ROUNDUP(IF(IFERROR(IF($BAG4="","",IF($BAG4=0,1,1-$BAG4/HLOOKUP(BBH$3,[2]ARBOR_REAJUSTE18!$A:$AE,VLOOKUP($BAG$2,[2]ARBOR_REAJUSTE18!$A:$B,2,0),0))),"")&lt;0.01%,0.01%,(IFERROR(IF($BAG4="","",IF($BAG4=0,1,1-$BAG4/HLOOKUP(BBH$3,[2]ARBOR_REAJUSTE18!$A:$AE,VLOOKUP($BAG$2,[2]ARBOR_REAJUSTE18!$A:$B,2,0),0))),""))),4)</f>
        <v>#VALUE!</v>
      </c>
      <c r="BBI4" s="44" t="e">
        <f>ROUNDUP(IF(IFERROR(IF($BAG4="","",IF($BAG4=0,1,1-$BAG4/HLOOKUP(BBI$3,[2]ARBOR_REAJUSTE18!$A:$AE,VLOOKUP($BAG$2,[2]ARBOR_REAJUSTE18!$A:$B,2,0),0))),"")&lt;0.01%,0.01%,(IFERROR(IF($BAG4="","",IF($BAG4=0,1,1-$BAG4/HLOOKUP(BBI$3,[2]ARBOR_REAJUSTE18!$A:$AE,VLOOKUP($BAG$2,[2]ARBOR_REAJUSTE18!$A:$B,2,0),0))),""))),4)</f>
        <v>#VALUE!</v>
      </c>
      <c r="BBJ4" s="56">
        <v>94.800000000000011</v>
      </c>
      <c r="BBK4" s="64" t="e">
        <f>VLOOKUP($AV4&amp;BBL4&amp;"Template desconto FLAT Plano Principal Oi TV nível conta",[2]BENEFICIOS!$A:$G,5,0)</f>
        <v>#VALUE!</v>
      </c>
      <c r="BBL4" s="44" t="e">
        <f>ROUNDUP(IF(IFERROR(IF($BBJ4="","",IF($BBJ4=0,1,1-$BBJ4/HLOOKUP(BBL$3,[2]ARBOR_REAJUSTE18!$A:$AE,VLOOKUP($BBJ$2,[2]ARBOR_REAJUSTE18!$A:$B,2,0),0))),"")&lt;0.01%,0.01%,(IFERROR(IF($BBJ4="","",IF($BBJ4=0,1,1-$BBJ4/HLOOKUP(BBL$3,[2]ARBOR_REAJUSTE18!$A:$AE,VLOOKUP($BBJ$2,[2]ARBOR_REAJUSTE18!$A:$B,2,0),0))),""))),4)</f>
        <v>#VALUE!</v>
      </c>
      <c r="BBM4" s="44" t="e">
        <f>ROUNDUP(IF(IFERROR(IF($BBJ4="","",IF($BBJ4=0,1,1-$BBJ4/HLOOKUP(BBM$3,[2]ARBOR_REAJUSTE18!$A:$AE,VLOOKUP($BBJ$2,[2]ARBOR_REAJUSTE18!$A:$B,2,0),0))),"")&lt;0.01%,0.01%,(IFERROR(IF($BBJ4="","",IF($BBJ4=0,1,1-$BBJ4/HLOOKUP(BBM$3,[2]ARBOR_REAJUSTE18!$A:$AE,VLOOKUP($BBJ$2,[2]ARBOR_REAJUSTE18!$A:$B,2,0),0))),""))),4)</f>
        <v>#VALUE!</v>
      </c>
      <c r="BBN4" s="44" t="e">
        <f>ROUNDUP(IF(IFERROR(IF($BBJ4="","",IF($BBJ4=0,1,1-$BBJ4/HLOOKUP(BBN$3,[2]ARBOR_REAJUSTE18!$A:$AE,VLOOKUP($BBJ$2,[2]ARBOR_REAJUSTE18!$A:$B,2,0),0))),"")&lt;0.01%,0.01%,(IFERROR(IF($BBJ4="","",IF($BBJ4=0,1,1-$BBJ4/HLOOKUP(BBN$3,[2]ARBOR_REAJUSTE18!$A:$AE,VLOOKUP($BBJ$2,[2]ARBOR_REAJUSTE18!$A:$B,2,0),0))),""))),4)</f>
        <v>#VALUE!</v>
      </c>
      <c r="BBO4" s="44" t="e">
        <f>ROUNDUP(IF(IFERROR(IF($BBJ4="","",IF($BBJ4=0,1,1-$BBJ4/HLOOKUP(BBO$3,[2]ARBOR_REAJUSTE18!$A:$AE,VLOOKUP($BBJ$2,[2]ARBOR_REAJUSTE18!$A:$B,2,0),0))),"")&lt;0.01%,0.01%,(IFERROR(IF($BBJ4="","",IF($BBJ4=0,1,1-$BBJ4/HLOOKUP(BBO$3,[2]ARBOR_REAJUSTE18!$A:$AE,VLOOKUP($BBJ$2,[2]ARBOR_REAJUSTE18!$A:$B,2,0),0))),""))),4)</f>
        <v>#VALUE!</v>
      </c>
      <c r="BBP4" s="44" t="e">
        <f>ROUNDUP(IF(IFERROR(IF($BBJ4="","",IF($BBJ4=0,1,1-$BBJ4/HLOOKUP(BBP$3,[2]ARBOR_REAJUSTE18!$A:$AE,VLOOKUP($BBJ$2,[2]ARBOR_REAJUSTE18!$A:$B,2,0),0))),"")&lt;0.01%,0.01%,(IFERROR(IF($BBJ4="","",IF($BBJ4=0,1,1-$BBJ4/HLOOKUP(BBP$3,[2]ARBOR_REAJUSTE18!$A:$AE,VLOOKUP($BBJ$2,[2]ARBOR_REAJUSTE18!$A:$B,2,0),0))),""))),4)</f>
        <v>#VALUE!</v>
      </c>
      <c r="BBQ4" s="44" t="e">
        <f>ROUNDUP(IF(IFERROR(IF($BBJ4="","",IF($BBJ4=0,1,1-$BBJ4/HLOOKUP(BBQ$3,[2]ARBOR_REAJUSTE18!$A:$AE,VLOOKUP($BBJ$2,[2]ARBOR_REAJUSTE18!$A:$B,2,0),0))),"")&lt;0.01%,0.01%,(IFERROR(IF($BBJ4="","",IF($BBJ4=0,1,1-$BBJ4/HLOOKUP(BBQ$3,[2]ARBOR_REAJUSTE18!$A:$AE,VLOOKUP($BBJ$2,[2]ARBOR_REAJUSTE18!$A:$B,2,0),0))),""))),4)</f>
        <v>#VALUE!</v>
      </c>
      <c r="BBR4" s="44" t="e">
        <f>ROUNDUP(IF(IFERROR(IF($BBJ4="","",IF($BBJ4=0,1,1-$BBJ4/HLOOKUP(BBR$3,[2]ARBOR_REAJUSTE18!$A:$AE,VLOOKUP($BBJ$2,[2]ARBOR_REAJUSTE18!$A:$B,2,0),0))),"")&lt;0.01%,0.01%,(IFERROR(IF($BBJ4="","",IF($BBJ4=0,1,1-$BBJ4/HLOOKUP(BBR$3,[2]ARBOR_REAJUSTE18!$A:$AE,VLOOKUP($BBJ$2,[2]ARBOR_REAJUSTE18!$A:$B,2,0),0))),""))),4)</f>
        <v>#VALUE!</v>
      </c>
      <c r="BBS4" s="44" t="e">
        <f>ROUNDUP(IF(IFERROR(IF($BBJ4="","",IF($BBJ4=0,1,1-$BBJ4/HLOOKUP(BBS$3,[2]ARBOR_REAJUSTE18!$A:$AE,VLOOKUP($BBJ$2,[2]ARBOR_REAJUSTE18!$A:$B,2,0),0))),"")&lt;0.01%,0.01%,(IFERROR(IF($BBJ4="","",IF($BBJ4=0,1,1-$BBJ4/HLOOKUP(BBS$3,[2]ARBOR_REAJUSTE18!$A:$AE,VLOOKUP($BBJ$2,[2]ARBOR_REAJUSTE18!$A:$B,2,0),0))),""))),4)</f>
        <v>#VALUE!</v>
      </c>
      <c r="BBT4" s="44" t="e">
        <f>ROUNDUP(IF(IFERROR(IF($BBJ4="","",IF($BBJ4=0,1,1-$BBJ4/HLOOKUP(BBT$3,[2]ARBOR_REAJUSTE18!$A:$AE,VLOOKUP($BBJ$2,[2]ARBOR_REAJUSTE18!$A:$B,2,0),0))),"")&lt;0.01%,0.01%,(IFERROR(IF($BBJ4="","",IF($BBJ4=0,1,1-$BBJ4/HLOOKUP(BBT$3,[2]ARBOR_REAJUSTE18!$A:$AE,VLOOKUP($BBJ$2,[2]ARBOR_REAJUSTE18!$A:$B,2,0),0))),""))),4)</f>
        <v>#VALUE!</v>
      </c>
      <c r="BBU4" s="44" t="e">
        <f>ROUNDUP(IF(IFERROR(IF($BBJ4="","",IF($BBJ4=0,1,1-$BBJ4/HLOOKUP(BBU$3,[2]ARBOR_REAJUSTE18!$A:$AE,VLOOKUP($BBJ$2,[2]ARBOR_REAJUSTE18!$A:$B,2,0),0))),"")&lt;0.01%,0.01%,(IFERROR(IF($BBJ4="","",IF($BBJ4=0,1,1-$BBJ4/HLOOKUP(BBU$3,[2]ARBOR_REAJUSTE18!$A:$AE,VLOOKUP($BBJ$2,[2]ARBOR_REAJUSTE18!$A:$B,2,0),0))),""))),4)</f>
        <v>#VALUE!</v>
      </c>
      <c r="BBV4" s="44" t="e">
        <f>ROUNDUP(IF(IFERROR(IF($BBJ4="","",IF($BBJ4=0,1,1-$BBJ4/HLOOKUP(BBV$3,[2]ARBOR_REAJUSTE18!$A:$AE,VLOOKUP($BBJ$2,[2]ARBOR_REAJUSTE18!$A:$B,2,0),0))),"")&lt;0.01%,0.01%,(IFERROR(IF($BBJ4="","",IF($BBJ4=0,1,1-$BBJ4/HLOOKUP(BBV$3,[2]ARBOR_REAJUSTE18!$A:$AE,VLOOKUP($BBJ$2,[2]ARBOR_REAJUSTE18!$A:$B,2,0),0))),""))),4)</f>
        <v>#VALUE!</v>
      </c>
      <c r="BBW4" s="44" t="e">
        <f>ROUNDUP(IF(IFERROR(IF($BBJ4="","",IF($BBJ4=0,1,1-$BBJ4/HLOOKUP(BBW$3,[2]ARBOR_REAJUSTE18!$A:$AE,VLOOKUP($BBJ$2,[2]ARBOR_REAJUSTE18!$A:$B,2,0),0))),"")&lt;0.01%,0.01%,(IFERROR(IF($BBJ4="","",IF($BBJ4=0,1,1-$BBJ4/HLOOKUP(BBW$3,[2]ARBOR_REAJUSTE18!$A:$AE,VLOOKUP($BBJ$2,[2]ARBOR_REAJUSTE18!$A:$B,2,0),0))),""))),4)</f>
        <v>#VALUE!</v>
      </c>
      <c r="BBX4" s="44" t="e">
        <f>ROUNDUP(IF(IFERROR(IF($BBJ4="","",IF($BBJ4=0,1,1-$BBJ4/HLOOKUP(BBX$3,[2]ARBOR_REAJUSTE18!$A:$AE,VLOOKUP($BBJ$2,[2]ARBOR_REAJUSTE18!$A:$B,2,0),0))),"")&lt;0.01%,0.01%,(IFERROR(IF($BBJ4="","",IF($BBJ4=0,1,1-$BBJ4/HLOOKUP(BBX$3,[2]ARBOR_REAJUSTE18!$A:$AE,VLOOKUP($BBJ$2,[2]ARBOR_REAJUSTE18!$A:$B,2,0),0))),""))),4)</f>
        <v>#VALUE!</v>
      </c>
      <c r="BBY4" s="44" t="e">
        <f>ROUNDUP(IF(IFERROR(IF($BBJ4="","",IF($BBJ4=0,1,1-$BBJ4/HLOOKUP(BBY$3,[2]ARBOR_REAJUSTE18!$A:$AE,VLOOKUP($BBJ$2,[2]ARBOR_REAJUSTE18!$A:$B,2,0),0))),"")&lt;0.01%,0.01%,(IFERROR(IF($BBJ4="","",IF($BBJ4=0,1,1-$BBJ4/HLOOKUP(BBY$3,[2]ARBOR_REAJUSTE18!$A:$AE,VLOOKUP($BBJ$2,[2]ARBOR_REAJUSTE18!$A:$B,2,0),0))),""))),4)</f>
        <v>#VALUE!</v>
      </c>
      <c r="BBZ4" s="44" t="e">
        <f>ROUNDUP(IF(IFERROR(IF($BBJ4="","",IF($BBJ4=0,1,1-$BBJ4/HLOOKUP(BBZ$3,[2]ARBOR_REAJUSTE18!$A:$AE,VLOOKUP($BBJ$2,[2]ARBOR_REAJUSTE18!$A:$B,2,0),0))),"")&lt;0.01%,0.01%,(IFERROR(IF($BBJ4="","",IF($BBJ4=0,1,1-$BBJ4/HLOOKUP(BBZ$3,[2]ARBOR_REAJUSTE18!$A:$AE,VLOOKUP($BBJ$2,[2]ARBOR_REAJUSTE18!$A:$B,2,0),0))),""))),4)</f>
        <v>#VALUE!</v>
      </c>
      <c r="BCA4" s="44" t="e">
        <f>ROUNDUP(IF(IFERROR(IF($BBJ4="","",IF($BBJ4=0,1,1-$BBJ4/HLOOKUP(BCA$3,[2]ARBOR_REAJUSTE18!$A:$AE,VLOOKUP($BBJ$2,[2]ARBOR_REAJUSTE18!$A:$B,2,0),0))),"")&lt;0.01%,0.01%,(IFERROR(IF($BBJ4="","",IF($BBJ4=0,1,1-$BBJ4/HLOOKUP(BCA$3,[2]ARBOR_REAJUSTE18!$A:$AE,VLOOKUP($BBJ$2,[2]ARBOR_REAJUSTE18!$A:$B,2,0),0))),""))),4)</f>
        <v>#VALUE!</v>
      </c>
      <c r="BCB4" s="44" t="e">
        <f>ROUNDUP(IF(IFERROR(IF($BBJ4="","",IF($BBJ4=0,1,1-$BBJ4/HLOOKUP(BCB$3,[2]ARBOR_REAJUSTE18!$A:$AE,VLOOKUP($BBJ$2,[2]ARBOR_REAJUSTE18!$A:$B,2,0),0))),"")&lt;0.01%,0.01%,(IFERROR(IF($BBJ4="","",IF($BBJ4=0,1,1-$BBJ4/HLOOKUP(BCB$3,[2]ARBOR_REAJUSTE18!$A:$AE,VLOOKUP($BBJ$2,[2]ARBOR_REAJUSTE18!$A:$B,2,0),0))),""))),4)</f>
        <v>#VALUE!</v>
      </c>
      <c r="BCC4" s="44" t="e">
        <f>ROUNDUP(IF(IFERROR(IF($BBJ4="","",IF($BBJ4=0,1,1-$BBJ4/HLOOKUP(BCC$3,[2]ARBOR_REAJUSTE18!$A:$AE,VLOOKUP($BBJ$2,[2]ARBOR_REAJUSTE18!$A:$B,2,0),0))),"")&lt;0.01%,0.01%,(IFERROR(IF($BBJ4="","",IF($BBJ4=0,1,1-$BBJ4/HLOOKUP(BCC$3,[2]ARBOR_REAJUSTE18!$A:$AE,VLOOKUP($BBJ$2,[2]ARBOR_REAJUSTE18!$A:$B,2,0),0))),""))),4)</f>
        <v>#VALUE!</v>
      </c>
      <c r="BCD4" s="44" t="e">
        <f>ROUNDUP(IF(IFERROR(IF($BBJ4="","",IF($BBJ4=0,1,1-$BBJ4/HLOOKUP(BCD$3,[2]ARBOR_REAJUSTE18!$A:$AE,VLOOKUP($BBJ$2,[2]ARBOR_REAJUSTE18!$A:$B,2,0),0))),"")&lt;0.01%,0.01%,(IFERROR(IF($BBJ4="","",IF($BBJ4=0,1,1-$BBJ4/HLOOKUP(BCD$3,[2]ARBOR_REAJUSTE18!$A:$AE,VLOOKUP($BBJ$2,[2]ARBOR_REAJUSTE18!$A:$B,2,0),0))),""))),4)</f>
        <v>#VALUE!</v>
      </c>
      <c r="BCE4" s="44" t="e">
        <f>ROUNDUP(IF(IFERROR(IF($BBJ4="","",IF($BBJ4=0,1,1-$BBJ4/HLOOKUP(BCE$3,[2]ARBOR_REAJUSTE18!$A:$AE,VLOOKUP($BBJ$2,[2]ARBOR_REAJUSTE18!$A:$B,2,0),0))),"")&lt;0.01%,0.01%,(IFERROR(IF($BBJ4="","",IF($BBJ4=0,1,1-$BBJ4/HLOOKUP(BCE$3,[2]ARBOR_REAJUSTE18!$A:$AE,VLOOKUP($BBJ$2,[2]ARBOR_REAJUSTE18!$A:$B,2,0),0))),""))),4)</f>
        <v>#VALUE!</v>
      </c>
      <c r="BCF4" s="44" t="e">
        <f>ROUNDUP(IF(IFERROR(IF($BBJ4="","",IF($BBJ4=0,1,1-$BBJ4/HLOOKUP(BCF$3,[2]ARBOR_REAJUSTE18!$A:$AE,VLOOKUP($BBJ$2,[2]ARBOR_REAJUSTE18!$A:$B,2,0),0))),"")&lt;0.01%,0.01%,(IFERROR(IF($BBJ4="","",IF($BBJ4=0,1,1-$BBJ4/HLOOKUP(BCF$3,[2]ARBOR_REAJUSTE18!$A:$AE,VLOOKUP($BBJ$2,[2]ARBOR_REAJUSTE18!$A:$B,2,0),0))),""))),4)</f>
        <v>#VALUE!</v>
      </c>
      <c r="BCG4" s="44" t="e">
        <f>ROUNDUP(IF(IFERROR(IF($BBJ4="","",IF($BBJ4=0,1,1-$BBJ4/HLOOKUP(BCG$3,[2]ARBOR_REAJUSTE18!$A:$AE,VLOOKUP($BBJ$2,[2]ARBOR_REAJUSTE18!$A:$B,2,0),0))),"")&lt;0.01%,0.01%,(IFERROR(IF($BBJ4="","",IF($BBJ4=0,1,1-$BBJ4/HLOOKUP(BCG$3,[2]ARBOR_REAJUSTE18!$A:$AE,VLOOKUP($BBJ$2,[2]ARBOR_REAJUSTE18!$A:$B,2,0),0))),""))),4)</f>
        <v>#VALUE!</v>
      </c>
      <c r="BCH4" s="44" t="e">
        <f>ROUNDUP(IF(IFERROR(IF($BBJ4="","",IF($BBJ4=0,1,1-$BBJ4/HLOOKUP(BCH$3,[2]ARBOR_REAJUSTE18!$A:$AE,VLOOKUP($BBJ$2,[2]ARBOR_REAJUSTE18!$A:$B,2,0),0))),"")&lt;0.01%,0.01%,(IFERROR(IF($BBJ4="","",IF($BBJ4=0,1,1-$BBJ4/HLOOKUP(BCH$3,[2]ARBOR_REAJUSTE18!$A:$AE,VLOOKUP($BBJ$2,[2]ARBOR_REAJUSTE18!$A:$B,2,0),0))),""))),4)</f>
        <v>#VALUE!</v>
      </c>
      <c r="BCI4" s="44" t="e">
        <f>ROUNDUP(IF(IFERROR(IF($BBJ4="","",IF($BBJ4=0,1,1-$BBJ4/HLOOKUP(BCI$3,[2]ARBOR_REAJUSTE18!$A:$AE,VLOOKUP($BBJ$2,[2]ARBOR_REAJUSTE18!$A:$B,2,0),0))),"")&lt;0.01%,0.01%,(IFERROR(IF($BBJ4="","",IF($BBJ4=0,1,1-$BBJ4/HLOOKUP(BCI$3,[2]ARBOR_REAJUSTE18!$A:$AE,VLOOKUP($BBJ$2,[2]ARBOR_REAJUSTE18!$A:$B,2,0),0))),""))),4)</f>
        <v>#VALUE!</v>
      </c>
      <c r="BCJ4" s="44" t="e">
        <f>ROUNDUP(IF(IFERROR(IF($BBJ4="","",IF($BBJ4=0,1,1-$BBJ4/HLOOKUP(BCJ$3,[2]ARBOR_REAJUSTE18!$A:$AE,VLOOKUP($BBJ$2,[2]ARBOR_REAJUSTE18!$A:$B,2,0),0))),"")&lt;0.01%,0.01%,(IFERROR(IF($BBJ4="","",IF($BBJ4=0,1,1-$BBJ4/HLOOKUP(BCJ$3,[2]ARBOR_REAJUSTE18!$A:$AE,VLOOKUP($BBJ$2,[2]ARBOR_REAJUSTE18!$A:$B,2,0),0))),""))),4)</f>
        <v>#VALUE!</v>
      </c>
      <c r="BCK4" s="44" t="e">
        <f>ROUNDUP(IF(IFERROR(IF($BBJ4="","",IF($BBJ4=0,1,1-$BBJ4/HLOOKUP(BCK$3,[2]ARBOR_REAJUSTE18!$A:$AE,VLOOKUP($BBJ$2,[2]ARBOR_REAJUSTE18!$A:$B,2,0),0))),"")&lt;0.01%,0.01%,(IFERROR(IF($BBJ4="","",IF($BBJ4=0,1,1-$BBJ4/HLOOKUP(BCK$3,[2]ARBOR_REAJUSTE18!$A:$AE,VLOOKUP($BBJ$2,[2]ARBOR_REAJUSTE18!$A:$B,2,0),0))),""))),4)</f>
        <v>#VALUE!</v>
      </c>
      <c r="BCL4" s="44" t="e">
        <f>ROUNDUP(IF(IFERROR(IF($BBJ4="","",IF($BBJ4=0,1,1-$BBJ4/HLOOKUP(BCL$3,[2]ARBOR_REAJUSTE18!$A:$AE,VLOOKUP($BBJ$2,[2]ARBOR_REAJUSTE18!$A:$B,2,0),0))),"")&lt;0.01%,0.01%,(IFERROR(IF($BBJ4="","",IF($BBJ4=0,1,1-$BBJ4/HLOOKUP(BCL$3,[2]ARBOR_REAJUSTE18!$A:$AE,VLOOKUP($BBJ$2,[2]ARBOR_REAJUSTE18!$A:$B,2,0),0))),""))),4)</f>
        <v>#VALUE!</v>
      </c>
      <c r="BCM4" s="56"/>
      <c r="BCN4" s="64"/>
      <c r="BCO4" s="44" t="e">
        <f>ROUNDUP(IF(IFERROR(IF($BCM4="","",IF($BCM4=0,1,1-$BCM4/HLOOKUP(BCO$3,[2]ARBOR_REAJUSTE18!$A:$AE,VLOOKUP($BCM$2,[2]ARBOR_REAJUSTE18!$A:$B,2,0),0))),"")&lt;0.01%,0.01%,(IFERROR(IF($BCM4="","",IF($BCM4=0,1,1-$BCM4/HLOOKUP(BCO$3,[2]ARBOR_REAJUSTE18!$A:$AE,VLOOKUP($BCM$2,[2]ARBOR_REAJUSTE18!$A:$B,2,0),0))),""))),4)</f>
        <v>#VALUE!</v>
      </c>
      <c r="BCP4" s="44" t="e">
        <f>ROUNDUP(IF(IFERROR(IF($BCM4="","",IF($BCM4=0,1,1-$BCM4/HLOOKUP(BCP$3,[2]ARBOR_REAJUSTE18!$A:$AE,VLOOKUP($BCM$2,[2]ARBOR_REAJUSTE18!$A:$B,2,0),0))),"")&lt;0.01%,0.01%,(IFERROR(IF($BCM4="","",IF($BCM4=0,1,1-$BCM4/HLOOKUP(BCP$3,[2]ARBOR_REAJUSTE18!$A:$AE,VLOOKUP($BCM$2,[2]ARBOR_REAJUSTE18!$A:$B,2,0),0))),""))),4)</f>
        <v>#VALUE!</v>
      </c>
      <c r="BCQ4" s="44" t="e">
        <f>ROUNDUP(IF(IFERROR(IF($BCM4="","",IF($BCM4=0,1,1-$BCM4/HLOOKUP(BCQ$3,[2]ARBOR_REAJUSTE18!$A:$AE,VLOOKUP($BCM$2,[2]ARBOR_REAJUSTE18!$A:$B,2,0),0))),"")&lt;0.01%,0.01%,(IFERROR(IF($BCM4="","",IF($BCM4=0,1,1-$BCM4/HLOOKUP(BCQ$3,[2]ARBOR_REAJUSTE18!$A:$AE,VLOOKUP($BCM$2,[2]ARBOR_REAJUSTE18!$A:$B,2,0),0))),""))),4)</f>
        <v>#VALUE!</v>
      </c>
      <c r="BCR4" s="44" t="e">
        <f>ROUNDUP(IF(IFERROR(IF($BCM4="","",IF($BCM4=0,1,1-$BCM4/HLOOKUP(BCR$3,[2]ARBOR_REAJUSTE18!$A:$AE,VLOOKUP($BCM$2,[2]ARBOR_REAJUSTE18!$A:$B,2,0),0))),"")&lt;0.01%,0.01%,(IFERROR(IF($BCM4="","",IF($BCM4=0,1,1-$BCM4/HLOOKUP(BCR$3,[2]ARBOR_REAJUSTE18!$A:$AE,VLOOKUP($BCM$2,[2]ARBOR_REAJUSTE18!$A:$B,2,0),0))),""))),4)</f>
        <v>#VALUE!</v>
      </c>
      <c r="BCS4" s="44" t="e">
        <f>ROUNDUP(IF(IFERROR(IF($BCM4="","",IF($BCM4=0,1,1-$BCM4/HLOOKUP(BCS$3,[2]ARBOR_REAJUSTE18!$A:$AE,VLOOKUP($BCM$2,[2]ARBOR_REAJUSTE18!$A:$B,2,0),0))),"")&lt;0.01%,0.01%,(IFERROR(IF($BCM4="","",IF($BCM4=0,1,1-$BCM4/HLOOKUP(BCS$3,[2]ARBOR_REAJUSTE18!$A:$AE,VLOOKUP($BCM$2,[2]ARBOR_REAJUSTE18!$A:$B,2,0),0))),""))),4)</f>
        <v>#VALUE!</v>
      </c>
      <c r="BCT4" s="44" t="e">
        <f>ROUNDUP(IF(IFERROR(IF($BCM4="","",IF($BCM4=0,1,1-$BCM4/HLOOKUP(BCT$3,[2]ARBOR_REAJUSTE18!$A:$AE,VLOOKUP($BCM$2,[2]ARBOR_REAJUSTE18!$A:$B,2,0),0))),"")&lt;0.01%,0.01%,(IFERROR(IF($BCM4="","",IF($BCM4=0,1,1-$BCM4/HLOOKUP(BCT$3,[2]ARBOR_REAJUSTE18!$A:$AE,VLOOKUP($BCM$2,[2]ARBOR_REAJUSTE18!$A:$B,2,0),0))),""))),4)</f>
        <v>#VALUE!</v>
      </c>
      <c r="BCU4" s="44" t="e">
        <f>ROUNDUP(IF(IFERROR(IF($BCM4="","",IF($BCM4=0,1,1-$BCM4/HLOOKUP(BCU$3,[2]ARBOR_REAJUSTE18!$A:$AE,VLOOKUP($BCM$2,[2]ARBOR_REAJUSTE18!$A:$B,2,0),0))),"")&lt;0.01%,0.01%,(IFERROR(IF($BCM4="","",IF($BCM4=0,1,1-$BCM4/HLOOKUP(BCU$3,[2]ARBOR_REAJUSTE18!$A:$AE,VLOOKUP($BCM$2,[2]ARBOR_REAJUSTE18!$A:$B,2,0),0))),""))),4)</f>
        <v>#VALUE!</v>
      </c>
      <c r="BCV4" s="44" t="e">
        <f>ROUNDUP(IF(IFERROR(IF($BCM4="","",IF($BCM4=0,1,1-$BCM4/HLOOKUP(BCV$3,[2]ARBOR_REAJUSTE18!$A:$AE,VLOOKUP($BCM$2,[2]ARBOR_REAJUSTE18!$A:$B,2,0),0))),"")&lt;0.01%,0.01%,(IFERROR(IF($BCM4="","",IF($BCM4=0,1,1-$BCM4/HLOOKUP(BCV$3,[2]ARBOR_REAJUSTE18!$A:$AE,VLOOKUP($BCM$2,[2]ARBOR_REAJUSTE18!$A:$B,2,0),0))),""))),4)</f>
        <v>#VALUE!</v>
      </c>
      <c r="BCW4" s="44" t="e">
        <f>ROUNDUP(IF(IFERROR(IF($BCM4="","",IF($BCM4=0,1,1-$BCM4/HLOOKUP(BCW$3,[2]ARBOR_REAJUSTE18!$A:$AE,VLOOKUP($BCM$2,[2]ARBOR_REAJUSTE18!$A:$B,2,0),0))),"")&lt;0.01%,0.01%,(IFERROR(IF($BCM4="","",IF($BCM4=0,1,1-$BCM4/HLOOKUP(BCW$3,[2]ARBOR_REAJUSTE18!$A:$AE,VLOOKUP($BCM$2,[2]ARBOR_REAJUSTE18!$A:$B,2,0),0))),""))),4)</f>
        <v>#VALUE!</v>
      </c>
      <c r="BCX4" s="44" t="e">
        <f>ROUNDUP(IF(IFERROR(IF($BCM4="","",IF($BCM4=0,1,1-$BCM4/HLOOKUP(BCX$3,[2]ARBOR_REAJUSTE18!$A:$AE,VLOOKUP($BCM$2,[2]ARBOR_REAJUSTE18!$A:$B,2,0),0))),"")&lt;0.01%,0.01%,(IFERROR(IF($BCM4="","",IF($BCM4=0,1,1-$BCM4/HLOOKUP(BCX$3,[2]ARBOR_REAJUSTE18!$A:$AE,VLOOKUP($BCM$2,[2]ARBOR_REAJUSTE18!$A:$B,2,0),0))),""))),4)</f>
        <v>#VALUE!</v>
      </c>
      <c r="BCY4" s="44" t="e">
        <f>ROUNDUP(IF(IFERROR(IF($BCM4="","",IF($BCM4=0,1,1-$BCM4/HLOOKUP(BCY$3,[2]ARBOR_REAJUSTE18!$A:$AE,VLOOKUP($BCM$2,[2]ARBOR_REAJUSTE18!$A:$B,2,0),0))),"")&lt;0.01%,0.01%,(IFERROR(IF($BCM4="","",IF($BCM4=0,1,1-$BCM4/HLOOKUP(BCY$3,[2]ARBOR_REAJUSTE18!$A:$AE,VLOOKUP($BCM$2,[2]ARBOR_REAJUSTE18!$A:$B,2,0),0))),""))),4)</f>
        <v>#VALUE!</v>
      </c>
      <c r="BCZ4" s="44" t="e">
        <f>ROUNDUP(IF(IFERROR(IF($BCM4="","",IF($BCM4=0,1,1-$BCM4/HLOOKUP(BCZ$3,[2]ARBOR_REAJUSTE18!$A:$AE,VLOOKUP($BCM$2,[2]ARBOR_REAJUSTE18!$A:$B,2,0),0))),"")&lt;0.01%,0.01%,(IFERROR(IF($BCM4="","",IF($BCM4=0,1,1-$BCM4/HLOOKUP(BCZ$3,[2]ARBOR_REAJUSTE18!$A:$AE,VLOOKUP($BCM$2,[2]ARBOR_REAJUSTE18!$A:$B,2,0),0))),""))),4)</f>
        <v>#VALUE!</v>
      </c>
      <c r="BDA4" s="44" t="e">
        <f>ROUNDUP(IF(IFERROR(IF($BCM4="","",IF($BCM4=0,1,1-$BCM4/HLOOKUP(BDA$3,[2]ARBOR_REAJUSTE18!$A:$AE,VLOOKUP($BCM$2,[2]ARBOR_REAJUSTE18!$A:$B,2,0),0))),"")&lt;0.01%,0.01%,(IFERROR(IF($BCM4="","",IF($BCM4=0,1,1-$BCM4/HLOOKUP(BDA$3,[2]ARBOR_REAJUSTE18!$A:$AE,VLOOKUP($BCM$2,[2]ARBOR_REAJUSTE18!$A:$B,2,0),0))),""))),4)</f>
        <v>#VALUE!</v>
      </c>
      <c r="BDB4" s="44" t="e">
        <f>ROUNDUP(IF(IFERROR(IF($BCM4="","",IF($BCM4=0,1,1-$BCM4/HLOOKUP(BDB$3,[2]ARBOR_REAJUSTE18!$A:$AE,VLOOKUP($BCM$2,[2]ARBOR_REAJUSTE18!$A:$B,2,0),0))),"")&lt;0.01%,0.01%,(IFERROR(IF($BCM4="","",IF($BCM4=0,1,1-$BCM4/HLOOKUP(BDB$3,[2]ARBOR_REAJUSTE18!$A:$AE,VLOOKUP($BCM$2,[2]ARBOR_REAJUSTE18!$A:$B,2,0),0))),""))),4)</f>
        <v>#VALUE!</v>
      </c>
      <c r="BDC4" s="44" t="e">
        <f>ROUNDUP(IF(IFERROR(IF($BCM4="","",IF($BCM4=0,1,1-$BCM4/HLOOKUP(BDC$3,[2]ARBOR_REAJUSTE18!$A:$AE,VLOOKUP($BCM$2,[2]ARBOR_REAJUSTE18!$A:$B,2,0),0))),"")&lt;0.01%,0.01%,(IFERROR(IF($BCM4="","",IF($BCM4=0,1,1-$BCM4/HLOOKUP(BDC$3,[2]ARBOR_REAJUSTE18!$A:$AE,VLOOKUP($BCM$2,[2]ARBOR_REAJUSTE18!$A:$B,2,0),0))),""))),4)</f>
        <v>#VALUE!</v>
      </c>
      <c r="BDD4" s="44" t="e">
        <f>ROUNDUP(IF(IFERROR(IF($BCM4="","",IF($BCM4=0,1,1-$BCM4/HLOOKUP(BDD$3,[2]ARBOR_REAJUSTE18!$A:$AE,VLOOKUP($BCM$2,[2]ARBOR_REAJUSTE18!$A:$B,2,0),0))),"")&lt;0.01%,0.01%,(IFERROR(IF($BCM4="","",IF($BCM4=0,1,1-$BCM4/HLOOKUP(BDD$3,[2]ARBOR_REAJUSTE18!$A:$AE,VLOOKUP($BCM$2,[2]ARBOR_REAJUSTE18!$A:$B,2,0),0))),""))),4)</f>
        <v>#VALUE!</v>
      </c>
      <c r="BDE4" s="44" t="e">
        <f>ROUNDUP(IF(IFERROR(IF($BCM4="","",IF($BCM4=0,1,1-$BCM4/HLOOKUP(BDE$3,[2]ARBOR_REAJUSTE18!$A:$AE,VLOOKUP($BCM$2,[2]ARBOR_REAJUSTE18!$A:$B,2,0),0))),"")&lt;0.01%,0.01%,(IFERROR(IF($BCM4="","",IF($BCM4=0,1,1-$BCM4/HLOOKUP(BDE$3,[2]ARBOR_REAJUSTE18!$A:$AE,VLOOKUP($BCM$2,[2]ARBOR_REAJUSTE18!$A:$B,2,0),0))),""))),4)</f>
        <v>#VALUE!</v>
      </c>
      <c r="BDF4" s="44" t="e">
        <f>ROUNDUP(IF(IFERROR(IF($BCM4="","",IF($BCM4=0,1,1-$BCM4/HLOOKUP(BDF$3,[2]ARBOR_REAJUSTE18!$A:$AE,VLOOKUP($BCM$2,[2]ARBOR_REAJUSTE18!$A:$B,2,0),0))),"")&lt;0.01%,0.01%,(IFERROR(IF($BCM4="","",IF($BCM4=0,1,1-$BCM4/HLOOKUP(BDF$3,[2]ARBOR_REAJUSTE18!$A:$AE,VLOOKUP($BCM$2,[2]ARBOR_REAJUSTE18!$A:$B,2,0),0))),""))),4)</f>
        <v>#VALUE!</v>
      </c>
      <c r="BDG4" s="44" t="e">
        <f>ROUNDUP(IF(IFERROR(IF($BCM4="","",IF($BCM4=0,1,1-$BCM4/HLOOKUP(BDG$3,[2]ARBOR_REAJUSTE18!$A:$AE,VLOOKUP($BCM$2,[2]ARBOR_REAJUSTE18!$A:$B,2,0),0))),"")&lt;0.01%,0.01%,(IFERROR(IF($BCM4="","",IF($BCM4=0,1,1-$BCM4/HLOOKUP(BDG$3,[2]ARBOR_REAJUSTE18!$A:$AE,VLOOKUP($BCM$2,[2]ARBOR_REAJUSTE18!$A:$B,2,0),0))),""))),4)</f>
        <v>#VALUE!</v>
      </c>
      <c r="BDH4" s="44" t="e">
        <f>ROUNDUP(IF(IFERROR(IF($BCM4="","",IF($BCM4=0,1,1-$BCM4/HLOOKUP(BDH$3,[2]ARBOR_REAJUSTE18!$A:$AE,VLOOKUP($BCM$2,[2]ARBOR_REAJUSTE18!$A:$B,2,0),0))),"")&lt;0.01%,0.01%,(IFERROR(IF($BCM4="","",IF($BCM4=0,1,1-$BCM4/HLOOKUP(BDH$3,[2]ARBOR_REAJUSTE18!$A:$AE,VLOOKUP($BCM$2,[2]ARBOR_REAJUSTE18!$A:$B,2,0),0))),""))),4)</f>
        <v>#VALUE!</v>
      </c>
      <c r="BDI4" s="44" t="e">
        <f>ROUNDUP(IF(IFERROR(IF($BCM4="","",IF($BCM4=0,1,1-$BCM4/HLOOKUP(BDI$3,[2]ARBOR_REAJUSTE18!$A:$AE,VLOOKUP($BCM$2,[2]ARBOR_REAJUSTE18!$A:$B,2,0),0))),"")&lt;0.01%,0.01%,(IFERROR(IF($BCM4="","",IF($BCM4=0,1,1-$BCM4/HLOOKUP(BDI$3,[2]ARBOR_REAJUSTE18!$A:$AE,VLOOKUP($BCM$2,[2]ARBOR_REAJUSTE18!$A:$B,2,0),0))),""))),4)</f>
        <v>#VALUE!</v>
      </c>
      <c r="BDJ4" s="44" t="e">
        <f>ROUNDUP(IF(IFERROR(IF($BCM4="","",IF($BCM4=0,1,1-$BCM4/HLOOKUP(BDJ$3,[2]ARBOR_REAJUSTE18!$A:$AE,VLOOKUP($BCM$2,[2]ARBOR_REAJUSTE18!$A:$B,2,0),0))),"")&lt;0.01%,0.01%,(IFERROR(IF($BCM4="","",IF($BCM4=0,1,1-$BCM4/HLOOKUP(BDJ$3,[2]ARBOR_REAJUSTE18!$A:$AE,VLOOKUP($BCM$2,[2]ARBOR_REAJUSTE18!$A:$B,2,0),0))),""))),4)</f>
        <v>#VALUE!</v>
      </c>
      <c r="BDK4" s="44" t="e">
        <f>ROUNDUP(IF(IFERROR(IF($BCM4="","",IF($BCM4=0,1,1-$BCM4/HLOOKUP(BDK$3,[2]ARBOR_REAJUSTE18!$A:$AE,VLOOKUP($BCM$2,[2]ARBOR_REAJUSTE18!$A:$B,2,0),0))),"")&lt;0.01%,0.01%,(IFERROR(IF($BCM4="","",IF($BCM4=0,1,1-$BCM4/HLOOKUP(BDK$3,[2]ARBOR_REAJUSTE18!$A:$AE,VLOOKUP($BCM$2,[2]ARBOR_REAJUSTE18!$A:$B,2,0),0))),""))),4)</f>
        <v>#VALUE!</v>
      </c>
      <c r="BDL4" s="44" t="e">
        <f>ROUNDUP(IF(IFERROR(IF($BCM4="","",IF($BCM4=0,1,1-$BCM4/HLOOKUP(BDL$3,[2]ARBOR_REAJUSTE18!$A:$AE,VLOOKUP($BCM$2,[2]ARBOR_REAJUSTE18!$A:$B,2,0),0))),"")&lt;0.01%,0.01%,(IFERROR(IF($BCM4="","",IF($BCM4=0,1,1-$BCM4/HLOOKUP(BDL$3,[2]ARBOR_REAJUSTE18!$A:$AE,VLOOKUP($BCM$2,[2]ARBOR_REAJUSTE18!$A:$B,2,0),0))),""))),4)</f>
        <v>#VALUE!</v>
      </c>
      <c r="BDM4" s="44" t="e">
        <f>ROUNDUP(IF(IFERROR(IF($BCM4="","",IF($BCM4=0,1,1-$BCM4/HLOOKUP(BDM$3,[2]ARBOR_REAJUSTE18!$A:$AE,VLOOKUP($BCM$2,[2]ARBOR_REAJUSTE18!$A:$B,2,0),0))),"")&lt;0.01%,0.01%,(IFERROR(IF($BCM4="","",IF($BCM4=0,1,1-$BCM4/HLOOKUP(BDM$3,[2]ARBOR_REAJUSTE18!$A:$AE,VLOOKUP($BCM$2,[2]ARBOR_REAJUSTE18!$A:$B,2,0),0))),""))),4)</f>
        <v>#VALUE!</v>
      </c>
      <c r="BDN4" s="44" t="e">
        <f>ROUNDUP(IF(IFERROR(IF($BCM4="","",IF($BCM4=0,1,1-$BCM4/HLOOKUP(BDN$3,[2]ARBOR_REAJUSTE18!$A:$AE,VLOOKUP($BCM$2,[2]ARBOR_REAJUSTE18!$A:$B,2,0),0))),"")&lt;0.01%,0.01%,(IFERROR(IF($BCM4="","",IF($BCM4=0,1,1-$BCM4/HLOOKUP(BDN$3,[2]ARBOR_REAJUSTE18!$A:$AE,VLOOKUP($BCM$2,[2]ARBOR_REAJUSTE18!$A:$B,2,0),0))),""))),4)</f>
        <v>#VALUE!</v>
      </c>
      <c r="BDO4" s="44" t="e">
        <f>ROUNDUP(IF(IFERROR(IF($BCM4="","",IF($BCM4=0,1,1-$BCM4/HLOOKUP(BDO$3,[2]ARBOR_REAJUSTE18!$A:$AE,VLOOKUP($BCM$2,[2]ARBOR_REAJUSTE18!$A:$B,2,0),0))),"")&lt;0.01%,0.01%,(IFERROR(IF($BCM4="","",IF($BCM4=0,1,1-$BCM4/HLOOKUP(BDO$3,[2]ARBOR_REAJUSTE18!$A:$AE,VLOOKUP($BCM$2,[2]ARBOR_REAJUSTE18!$A:$B,2,0),0))),""))),4)</f>
        <v>#VALUE!</v>
      </c>
      <c r="BDP4" s="56"/>
      <c r="BDQ4" s="64"/>
      <c r="BDR4" s="44" t="e">
        <f>ROUNDUP(IF(IFERROR(IF($BDP4="","",IF($BDP4=0,1,1-$BDP4/HLOOKUP(BDR$3,[2]ARBOR_REAJUSTE18!$A:$AE,VLOOKUP($BDP$2,[2]ARBOR_REAJUSTE18!$A:$B,2,0),0))),"")&lt;0.01%,0.01%,(IFERROR(IF($BDP4="","",IF($BDP4=0,1,1-$BDP4/HLOOKUP(BDR$3,[2]ARBOR_REAJUSTE18!$A:$AE,VLOOKUP($BDP$2,[2]ARBOR_REAJUSTE18!$A:$B,2,0),0))),""))),4)</f>
        <v>#VALUE!</v>
      </c>
      <c r="BDS4" s="44" t="e">
        <f>ROUNDUP(IF(IFERROR(IF($BDP4="","",IF($BDP4=0,1,1-$BDP4/HLOOKUP(BDS$3,[2]ARBOR_REAJUSTE18!$A:$AE,VLOOKUP($BDP$2,[2]ARBOR_REAJUSTE18!$A:$B,2,0),0))),"")&lt;0.01%,0.01%,(IFERROR(IF($BDP4="","",IF($BDP4=0,1,1-$BDP4/HLOOKUP(BDS$3,[2]ARBOR_REAJUSTE18!$A:$AE,VLOOKUP($BDP$2,[2]ARBOR_REAJUSTE18!$A:$B,2,0),0))),""))),4)</f>
        <v>#VALUE!</v>
      </c>
      <c r="BDT4" s="44" t="e">
        <f>ROUNDUP(IF(IFERROR(IF($BDP4="","",IF($BDP4=0,1,1-$BDP4/HLOOKUP(BDT$3,[2]ARBOR_REAJUSTE18!$A:$AE,VLOOKUP($BDP$2,[2]ARBOR_REAJUSTE18!$A:$B,2,0),0))),"")&lt;0.01%,0.01%,(IFERROR(IF($BDP4="","",IF($BDP4=0,1,1-$BDP4/HLOOKUP(BDT$3,[2]ARBOR_REAJUSTE18!$A:$AE,VLOOKUP($BDP$2,[2]ARBOR_REAJUSTE18!$A:$B,2,0),0))),""))),4)</f>
        <v>#VALUE!</v>
      </c>
      <c r="BDU4" s="44" t="e">
        <f>ROUNDUP(IF(IFERROR(IF($BDP4="","",IF($BDP4=0,1,1-$BDP4/HLOOKUP(BDU$3,[2]ARBOR_REAJUSTE18!$A:$AE,VLOOKUP($BDP$2,[2]ARBOR_REAJUSTE18!$A:$B,2,0),0))),"")&lt;0.01%,0.01%,(IFERROR(IF($BDP4="","",IF($BDP4=0,1,1-$BDP4/HLOOKUP(BDU$3,[2]ARBOR_REAJUSTE18!$A:$AE,VLOOKUP($BDP$2,[2]ARBOR_REAJUSTE18!$A:$B,2,0),0))),""))),4)</f>
        <v>#VALUE!</v>
      </c>
      <c r="BDV4" s="44" t="e">
        <f>ROUNDUP(IF(IFERROR(IF($BDP4="","",IF($BDP4=0,1,1-$BDP4/HLOOKUP(BDV$3,[2]ARBOR_REAJUSTE18!$A:$AE,VLOOKUP($BDP$2,[2]ARBOR_REAJUSTE18!$A:$B,2,0),0))),"")&lt;0.01%,0.01%,(IFERROR(IF($BDP4="","",IF($BDP4=0,1,1-$BDP4/HLOOKUP(BDV$3,[2]ARBOR_REAJUSTE18!$A:$AE,VLOOKUP($BDP$2,[2]ARBOR_REAJUSTE18!$A:$B,2,0),0))),""))),4)</f>
        <v>#VALUE!</v>
      </c>
      <c r="BDW4" s="44" t="e">
        <f>ROUNDUP(IF(IFERROR(IF($BDP4="","",IF($BDP4=0,1,1-$BDP4/HLOOKUP(BDW$3,[2]ARBOR_REAJUSTE18!$A:$AE,VLOOKUP($BDP$2,[2]ARBOR_REAJUSTE18!$A:$B,2,0),0))),"")&lt;0.01%,0.01%,(IFERROR(IF($BDP4="","",IF($BDP4=0,1,1-$BDP4/HLOOKUP(BDW$3,[2]ARBOR_REAJUSTE18!$A:$AE,VLOOKUP($BDP$2,[2]ARBOR_REAJUSTE18!$A:$B,2,0),0))),""))),4)</f>
        <v>#VALUE!</v>
      </c>
      <c r="BDX4" s="44" t="e">
        <f>ROUNDUP(IF(IFERROR(IF($BDP4="","",IF($BDP4=0,1,1-$BDP4/HLOOKUP(BDX$3,[2]ARBOR_REAJUSTE18!$A:$AE,VLOOKUP($BDP$2,[2]ARBOR_REAJUSTE18!$A:$B,2,0),0))),"")&lt;0.01%,0.01%,(IFERROR(IF($BDP4="","",IF($BDP4=0,1,1-$BDP4/HLOOKUP(BDX$3,[2]ARBOR_REAJUSTE18!$A:$AE,VLOOKUP($BDP$2,[2]ARBOR_REAJUSTE18!$A:$B,2,0),0))),""))),4)</f>
        <v>#VALUE!</v>
      </c>
      <c r="BDY4" s="44" t="e">
        <f>ROUNDUP(IF(IFERROR(IF($BDP4="","",IF($BDP4=0,1,1-$BDP4/HLOOKUP(BDY$3,[2]ARBOR_REAJUSTE18!$A:$AE,VLOOKUP($BDP$2,[2]ARBOR_REAJUSTE18!$A:$B,2,0),0))),"")&lt;0.01%,0.01%,(IFERROR(IF($BDP4="","",IF($BDP4=0,1,1-$BDP4/HLOOKUP(BDY$3,[2]ARBOR_REAJUSTE18!$A:$AE,VLOOKUP($BDP$2,[2]ARBOR_REAJUSTE18!$A:$B,2,0),0))),""))),4)</f>
        <v>#VALUE!</v>
      </c>
      <c r="BDZ4" s="44" t="e">
        <f>ROUNDUP(IF(IFERROR(IF($BDP4="","",IF($BDP4=0,1,1-$BDP4/HLOOKUP(BDZ$3,[2]ARBOR_REAJUSTE18!$A:$AE,VLOOKUP($BDP$2,[2]ARBOR_REAJUSTE18!$A:$B,2,0),0))),"")&lt;0.01%,0.01%,(IFERROR(IF($BDP4="","",IF($BDP4=0,1,1-$BDP4/HLOOKUP(BDZ$3,[2]ARBOR_REAJUSTE18!$A:$AE,VLOOKUP($BDP$2,[2]ARBOR_REAJUSTE18!$A:$B,2,0),0))),""))),4)</f>
        <v>#VALUE!</v>
      </c>
      <c r="BEA4" s="44" t="e">
        <f>ROUNDUP(IF(IFERROR(IF($BDP4="","",IF($BDP4=0,1,1-$BDP4/HLOOKUP(BEA$3,[2]ARBOR_REAJUSTE18!$A:$AE,VLOOKUP($BDP$2,[2]ARBOR_REAJUSTE18!$A:$B,2,0),0))),"")&lt;0.01%,0.01%,(IFERROR(IF($BDP4="","",IF($BDP4=0,1,1-$BDP4/HLOOKUP(BEA$3,[2]ARBOR_REAJUSTE18!$A:$AE,VLOOKUP($BDP$2,[2]ARBOR_REAJUSTE18!$A:$B,2,0),0))),""))),4)</f>
        <v>#VALUE!</v>
      </c>
      <c r="BEB4" s="44" t="e">
        <f>ROUNDUP(IF(IFERROR(IF($BDP4="","",IF($BDP4=0,1,1-$BDP4/HLOOKUP(BEB$3,[2]ARBOR_REAJUSTE18!$A:$AE,VLOOKUP($BDP$2,[2]ARBOR_REAJUSTE18!$A:$B,2,0),0))),"")&lt;0.01%,0.01%,(IFERROR(IF($BDP4="","",IF($BDP4=0,1,1-$BDP4/HLOOKUP(BEB$3,[2]ARBOR_REAJUSTE18!$A:$AE,VLOOKUP($BDP$2,[2]ARBOR_REAJUSTE18!$A:$B,2,0),0))),""))),4)</f>
        <v>#VALUE!</v>
      </c>
      <c r="BEC4" s="44" t="e">
        <f>ROUNDUP(IF(IFERROR(IF($BDP4="","",IF($BDP4=0,1,1-$BDP4/HLOOKUP(BEC$3,[2]ARBOR_REAJUSTE18!$A:$AE,VLOOKUP($BDP$2,[2]ARBOR_REAJUSTE18!$A:$B,2,0),0))),"")&lt;0.01%,0.01%,(IFERROR(IF($BDP4="","",IF($BDP4=0,1,1-$BDP4/HLOOKUP(BEC$3,[2]ARBOR_REAJUSTE18!$A:$AE,VLOOKUP($BDP$2,[2]ARBOR_REAJUSTE18!$A:$B,2,0),0))),""))),4)</f>
        <v>#VALUE!</v>
      </c>
      <c r="BED4" s="44" t="e">
        <f>ROUNDUP(IF(IFERROR(IF($BDP4="","",IF($BDP4=0,1,1-$BDP4/HLOOKUP(BED$3,[2]ARBOR_REAJUSTE18!$A:$AE,VLOOKUP($BDP$2,[2]ARBOR_REAJUSTE18!$A:$B,2,0),0))),"")&lt;0.01%,0.01%,(IFERROR(IF($BDP4="","",IF($BDP4=0,1,1-$BDP4/HLOOKUP(BED$3,[2]ARBOR_REAJUSTE18!$A:$AE,VLOOKUP($BDP$2,[2]ARBOR_REAJUSTE18!$A:$B,2,0),0))),""))),4)</f>
        <v>#VALUE!</v>
      </c>
      <c r="BEE4" s="44" t="e">
        <f>ROUNDUP(IF(IFERROR(IF($BDP4="","",IF($BDP4=0,1,1-$BDP4/HLOOKUP(BEE$3,[2]ARBOR_REAJUSTE18!$A:$AE,VLOOKUP($BDP$2,[2]ARBOR_REAJUSTE18!$A:$B,2,0),0))),"")&lt;0.01%,0.01%,(IFERROR(IF($BDP4="","",IF($BDP4=0,1,1-$BDP4/HLOOKUP(BEE$3,[2]ARBOR_REAJUSTE18!$A:$AE,VLOOKUP($BDP$2,[2]ARBOR_REAJUSTE18!$A:$B,2,0),0))),""))),4)</f>
        <v>#VALUE!</v>
      </c>
      <c r="BEF4" s="44" t="e">
        <f>ROUNDUP(IF(IFERROR(IF($BDP4="","",IF($BDP4=0,1,1-$BDP4/HLOOKUP(BEF$3,[2]ARBOR_REAJUSTE18!$A:$AE,VLOOKUP($BDP$2,[2]ARBOR_REAJUSTE18!$A:$B,2,0),0))),"")&lt;0.01%,0.01%,(IFERROR(IF($BDP4="","",IF($BDP4=0,1,1-$BDP4/HLOOKUP(BEF$3,[2]ARBOR_REAJUSTE18!$A:$AE,VLOOKUP($BDP$2,[2]ARBOR_REAJUSTE18!$A:$B,2,0),0))),""))),4)</f>
        <v>#VALUE!</v>
      </c>
      <c r="BEG4" s="44" t="e">
        <f>ROUNDUP(IF(IFERROR(IF($BDP4="","",IF($BDP4=0,1,1-$BDP4/HLOOKUP(BEG$3,[2]ARBOR_REAJUSTE18!$A:$AE,VLOOKUP($BDP$2,[2]ARBOR_REAJUSTE18!$A:$B,2,0),0))),"")&lt;0.01%,0.01%,(IFERROR(IF($BDP4="","",IF($BDP4=0,1,1-$BDP4/HLOOKUP(BEG$3,[2]ARBOR_REAJUSTE18!$A:$AE,VLOOKUP($BDP$2,[2]ARBOR_REAJUSTE18!$A:$B,2,0),0))),""))),4)</f>
        <v>#VALUE!</v>
      </c>
      <c r="BEH4" s="44" t="e">
        <f>ROUNDUP(IF(IFERROR(IF($BDP4="","",IF($BDP4=0,1,1-$BDP4/HLOOKUP(BEH$3,[2]ARBOR_REAJUSTE18!$A:$AE,VLOOKUP($BDP$2,[2]ARBOR_REAJUSTE18!$A:$B,2,0),0))),"")&lt;0.01%,0.01%,(IFERROR(IF($BDP4="","",IF($BDP4=0,1,1-$BDP4/HLOOKUP(BEH$3,[2]ARBOR_REAJUSTE18!$A:$AE,VLOOKUP($BDP$2,[2]ARBOR_REAJUSTE18!$A:$B,2,0),0))),""))),4)</f>
        <v>#VALUE!</v>
      </c>
      <c r="BEI4" s="44" t="e">
        <f>ROUNDUP(IF(IFERROR(IF($BDP4="","",IF($BDP4=0,1,1-$BDP4/HLOOKUP(BEI$3,[2]ARBOR_REAJUSTE18!$A:$AE,VLOOKUP($BDP$2,[2]ARBOR_REAJUSTE18!$A:$B,2,0),0))),"")&lt;0.01%,0.01%,(IFERROR(IF($BDP4="","",IF($BDP4=0,1,1-$BDP4/HLOOKUP(BEI$3,[2]ARBOR_REAJUSTE18!$A:$AE,VLOOKUP($BDP$2,[2]ARBOR_REAJUSTE18!$A:$B,2,0),0))),""))),4)</f>
        <v>#VALUE!</v>
      </c>
      <c r="BEJ4" s="44" t="e">
        <f>ROUNDUP(IF(IFERROR(IF($BDP4="","",IF($BDP4=0,1,1-$BDP4/HLOOKUP(BEJ$3,[2]ARBOR_REAJUSTE18!$A:$AE,VLOOKUP($BDP$2,[2]ARBOR_REAJUSTE18!$A:$B,2,0),0))),"")&lt;0.01%,0.01%,(IFERROR(IF($BDP4="","",IF($BDP4=0,1,1-$BDP4/HLOOKUP(BEJ$3,[2]ARBOR_REAJUSTE18!$A:$AE,VLOOKUP($BDP$2,[2]ARBOR_REAJUSTE18!$A:$B,2,0),0))),""))),4)</f>
        <v>#VALUE!</v>
      </c>
      <c r="BEK4" s="44" t="e">
        <f>ROUNDUP(IF(IFERROR(IF($BDP4="","",IF($BDP4=0,1,1-$BDP4/HLOOKUP(BEK$3,[2]ARBOR_REAJUSTE18!$A:$AE,VLOOKUP($BDP$2,[2]ARBOR_REAJUSTE18!$A:$B,2,0),0))),"")&lt;0.01%,0.01%,(IFERROR(IF($BDP4="","",IF($BDP4=0,1,1-$BDP4/HLOOKUP(BEK$3,[2]ARBOR_REAJUSTE18!$A:$AE,VLOOKUP($BDP$2,[2]ARBOR_REAJUSTE18!$A:$B,2,0),0))),""))),4)</f>
        <v>#VALUE!</v>
      </c>
      <c r="BEL4" s="44" t="e">
        <f>ROUNDUP(IF(IFERROR(IF($BDP4="","",IF($BDP4=0,1,1-$BDP4/HLOOKUP(BEL$3,[2]ARBOR_REAJUSTE18!$A:$AE,VLOOKUP($BDP$2,[2]ARBOR_REAJUSTE18!$A:$B,2,0),0))),"")&lt;0.01%,0.01%,(IFERROR(IF($BDP4="","",IF($BDP4=0,1,1-$BDP4/HLOOKUP(BEL$3,[2]ARBOR_REAJUSTE18!$A:$AE,VLOOKUP($BDP$2,[2]ARBOR_REAJUSTE18!$A:$B,2,0),0))),""))),4)</f>
        <v>#VALUE!</v>
      </c>
      <c r="BEM4" s="44" t="e">
        <f>ROUNDUP(IF(IFERROR(IF($BDP4="","",IF($BDP4=0,1,1-$BDP4/HLOOKUP(BEM$3,[2]ARBOR_REAJUSTE18!$A:$AE,VLOOKUP($BDP$2,[2]ARBOR_REAJUSTE18!$A:$B,2,0),0))),"")&lt;0.01%,0.01%,(IFERROR(IF($BDP4="","",IF($BDP4=0,1,1-$BDP4/HLOOKUP(BEM$3,[2]ARBOR_REAJUSTE18!$A:$AE,VLOOKUP($BDP$2,[2]ARBOR_REAJUSTE18!$A:$B,2,0),0))),""))),4)</f>
        <v>#VALUE!</v>
      </c>
      <c r="BEN4" s="44" t="e">
        <f>ROUNDUP(IF(IFERROR(IF($BDP4="","",IF($BDP4=0,1,1-$BDP4/HLOOKUP(BEN$3,[2]ARBOR_REAJUSTE18!$A:$AE,VLOOKUP($BDP$2,[2]ARBOR_REAJUSTE18!$A:$B,2,0),0))),"")&lt;0.01%,0.01%,(IFERROR(IF($BDP4="","",IF($BDP4=0,1,1-$BDP4/HLOOKUP(BEN$3,[2]ARBOR_REAJUSTE18!$A:$AE,VLOOKUP($BDP$2,[2]ARBOR_REAJUSTE18!$A:$B,2,0),0))),""))),4)</f>
        <v>#VALUE!</v>
      </c>
      <c r="BEO4" s="44" t="e">
        <f>ROUNDUP(IF(IFERROR(IF($BDP4="","",IF($BDP4=0,1,1-$BDP4/HLOOKUP(BEO$3,[2]ARBOR_REAJUSTE18!$A:$AE,VLOOKUP($BDP$2,[2]ARBOR_REAJUSTE18!$A:$B,2,0),0))),"")&lt;0.01%,0.01%,(IFERROR(IF($BDP4="","",IF($BDP4=0,1,1-$BDP4/HLOOKUP(BEO$3,[2]ARBOR_REAJUSTE18!$A:$AE,VLOOKUP($BDP$2,[2]ARBOR_REAJUSTE18!$A:$B,2,0),0))),""))),4)</f>
        <v>#VALUE!</v>
      </c>
      <c r="BEP4" s="44" t="e">
        <f>ROUNDUP(IF(IFERROR(IF($BDP4="","",IF($BDP4=0,1,1-$BDP4/HLOOKUP(BEP$3,[2]ARBOR_REAJUSTE18!$A:$AE,VLOOKUP($BDP$2,[2]ARBOR_REAJUSTE18!$A:$B,2,0),0))),"")&lt;0.01%,0.01%,(IFERROR(IF($BDP4="","",IF($BDP4=0,1,1-$BDP4/HLOOKUP(BEP$3,[2]ARBOR_REAJUSTE18!$A:$AE,VLOOKUP($BDP$2,[2]ARBOR_REAJUSTE18!$A:$B,2,0),0))),""))),4)</f>
        <v>#VALUE!</v>
      </c>
      <c r="BEQ4" s="44" t="e">
        <f>ROUNDUP(IF(IFERROR(IF($BDP4="","",IF($BDP4=0,1,1-$BDP4/HLOOKUP(BEQ$3,[2]ARBOR_REAJUSTE18!$A:$AE,VLOOKUP($BDP$2,[2]ARBOR_REAJUSTE18!$A:$B,2,0),0))),"")&lt;0.01%,0.01%,(IFERROR(IF($BDP4="","",IF($BDP4=0,1,1-$BDP4/HLOOKUP(BEQ$3,[2]ARBOR_REAJUSTE18!$A:$AE,VLOOKUP($BDP$2,[2]ARBOR_REAJUSTE18!$A:$B,2,0),0))),""))),4)</f>
        <v>#VALUE!</v>
      </c>
      <c r="BER4" s="44" t="e">
        <f>ROUNDUP(IF(IFERROR(IF($BDP4="","",IF($BDP4=0,1,1-$BDP4/HLOOKUP(BER$3,[2]ARBOR_REAJUSTE18!$A:$AE,VLOOKUP($BDP$2,[2]ARBOR_REAJUSTE18!$A:$B,2,0),0))),"")&lt;0.01%,0.01%,(IFERROR(IF($BDP4="","",IF($BDP4=0,1,1-$BDP4/HLOOKUP(BER$3,[2]ARBOR_REAJUSTE18!$A:$AE,VLOOKUP($BDP$2,[2]ARBOR_REAJUSTE18!$A:$B,2,0),0))),""))),4)</f>
        <v>#VALUE!</v>
      </c>
      <c r="BES4" s="56"/>
      <c r="BET4" s="64"/>
      <c r="BEU4" s="44" t="e">
        <f>ROUNDUP(IF(IFERROR(IF($BES4="","",IF($BES4=0,1,1-$BES4/HLOOKUP(BEU$3,[2]ARBOR_REAJUSTE18!$A:$AE,VLOOKUP($BES$2,[2]ARBOR_REAJUSTE18!$A:$B,2,0),0))),"")&lt;0.01%,0.01%,(IFERROR(IF($BES4="","",IF($BES4=0,1,1-$BES4/HLOOKUP(BEU$3,[2]ARBOR_REAJUSTE18!$A:$AE,VLOOKUP($BES$2,[2]ARBOR_REAJUSTE18!$A:$B,2,0),0))),""))),4)</f>
        <v>#VALUE!</v>
      </c>
      <c r="BEV4" s="44" t="e">
        <f>ROUNDUP(IF(IFERROR(IF($BES4="","",IF($BES4=0,1,1-$BES4/HLOOKUP(BEV$3,[2]ARBOR_REAJUSTE18!$A:$AE,VLOOKUP($BES$2,[2]ARBOR_REAJUSTE18!$A:$B,2,0),0))),"")&lt;0.01%,0.01%,(IFERROR(IF($BES4="","",IF($BES4=0,1,1-$BES4/HLOOKUP(BEV$3,[2]ARBOR_REAJUSTE18!$A:$AE,VLOOKUP($BES$2,[2]ARBOR_REAJUSTE18!$A:$B,2,0),0))),""))),4)</f>
        <v>#VALUE!</v>
      </c>
      <c r="BEW4" s="44" t="e">
        <f>ROUNDUP(IF(IFERROR(IF($BES4="","",IF($BES4=0,1,1-$BES4/HLOOKUP(BEW$3,[2]ARBOR_REAJUSTE18!$A:$AE,VLOOKUP($BES$2,[2]ARBOR_REAJUSTE18!$A:$B,2,0),0))),"")&lt;0.01%,0.01%,(IFERROR(IF($BES4="","",IF($BES4=0,1,1-$BES4/HLOOKUP(BEW$3,[2]ARBOR_REAJUSTE18!$A:$AE,VLOOKUP($BES$2,[2]ARBOR_REAJUSTE18!$A:$B,2,0),0))),""))),4)</f>
        <v>#VALUE!</v>
      </c>
      <c r="BEX4" s="44" t="e">
        <f>ROUNDUP(IF(IFERROR(IF($BES4="","",IF($BES4=0,1,1-$BES4/HLOOKUP(BEX$3,[2]ARBOR_REAJUSTE18!$A:$AE,VLOOKUP($BES$2,[2]ARBOR_REAJUSTE18!$A:$B,2,0),0))),"")&lt;0.01%,0.01%,(IFERROR(IF($BES4="","",IF($BES4=0,1,1-$BES4/HLOOKUP(BEX$3,[2]ARBOR_REAJUSTE18!$A:$AE,VLOOKUP($BES$2,[2]ARBOR_REAJUSTE18!$A:$B,2,0),0))),""))),4)</f>
        <v>#VALUE!</v>
      </c>
      <c r="BEY4" s="44" t="e">
        <f>ROUNDUP(IF(IFERROR(IF($BES4="","",IF($BES4=0,1,1-$BES4/HLOOKUP(BEY$3,[2]ARBOR_REAJUSTE18!$A:$AE,VLOOKUP($BES$2,[2]ARBOR_REAJUSTE18!$A:$B,2,0),0))),"")&lt;0.01%,0.01%,(IFERROR(IF($BES4="","",IF($BES4=0,1,1-$BES4/HLOOKUP(BEY$3,[2]ARBOR_REAJUSTE18!$A:$AE,VLOOKUP($BES$2,[2]ARBOR_REAJUSTE18!$A:$B,2,0),0))),""))),4)</f>
        <v>#VALUE!</v>
      </c>
      <c r="BEZ4" s="44" t="e">
        <f>ROUNDUP(IF(IFERROR(IF($BES4="","",IF($BES4=0,1,1-$BES4/HLOOKUP(BEZ$3,[2]ARBOR_REAJUSTE18!$A:$AE,VLOOKUP($BES$2,[2]ARBOR_REAJUSTE18!$A:$B,2,0),0))),"")&lt;0.01%,0.01%,(IFERROR(IF($BES4="","",IF($BES4=0,1,1-$BES4/HLOOKUP(BEZ$3,[2]ARBOR_REAJUSTE18!$A:$AE,VLOOKUP($BES$2,[2]ARBOR_REAJUSTE18!$A:$B,2,0),0))),""))),4)</f>
        <v>#VALUE!</v>
      </c>
      <c r="BFA4" s="44" t="e">
        <f>ROUNDUP(IF(IFERROR(IF($BES4="","",IF($BES4=0,1,1-$BES4/HLOOKUP(BFA$3,[2]ARBOR_REAJUSTE18!$A:$AE,VLOOKUP($BES$2,[2]ARBOR_REAJUSTE18!$A:$B,2,0),0))),"")&lt;0.01%,0.01%,(IFERROR(IF($BES4="","",IF($BES4=0,1,1-$BES4/HLOOKUP(BFA$3,[2]ARBOR_REAJUSTE18!$A:$AE,VLOOKUP($BES$2,[2]ARBOR_REAJUSTE18!$A:$B,2,0),0))),""))),4)</f>
        <v>#VALUE!</v>
      </c>
      <c r="BFB4" s="44" t="e">
        <f>ROUNDUP(IF(IFERROR(IF($BES4="","",IF($BES4=0,1,1-$BES4/HLOOKUP(BFB$3,[2]ARBOR_REAJUSTE18!$A:$AE,VLOOKUP($BES$2,[2]ARBOR_REAJUSTE18!$A:$B,2,0),0))),"")&lt;0.01%,0.01%,(IFERROR(IF($BES4="","",IF($BES4=0,1,1-$BES4/HLOOKUP(BFB$3,[2]ARBOR_REAJUSTE18!$A:$AE,VLOOKUP($BES$2,[2]ARBOR_REAJUSTE18!$A:$B,2,0),0))),""))),4)</f>
        <v>#VALUE!</v>
      </c>
      <c r="BFC4" s="44" t="e">
        <f>ROUNDUP(IF(IFERROR(IF($BES4="","",IF($BES4=0,1,1-$BES4/HLOOKUP(BFC$3,[2]ARBOR_REAJUSTE18!$A:$AE,VLOOKUP($BES$2,[2]ARBOR_REAJUSTE18!$A:$B,2,0),0))),"")&lt;0.01%,0.01%,(IFERROR(IF($BES4="","",IF($BES4=0,1,1-$BES4/HLOOKUP(BFC$3,[2]ARBOR_REAJUSTE18!$A:$AE,VLOOKUP($BES$2,[2]ARBOR_REAJUSTE18!$A:$B,2,0),0))),""))),4)</f>
        <v>#VALUE!</v>
      </c>
      <c r="BFD4" s="44" t="e">
        <f>ROUNDUP(IF(IFERROR(IF($BES4="","",IF($BES4=0,1,1-$BES4/HLOOKUP(BFD$3,[2]ARBOR_REAJUSTE18!$A:$AE,VLOOKUP($BES$2,[2]ARBOR_REAJUSTE18!$A:$B,2,0),0))),"")&lt;0.01%,0.01%,(IFERROR(IF($BES4="","",IF($BES4=0,1,1-$BES4/HLOOKUP(BFD$3,[2]ARBOR_REAJUSTE18!$A:$AE,VLOOKUP($BES$2,[2]ARBOR_REAJUSTE18!$A:$B,2,0),0))),""))),4)</f>
        <v>#VALUE!</v>
      </c>
      <c r="BFE4" s="44" t="e">
        <f>ROUNDUP(IF(IFERROR(IF($BES4="","",IF($BES4=0,1,1-$BES4/HLOOKUP(BFE$3,[2]ARBOR_REAJUSTE18!$A:$AE,VLOOKUP($BES$2,[2]ARBOR_REAJUSTE18!$A:$B,2,0),0))),"")&lt;0.01%,0.01%,(IFERROR(IF($BES4="","",IF($BES4=0,1,1-$BES4/HLOOKUP(BFE$3,[2]ARBOR_REAJUSTE18!$A:$AE,VLOOKUP($BES$2,[2]ARBOR_REAJUSTE18!$A:$B,2,0),0))),""))),4)</f>
        <v>#VALUE!</v>
      </c>
      <c r="BFF4" s="44" t="e">
        <f>ROUNDUP(IF(IFERROR(IF($BES4="","",IF($BES4=0,1,1-$BES4/HLOOKUP(BFF$3,[2]ARBOR_REAJUSTE18!$A:$AE,VLOOKUP($BES$2,[2]ARBOR_REAJUSTE18!$A:$B,2,0),0))),"")&lt;0.01%,0.01%,(IFERROR(IF($BES4="","",IF($BES4=0,1,1-$BES4/HLOOKUP(BFF$3,[2]ARBOR_REAJUSTE18!$A:$AE,VLOOKUP($BES$2,[2]ARBOR_REAJUSTE18!$A:$B,2,0),0))),""))),4)</f>
        <v>#VALUE!</v>
      </c>
      <c r="BFG4" s="44" t="e">
        <f>ROUNDUP(IF(IFERROR(IF($BES4="","",IF($BES4=0,1,1-$BES4/HLOOKUP(BFG$3,[2]ARBOR_REAJUSTE18!$A:$AE,VLOOKUP($BES$2,[2]ARBOR_REAJUSTE18!$A:$B,2,0),0))),"")&lt;0.01%,0.01%,(IFERROR(IF($BES4="","",IF($BES4=0,1,1-$BES4/HLOOKUP(BFG$3,[2]ARBOR_REAJUSTE18!$A:$AE,VLOOKUP($BES$2,[2]ARBOR_REAJUSTE18!$A:$B,2,0),0))),""))),4)</f>
        <v>#VALUE!</v>
      </c>
      <c r="BFH4" s="44" t="e">
        <f>ROUNDUP(IF(IFERROR(IF($BES4="","",IF($BES4=0,1,1-$BES4/HLOOKUP(BFH$3,[2]ARBOR_REAJUSTE18!$A:$AE,VLOOKUP($BES$2,[2]ARBOR_REAJUSTE18!$A:$B,2,0),0))),"")&lt;0.01%,0.01%,(IFERROR(IF($BES4="","",IF($BES4=0,1,1-$BES4/HLOOKUP(BFH$3,[2]ARBOR_REAJUSTE18!$A:$AE,VLOOKUP($BES$2,[2]ARBOR_REAJUSTE18!$A:$B,2,0),0))),""))),4)</f>
        <v>#VALUE!</v>
      </c>
      <c r="BFI4" s="44" t="e">
        <f>ROUNDUP(IF(IFERROR(IF($BES4="","",IF($BES4=0,1,1-$BES4/HLOOKUP(BFI$3,[2]ARBOR_REAJUSTE18!$A:$AE,VLOOKUP($BES$2,[2]ARBOR_REAJUSTE18!$A:$B,2,0),0))),"")&lt;0.01%,0.01%,(IFERROR(IF($BES4="","",IF($BES4=0,1,1-$BES4/HLOOKUP(BFI$3,[2]ARBOR_REAJUSTE18!$A:$AE,VLOOKUP($BES$2,[2]ARBOR_REAJUSTE18!$A:$B,2,0),0))),""))),4)</f>
        <v>#VALUE!</v>
      </c>
      <c r="BFJ4" s="44" t="e">
        <f>ROUNDUP(IF(IFERROR(IF($BES4="","",IF($BES4=0,1,1-$BES4/HLOOKUP(BFJ$3,[2]ARBOR_REAJUSTE18!$A:$AE,VLOOKUP($BES$2,[2]ARBOR_REAJUSTE18!$A:$B,2,0),0))),"")&lt;0.01%,0.01%,(IFERROR(IF($BES4="","",IF($BES4=0,1,1-$BES4/HLOOKUP(BFJ$3,[2]ARBOR_REAJUSTE18!$A:$AE,VLOOKUP($BES$2,[2]ARBOR_REAJUSTE18!$A:$B,2,0),0))),""))),4)</f>
        <v>#VALUE!</v>
      </c>
      <c r="BFK4" s="44" t="e">
        <f>ROUNDUP(IF(IFERROR(IF($BES4="","",IF($BES4=0,1,1-$BES4/HLOOKUP(BFK$3,[2]ARBOR_REAJUSTE18!$A:$AE,VLOOKUP($BES$2,[2]ARBOR_REAJUSTE18!$A:$B,2,0),0))),"")&lt;0.01%,0.01%,(IFERROR(IF($BES4="","",IF($BES4=0,1,1-$BES4/HLOOKUP(BFK$3,[2]ARBOR_REAJUSTE18!$A:$AE,VLOOKUP($BES$2,[2]ARBOR_REAJUSTE18!$A:$B,2,0),0))),""))),4)</f>
        <v>#VALUE!</v>
      </c>
      <c r="BFL4" s="44" t="e">
        <f>ROUNDUP(IF(IFERROR(IF($BES4="","",IF($BES4=0,1,1-$BES4/HLOOKUP(BFL$3,[2]ARBOR_REAJUSTE18!$A:$AE,VLOOKUP($BES$2,[2]ARBOR_REAJUSTE18!$A:$B,2,0),0))),"")&lt;0.01%,0.01%,(IFERROR(IF($BES4="","",IF($BES4=0,1,1-$BES4/HLOOKUP(BFL$3,[2]ARBOR_REAJUSTE18!$A:$AE,VLOOKUP($BES$2,[2]ARBOR_REAJUSTE18!$A:$B,2,0),0))),""))),4)</f>
        <v>#VALUE!</v>
      </c>
      <c r="BFM4" s="44" t="e">
        <f>ROUNDUP(IF(IFERROR(IF($BES4="","",IF($BES4=0,1,1-$BES4/HLOOKUP(BFM$3,[2]ARBOR_REAJUSTE18!$A:$AE,VLOOKUP($BES$2,[2]ARBOR_REAJUSTE18!$A:$B,2,0),0))),"")&lt;0.01%,0.01%,(IFERROR(IF($BES4="","",IF($BES4=0,1,1-$BES4/HLOOKUP(BFM$3,[2]ARBOR_REAJUSTE18!$A:$AE,VLOOKUP($BES$2,[2]ARBOR_REAJUSTE18!$A:$B,2,0),0))),""))),4)</f>
        <v>#VALUE!</v>
      </c>
      <c r="BFN4" s="44" t="e">
        <f>ROUNDUP(IF(IFERROR(IF($BES4="","",IF($BES4=0,1,1-$BES4/HLOOKUP(BFN$3,[2]ARBOR_REAJUSTE18!$A:$AE,VLOOKUP($BES$2,[2]ARBOR_REAJUSTE18!$A:$B,2,0),0))),"")&lt;0.01%,0.01%,(IFERROR(IF($BES4="","",IF($BES4=0,1,1-$BES4/HLOOKUP(BFN$3,[2]ARBOR_REAJUSTE18!$A:$AE,VLOOKUP($BES$2,[2]ARBOR_REAJUSTE18!$A:$B,2,0),0))),""))),4)</f>
        <v>#VALUE!</v>
      </c>
      <c r="BFO4" s="44" t="e">
        <f>ROUNDUP(IF(IFERROR(IF($BES4="","",IF($BES4=0,1,1-$BES4/HLOOKUP(BFO$3,[2]ARBOR_REAJUSTE18!$A:$AE,VLOOKUP($BES$2,[2]ARBOR_REAJUSTE18!$A:$B,2,0),0))),"")&lt;0.01%,0.01%,(IFERROR(IF($BES4="","",IF($BES4=0,1,1-$BES4/HLOOKUP(BFO$3,[2]ARBOR_REAJUSTE18!$A:$AE,VLOOKUP($BES$2,[2]ARBOR_REAJUSTE18!$A:$B,2,0),0))),""))),4)</f>
        <v>#VALUE!</v>
      </c>
      <c r="BFP4" s="44" t="e">
        <f>ROUNDUP(IF(IFERROR(IF($BES4="","",IF($BES4=0,1,1-$BES4/HLOOKUP(BFP$3,[2]ARBOR_REAJUSTE18!$A:$AE,VLOOKUP($BES$2,[2]ARBOR_REAJUSTE18!$A:$B,2,0),0))),"")&lt;0.01%,0.01%,(IFERROR(IF($BES4="","",IF($BES4=0,1,1-$BES4/HLOOKUP(BFP$3,[2]ARBOR_REAJUSTE18!$A:$AE,VLOOKUP($BES$2,[2]ARBOR_REAJUSTE18!$A:$B,2,0),0))),""))),4)</f>
        <v>#VALUE!</v>
      </c>
      <c r="BFQ4" s="44" t="e">
        <f>ROUNDUP(IF(IFERROR(IF($BES4="","",IF($BES4=0,1,1-$BES4/HLOOKUP(BFQ$3,[2]ARBOR_REAJUSTE18!$A:$AE,VLOOKUP($BES$2,[2]ARBOR_REAJUSTE18!$A:$B,2,0),0))),"")&lt;0.01%,0.01%,(IFERROR(IF($BES4="","",IF($BES4=0,1,1-$BES4/HLOOKUP(BFQ$3,[2]ARBOR_REAJUSTE18!$A:$AE,VLOOKUP($BES$2,[2]ARBOR_REAJUSTE18!$A:$B,2,0),0))),""))),4)</f>
        <v>#VALUE!</v>
      </c>
      <c r="BFR4" s="44" t="e">
        <f>ROUNDUP(IF(IFERROR(IF($BES4="","",IF($BES4=0,1,1-$BES4/HLOOKUP(BFR$3,[2]ARBOR_REAJUSTE18!$A:$AE,VLOOKUP($BES$2,[2]ARBOR_REAJUSTE18!$A:$B,2,0),0))),"")&lt;0.01%,0.01%,(IFERROR(IF($BES4="","",IF($BES4=0,1,1-$BES4/HLOOKUP(BFR$3,[2]ARBOR_REAJUSTE18!$A:$AE,VLOOKUP($BES$2,[2]ARBOR_REAJUSTE18!$A:$B,2,0),0))),""))),4)</f>
        <v>#VALUE!</v>
      </c>
      <c r="BFS4" s="44" t="e">
        <f>ROUNDUP(IF(IFERROR(IF($BES4="","",IF($BES4=0,1,1-$BES4/HLOOKUP(BFS$3,[2]ARBOR_REAJUSTE18!$A:$AE,VLOOKUP($BES$2,[2]ARBOR_REAJUSTE18!$A:$B,2,0),0))),"")&lt;0.01%,0.01%,(IFERROR(IF($BES4="","",IF($BES4=0,1,1-$BES4/HLOOKUP(BFS$3,[2]ARBOR_REAJUSTE18!$A:$AE,VLOOKUP($BES$2,[2]ARBOR_REAJUSTE18!$A:$B,2,0),0))),""))),4)</f>
        <v>#VALUE!</v>
      </c>
      <c r="BFT4" s="44" t="e">
        <f>ROUNDUP(IF(IFERROR(IF($BES4="","",IF($BES4=0,1,1-$BES4/HLOOKUP(BFT$3,[2]ARBOR_REAJUSTE18!$A:$AE,VLOOKUP($BES$2,[2]ARBOR_REAJUSTE18!$A:$B,2,0),0))),"")&lt;0.01%,0.01%,(IFERROR(IF($BES4="","",IF($BES4=0,1,1-$BES4/HLOOKUP(BFT$3,[2]ARBOR_REAJUSTE18!$A:$AE,VLOOKUP($BES$2,[2]ARBOR_REAJUSTE18!$A:$B,2,0),0))),""))),4)</f>
        <v>#VALUE!</v>
      </c>
      <c r="BFU4" s="44" t="e">
        <f>ROUNDUP(IF(IFERROR(IF($BES4="","",IF($BES4=0,1,1-$BES4/HLOOKUP(BFU$3,[2]ARBOR_REAJUSTE18!$A:$AE,VLOOKUP($BES$2,[2]ARBOR_REAJUSTE18!$A:$B,2,0),0))),"")&lt;0.01%,0.01%,(IFERROR(IF($BES4="","",IF($BES4=0,1,1-$BES4/HLOOKUP(BFU$3,[2]ARBOR_REAJUSTE18!$A:$AE,VLOOKUP($BES$2,[2]ARBOR_REAJUSTE18!$A:$B,2,0),0))),""))),4)</f>
        <v>#VALUE!</v>
      </c>
      <c r="BFV4" s="56"/>
      <c r="BFW4" s="64"/>
      <c r="BFX4" s="44" t="e">
        <f>ROUNDUP(IF(IFERROR(IF($BFV4="","",IF($BFV4=0,1,1-$BFV4/HLOOKUP(BFX$3,[2]ARBOR_REAJUSTE18!$A:$AE,VLOOKUP($BFV$2,[2]ARBOR_REAJUSTE18!$A:$B,2,0),0))),"")&lt;0.01%,0.01%,(IFERROR(IF($BFV4="","",IF($BFV4=0,1,1-$BFV4/HLOOKUP(BFX$3,[2]ARBOR_REAJUSTE18!$A:$AE,VLOOKUP($BFV$2,[2]ARBOR_REAJUSTE18!$A:$B,2,0),0))),""))),4)</f>
        <v>#VALUE!</v>
      </c>
      <c r="BFY4" s="44" t="e">
        <f>ROUNDUP(IF(IFERROR(IF($BFV4="","",IF($BFV4=0,1,1-$BFV4/HLOOKUP(BFY$3,[2]ARBOR_REAJUSTE18!$A:$AE,VLOOKUP($BFV$2,[2]ARBOR_REAJUSTE18!$A:$B,2,0),0))),"")&lt;0.01%,0.01%,(IFERROR(IF($BFV4="","",IF($BFV4=0,1,1-$BFV4/HLOOKUP(BFY$3,[2]ARBOR_REAJUSTE18!$A:$AE,VLOOKUP($BFV$2,[2]ARBOR_REAJUSTE18!$A:$B,2,0),0))),""))),4)</f>
        <v>#VALUE!</v>
      </c>
      <c r="BFZ4" s="44" t="e">
        <f>ROUNDUP(IF(IFERROR(IF($BFV4="","",IF($BFV4=0,1,1-$BFV4/HLOOKUP(BFZ$3,[2]ARBOR_REAJUSTE18!$A:$AE,VLOOKUP($BFV$2,[2]ARBOR_REAJUSTE18!$A:$B,2,0),0))),"")&lt;0.01%,0.01%,(IFERROR(IF($BFV4="","",IF($BFV4=0,1,1-$BFV4/HLOOKUP(BFZ$3,[2]ARBOR_REAJUSTE18!$A:$AE,VLOOKUP($BFV$2,[2]ARBOR_REAJUSTE18!$A:$B,2,0),0))),""))),4)</f>
        <v>#VALUE!</v>
      </c>
      <c r="BGA4" s="44" t="e">
        <f>ROUNDUP(IF(IFERROR(IF($BFV4="","",IF($BFV4=0,1,1-$BFV4/HLOOKUP(BGA$3,[2]ARBOR_REAJUSTE18!$A:$AE,VLOOKUP($BFV$2,[2]ARBOR_REAJUSTE18!$A:$B,2,0),0))),"")&lt;0.01%,0.01%,(IFERROR(IF($BFV4="","",IF($BFV4=0,1,1-$BFV4/HLOOKUP(BGA$3,[2]ARBOR_REAJUSTE18!$A:$AE,VLOOKUP($BFV$2,[2]ARBOR_REAJUSTE18!$A:$B,2,0),0))),""))),4)</f>
        <v>#VALUE!</v>
      </c>
      <c r="BGB4" s="44" t="e">
        <f>ROUNDUP(IF(IFERROR(IF($BFV4="","",IF($BFV4=0,1,1-$BFV4/HLOOKUP(BGB$3,[2]ARBOR_REAJUSTE18!$A:$AE,VLOOKUP($BFV$2,[2]ARBOR_REAJUSTE18!$A:$B,2,0),0))),"")&lt;0.01%,0.01%,(IFERROR(IF($BFV4="","",IF($BFV4=0,1,1-$BFV4/HLOOKUP(BGB$3,[2]ARBOR_REAJUSTE18!$A:$AE,VLOOKUP($BFV$2,[2]ARBOR_REAJUSTE18!$A:$B,2,0),0))),""))),4)</f>
        <v>#VALUE!</v>
      </c>
      <c r="BGC4" s="44" t="e">
        <f>ROUNDUP(IF(IFERROR(IF($BFV4="","",IF($BFV4=0,1,1-$BFV4/HLOOKUP(BGC$3,[2]ARBOR_REAJUSTE18!$A:$AE,VLOOKUP($BFV$2,[2]ARBOR_REAJUSTE18!$A:$B,2,0),0))),"")&lt;0.01%,0.01%,(IFERROR(IF($BFV4="","",IF($BFV4=0,1,1-$BFV4/HLOOKUP(BGC$3,[2]ARBOR_REAJUSTE18!$A:$AE,VLOOKUP($BFV$2,[2]ARBOR_REAJUSTE18!$A:$B,2,0),0))),""))),4)</f>
        <v>#VALUE!</v>
      </c>
      <c r="BGD4" s="44" t="e">
        <f>ROUNDUP(IF(IFERROR(IF($BFV4="","",IF($BFV4=0,1,1-$BFV4/HLOOKUP(BGD$3,[2]ARBOR_REAJUSTE18!$A:$AE,VLOOKUP($BFV$2,[2]ARBOR_REAJUSTE18!$A:$B,2,0),0))),"")&lt;0.01%,0.01%,(IFERROR(IF($BFV4="","",IF($BFV4=0,1,1-$BFV4/HLOOKUP(BGD$3,[2]ARBOR_REAJUSTE18!$A:$AE,VLOOKUP($BFV$2,[2]ARBOR_REAJUSTE18!$A:$B,2,0),0))),""))),4)</f>
        <v>#VALUE!</v>
      </c>
      <c r="BGE4" s="44" t="e">
        <f>ROUNDUP(IF(IFERROR(IF($BFV4="","",IF($BFV4=0,1,1-$BFV4/HLOOKUP(BGE$3,[2]ARBOR_REAJUSTE18!$A:$AE,VLOOKUP($BFV$2,[2]ARBOR_REAJUSTE18!$A:$B,2,0),0))),"")&lt;0.01%,0.01%,(IFERROR(IF($BFV4="","",IF($BFV4=0,1,1-$BFV4/HLOOKUP(BGE$3,[2]ARBOR_REAJUSTE18!$A:$AE,VLOOKUP($BFV$2,[2]ARBOR_REAJUSTE18!$A:$B,2,0),0))),""))),4)</f>
        <v>#VALUE!</v>
      </c>
      <c r="BGF4" s="44" t="e">
        <f>ROUNDUP(IF(IFERROR(IF($BFV4="","",IF($BFV4=0,1,1-$BFV4/HLOOKUP(BGF$3,[2]ARBOR_REAJUSTE18!$A:$AE,VLOOKUP($BFV$2,[2]ARBOR_REAJUSTE18!$A:$B,2,0),0))),"")&lt;0.01%,0.01%,(IFERROR(IF($BFV4="","",IF($BFV4=0,1,1-$BFV4/HLOOKUP(BGF$3,[2]ARBOR_REAJUSTE18!$A:$AE,VLOOKUP($BFV$2,[2]ARBOR_REAJUSTE18!$A:$B,2,0),0))),""))),4)</f>
        <v>#VALUE!</v>
      </c>
      <c r="BGG4" s="44" t="e">
        <f>ROUNDUP(IF(IFERROR(IF($BFV4="","",IF($BFV4=0,1,1-$BFV4/HLOOKUP(BGG$3,[2]ARBOR_REAJUSTE18!$A:$AE,VLOOKUP($BFV$2,[2]ARBOR_REAJUSTE18!$A:$B,2,0),0))),"")&lt;0.01%,0.01%,(IFERROR(IF($BFV4="","",IF($BFV4=0,1,1-$BFV4/HLOOKUP(BGG$3,[2]ARBOR_REAJUSTE18!$A:$AE,VLOOKUP($BFV$2,[2]ARBOR_REAJUSTE18!$A:$B,2,0),0))),""))),4)</f>
        <v>#VALUE!</v>
      </c>
      <c r="BGH4" s="44" t="e">
        <f>ROUNDUP(IF(IFERROR(IF($BFV4="","",IF($BFV4=0,1,1-$BFV4/HLOOKUP(BGH$3,[2]ARBOR_REAJUSTE18!$A:$AE,VLOOKUP($BFV$2,[2]ARBOR_REAJUSTE18!$A:$B,2,0),0))),"")&lt;0.01%,0.01%,(IFERROR(IF($BFV4="","",IF($BFV4=0,1,1-$BFV4/HLOOKUP(BGH$3,[2]ARBOR_REAJUSTE18!$A:$AE,VLOOKUP($BFV$2,[2]ARBOR_REAJUSTE18!$A:$B,2,0),0))),""))),4)</f>
        <v>#VALUE!</v>
      </c>
      <c r="BGI4" s="44" t="e">
        <f>ROUNDUP(IF(IFERROR(IF($BFV4="","",IF($BFV4=0,1,1-$BFV4/HLOOKUP(BGI$3,[2]ARBOR_REAJUSTE18!$A:$AE,VLOOKUP($BFV$2,[2]ARBOR_REAJUSTE18!$A:$B,2,0),0))),"")&lt;0.01%,0.01%,(IFERROR(IF($BFV4="","",IF($BFV4=0,1,1-$BFV4/HLOOKUP(BGI$3,[2]ARBOR_REAJUSTE18!$A:$AE,VLOOKUP($BFV$2,[2]ARBOR_REAJUSTE18!$A:$B,2,0),0))),""))),4)</f>
        <v>#VALUE!</v>
      </c>
      <c r="BGJ4" s="44" t="e">
        <f>ROUNDUP(IF(IFERROR(IF($BFV4="","",IF($BFV4=0,1,1-$BFV4/HLOOKUP(BGJ$3,[2]ARBOR_REAJUSTE18!$A:$AE,VLOOKUP($BFV$2,[2]ARBOR_REAJUSTE18!$A:$B,2,0),0))),"")&lt;0.01%,0.01%,(IFERROR(IF($BFV4="","",IF($BFV4=0,1,1-$BFV4/HLOOKUP(BGJ$3,[2]ARBOR_REAJUSTE18!$A:$AE,VLOOKUP($BFV$2,[2]ARBOR_REAJUSTE18!$A:$B,2,0),0))),""))),4)</f>
        <v>#VALUE!</v>
      </c>
      <c r="BGK4" s="44" t="e">
        <f>ROUNDUP(IF(IFERROR(IF($BFV4="","",IF($BFV4=0,1,1-$BFV4/HLOOKUP(BGK$3,[2]ARBOR_REAJUSTE18!$A:$AE,VLOOKUP($BFV$2,[2]ARBOR_REAJUSTE18!$A:$B,2,0),0))),"")&lt;0.01%,0.01%,(IFERROR(IF($BFV4="","",IF($BFV4=0,1,1-$BFV4/HLOOKUP(BGK$3,[2]ARBOR_REAJUSTE18!$A:$AE,VLOOKUP($BFV$2,[2]ARBOR_REAJUSTE18!$A:$B,2,0),0))),""))),4)</f>
        <v>#VALUE!</v>
      </c>
      <c r="BGL4" s="44" t="e">
        <f>ROUNDUP(IF(IFERROR(IF($BFV4="","",IF($BFV4=0,1,1-$BFV4/HLOOKUP(BGL$3,[2]ARBOR_REAJUSTE18!$A:$AE,VLOOKUP($BFV$2,[2]ARBOR_REAJUSTE18!$A:$B,2,0),0))),"")&lt;0.01%,0.01%,(IFERROR(IF($BFV4="","",IF($BFV4=0,1,1-$BFV4/HLOOKUP(BGL$3,[2]ARBOR_REAJUSTE18!$A:$AE,VLOOKUP($BFV$2,[2]ARBOR_REAJUSTE18!$A:$B,2,0),0))),""))),4)</f>
        <v>#VALUE!</v>
      </c>
      <c r="BGM4" s="44" t="e">
        <f>ROUNDUP(IF(IFERROR(IF($BFV4="","",IF($BFV4=0,1,1-$BFV4/HLOOKUP(BGM$3,[2]ARBOR_REAJUSTE18!$A:$AE,VLOOKUP($BFV$2,[2]ARBOR_REAJUSTE18!$A:$B,2,0),0))),"")&lt;0.01%,0.01%,(IFERROR(IF($BFV4="","",IF($BFV4=0,1,1-$BFV4/HLOOKUP(BGM$3,[2]ARBOR_REAJUSTE18!$A:$AE,VLOOKUP($BFV$2,[2]ARBOR_REAJUSTE18!$A:$B,2,0),0))),""))),4)</f>
        <v>#VALUE!</v>
      </c>
      <c r="BGN4" s="44" t="e">
        <f>ROUNDUP(IF(IFERROR(IF($BFV4="","",IF($BFV4=0,1,1-$BFV4/HLOOKUP(BGN$3,[2]ARBOR_REAJUSTE18!$A:$AE,VLOOKUP($BFV$2,[2]ARBOR_REAJUSTE18!$A:$B,2,0),0))),"")&lt;0.01%,0.01%,(IFERROR(IF($BFV4="","",IF($BFV4=0,1,1-$BFV4/HLOOKUP(BGN$3,[2]ARBOR_REAJUSTE18!$A:$AE,VLOOKUP($BFV$2,[2]ARBOR_REAJUSTE18!$A:$B,2,0),0))),""))),4)</f>
        <v>#VALUE!</v>
      </c>
      <c r="BGO4" s="44" t="e">
        <f>ROUNDUP(IF(IFERROR(IF($BFV4="","",IF($BFV4=0,1,1-$BFV4/HLOOKUP(BGO$3,[2]ARBOR_REAJUSTE18!$A:$AE,VLOOKUP($BFV$2,[2]ARBOR_REAJUSTE18!$A:$B,2,0),0))),"")&lt;0.01%,0.01%,(IFERROR(IF($BFV4="","",IF($BFV4=0,1,1-$BFV4/HLOOKUP(BGO$3,[2]ARBOR_REAJUSTE18!$A:$AE,VLOOKUP($BFV$2,[2]ARBOR_REAJUSTE18!$A:$B,2,0),0))),""))),4)</f>
        <v>#VALUE!</v>
      </c>
      <c r="BGP4" s="44" t="e">
        <f>ROUNDUP(IF(IFERROR(IF($BFV4="","",IF($BFV4=0,1,1-$BFV4/HLOOKUP(BGP$3,[2]ARBOR_REAJUSTE18!$A:$AE,VLOOKUP($BFV$2,[2]ARBOR_REAJUSTE18!$A:$B,2,0),0))),"")&lt;0.01%,0.01%,(IFERROR(IF($BFV4="","",IF($BFV4=0,1,1-$BFV4/HLOOKUP(BGP$3,[2]ARBOR_REAJUSTE18!$A:$AE,VLOOKUP($BFV$2,[2]ARBOR_REAJUSTE18!$A:$B,2,0),0))),""))),4)</f>
        <v>#VALUE!</v>
      </c>
      <c r="BGQ4" s="44" t="e">
        <f>ROUNDUP(IF(IFERROR(IF($BFV4="","",IF($BFV4=0,1,1-$BFV4/HLOOKUP(BGQ$3,[2]ARBOR_REAJUSTE18!$A:$AE,VLOOKUP($BFV$2,[2]ARBOR_REAJUSTE18!$A:$B,2,0),0))),"")&lt;0.01%,0.01%,(IFERROR(IF($BFV4="","",IF($BFV4=0,1,1-$BFV4/HLOOKUP(BGQ$3,[2]ARBOR_REAJUSTE18!$A:$AE,VLOOKUP($BFV$2,[2]ARBOR_REAJUSTE18!$A:$B,2,0),0))),""))),4)</f>
        <v>#VALUE!</v>
      </c>
      <c r="BGR4" s="44" t="e">
        <f>ROUNDUP(IF(IFERROR(IF($BFV4="","",IF($BFV4=0,1,1-$BFV4/HLOOKUP(BGR$3,[2]ARBOR_REAJUSTE18!$A:$AE,VLOOKUP($BFV$2,[2]ARBOR_REAJUSTE18!$A:$B,2,0),0))),"")&lt;0.01%,0.01%,(IFERROR(IF($BFV4="","",IF($BFV4=0,1,1-$BFV4/HLOOKUP(BGR$3,[2]ARBOR_REAJUSTE18!$A:$AE,VLOOKUP($BFV$2,[2]ARBOR_REAJUSTE18!$A:$B,2,0),0))),""))),4)</f>
        <v>#VALUE!</v>
      </c>
      <c r="BGS4" s="44" t="e">
        <f>ROUNDUP(IF(IFERROR(IF($BFV4="","",IF($BFV4=0,1,1-$BFV4/HLOOKUP(BGS$3,[2]ARBOR_REAJUSTE18!$A:$AE,VLOOKUP($BFV$2,[2]ARBOR_REAJUSTE18!$A:$B,2,0),0))),"")&lt;0.01%,0.01%,(IFERROR(IF($BFV4="","",IF($BFV4=0,1,1-$BFV4/HLOOKUP(BGS$3,[2]ARBOR_REAJUSTE18!$A:$AE,VLOOKUP($BFV$2,[2]ARBOR_REAJUSTE18!$A:$B,2,0),0))),""))),4)</f>
        <v>#VALUE!</v>
      </c>
      <c r="BGT4" s="44" t="e">
        <f>ROUNDUP(IF(IFERROR(IF($BFV4="","",IF($BFV4=0,1,1-$BFV4/HLOOKUP(BGT$3,[2]ARBOR_REAJUSTE18!$A:$AE,VLOOKUP($BFV$2,[2]ARBOR_REAJUSTE18!$A:$B,2,0),0))),"")&lt;0.01%,0.01%,(IFERROR(IF($BFV4="","",IF($BFV4=0,1,1-$BFV4/HLOOKUP(BGT$3,[2]ARBOR_REAJUSTE18!$A:$AE,VLOOKUP($BFV$2,[2]ARBOR_REAJUSTE18!$A:$B,2,0),0))),""))),4)</f>
        <v>#VALUE!</v>
      </c>
      <c r="BGU4" s="44" t="e">
        <f>ROUNDUP(IF(IFERROR(IF($BFV4="","",IF($BFV4=0,1,1-$BFV4/HLOOKUP(BGU$3,[2]ARBOR_REAJUSTE18!$A:$AE,VLOOKUP($BFV$2,[2]ARBOR_REAJUSTE18!$A:$B,2,0),0))),"")&lt;0.01%,0.01%,(IFERROR(IF($BFV4="","",IF($BFV4=0,1,1-$BFV4/HLOOKUP(BGU$3,[2]ARBOR_REAJUSTE18!$A:$AE,VLOOKUP($BFV$2,[2]ARBOR_REAJUSTE18!$A:$B,2,0),0))),""))),4)</f>
        <v>#VALUE!</v>
      </c>
      <c r="BGV4" s="44" t="e">
        <f>ROUNDUP(IF(IFERROR(IF($BFV4="","",IF($BFV4=0,1,1-$BFV4/HLOOKUP(BGV$3,[2]ARBOR_REAJUSTE18!$A:$AE,VLOOKUP($BFV$2,[2]ARBOR_REAJUSTE18!$A:$B,2,0),0))),"")&lt;0.01%,0.01%,(IFERROR(IF($BFV4="","",IF($BFV4=0,1,1-$BFV4/HLOOKUP(BGV$3,[2]ARBOR_REAJUSTE18!$A:$AE,VLOOKUP($BFV$2,[2]ARBOR_REAJUSTE18!$A:$B,2,0),0))),""))),4)</f>
        <v>#VALUE!</v>
      </c>
      <c r="BGW4" s="44" t="e">
        <f>ROUNDUP(IF(IFERROR(IF($BFV4="","",IF($BFV4=0,1,1-$BFV4/HLOOKUP(BGW$3,[2]ARBOR_REAJUSTE18!$A:$AE,VLOOKUP($BFV$2,[2]ARBOR_REAJUSTE18!$A:$B,2,0),0))),"")&lt;0.01%,0.01%,(IFERROR(IF($BFV4="","",IF($BFV4=0,1,1-$BFV4/HLOOKUP(BGW$3,[2]ARBOR_REAJUSTE18!$A:$AE,VLOOKUP($BFV$2,[2]ARBOR_REAJUSTE18!$A:$B,2,0),0))),""))),4)</f>
        <v>#VALUE!</v>
      </c>
      <c r="BGX4" s="44" t="e">
        <f>ROUNDUP(IF(IFERROR(IF($BFV4="","",IF($BFV4=0,1,1-$BFV4/HLOOKUP(BGX$3,[2]ARBOR_REAJUSTE18!$A:$AE,VLOOKUP($BFV$2,[2]ARBOR_REAJUSTE18!$A:$B,2,0),0))),"")&lt;0.01%,0.01%,(IFERROR(IF($BFV4="","",IF($BFV4=0,1,1-$BFV4/HLOOKUP(BGX$3,[2]ARBOR_REAJUSTE18!$A:$AE,VLOOKUP($BFV$2,[2]ARBOR_REAJUSTE18!$A:$B,2,0),0))),""))),4)</f>
        <v>#VALUE!</v>
      </c>
      <c r="BGY4" s="56"/>
      <c r="BGZ4" s="64"/>
      <c r="BHA4" s="44" t="e">
        <f>ROUNDUP(IF(IFERROR(IF($BGY4="","",IF($BGY4=0,1,1-$BGY4/HLOOKUP(BHA$3,[2]ARBOR_REAJUSTE18!$A:$AE,VLOOKUP($BGY$2,[2]ARBOR_REAJUSTE18!$A:$B,2,0),0))),"")&lt;0.01%,0.01%,(IFERROR(IF($BGY4="","",IF($BGY4=0,1,1-$BGY4/HLOOKUP(BHA$3,[2]ARBOR_REAJUSTE18!$A:$AE,VLOOKUP($BGY$2,[2]ARBOR_REAJUSTE18!$A:$B,2,0),0))),""))),4)</f>
        <v>#VALUE!</v>
      </c>
      <c r="BHB4" s="44" t="e">
        <f>ROUNDUP(IF(IFERROR(IF($BGY4="","",IF($BGY4=0,1,1-$BGY4/HLOOKUP(BHB$3,[2]ARBOR_REAJUSTE18!$A:$AE,VLOOKUP($BGY$2,[2]ARBOR_REAJUSTE18!$A:$B,2,0),0))),"")&lt;0.01%,0.01%,(IFERROR(IF($BGY4="","",IF($BGY4=0,1,1-$BGY4/HLOOKUP(BHB$3,[2]ARBOR_REAJUSTE18!$A:$AE,VLOOKUP($BGY$2,[2]ARBOR_REAJUSTE18!$A:$B,2,0),0))),""))),4)</f>
        <v>#VALUE!</v>
      </c>
      <c r="BHC4" s="44" t="e">
        <f>ROUNDUP(IF(IFERROR(IF($BGY4="","",IF($BGY4=0,1,1-$BGY4/HLOOKUP(BHC$3,[2]ARBOR_REAJUSTE18!$A:$AE,VLOOKUP($BGY$2,[2]ARBOR_REAJUSTE18!$A:$B,2,0),0))),"")&lt;0.01%,0.01%,(IFERROR(IF($BGY4="","",IF($BGY4=0,1,1-$BGY4/HLOOKUP(BHC$3,[2]ARBOR_REAJUSTE18!$A:$AE,VLOOKUP($BGY$2,[2]ARBOR_REAJUSTE18!$A:$B,2,0),0))),""))),4)</f>
        <v>#VALUE!</v>
      </c>
      <c r="BHD4" s="44" t="e">
        <f>ROUNDUP(IF(IFERROR(IF($BGY4="","",IF($BGY4=0,1,1-$BGY4/HLOOKUP(BHD$3,[2]ARBOR_REAJUSTE18!$A:$AE,VLOOKUP($BGY$2,[2]ARBOR_REAJUSTE18!$A:$B,2,0),0))),"")&lt;0.01%,0.01%,(IFERROR(IF($BGY4="","",IF($BGY4=0,1,1-$BGY4/HLOOKUP(BHD$3,[2]ARBOR_REAJUSTE18!$A:$AE,VLOOKUP($BGY$2,[2]ARBOR_REAJUSTE18!$A:$B,2,0),0))),""))),4)</f>
        <v>#VALUE!</v>
      </c>
      <c r="BHE4" s="44" t="e">
        <f>ROUNDUP(IF(IFERROR(IF($BGY4="","",IF($BGY4=0,1,1-$BGY4/HLOOKUP(BHE$3,[2]ARBOR_REAJUSTE18!$A:$AE,VLOOKUP($BGY$2,[2]ARBOR_REAJUSTE18!$A:$B,2,0),0))),"")&lt;0.01%,0.01%,(IFERROR(IF($BGY4="","",IF($BGY4=0,1,1-$BGY4/HLOOKUP(BHE$3,[2]ARBOR_REAJUSTE18!$A:$AE,VLOOKUP($BGY$2,[2]ARBOR_REAJUSTE18!$A:$B,2,0),0))),""))),4)</f>
        <v>#VALUE!</v>
      </c>
      <c r="BHF4" s="44" t="e">
        <f>ROUNDUP(IF(IFERROR(IF($BGY4="","",IF($BGY4=0,1,1-$BGY4/HLOOKUP(BHF$3,[2]ARBOR_REAJUSTE18!$A:$AE,VLOOKUP($BGY$2,[2]ARBOR_REAJUSTE18!$A:$B,2,0),0))),"")&lt;0.01%,0.01%,(IFERROR(IF($BGY4="","",IF($BGY4=0,1,1-$BGY4/HLOOKUP(BHF$3,[2]ARBOR_REAJUSTE18!$A:$AE,VLOOKUP($BGY$2,[2]ARBOR_REAJUSTE18!$A:$B,2,0),0))),""))),4)</f>
        <v>#VALUE!</v>
      </c>
      <c r="BHG4" s="44" t="e">
        <f>ROUNDUP(IF(IFERROR(IF($BGY4="","",IF($BGY4=0,1,1-$BGY4/HLOOKUP(BHG$3,[2]ARBOR_REAJUSTE18!$A:$AE,VLOOKUP($BGY$2,[2]ARBOR_REAJUSTE18!$A:$B,2,0),0))),"")&lt;0.01%,0.01%,(IFERROR(IF($BGY4="","",IF($BGY4=0,1,1-$BGY4/HLOOKUP(BHG$3,[2]ARBOR_REAJUSTE18!$A:$AE,VLOOKUP($BGY$2,[2]ARBOR_REAJUSTE18!$A:$B,2,0),0))),""))),4)</f>
        <v>#VALUE!</v>
      </c>
      <c r="BHH4" s="44" t="e">
        <f>ROUNDUP(IF(IFERROR(IF($BGY4="","",IF($BGY4=0,1,1-$BGY4/HLOOKUP(BHH$3,[2]ARBOR_REAJUSTE18!$A:$AE,VLOOKUP($BGY$2,[2]ARBOR_REAJUSTE18!$A:$B,2,0),0))),"")&lt;0.01%,0.01%,(IFERROR(IF($BGY4="","",IF($BGY4=0,1,1-$BGY4/HLOOKUP(BHH$3,[2]ARBOR_REAJUSTE18!$A:$AE,VLOOKUP($BGY$2,[2]ARBOR_REAJUSTE18!$A:$B,2,0),0))),""))),4)</f>
        <v>#VALUE!</v>
      </c>
      <c r="BHI4" s="44" t="e">
        <f>ROUNDUP(IF(IFERROR(IF($BGY4="","",IF($BGY4=0,1,1-$BGY4/HLOOKUP(BHI$3,[2]ARBOR_REAJUSTE18!$A:$AE,VLOOKUP($BGY$2,[2]ARBOR_REAJUSTE18!$A:$B,2,0),0))),"")&lt;0.01%,0.01%,(IFERROR(IF($BGY4="","",IF($BGY4=0,1,1-$BGY4/HLOOKUP(BHI$3,[2]ARBOR_REAJUSTE18!$A:$AE,VLOOKUP($BGY$2,[2]ARBOR_REAJUSTE18!$A:$B,2,0),0))),""))),4)</f>
        <v>#VALUE!</v>
      </c>
      <c r="BHJ4" s="44" t="e">
        <f>ROUNDUP(IF(IFERROR(IF($BGY4="","",IF($BGY4=0,1,1-$BGY4/HLOOKUP(BHJ$3,[2]ARBOR_REAJUSTE18!$A:$AE,VLOOKUP($BGY$2,[2]ARBOR_REAJUSTE18!$A:$B,2,0),0))),"")&lt;0.01%,0.01%,(IFERROR(IF($BGY4="","",IF($BGY4=0,1,1-$BGY4/HLOOKUP(BHJ$3,[2]ARBOR_REAJUSTE18!$A:$AE,VLOOKUP($BGY$2,[2]ARBOR_REAJUSTE18!$A:$B,2,0),0))),""))),4)</f>
        <v>#VALUE!</v>
      </c>
      <c r="BHK4" s="44" t="e">
        <f>ROUNDUP(IF(IFERROR(IF($BGY4="","",IF($BGY4=0,1,1-$BGY4/HLOOKUP(BHK$3,[2]ARBOR_REAJUSTE18!$A:$AE,VLOOKUP($BGY$2,[2]ARBOR_REAJUSTE18!$A:$B,2,0),0))),"")&lt;0.01%,0.01%,(IFERROR(IF($BGY4="","",IF($BGY4=0,1,1-$BGY4/HLOOKUP(BHK$3,[2]ARBOR_REAJUSTE18!$A:$AE,VLOOKUP($BGY$2,[2]ARBOR_REAJUSTE18!$A:$B,2,0),0))),""))),4)</f>
        <v>#VALUE!</v>
      </c>
      <c r="BHL4" s="44" t="e">
        <f>ROUNDUP(IF(IFERROR(IF($BGY4="","",IF($BGY4=0,1,1-$BGY4/HLOOKUP(BHL$3,[2]ARBOR_REAJUSTE18!$A:$AE,VLOOKUP($BGY$2,[2]ARBOR_REAJUSTE18!$A:$B,2,0),0))),"")&lt;0.01%,0.01%,(IFERROR(IF($BGY4="","",IF($BGY4=0,1,1-$BGY4/HLOOKUP(BHL$3,[2]ARBOR_REAJUSTE18!$A:$AE,VLOOKUP($BGY$2,[2]ARBOR_REAJUSTE18!$A:$B,2,0),0))),""))),4)</f>
        <v>#VALUE!</v>
      </c>
      <c r="BHM4" s="44" t="e">
        <f>ROUNDUP(IF(IFERROR(IF($BGY4="","",IF($BGY4=0,1,1-$BGY4/HLOOKUP(BHM$3,[2]ARBOR_REAJUSTE18!$A:$AE,VLOOKUP($BGY$2,[2]ARBOR_REAJUSTE18!$A:$B,2,0),0))),"")&lt;0.01%,0.01%,(IFERROR(IF($BGY4="","",IF($BGY4=0,1,1-$BGY4/HLOOKUP(BHM$3,[2]ARBOR_REAJUSTE18!$A:$AE,VLOOKUP($BGY$2,[2]ARBOR_REAJUSTE18!$A:$B,2,0),0))),""))),4)</f>
        <v>#VALUE!</v>
      </c>
      <c r="BHN4" s="44" t="e">
        <f>ROUNDUP(IF(IFERROR(IF($BGY4="","",IF($BGY4=0,1,1-$BGY4/HLOOKUP(BHN$3,[2]ARBOR_REAJUSTE18!$A:$AE,VLOOKUP($BGY$2,[2]ARBOR_REAJUSTE18!$A:$B,2,0),0))),"")&lt;0.01%,0.01%,(IFERROR(IF($BGY4="","",IF($BGY4=0,1,1-$BGY4/HLOOKUP(BHN$3,[2]ARBOR_REAJUSTE18!$A:$AE,VLOOKUP($BGY$2,[2]ARBOR_REAJUSTE18!$A:$B,2,0),0))),""))),4)</f>
        <v>#VALUE!</v>
      </c>
      <c r="BHO4" s="44" t="e">
        <f>ROUNDUP(IF(IFERROR(IF($BGY4="","",IF($BGY4=0,1,1-$BGY4/HLOOKUP(BHO$3,[2]ARBOR_REAJUSTE18!$A:$AE,VLOOKUP($BGY$2,[2]ARBOR_REAJUSTE18!$A:$B,2,0),0))),"")&lt;0.01%,0.01%,(IFERROR(IF($BGY4="","",IF($BGY4=0,1,1-$BGY4/HLOOKUP(BHO$3,[2]ARBOR_REAJUSTE18!$A:$AE,VLOOKUP($BGY$2,[2]ARBOR_REAJUSTE18!$A:$B,2,0),0))),""))),4)</f>
        <v>#VALUE!</v>
      </c>
      <c r="BHP4" s="44" t="e">
        <f>ROUNDUP(IF(IFERROR(IF($BGY4="","",IF($BGY4=0,1,1-$BGY4/HLOOKUP(BHP$3,[2]ARBOR_REAJUSTE18!$A:$AE,VLOOKUP($BGY$2,[2]ARBOR_REAJUSTE18!$A:$B,2,0),0))),"")&lt;0.01%,0.01%,(IFERROR(IF($BGY4="","",IF($BGY4=0,1,1-$BGY4/HLOOKUP(BHP$3,[2]ARBOR_REAJUSTE18!$A:$AE,VLOOKUP($BGY$2,[2]ARBOR_REAJUSTE18!$A:$B,2,0),0))),""))),4)</f>
        <v>#VALUE!</v>
      </c>
      <c r="BHQ4" s="44" t="e">
        <f>ROUNDUP(IF(IFERROR(IF($BGY4="","",IF($BGY4=0,1,1-$BGY4/HLOOKUP(BHQ$3,[2]ARBOR_REAJUSTE18!$A:$AE,VLOOKUP($BGY$2,[2]ARBOR_REAJUSTE18!$A:$B,2,0),0))),"")&lt;0.01%,0.01%,(IFERROR(IF($BGY4="","",IF($BGY4=0,1,1-$BGY4/HLOOKUP(BHQ$3,[2]ARBOR_REAJUSTE18!$A:$AE,VLOOKUP($BGY$2,[2]ARBOR_REAJUSTE18!$A:$B,2,0),0))),""))),4)</f>
        <v>#VALUE!</v>
      </c>
      <c r="BHR4" s="44" t="e">
        <f>ROUNDUP(IF(IFERROR(IF($BGY4="","",IF($BGY4=0,1,1-$BGY4/HLOOKUP(BHR$3,[2]ARBOR_REAJUSTE18!$A:$AE,VLOOKUP($BGY$2,[2]ARBOR_REAJUSTE18!$A:$B,2,0),0))),"")&lt;0.01%,0.01%,(IFERROR(IF($BGY4="","",IF($BGY4=0,1,1-$BGY4/HLOOKUP(BHR$3,[2]ARBOR_REAJUSTE18!$A:$AE,VLOOKUP($BGY$2,[2]ARBOR_REAJUSTE18!$A:$B,2,0),0))),""))),4)</f>
        <v>#VALUE!</v>
      </c>
      <c r="BHS4" s="44" t="e">
        <f>ROUNDUP(IF(IFERROR(IF($BGY4="","",IF($BGY4=0,1,1-$BGY4/HLOOKUP(BHS$3,[2]ARBOR_REAJUSTE18!$A:$AE,VLOOKUP($BGY$2,[2]ARBOR_REAJUSTE18!$A:$B,2,0),0))),"")&lt;0.01%,0.01%,(IFERROR(IF($BGY4="","",IF($BGY4=0,1,1-$BGY4/HLOOKUP(BHS$3,[2]ARBOR_REAJUSTE18!$A:$AE,VLOOKUP($BGY$2,[2]ARBOR_REAJUSTE18!$A:$B,2,0),0))),""))),4)</f>
        <v>#VALUE!</v>
      </c>
      <c r="BHT4" s="44" t="e">
        <f>ROUNDUP(IF(IFERROR(IF($BGY4="","",IF($BGY4=0,1,1-$BGY4/HLOOKUP(BHT$3,[2]ARBOR_REAJUSTE18!$A:$AE,VLOOKUP($BGY$2,[2]ARBOR_REAJUSTE18!$A:$B,2,0),0))),"")&lt;0.01%,0.01%,(IFERROR(IF($BGY4="","",IF($BGY4=0,1,1-$BGY4/HLOOKUP(BHT$3,[2]ARBOR_REAJUSTE18!$A:$AE,VLOOKUP($BGY$2,[2]ARBOR_REAJUSTE18!$A:$B,2,0),0))),""))),4)</f>
        <v>#VALUE!</v>
      </c>
      <c r="BHU4" s="44" t="e">
        <f>ROUNDUP(IF(IFERROR(IF($BGY4="","",IF($BGY4=0,1,1-$BGY4/HLOOKUP(BHU$3,[2]ARBOR_REAJUSTE18!$A:$AE,VLOOKUP($BGY$2,[2]ARBOR_REAJUSTE18!$A:$B,2,0),0))),"")&lt;0.01%,0.01%,(IFERROR(IF($BGY4="","",IF($BGY4=0,1,1-$BGY4/HLOOKUP(BHU$3,[2]ARBOR_REAJUSTE18!$A:$AE,VLOOKUP($BGY$2,[2]ARBOR_REAJUSTE18!$A:$B,2,0),0))),""))),4)</f>
        <v>#VALUE!</v>
      </c>
      <c r="BHV4" s="44" t="e">
        <f>ROUNDUP(IF(IFERROR(IF($BGY4="","",IF($BGY4=0,1,1-$BGY4/HLOOKUP(BHV$3,[2]ARBOR_REAJUSTE18!$A:$AE,VLOOKUP($BGY$2,[2]ARBOR_REAJUSTE18!$A:$B,2,0),0))),"")&lt;0.01%,0.01%,(IFERROR(IF($BGY4="","",IF($BGY4=0,1,1-$BGY4/HLOOKUP(BHV$3,[2]ARBOR_REAJUSTE18!$A:$AE,VLOOKUP($BGY$2,[2]ARBOR_REAJUSTE18!$A:$B,2,0),0))),""))),4)</f>
        <v>#VALUE!</v>
      </c>
      <c r="BHW4" s="44" t="e">
        <f>ROUNDUP(IF(IFERROR(IF($BGY4="","",IF($BGY4=0,1,1-$BGY4/HLOOKUP(BHW$3,[2]ARBOR_REAJUSTE18!$A:$AE,VLOOKUP($BGY$2,[2]ARBOR_REAJUSTE18!$A:$B,2,0),0))),"")&lt;0.01%,0.01%,(IFERROR(IF($BGY4="","",IF($BGY4=0,1,1-$BGY4/HLOOKUP(BHW$3,[2]ARBOR_REAJUSTE18!$A:$AE,VLOOKUP($BGY$2,[2]ARBOR_REAJUSTE18!$A:$B,2,0),0))),""))),4)</f>
        <v>#VALUE!</v>
      </c>
      <c r="BHX4" s="44" t="e">
        <f>ROUNDUP(IF(IFERROR(IF($BGY4="","",IF($BGY4=0,1,1-$BGY4/HLOOKUP(BHX$3,[2]ARBOR_REAJUSTE18!$A:$AE,VLOOKUP($BGY$2,[2]ARBOR_REAJUSTE18!$A:$B,2,0),0))),"")&lt;0.01%,0.01%,(IFERROR(IF($BGY4="","",IF($BGY4=0,1,1-$BGY4/HLOOKUP(BHX$3,[2]ARBOR_REAJUSTE18!$A:$AE,VLOOKUP($BGY$2,[2]ARBOR_REAJUSTE18!$A:$B,2,0),0))),""))),4)</f>
        <v>#VALUE!</v>
      </c>
      <c r="BHY4" s="44" t="e">
        <f>ROUNDUP(IF(IFERROR(IF($BGY4="","",IF($BGY4=0,1,1-$BGY4/HLOOKUP(BHY$3,[2]ARBOR_REAJUSTE18!$A:$AE,VLOOKUP($BGY$2,[2]ARBOR_REAJUSTE18!$A:$B,2,0),0))),"")&lt;0.01%,0.01%,(IFERROR(IF($BGY4="","",IF($BGY4=0,1,1-$BGY4/HLOOKUP(BHY$3,[2]ARBOR_REAJUSTE18!$A:$AE,VLOOKUP($BGY$2,[2]ARBOR_REAJUSTE18!$A:$B,2,0),0))),""))),4)</f>
        <v>#VALUE!</v>
      </c>
      <c r="BHZ4" s="44" t="e">
        <f>ROUNDUP(IF(IFERROR(IF($BGY4="","",IF($BGY4=0,1,1-$BGY4/HLOOKUP(BHZ$3,[2]ARBOR_REAJUSTE18!$A:$AE,VLOOKUP($BGY$2,[2]ARBOR_REAJUSTE18!$A:$B,2,0),0))),"")&lt;0.01%,0.01%,(IFERROR(IF($BGY4="","",IF($BGY4=0,1,1-$BGY4/HLOOKUP(BHZ$3,[2]ARBOR_REAJUSTE18!$A:$AE,VLOOKUP($BGY$2,[2]ARBOR_REAJUSTE18!$A:$B,2,0),0))),""))),4)</f>
        <v>#VALUE!</v>
      </c>
      <c r="BIA4" s="44" t="e">
        <f>ROUNDUP(IF(IFERROR(IF($BGY4="","",IF($BGY4=0,1,1-$BGY4/HLOOKUP(BIA$3,[2]ARBOR_REAJUSTE18!$A:$AE,VLOOKUP($BGY$2,[2]ARBOR_REAJUSTE18!$A:$B,2,0),0))),"")&lt;0.01%,0.01%,(IFERROR(IF($BGY4="","",IF($BGY4=0,1,1-$BGY4/HLOOKUP(BIA$3,[2]ARBOR_REAJUSTE18!$A:$AE,VLOOKUP($BGY$2,[2]ARBOR_REAJUSTE18!$A:$B,2,0),0))),""))),4)</f>
        <v>#VALUE!</v>
      </c>
      <c r="BIB4" s="56"/>
      <c r="BIC4" s="64"/>
      <c r="BID4" s="44" t="e">
        <f>ROUNDUP(IF(IFERROR(IF($BIB4="","",IF($BIB4=0,1,1-$BIB4/HLOOKUP(BID$3,[2]ARBOR_REAJUSTE18!$A:$AE,VLOOKUP($BIB$2,[2]ARBOR_REAJUSTE18!$A:$B,2,0),0))),"")&lt;0.01%,0.01%,(IFERROR(IF($BIB4="","",IF($BIB4=0,1,1-$BIB4/HLOOKUP(BID$3,[2]ARBOR_REAJUSTE18!$A:$AE,VLOOKUP($BIB$2,[2]ARBOR_REAJUSTE18!$A:$B,2,0),0))),""))),4)</f>
        <v>#VALUE!</v>
      </c>
      <c r="BIE4" s="44" t="e">
        <f>ROUNDUP(IF(IFERROR(IF($BIB4="","",IF($BIB4=0,1,1-$BIB4/HLOOKUP(BIE$3,[2]ARBOR_REAJUSTE18!$A:$AE,VLOOKUP($BIB$2,[2]ARBOR_REAJUSTE18!$A:$B,2,0),0))),"")&lt;0.01%,0.01%,(IFERROR(IF($BIB4="","",IF($BIB4=0,1,1-$BIB4/HLOOKUP(BIE$3,[2]ARBOR_REAJUSTE18!$A:$AE,VLOOKUP($BIB$2,[2]ARBOR_REAJUSTE18!$A:$B,2,0),0))),""))),4)</f>
        <v>#VALUE!</v>
      </c>
      <c r="BIF4" s="44" t="e">
        <f>ROUNDUP(IF(IFERROR(IF($BIB4="","",IF($BIB4=0,1,1-$BIB4/HLOOKUP(BIF$3,[2]ARBOR_REAJUSTE18!$A:$AE,VLOOKUP($BIB$2,[2]ARBOR_REAJUSTE18!$A:$B,2,0),0))),"")&lt;0.01%,0.01%,(IFERROR(IF($BIB4="","",IF($BIB4=0,1,1-$BIB4/HLOOKUP(BIF$3,[2]ARBOR_REAJUSTE18!$A:$AE,VLOOKUP($BIB$2,[2]ARBOR_REAJUSTE18!$A:$B,2,0),0))),""))),4)</f>
        <v>#VALUE!</v>
      </c>
      <c r="BIG4" s="44" t="e">
        <f>ROUNDUP(IF(IFERROR(IF($BIB4="","",IF($BIB4=0,1,1-$BIB4/HLOOKUP(BIG$3,[2]ARBOR_REAJUSTE18!$A:$AE,VLOOKUP($BIB$2,[2]ARBOR_REAJUSTE18!$A:$B,2,0),0))),"")&lt;0.01%,0.01%,(IFERROR(IF($BIB4="","",IF($BIB4=0,1,1-$BIB4/HLOOKUP(BIG$3,[2]ARBOR_REAJUSTE18!$A:$AE,VLOOKUP($BIB$2,[2]ARBOR_REAJUSTE18!$A:$B,2,0),0))),""))),4)</f>
        <v>#VALUE!</v>
      </c>
      <c r="BIH4" s="44" t="e">
        <f>ROUNDUP(IF(IFERROR(IF($BIB4="","",IF($BIB4=0,1,1-$BIB4/HLOOKUP(BIH$3,[2]ARBOR_REAJUSTE18!$A:$AE,VLOOKUP($BIB$2,[2]ARBOR_REAJUSTE18!$A:$B,2,0),0))),"")&lt;0.01%,0.01%,(IFERROR(IF($BIB4="","",IF($BIB4=0,1,1-$BIB4/HLOOKUP(BIH$3,[2]ARBOR_REAJUSTE18!$A:$AE,VLOOKUP($BIB$2,[2]ARBOR_REAJUSTE18!$A:$B,2,0),0))),""))),4)</f>
        <v>#VALUE!</v>
      </c>
      <c r="BII4" s="44" t="e">
        <f>ROUNDUP(IF(IFERROR(IF($BIB4="","",IF($BIB4=0,1,1-$BIB4/HLOOKUP(BII$3,[2]ARBOR_REAJUSTE18!$A:$AE,VLOOKUP($BIB$2,[2]ARBOR_REAJUSTE18!$A:$B,2,0),0))),"")&lt;0.01%,0.01%,(IFERROR(IF($BIB4="","",IF($BIB4=0,1,1-$BIB4/HLOOKUP(BII$3,[2]ARBOR_REAJUSTE18!$A:$AE,VLOOKUP($BIB$2,[2]ARBOR_REAJUSTE18!$A:$B,2,0),0))),""))),4)</f>
        <v>#VALUE!</v>
      </c>
      <c r="BIJ4" s="44" t="e">
        <f>ROUNDUP(IF(IFERROR(IF($BIB4="","",IF($BIB4=0,1,1-$BIB4/HLOOKUP(BIJ$3,[2]ARBOR_REAJUSTE18!$A:$AE,VLOOKUP($BIB$2,[2]ARBOR_REAJUSTE18!$A:$B,2,0),0))),"")&lt;0.01%,0.01%,(IFERROR(IF($BIB4="","",IF($BIB4=0,1,1-$BIB4/HLOOKUP(BIJ$3,[2]ARBOR_REAJUSTE18!$A:$AE,VLOOKUP($BIB$2,[2]ARBOR_REAJUSTE18!$A:$B,2,0),0))),""))),4)</f>
        <v>#VALUE!</v>
      </c>
      <c r="BIK4" s="44" t="e">
        <f>ROUNDUP(IF(IFERROR(IF($BIB4="","",IF($BIB4=0,1,1-$BIB4/HLOOKUP(BIK$3,[2]ARBOR_REAJUSTE18!$A:$AE,VLOOKUP($BIB$2,[2]ARBOR_REAJUSTE18!$A:$B,2,0),0))),"")&lt;0.01%,0.01%,(IFERROR(IF($BIB4="","",IF($BIB4=0,1,1-$BIB4/HLOOKUP(BIK$3,[2]ARBOR_REAJUSTE18!$A:$AE,VLOOKUP($BIB$2,[2]ARBOR_REAJUSTE18!$A:$B,2,0),0))),""))),4)</f>
        <v>#VALUE!</v>
      </c>
      <c r="BIL4" s="44" t="e">
        <f>ROUNDUP(IF(IFERROR(IF($BIB4="","",IF($BIB4=0,1,1-$BIB4/HLOOKUP(BIL$3,[2]ARBOR_REAJUSTE18!$A:$AE,VLOOKUP($BIB$2,[2]ARBOR_REAJUSTE18!$A:$B,2,0),0))),"")&lt;0.01%,0.01%,(IFERROR(IF($BIB4="","",IF($BIB4=0,1,1-$BIB4/HLOOKUP(BIL$3,[2]ARBOR_REAJUSTE18!$A:$AE,VLOOKUP($BIB$2,[2]ARBOR_REAJUSTE18!$A:$B,2,0),0))),""))),4)</f>
        <v>#VALUE!</v>
      </c>
      <c r="BIM4" s="44" t="e">
        <f>ROUNDUP(IF(IFERROR(IF($BIB4="","",IF($BIB4=0,1,1-$BIB4/HLOOKUP(BIM$3,[2]ARBOR_REAJUSTE18!$A:$AE,VLOOKUP($BIB$2,[2]ARBOR_REAJUSTE18!$A:$B,2,0),0))),"")&lt;0.01%,0.01%,(IFERROR(IF($BIB4="","",IF($BIB4=0,1,1-$BIB4/HLOOKUP(BIM$3,[2]ARBOR_REAJUSTE18!$A:$AE,VLOOKUP($BIB$2,[2]ARBOR_REAJUSTE18!$A:$B,2,0),0))),""))),4)</f>
        <v>#VALUE!</v>
      </c>
      <c r="BIN4" s="44" t="e">
        <f>ROUNDUP(IF(IFERROR(IF($BIB4="","",IF($BIB4=0,1,1-$BIB4/HLOOKUP(BIN$3,[2]ARBOR_REAJUSTE18!$A:$AE,VLOOKUP($BIB$2,[2]ARBOR_REAJUSTE18!$A:$B,2,0),0))),"")&lt;0.01%,0.01%,(IFERROR(IF($BIB4="","",IF($BIB4=0,1,1-$BIB4/HLOOKUP(BIN$3,[2]ARBOR_REAJUSTE18!$A:$AE,VLOOKUP($BIB$2,[2]ARBOR_REAJUSTE18!$A:$B,2,0),0))),""))),4)</f>
        <v>#VALUE!</v>
      </c>
      <c r="BIO4" s="44" t="e">
        <f>ROUNDUP(IF(IFERROR(IF($BIB4="","",IF($BIB4=0,1,1-$BIB4/HLOOKUP(BIO$3,[2]ARBOR_REAJUSTE18!$A:$AE,VLOOKUP($BIB$2,[2]ARBOR_REAJUSTE18!$A:$B,2,0),0))),"")&lt;0.01%,0.01%,(IFERROR(IF($BIB4="","",IF($BIB4=0,1,1-$BIB4/HLOOKUP(BIO$3,[2]ARBOR_REAJUSTE18!$A:$AE,VLOOKUP($BIB$2,[2]ARBOR_REAJUSTE18!$A:$B,2,0),0))),""))),4)</f>
        <v>#VALUE!</v>
      </c>
      <c r="BIP4" s="44" t="e">
        <f>ROUNDUP(IF(IFERROR(IF($BIB4="","",IF($BIB4=0,1,1-$BIB4/HLOOKUP(BIP$3,[2]ARBOR_REAJUSTE18!$A:$AE,VLOOKUP($BIB$2,[2]ARBOR_REAJUSTE18!$A:$B,2,0),0))),"")&lt;0.01%,0.01%,(IFERROR(IF($BIB4="","",IF($BIB4=0,1,1-$BIB4/HLOOKUP(BIP$3,[2]ARBOR_REAJUSTE18!$A:$AE,VLOOKUP($BIB$2,[2]ARBOR_REAJUSTE18!$A:$B,2,0),0))),""))),4)</f>
        <v>#VALUE!</v>
      </c>
      <c r="BIQ4" s="44" t="e">
        <f>ROUNDUP(IF(IFERROR(IF($BIB4="","",IF($BIB4=0,1,1-$BIB4/HLOOKUP(BIQ$3,[2]ARBOR_REAJUSTE18!$A:$AE,VLOOKUP($BIB$2,[2]ARBOR_REAJUSTE18!$A:$B,2,0),0))),"")&lt;0.01%,0.01%,(IFERROR(IF($BIB4="","",IF($BIB4=0,1,1-$BIB4/HLOOKUP(BIQ$3,[2]ARBOR_REAJUSTE18!$A:$AE,VLOOKUP($BIB$2,[2]ARBOR_REAJUSTE18!$A:$B,2,0),0))),""))),4)</f>
        <v>#VALUE!</v>
      </c>
      <c r="BIR4" s="44" t="e">
        <f>ROUNDUP(IF(IFERROR(IF($BIB4="","",IF($BIB4=0,1,1-$BIB4/HLOOKUP(BIR$3,[2]ARBOR_REAJUSTE18!$A:$AE,VLOOKUP($BIB$2,[2]ARBOR_REAJUSTE18!$A:$B,2,0),0))),"")&lt;0.01%,0.01%,(IFERROR(IF($BIB4="","",IF($BIB4=0,1,1-$BIB4/HLOOKUP(BIR$3,[2]ARBOR_REAJUSTE18!$A:$AE,VLOOKUP($BIB$2,[2]ARBOR_REAJUSTE18!$A:$B,2,0),0))),""))),4)</f>
        <v>#VALUE!</v>
      </c>
      <c r="BIS4" s="44" t="e">
        <f>ROUNDUP(IF(IFERROR(IF($BIB4="","",IF($BIB4=0,1,1-$BIB4/HLOOKUP(BIS$3,[2]ARBOR_REAJUSTE18!$A:$AE,VLOOKUP($BIB$2,[2]ARBOR_REAJUSTE18!$A:$B,2,0),0))),"")&lt;0.01%,0.01%,(IFERROR(IF($BIB4="","",IF($BIB4=0,1,1-$BIB4/HLOOKUP(BIS$3,[2]ARBOR_REAJUSTE18!$A:$AE,VLOOKUP($BIB$2,[2]ARBOR_REAJUSTE18!$A:$B,2,0),0))),""))),4)</f>
        <v>#VALUE!</v>
      </c>
      <c r="BIT4" s="44" t="e">
        <f>ROUNDUP(IF(IFERROR(IF($BIB4="","",IF($BIB4=0,1,1-$BIB4/HLOOKUP(BIT$3,[2]ARBOR_REAJUSTE18!$A:$AE,VLOOKUP($BIB$2,[2]ARBOR_REAJUSTE18!$A:$B,2,0),0))),"")&lt;0.01%,0.01%,(IFERROR(IF($BIB4="","",IF($BIB4=0,1,1-$BIB4/HLOOKUP(BIT$3,[2]ARBOR_REAJUSTE18!$A:$AE,VLOOKUP($BIB$2,[2]ARBOR_REAJUSTE18!$A:$B,2,0),0))),""))),4)</f>
        <v>#VALUE!</v>
      </c>
      <c r="BIU4" s="44" t="e">
        <f>ROUNDUP(IF(IFERROR(IF($BIB4="","",IF($BIB4=0,1,1-$BIB4/HLOOKUP(BIU$3,[2]ARBOR_REAJUSTE18!$A:$AE,VLOOKUP($BIB$2,[2]ARBOR_REAJUSTE18!$A:$B,2,0),0))),"")&lt;0.01%,0.01%,(IFERROR(IF($BIB4="","",IF($BIB4=0,1,1-$BIB4/HLOOKUP(BIU$3,[2]ARBOR_REAJUSTE18!$A:$AE,VLOOKUP($BIB$2,[2]ARBOR_REAJUSTE18!$A:$B,2,0),0))),""))),4)</f>
        <v>#VALUE!</v>
      </c>
      <c r="BIV4" s="44" t="e">
        <f>ROUNDUP(IF(IFERROR(IF($BIB4="","",IF($BIB4=0,1,1-$BIB4/HLOOKUP(BIV$3,[2]ARBOR_REAJUSTE18!$A:$AE,VLOOKUP($BIB$2,[2]ARBOR_REAJUSTE18!$A:$B,2,0),0))),"")&lt;0.01%,0.01%,(IFERROR(IF($BIB4="","",IF($BIB4=0,1,1-$BIB4/HLOOKUP(BIV$3,[2]ARBOR_REAJUSTE18!$A:$AE,VLOOKUP($BIB$2,[2]ARBOR_REAJUSTE18!$A:$B,2,0),0))),""))),4)</f>
        <v>#VALUE!</v>
      </c>
      <c r="BIW4" s="44" t="e">
        <f>ROUNDUP(IF(IFERROR(IF($BIB4="","",IF($BIB4=0,1,1-$BIB4/HLOOKUP(BIW$3,[2]ARBOR_REAJUSTE18!$A:$AE,VLOOKUP($BIB$2,[2]ARBOR_REAJUSTE18!$A:$B,2,0),0))),"")&lt;0.01%,0.01%,(IFERROR(IF($BIB4="","",IF($BIB4=0,1,1-$BIB4/HLOOKUP(BIW$3,[2]ARBOR_REAJUSTE18!$A:$AE,VLOOKUP($BIB$2,[2]ARBOR_REAJUSTE18!$A:$B,2,0),0))),""))),4)</f>
        <v>#VALUE!</v>
      </c>
      <c r="BIX4" s="44" t="e">
        <f>ROUNDUP(IF(IFERROR(IF($BIB4="","",IF($BIB4=0,1,1-$BIB4/HLOOKUP(BIX$3,[2]ARBOR_REAJUSTE18!$A:$AE,VLOOKUP($BIB$2,[2]ARBOR_REAJUSTE18!$A:$B,2,0),0))),"")&lt;0.01%,0.01%,(IFERROR(IF($BIB4="","",IF($BIB4=0,1,1-$BIB4/HLOOKUP(BIX$3,[2]ARBOR_REAJUSTE18!$A:$AE,VLOOKUP($BIB$2,[2]ARBOR_REAJUSTE18!$A:$B,2,0),0))),""))),4)</f>
        <v>#VALUE!</v>
      </c>
      <c r="BIY4" s="44" t="e">
        <f>ROUNDUP(IF(IFERROR(IF($BIB4="","",IF($BIB4=0,1,1-$BIB4/HLOOKUP(BIY$3,[2]ARBOR_REAJUSTE18!$A:$AE,VLOOKUP($BIB$2,[2]ARBOR_REAJUSTE18!$A:$B,2,0),0))),"")&lt;0.01%,0.01%,(IFERROR(IF($BIB4="","",IF($BIB4=0,1,1-$BIB4/HLOOKUP(BIY$3,[2]ARBOR_REAJUSTE18!$A:$AE,VLOOKUP($BIB$2,[2]ARBOR_REAJUSTE18!$A:$B,2,0),0))),""))),4)</f>
        <v>#VALUE!</v>
      </c>
      <c r="BIZ4" s="44" t="e">
        <f>ROUNDUP(IF(IFERROR(IF($BIB4="","",IF($BIB4=0,1,1-$BIB4/HLOOKUP(BIZ$3,[2]ARBOR_REAJUSTE18!$A:$AE,VLOOKUP($BIB$2,[2]ARBOR_REAJUSTE18!$A:$B,2,0),0))),"")&lt;0.01%,0.01%,(IFERROR(IF($BIB4="","",IF($BIB4=0,1,1-$BIB4/HLOOKUP(BIZ$3,[2]ARBOR_REAJUSTE18!$A:$AE,VLOOKUP($BIB$2,[2]ARBOR_REAJUSTE18!$A:$B,2,0),0))),""))),4)</f>
        <v>#VALUE!</v>
      </c>
      <c r="BJA4" s="44" t="e">
        <f>ROUNDUP(IF(IFERROR(IF($BIB4="","",IF($BIB4=0,1,1-$BIB4/HLOOKUP(BJA$3,[2]ARBOR_REAJUSTE18!$A:$AE,VLOOKUP($BIB$2,[2]ARBOR_REAJUSTE18!$A:$B,2,0),0))),"")&lt;0.01%,0.01%,(IFERROR(IF($BIB4="","",IF($BIB4=0,1,1-$BIB4/HLOOKUP(BJA$3,[2]ARBOR_REAJUSTE18!$A:$AE,VLOOKUP($BIB$2,[2]ARBOR_REAJUSTE18!$A:$B,2,0),0))),""))),4)</f>
        <v>#VALUE!</v>
      </c>
      <c r="BJB4" s="44" t="e">
        <f>ROUNDUP(IF(IFERROR(IF($BIB4="","",IF($BIB4=0,1,1-$BIB4/HLOOKUP(BJB$3,[2]ARBOR_REAJUSTE18!$A:$AE,VLOOKUP($BIB$2,[2]ARBOR_REAJUSTE18!$A:$B,2,0),0))),"")&lt;0.01%,0.01%,(IFERROR(IF($BIB4="","",IF($BIB4=0,1,1-$BIB4/HLOOKUP(BJB$3,[2]ARBOR_REAJUSTE18!$A:$AE,VLOOKUP($BIB$2,[2]ARBOR_REAJUSTE18!$A:$B,2,0),0))),""))),4)</f>
        <v>#VALUE!</v>
      </c>
      <c r="BJC4" s="44" t="e">
        <f>ROUNDUP(IF(IFERROR(IF($BIB4="","",IF($BIB4=0,1,1-$BIB4/HLOOKUP(BJC$3,[2]ARBOR_REAJUSTE18!$A:$AE,VLOOKUP($BIB$2,[2]ARBOR_REAJUSTE18!$A:$B,2,0),0))),"")&lt;0.01%,0.01%,(IFERROR(IF($BIB4="","",IF($BIB4=0,1,1-$BIB4/HLOOKUP(BJC$3,[2]ARBOR_REAJUSTE18!$A:$AE,VLOOKUP($BIB$2,[2]ARBOR_REAJUSTE18!$A:$B,2,0),0))),""))),4)</f>
        <v>#VALUE!</v>
      </c>
      <c r="BJD4" s="44" t="e">
        <f>ROUNDUP(IF(IFERROR(IF($BIB4="","",IF($BIB4=0,1,1-$BIB4/HLOOKUP(BJD$3,[2]ARBOR_REAJUSTE18!$A:$AE,VLOOKUP($BIB$2,[2]ARBOR_REAJUSTE18!$A:$B,2,0),0))),"")&lt;0.01%,0.01%,(IFERROR(IF($BIB4="","",IF($BIB4=0,1,1-$BIB4/HLOOKUP(BJD$3,[2]ARBOR_REAJUSTE18!$A:$AE,VLOOKUP($BIB$2,[2]ARBOR_REAJUSTE18!$A:$B,2,0),0))),""))),4)</f>
        <v>#VALUE!</v>
      </c>
      <c r="BJE4" s="56">
        <v>75</v>
      </c>
      <c r="BJF4" s="64" t="str">
        <f ca="1">VLOOKUP($AV4&amp;BJG4&amp;"Template desconto % Combate nível conta",[2]BENEFICIOS!$A:$G,5,0)</f>
        <v>MKT-1-10624232431</v>
      </c>
      <c r="BJG4" s="44">
        <f ca="1">ROUNDUP(IF(IFERROR(IF($BJE4="","",IF($BJE4=0,1,1-$BJE4/HLOOKUP(BJG$3,[2]ARBOR_REAJUSTE18!$A:$AE,VLOOKUP($BJE$2,[2]ARBOR_REAJUSTE18!$A:$B,2,0),0))),"")&lt;0.01%,0.01%,(IFERROR(IF($BJE4="","",IF($BJE4=0,1,1-$BJE4/HLOOKUP(BJG$3,[2]ARBOR_REAJUSTE18!$A:$AE,VLOOKUP($BJE$2,[2]ARBOR_REAJUSTE18!$A:$B,2,0),0))),""))),4)</f>
        <v>0.32029999999999997</v>
      </c>
      <c r="BJH4" s="44">
        <f ca="1">ROUNDUP(IF(IFERROR(IF($BJE4="","",IF($BJE4=0,1,1-$BJE4/HLOOKUP(BJH$3,[2]ARBOR_REAJUSTE18!$A:$AE,VLOOKUP($BJE$2,[2]ARBOR_REAJUSTE18!$A:$B,2,0),0))),"")&lt;0.01%,0.01%,(IFERROR(IF($BJE4="","",IF($BJE4=0,1,1-$BJE4/HLOOKUP(BJH$3,[2]ARBOR_REAJUSTE18!$A:$AE,VLOOKUP($BJE$2,[2]ARBOR_REAJUSTE18!$A:$B,2,0),0))),""))),4)</f>
        <v>0.32029999999999997</v>
      </c>
      <c r="BJI4" s="44">
        <f ca="1">ROUNDUP(IF(IFERROR(IF($BJE4="","",IF($BJE4=0,1,1-$BJE4/HLOOKUP(BJI$3,[2]ARBOR_REAJUSTE18!$A:$AE,VLOOKUP($BJE$2,[2]ARBOR_REAJUSTE18!$A:$B,2,0),0))),"")&lt;0.01%,0.01%,(IFERROR(IF($BJE4="","",IF($BJE4=0,1,1-$BJE4/HLOOKUP(BJI$3,[2]ARBOR_REAJUSTE18!$A:$AE,VLOOKUP($BJE$2,[2]ARBOR_REAJUSTE18!$A:$B,2,0),0))),""))),4)</f>
        <v>0.32029999999999997</v>
      </c>
      <c r="BJJ4" s="44">
        <f ca="1">ROUNDUP(IF(IFERROR(IF($BJE4="","",IF($BJE4=0,1,1-$BJE4/HLOOKUP(BJJ$3,[2]ARBOR_REAJUSTE18!$A:$AE,VLOOKUP($BJE$2,[2]ARBOR_REAJUSTE18!$A:$B,2,0),0))),"")&lt;0.01%,0.01%,(IFERROR(IF($BJE4="","",IF($BJE4=0,1,1-$BJE4/HLOOKUP(BJJ$3,[2]ARBOR_REAJUSTE18!$A:$AE,VLOOKUP($BJE$2,[2]ARBOR_REAJUSTE18!$A:$B,2,0),0))),""))),4)</f>
        <v>0.32029999999999997</v>
      </c>
      <c r="BJK4" s="44">
        <f ca="1">ROUNDUP(IF(IFERROR(IF($BJE4="","",IF($BJE4=0,1,1-$BJE4/HLOOKUP(BJK$3,[2]ARBOR_REAJUSTE18!$A:$AE,VLOOKUP($BJE$2,[2]ARBOR_REAJUSTE18!$A:$B,2,0),0))),"")&lt;0.01%,0.01%,(IFERROR(IF($BJE4="","",IF($BJE4=0,1,1-$BJE4/HLOOKUP(BJK$3,[2]ARBOR_REAJUSTE18!$A:$AE,VLOOKUP($BJE$2,[2]ARBOR_REAJUSTE18!$A:$B,2,0),0))),""))),4)</f>
        <v>0.32029999999999997</v>
      </c>
      <c r="BJL4" s="44">
        <f ca="1">ROUNDUP(IF(IFERROR(IF($BJE4="","",IF($BJE4=0,1,1-$BJE4/HLOOKUP(BJL$3,[2]ARBOR_REAJUSTE18!$A:$AE,VLOOKUP($BJE$2,[2]ARBOR_REAJUSTE18!$A:$B,2,0),0))),"")&lt;0.01%,0.01%,(IFERROR(IF($BJE4="","",IF($BJE4=0,1,1-$BJE4/HLOOKUP(BJL$3,[2]ARBOR_REAJUSTE18!$A:$AE,VLOOKUP($BJE$2,[2]ARBOR_REAJUSTE18!$A:$B,2,0),0))),""))),4)</f>
        <v>0.32029999999999997</v>
      </c>
      <c r="BJM4" s="44">
        <f ca="1">ROUNDUP(IF(IFERROR(IF($BJE4="","",IF($BJE4=0,1,1-$BJE4/HLOOKUP(BJM$3,[2]ARBOR_REAJUSTE18!$A:$AE,VLOOKUP($BJE$2,[2]ARBOR_REAJUSTE18!$A:$B,2,0),0))),"")&lt;0.01%,0.01%,(IFERROR(IF($BJE4="","",IF($BJE4=0,1,1-$BJE4/HLOOKUP(BJM$3,[2]ARBOR_REAJUSTE18!$A:$AE,VLOOKUP($BJE$2,[2]ARBOR_REAJUSTE18!$A:$B,2,0),0))),""))),4)</f>
        <v>0.32029999999999997</v>
      </c>
      <c r="BJN4" s="44">
        <f ca="1">ROUNDUP(IF(IFERROR(IF($BJE4="","",IF($BJE4=0,1,1-$BJE4/HLOOKUP(BJN$3,[2]ARBOR_REAJUSTE18!$A:$AE,VLOOKUP($BJE$2,[2]ARBOR_REAJUSTE18!$A:$B,2,0),0))),"")&lt;0.01%,0.01%,(IFERROR(IF($BJE4="","",IF($BJE4=0,1,1-$BJE4/HLOOKUP(BJN$3,[2]ARBOR_REAJUSTE18!$A:$AE,VLOOKUP($BJE$2,[2]ARBOR_REAJUSTE18!$A:$B,2,0),0))),""))),4)</f>
        <v>0.32029999999999997</v>
      </c>
      <c r="BJO4" s="44">
        <f ca="1">ROUNDUP(IF(IFERROR(IF($BJE4="","",IF($BJE4=0,1,1-$BJE4/HLOOKUP(BJO$3,[2]ARBOR_REAJUSTE18!$A:$AE,VLOOKUP($BJE$2,[2]ARBOR_REAJUSTE18!$A:$B,2,0),0))),"")&lt;0.01%,0.01%,(IFERROR(IF($BJE4="","",IF($BJE4=0,1,1-$BJE4/HLOOKUP(BJO$3,[2]ARBOR_REAJUSTE18!$A:$AE,VLOOKUP($BJE$2,[2]ARBOR_REAJUSTE18!$A:$B,2,0),0))),""))),4)</f>
        <v>0.32029999999999997</v>
      </c>
      <c r="BJP4" s="44">
        <f ca="1">ROUNDUP(IF(IFERROR(IF($BJE4="","",IF($BJE4=0,1,1-$BJE4/HLOOKUP(BJP$3,[2]ARBOR_REAJUSTE18!$A:$AE,VLOOKUP($BJE$2,[2]ARBOR_REAJUSTE18!$A:$B,2,0),0))),"")&lt;0.01%,0.01%,(IFERROR(IF($BJE4="","",IF($BJE4=0,1,1-$BJE4/HLOOKUP(BJP$3,[2]ARBOR_REAJUSTE18!$A:$AE,VLOOKUP($BJE$2,[2]ARBOR_REAJUSTE18!$A:$B,2,0),0))),""))),4)</f>
        <v>0.32029999999999997</v>
      </c>
      <c r="BJQ4" s="44">
        <f ca="1">ROUNDUP(IF(IFERROR(IF($BJE4="","",IF($BJE4=0,1,1-$BJE4/HLOOKUP(BJQ$3,[2]ARBOR_REAJUSTE18!$A:$AE,VLOOKUP($BJE$2,[2]ARBOR_REAJUSTE18!$A:$B,2,0),0))),"")&lt;0.01%,0.01%,(IFERROR(IF($BJE4="","",IF($BJE4=0,1,1-$BJE4/HLOOKUP(BJQ$3,[2]ARBOR_REAJUSTE18!$A:$AE,VLOOKUP($BJE$2,[2]ARBOR_REAJUSTE18!$A:$B,2,0),0))),""))),4)</f>
        <v>0.34449999999999997</v>
      </c>
      <c r="BJR4" s="44">
        <f ca="1">ROUNDUP(IF(IFERROR(IF($BJE4="","",IF($BJE4=0,1,1-$BJE4/HLOOKUP(BJR$3,[2]ARBOR_REAJUSTE18!$A:$AE,VLOOKUP($BJE$2,[2]ARBOR_REAJUSTE18!$A:$B,2,0),0))),"")&lt;0.01%,0.01%,(IFERROR(IF($BJE4="","",IF($BJE4=0,1,1-$BJE4/HLOOKUP(BJR$3,[2]ARBOR_REAJUSTE18!$A:$AE,VLOOKUP($BJE$2,[2]ARBOR_REAJUSTE18!$A:$B,2,0),0))),""))),4)</f>
        <v>0.32029999999999997</v>
      </c>
      <c r="BJS4" s="44">
        <f ca="1">ROUNDUP(IF(IFERROR(IF($BJE4="","",IF($BJE4=0,1,1-$BJE4/HLOOKUP(BJS$3,[2]ARBOR_REAJUSTE18!$A:$AE,VLOOKUP($BJE$2,[2]ARBOR_REAJUSTE18!$A:$B,2,0),0))),"")&lt;0.01%,0.01%,(IFERROR(IF($BJE4="","",IF($BJE4=0,1,1-$BJE4/HLOOKUP(BJS$3,[2]ARBOR_REAJUSTE18!$A:$AE,VLOOKUP($BJE$2,[2]ARBOR_REAJUSTE18!$A:$B,2,0),0))),""))),4)</f>
        <v>0.32029999999999997</v>
      </c>
      <c r="BJT4" s="44">
        <f ca="1">ROUNDUP(IF(IFERROR(IF($BJE4="","",IF($BJE4=0,1,1-$BJE4/HLOOKUP(BJT$3,[2]ARBOR_REAJUSTE18!$A:$AE,VLOOKUP($BJE$2,[2]ARBOR_REAJUSTE18!$A:$B,2,0),0))),"")&lt;0.01%,0.01%,(IFERROR(IF($BJE4="","",IF($BJE4=0,1,1-$BJE4/HLOOKUP(BJT$3,[2]ARBOR_REAJUSTE18!$A:$AE,VLOOKUP($BJE$2,[2]ARBOR_REAJUSTE18!$A:$B,2,0),0))),""))),4)</f>
        <v>0.32029999999999997</v>
      </c>
      <c r="BJU4" s="44">
        <f ca="1">ROUNDUP(IF(IFERROR(IF($BJE4="","",IF($BJE4=0,1,1-$BJE4/HLOOKUP(BJU$3,[2]ARBOR_REAJUSTE18!$A:$AE,VLOOKUP($BJE$2,[2]ARBOR_REAJUSTE18!$A:$B,2,0),0))),"")&lt;0.01%,0.01%,(IFERROR(IF($BJE4="","",IF($BJE4=0,1,1-$BJE4/HLOOKUP(BJU$3,[2]ARBOR_REAJUSTE18!$A:$AE,VLOOKUP($BJE$2,[2]ARBOR_REAJUSTE18!$A:$B,2,0),0))),""))),4)</f>
        <v>0.32029999999999997</v>
      </c>
      <c r="BJV4" s="44">
        <f ca="1">ROUNDUP(IF(IFERROR(IF($BJE4="","",IF($BJE4=0,1,1-$BJE4/HLOOKUP(BJV$3,[2]ARBOR_REAJUSTE18!$A:$AE,VLOOKUP($BJE$2,[2]ARBOR_REAJUSTE18!$A:$B,2,0),0))),"")&lt;0.01%,0.01%,(IFERROR(IF($BJE4="","",IF($BJE4=0,1,1-$BJE4/HLOOKUP(BJV$3,[2]ARBOR_REAJUSTE18!$A:$AE,VLOOKUP($BJE$2,[2]ARBOR_REAJUSTE18!$A:$B,2,0),0))),""))),4)</f>
        <v>0.32929999999999998</v>
      </c>
      <c r="BJW4" s="44">
        <f ca="1">ROUNDUP(IF(IFERROR(IF($BJE4="","",IF($BJE4=0,1,1-$BJE4/HLOOKUP(BJW$3,[2]ARBOR_REAJUSTE18!$A:$AE,VLOOKUP($BJE$2,[2]ARBOR_REAJUSTE18!$A:$B,2,0),0))),"")&lt;0.01%,0.01%,(IFERROR(IF($BJE4="","",IF($BJE4=0,1,1-$BJE4/HLOOKUP(BJW$3,[2]ARBOR_REAJUSTE18!$A:$AE,VLOOKUP($BJE$2,[2]ARBOR_REAJUSTE18!$A:$B,2,0),0))),""))),4)</f>
        <v>0.32029999999999997</v>
      </c>
      <c r="BJX4" s="44">
        <f ca="1">ROUNDUP(IF(IFERROR(IF($BJE4="","",IF($BJE4=0,1,1-$BJE4/HLOOKUP(BJX$3,[2]ARBOR_REAJUSTE18!$A:$AE,VLOOKUP($BJE$2,[2]ARBOR_REAJUSTE18!$A:$B,2,0),0))),"")&lt;0.01%,0.01%,(IFERROR(IF($BJE4="","",IF($BJE4=0,1,1-$BJE4/HLOOKUP(BJX$3,[2]ARBOR_REAJUSTE18!$A:$AE,VLOOKUP($BJE$2,[2]ARBOR_REAJUSTE18!$A:$B,2,0),0))),""))),4)</f>
        <v>0.32029999999999997</v>
      </c>
      <c r="BJY4" s="44">
        <f ca="1">ROUNDUP(IF(IFERROR(IF($BJE4="","",IF($BJE4=0,1,1-$BJE4/HLOOKUP(BJY$3,[2]ARBOR_REAJUSTE18!$A:$AE,VLOOKUP($BJE$2,[2]ARBOR_REAJUSTE18!$A:$B,2,0),0))),"")&lt;0.01%,0.01%,(IFERROR(IF($BJE4="","",IF($BJE4=0,1,1-$BJE4/HLOOKUP(BJY$3,[2]ARBOR_REAJUSTE18!$A:$AE,VLOOKUP($BJE$2,[2]ARBOR_REAJUSTE18!$A:$B,2,0),0))),""))),4)</f>
        <v>0.32029999999999997</v>
      </c>
      <c r="BJZ4" s="44">
        <f ca="1">ROUNDUP(IF(IFERROR(IF($BJE4="","",IF($BJE4=0,1,1-$BJE4/HLOOKUP(BJZ$3,[2]ARBOR_REAJUSTE18!$A:$AE,VLOOKUP($BJE$2,[2]ARBOR_REAJUSTE18!$A:$B,2,0),0))),"")&lt;0.01%,0.01%,(IFERROR(IF($BJE4="","",IF($BJE4=0,1,1-$BJE4/HLOOKUP(BJZ$3,[2]ARBOR_REAJUSTE18!$A:$AE,VLOOKUP($BJE$2,[2]ARBOR_REAJUSTE18!$A:$B,2,0),0))),""))),4)</f>
        <v>0.34449999999999997</v>
      </c>
      <c r="BKA4" s="44">
        <f ca="1">ROUNDUP(IF(IFERROR(IF($BJE4="","",IF($BJE4=0,1,1-$BJE4/HLOOKUP(BKA$3,[2]ARBOR_REAJUSTE18!$A:$AE,VLOOKUP($BJE$2,[2]ARBOR_REAJUSTE18!$A:$B,2,0),0))),"")&lt;0.01%,0.01%,(IFERROR(IF($BJE4="","",IF($BJE4=0,1,1-$BJE4/HLOOKUP(BKA$3,[2]ARBOR_REAJUSTE18!$A:$AE,VLOOKUP($BJE$2,[2]ARBOR_REAJUSTE18!$A:$B,2,0),0))),""))),4)</f>
        <v>0.32029999999999997</v>
      </c>
      <c r="BKB4" s="44">
        <f ca="1">ROUNDUP(IF(IFERROR(IF($BJE4="","",IF($BJE4=0,1,1-$BJE4/HLOOKUP(BKB$3,[2]ARBOR_REAJUSTE18!$A:$AE,VLOOKUP($BJE$2,[2]ARBOR_REAJUSTE18!$A:$B,2,0),0))),"")&lt;0.01%,0.01%,(IFERROR(IF($BJE4="","",IF($BJE4=0,1,1-$BJE4/HLOOKUP(BKB$3,[2]ARBOR_REAJUSTE18!$A:$AE,VLOOKUP($BJE$2,[2]ARBOR_REAJUSTE18!$A:$B,2,0),0))),""))),4)</f>
        <v>0.32029999999999997</v>
      </c>
      <c r="BKC4" s="44">
        <f ca="1">ROUNDUP(IF(IFERROR(IF($BJE4="","",IF($BJE4=0,1,1-$BJE4/HLOOKUP(BKC$3,[2]ARBOR_REAJUSTE18!$A:$AE,VLOOKUP($BJE$2,[2]ARBOR_REAJUSTE18!$A:$B,2,0),0))),"")&lt;0.01%,0.01%,(IFERROR(IF($BJE4="","",IF($BJE4=0,1,1-$BJE4/HLOOKUP(BKC$3,[2]ARBOR_REAJUSTE18!$A:$AE,VLOOKUP($BJE$2,[2]ARBOR_REAJUSTE18!$A:$B,2,0),0))),""))),4)</f>
        <v>0.32029999999999997</v>
      </c>
      <c r="BKD4" s="44">
        <f ca="1">ROUNDUP(IF(IFERROR(IF($BJE4="","",IF($BJE4=0,1,1-$BJE4/HLOOKUP(BKD$3,[2]ARBOR_REAJUSTE18!$A:$AE,VLOOKUP($BJE$2,[2]ARBOR_REAJUSTE18!$A:$B,2,0),0))),"")&lt;0.01%,0.01%,(IFERROR(IF($BJE4="","",IF($BJE4=0,1,1-$BJE4/HLOOKUP(BKD$3,[2]ARBOR_REAJUSTE18!$A:$AE,VLOOKUP($BJE$2,[2]ARBOR_REAJUSTE18!$A:$B,2,0),0))),""))),4)</f>
        <v>0.32029999999999997</v>
      </c>
      <c r="BKE4" s="44">
        <f ca="1">ROUNDUP(IF(IFERROR(IF($BJE4="","",IF($BJE4=0,1,1-$BJE4/HLOOKUP(BKE$3,[2]ARBOR_REAJUSTE18!$A:$AE,VLOOKUP($BJE$2,[2]ARBOR_REAJUSTE18!$A:$B,2,0),0))),"")&lt;0.01%,0.01%,(IFERROR(IF($BJE4="","",IF($BJE4=0,1,1-$BJE4/HLOOKUP(BKE$3,[2]ARBOR_REAJUSTE18!$A:$AE,VLOOKUP($BJE$2,[2]ARBOR_REAJUSTE18!$A:$B,2,0),0))),""))),4)</f>
        <v>0.32029999999999997</v>
      </c>
      <c r="BKF4" s="44">
        <f ca="1">ROUNDUP(IF(IFERROR(IF($BJE4="","",IF($BJE4=0,1,1-$BJE4/HLOOKUP(BKF$3,[2]ARBOR_REAJUSTE18!$A:$AE,VLOOKUP($BJE$2,[2]ARBOR_REAJUSTE18!$A:$B,2,0),0))),"")&lt;0.01%,0.01%,(IFERROR(IF($BJE4="","",IF($BJE4=0,1,1-$BJE4/HLOOKUP(BKF$3,[2]ARBOR_REAJUSTE18!$A:$AE,VLOOKUP($BJE$2,[2]ARBOR_REAJUSTE18!$A:$B,2,0),0))),""))),4)</f>
        <v>0.33610000000000001</v>
      </c>
      <c r="BKG4" s="44">
        <f ca="1">ROUNDUP(IF(IFERROR(IF($BJE4="","",IF($BJE4=0,1,1-$BJE4/HLOOKUP(BKG$3,[2]ARBOR_REAJUSTE18!$A:$AE,VLOOKUP($BJE$2,[2]ARBOR_REAJUSTE18!$A:$B,2,0),0))),"")&lt;0.01%,0.01%,(IFERROR(IF($BJE4="","",IF($BJE4=0,1,1-$BJE4/HLOOKUP(BKG$3,[2]ARBOR_REAJUSTE18!$A:$AE,VLOOKUP($BJE$2,[2]ARBOR_REAJUSTE18!$A:$B,2,0),0))),""))),4)</f>
        <v>0.32029999999999997</v>
      </c>
      <c r="BKH4" s="56">
        <v>19.899999999999999</v>
      </c>
      <c r="BKI4" s="64" t="str">
        <f ca="1">VLOOKUP($AV4&amp;BKJ4&amp;"Template desconto % Sexy Hot nível conta",[2]BENEFICIOS!$A:$G,5,0)</f>
        <v>MKT-1-10624227381</v>
      </c>
      <c r="BKJ4" s="44">
        <f ca="1">ROUNDUP(IF(IFERROR(IF($BKH4="","",IF($BKH4=0,1,1-$BKH4/HLOOKUP(BKJ$3,[2]ARBOR_REAJUSTE18!$A:$AE,VLOOKUP($BKH$2,[2]ARBOR_REAJUSTE18!$A:$B,2,0),0))),"")&lt;0.01%,0.01%,(IFERROR(IF($BKH4="","",IF($BKH4=0,1,1-$BKH4/HLOOKUP(BKJ$3,[2]ARBOR_REAJUSTE18!$A:$AE,VLOOKUP($BKH$2,[2]ARBOR_REAJUSTE18!$A:$B,2,0),0))),""))),4)</f>
        <v>9.3399999999999997E-2</v>
      </c>
      <c r="BKK4" s="44">
        <f ca="1">ROUNDUP(IF(IFERROR(IF($BKH4="","",IF($BKH4=0,1,1-$BKH4/HLOOKUP(BKK$3,[2]ARBOR_REAJUSTE18!$A:$AE,VLOOKUP($BKH$2,[2]ARBOR_REAJUSTE18!$A:$B,2,0),0))),"")&lt;0.01%,0.01%,(IFERROR(IF($BKH4="","",IF($BKH4=0,1,1-$BKH4/HLOOKUP(BKK$3,[2]ARBOR_REAJUSTE18!$A:$AE,VLOOKUP($BKH$2,[2]ARBOR_REAJUSTE18!$A:$B,2,0),0))),""))),4)</f>
        <v>9.3399999999999997E-2</v>
      </c>
      <c r="BKL4" s="44">
        <f ca="1">ROUNDUP(IF(IFERROR(IF($BKH4="","",IF($BKH4=0,1,1-$BKH4/HLOOKUP(BKL$3,[2]ARBOR_REAJUSTE18!$A:$AE,VLOOKUP($BKH$2,[2]ARBOR_REAJUSTE18!$A:$B,2,0),0))),"")&lt;0.01%,0.01%,(IFERROR(IF($BKH4="","",IF($BKH4=0,1,1-$BKH4/HLOOKUP(BKL$3,[2]ARBOR_REAJUSTE18!$A:$AE,VLOOKUP($BKH$2,[2]ARBOR_REAJUSTE18!$A:$B,2,0),0))),""))),4)</f>
        <v>9.3399999999999997E-2</v>
      </c>
      <c r="BKM4" s="44">
        <f ca="1">ROUNDUP(IF(IFERROR(IF($BKH4="","",IF($BKH4=0,1,1-$BKH4/HLOOKUP(BKM$3,[2]ARBOR_REAJUSTE18!$A:$AE,VLOOKUP($BKH$2,[2]ARBOR_REAJUSTE18!$A:$B,2,0),0))),"")&lt;0.01%,0.01%,(IFERROR(IF($BKH4="","",IF($BKH4=0,1,1-$BKH4/HLOOKUP(BKM$3,[2]ARBOR_REAJUSTE18!$A:$AE,VLOOKUP($BKH$2,[2]ARBOR_REAJUSTE18!$A:$B,2,0),0))),""))),4)</f>
        <v>9.3399999999999997E-2</v>
      </c>
      <c r="BKN4" s="44">
        <f ca="1">ROUNDUP(IF(IFERROR(IF($BKH4="","",IF($BKH4=0,1,1-$BKH4/HLOOKUP(BKN$3,[2]ARBOR_REAJUSTE18!$A:$AE,VLOOKUP($BKH$2,[2]ARBOR_REAJUSTE18!$A:$B,2,0),0))),"")&lt;0.01%,0.01%,(IFERROR(IF($BKH4="","",IF($BKH4=0,1,1-$BKH4/HLOOKUP(BKN$3,[2]ARBOR_REAJUSTE18!$A:$AE,VLOOKUP($BKH$2,[2]ARBOR_REAJUSTE18!$A:$B,2,0),0))),""))),4)</f>
        <v>9.3399999999999997E-2</v>
      </c>
      <c r="BKO4" s="44">
        <f ca="1">ROUNDUP(IF(IFERROR(IF($BKH4="","",IF($BKH4=0,1,1-$BKH4/HLOOKUP(BKO$3,[2]ARBOR_REAJUSTE18!$A:$AE,VLOOKUP($BKH$2,[2]ARBOR_REAJUSTE18!$A:$B,2,0),0))),"")&lt;0.01%,0.01%,(IFERROR(IF($BKH4="","",IF($BKH4=0,1,1-$BKH4/HLOOKUP(BKO$3,[2]ARBOR_REAJUSTE18!$A:$AE,VLOOKUP($BKH$2,[2]ARBOR_REAJUSTE18!$A:$B,2,0),0))),""))),4)</f>
        <v>9.3399999999999997E-2</v>
      </c>
      <c r="BKP4" s="44">
        <f ca="1">ROUNDUP(IF(IFERROR(IF($BKH4="","",IF($BKH4=0,1,1-$BKH4/HLOOKUP(BKP$3,[2]ARBOR_REAJUSTE18!$A:$AE,VLOOKUP($BKH$2,[2]ARBOR_REAJUSTE18!$A:$B,2,0),0))),"")&lt;0.01%,0.01%,(IFERROR(IF($BKH4="","",IF($BKH4=0,1,1-$BKH4/HLOOKUP(BKP$3,[2]ARBOR_REAJUSTE18!$A:$AE,VLOOKUP($BKH$2,[2]ARBOR_REAJUSTE18!$A:$B,2,0),0))),""))),4)</f>
        <v>9.2999999999999999E-2</v>
      </c>
      <c r="BKQ4" s="44">
        <f ca="1">ROUNDUP(IF(IFERROR(IF($BKH4="","",IF($BKH4=0,1,1-$BKH4/HLOOKUP(BKQ$3,[2]ARBOR_REAJUSTE18!$A:$AE,VLOOKUP($BKH$2,[2]ARBOR_REAJUSTE18!$A:$B,2,0),0))),"")&lt;0.01%,0.01%,(IFERROR(IF($BKH4="","",IF($BKH4=0,1,1-$BKH4/HLOOKUP(BKQ$3,[2]ARBOR_REAJUSTE18!$A:$AE,VLOOKUP($BKH$2,[2]ARBOR_REAJUSTE18!$A:$B,2,0),0))),""))),4)</f>
        <v>9.3399999999999997E-2</v>
      </c>
      <c r="BKR4" s="44">
        <f ca="1">ROUNDUP(IF(IFERROR(IF($BKH4="","",IF($BKH4=0,1,1-$BKH4/HLOOKUP(BKR$3,[2]ARBOR_REAJUSTE18!$A:$AE,VLOOKUP($BKH$2,[2]ARBOR_REAJUSTE18!$A:$B,2,0),0))),"")&lt;0.01%,0.01%,(IFERROR(IF($BKH4="","",IF($BKH4=0,1,1-$BKH4/HLOOKUP(BKR$3,[2]ARBOR_REAJUSTE18!$A:$AE,VLOOKUP($BKH$2,[2]ARBOR_REAJUSTE18!$A:$B,2,0),0))),""))),4)</f>
        <v>9.3399999999999997E-2</v>
      </c>
      <c r="BKS4" s="44">
        <f ca="1">ROUNDUP(IF(IFERROR(IF($BKH4="","",IF($BKH4=0,1,1-$BKH4/HLOOKUP(BKS$3,[2]ARBOR_REAJUSTE18!$A:$AE,VLOOKUP($BKH$2,[2]ARBOR_REAJUSTE18!$A:$B,2,0),0))),"")&lt;0.01%,0.01%,(IFERROR(IF($BKH4="","",IF($BKH4=0,1,1-$BKH4/HLOOKUP(BKS$3,[2]ARBOR_REAJUSTE18!$A:$AE,VLOOKUP($BKH$2,[2]ARBOR_REAJUSTE18!$A:$B,2,0),0))),""))),4)</f>
        <v>9.3399999999999997E-2</v>
      </c>
      <c r="BKT4" s="44">
        <f ca="1">ROUNDUP(IF(IFERROR(IF($BKH4="","",IF($BKH4=0,1,1-$BKH4/HLOOKUP(BKT$3,[2]ARBOR_REAJUSTE18!$A:$AE,VLOOKUP($BKH$2,[2]ARBOR_REAJUSTE18!$A:$B,2,0),0))),"")&lt;0.01%,0.01%,(IFERROR(IF($BKH4="","",IF($BKH4=0,1,1-$BKH4/HLOOKUP(BKT$3,[2]ARBOR_REAJUSTE18!$A:$AE,VLOOKUP($BKH$2,[2]ARBOR_REAJUSTE18!$A:$B,2,0),0))),""))),4)</f>
        <v>0.12529999999999999</v>
      </c>
      <c r="BKU4" s="44">
        <f ca="1">ROUNDUP(IF(IFERROR(IF($BKH4="","",IF($BKH4=0,1,1-$BKH4/HLOOKUP(BKU$3,[2]ARBOR_REAJUSTE18!$A:$AE,VLOOKUP($BKH$2,[2]ARBOR_REAJUSTE18!$A:$B,2,0),0))),"")&lt;0.01%,0.01%,(IFERROR(IF($BKH4="","",IF($BKH4=0,1,1-$BKH4/HLOOKUP(BKU$3,[2]ARBOR_REAJUSTE18!$A:$AE,VLOOKUP($BKH$2,[2]ARBOR_REAJUSTE18!$A:$B,2,0),0))),""))),4)</f>
        <v>9.3399999999999997E-2</v>
      </c>
      <c r="BKV4" s="44">
        <f ca="1">ROUNDUP(IF(IFERROR(IF($BKH4="","",IF($BKH4=0,1,1-$BKH4/HLOOKUP(BKV$3,[2]ARBOR_REAJUSTE18!$A:$AE,VLOOKUP($BKH$2,[2]ARBOR_REAJUSTE18!$A:$B,2,0),0))),"")&lt;0.01%,0.01%,(IFERROR(IF($BKH4="","",IF($BKH4=0,1,1-$BKH4/HLOOKUP(BKV$3,[2]ARBOR_REAJUSTE18!$A:$AE,VLOOKUP($BKH$2,[2]ARBOR_REAJUSTE18!$A:$B,2,0),0))),""))),4)</f>
        <v>9.3399999999999997E-2</v>
      </c>
      <c r="BKW4" s="44">
        <f ca="1">ROUNDUP(IF(IFERROR(IF($BKH4="","",IF($BKH4=0,1,1-$BKH4/HLOOKUP(BKW$3,[2]ARBOR_REAJUSTE18!$A:$AE,VLOOKUP($BKH$2,[2]ARBOR_REAJUSTE18!$A:$B,2,0),0))),"")&lt;0.01%,0.01%,(IFERROR(IF($BKH4="","",IF($BKH4=0,1,1-$BKH4/HLOOKUP(BKW$3,[2]ARBOR_REAJUSTE18!$A:$AE,VLOOKUP($BKH$2,[2]ARBOR_REAJUSTE18!$A:$B,2,0),0))),""))),4)</f>
        <v>9.3399999999999997E-2</v>
      </c>
      <c r="BKX4" s="44">
        <f ca="1">ROUNDUP(IF(IFERROR(IF($BKH4="","",IF($BKH4=0,1,1-$BKH4/HLOOKUP(BKX$3,[2]ARBOR_REAJUSTE18!$A:$AE,VLOOKUP($BKH$2,[2]ARBOR_REAJUSTE18!$A:$B,2,0),0))),"")&lt;0.01%,0.01%,(IFERROR(IF($BKH4="","",IF($BKH4=0,1,1-$BKH4/HLOOKUP(BKX$3,[2]ARBOR_REAJUSTE18!$A:$AE,VLOOKUP($BKH$2,[2]ARBOR_REAJUSTE18!$A:$B,2,0),0))),""))),4)</f>
        <v>9.3399999999999997E-2</v>
      </c>
      <c r="BKY4" s="44">
        <f ca="1">ROUNDUP(IF(IFERROR(IF($BKH4="","",IF($BKH4=0,1,1-$BKH4/HLOOKUP(BKY$3,[2]ARBOR_REAJUSTE18!$A:$AE,VLOOKUP($BKH$2,[2]ARBOR_REAJUSTE18!$A:$B,2,0),0))),"")&lt;0.01%,0.01%,(IFERROR(IF($BKH4="","",IF($BKH4=0,1,1-$BKH4/HLOOKUP(BKY$3,[2]ARBOR_REAJUSTE18!$A:$AE,VLOOKUP($BKH$2,[2]ARBOR_REAJUSTE18!$A:$B,2,0),0))),""))),4)</f>
        <v>0.1053</v>
      </c>
      <c r="BKZ4" s="44">
        <f ca="1">ROUNDUP(IF(IFERROR(IF($BKH4="","",IF($BKH4=0,1,1-$BKH4/HLOOKUP(BKZ$3,[2]ARBOR_REAJUSTE18!$A:$AE,VLOOKUP($BKH$2,[2]ARBOR_REAJUSTE18!$A:$B,2,0),0))),"")&lt;0.01%,0.01%,(IFERROR(IF($BKH4="","",IF($BKH4=0,1,1-$BKH4/HLOOKUP(BKZ$3,[2]ARBOR_REAJUSTE18!$A:$AE,VLOOKUP($BKH$2,[2]ARBOR_REAJUSTE18!$A:$B,2,0),0))),""))),4)</f>
        <v>9.3399999999999997E-2</v>
      </c>
      <c r="BLA4" s="44">
        <f ca="1">ROUNDUP(IF(IFERROR(IF($BKH4="","",IF($BKH4=0,1,1-$BKH4/HLOOKUP(BLA$3,[2]ARBOR_REAJUSTE18!$A:$AE,VLOOKUP($BKH$2,[2]ARBOR_REAJUSTE18!$A:$B,2,0),0))),"")&lt;0.01%,0.01%,(IFERROR(IF($BKH4="","",IF($BKH4=0,1,1-$BKH4/HLOOKUP(BLA$3,[2]ARBOR_REAJUSTE18!$A:$AE,VLOOKUP($BKH$2,[2]ARBOR_REAJUSTE18!$A:$B,2,0),0))),""))),4)</f>
        <v>9.3399999999999997E-2</v>
      </c>
      <c r="BLB4" s="44">
        <f ca="1">ROUNDUP(IF(IFERROR(IF($BKH4="","",IF($BKH4=0,1,1-$BKH4/HLOOKUP(BLB$3,[2]ARBOR_REAJUSTE18!$A:$AE,VLOOKUP($BKH$2,[2]ARBOR_REAJUSTE18!$A:$B,2,0),0))),"")&lt;0.01%,0.01%,(IFERROR(IF($BKH4="","",IF($BKH4=0,1,1-$BKH4/HLOOKUP(BLB$3,[2]ARBOR_REAJUSTE18!$A:$AE,VLOOKUP($BKH$2,[2]ARBOR_REAJUSTE18!$A:$B,2,0),0))),""))),4)</f>
        <v>9.3399999999999997E-2</v>
      </c>
      <c r="BLC4" s="44">
        <f ca="1">ROUNDUP(IF(IFERROR(IF($BKH4="","",IF($BKH4=0,1,1-$BKH4/HLOOKUP(BLC$3,[2]ARBOR_REAJUSTE18!$A:$AE,VLOOKUP($BKH$2,[2]ARBOR_REAJUSTE18!$A:$B,2,0),0))),"")&lt;0.01%,0.01%,(IFERROR(IF($BKH4="","",IF($BKH4=0,1,1-$BKH4/HLOOKUP(BLC$3,[2]ARBOR_REAJUSTE18!$A:$AE,VLOOKUP($BKH$2,[2]ARBOR_REAJUSTE18!$A:$B,2,0),0))),""))),4)</f>
        <v>0.12529999999999999</v>
      </c>
      <c r="BLD4" s="44">
        <f ca="1">ROUNDUP(IF(IFERROR(IF($BKH4="","",IF($BKH4=0,1,1-$BKH4/HLOOKUP(BLD$3,[2]ARBOR_REAJUSTE18!$A:$AE,VLOOKUP($BKH$2,[2]ARBOR_REAJUSTE18!$A:$B,2,0),0))),"")&lt;0.01%,0.01%,(IFERROR(IF($BKH4="","",IF($BKH4=0,1,1-$BKH4/HLOOKUP(BLD$3,[2]ARBOR_REAJUSTE18!$A:$AE,VLOOKUP($BKH$2,[2]ARBOR_REAJUSTE18!$A:$B,2,0),0))),""))),4)</f>
        <v>9.3399999999999997E-2</v>
      </c>
      <c r="BLE4" s="44">
        <f ca="1">ROUNDUP(IF(IFERROR(IF($BKH4="","",IF($BKH4=0,1,1-$BKH4/HLOOKUP(BLE$3,[2]ARBOR_REAJUSTE18!$A:$AE,VLOOKUP($BKH$2,[2]ARBOR_REAJUSTE18!$A:$B,2,0),0))),"")&lt;0.01%,0.01%,(IFERROR(IF($BKH4="","",IF($BKH4=0,1,1-$BKH4/HLOOKUP(BLE$3,[2]ARBOR_REAJUSTE18!$A:$AE,VLOOKUP($BKH$2,[2]ARBOR_REAJUSTE18!$A:$B,2,0),0))),""))),4)</f>
        <v>9.3399999999999997E-2</v>
      </c>
      <c r="BLF4" s="44">
        <f ca="1">ROUNDUP(IF(IFERROR(IF($BKH4="","",IF($BKH4=0,1,1-$BKH4/HLOOKUP(BLF$3,[2]ARBOR_REAJUSTE18!$A:$AE,VLOOKUP($BKH$2,[2]ARBOR_REAJUSTE18!$A:$B,2,0),0))),"")&lt;0.01%,0.01%,(IFERROR(IF($BKH4="","",IF($BKH4=0,1,1-$BKH4/HLOOKUP(BLF$3,[2]ARBOR_REAJUSTE18!$A:$AE,VLOOKUP($BKH$2,[2]ARBOR_REAJUSTE18!$A:$B,2,0),0))),""))),4)</f>
        <v>9.3399999999999997E-2</v>
      </c>
      <c r="BLG4" s="44">
        <f ca="1">ROUNDUP(IF(IFERROR(IF($BKH4="","",IF($BKH4=0,1,1-$BKH4/HLOOKUP(BLG$3,[2]ARBOR_REAJUSTE18!$A:$AE,VLOOKUP($BKH$2,[2]ARBOR_REAJUSTE18!$A:$B,2,0),0))),"")&lt;0.01%,0.01%,(IFERROR(IF($BKH4="","",IF($BKH4=0,1,1-$BKH4/HLOOKUP(BLG$3,[2]ARBOR_REAJUSTE18!$A:$AE,VLOOKUP($BKH$2,[2]ARBOR_REAJUSTE18!$A:$B,2,0),0))),""))),4)</f>
        <v>9.3399999999999997E-2</v>
      </c>
      <c r="BLH4" s="44">
        <f ca="1">ROUNDUP(IF(IFERROR(IF($BKH4="","",IF($BKH4=0,1,1-$BKH4/HLOOKUP(BLH$3,[2]ARBOR_REAJUSTE18!$A:$AE,VLOOKUP($BKH$2,[2]ARBOR_REAJUSTE18!$A:$B,2,0),0))),"")&lt;0.01%,0.01%,(IFERROR(IF($BKH4="","",IF($BKH4=0,1,1-$BKH4/HLOOKUP(BLH$3,[2]ARBOR_REAJUSTE18!$A:$AE,VLOOKUP($BKH$2,[2]ARBOR_REAJUSTE18!$A:$B,2,0),0))),""))),4)</f>
        <v>9.3399999999999997E-2</v>
      </c>
      <c r="BLI4" s="44">
        <f ca="1">ROUNDUP(IF(IFERROR(IF($BKH4="","",IF($BKH4=0,1,1-$BKH4/HLOOKUP(BLI$3,[2]ARBOR_REAJUSTE18!$A:$AE,VLOOKUP($BKH$2,[2]ARBOR_REAJUSTE18!$A:$B,2,0),0))),"")&lt;0.01%,0.01%,(IFERROR(IF($BKH4="","",IF($BKH4=0,1,1-$BKH4/HLOOKUP(BLI$3,[2]ARBOR_REAJUSTE18!$A:$AE,VLOOKUP($BKH$2,[2]ARBOR_REAJUSTE18!$A:$B,2,0),0))),""))),4)</f>
        <v>0.1144</v>
      </c>
      <c r="BLJ4" s="44">
        <f ca="1">ROUNDUP(IF(IFERROR(IF($BKH4="","",IF($BKH4=0,1,1-$BKH4/HLOOKUP(BLJ$3,[2]ARBOR_REAJUSTE18!$A:$AE,VLOOKUP($BKH$2,[2]ARBOR_REAJUSTE18!$A:$B,2,0),0))),"")&lt;0.01%,0.01%,(IFERROR(IF($BKH4="","",IF($BKH4=0,1,1-$BKH4/HLOOKUP(BLJ$3,[2]ARBOR_REAJUSTE18!$A:$AE,VLOOKUP($BKH$2,[2]ARBOR_REAJUSTE18!$A:$B,2,0),0))),""))),4)</f>
        <v>9.3399999999999997E-2</v>
      </c>
      <c r="BLK4" s="56">
        <v>19.899999999999999</v>
      </c>
      <c r="BLL4" s="64" t="str">
        <f ca="1">VLOOKUP($AV4&amp;BLM4&amp;"Template desconto % Playboy nível conta",[2]BENEFICIOS!$A:$G,5,0)</f>
        <v>MKT-1-10624289671</v>
      </c>
      <c r="BLM4" s="44">
        <f ca="1">ROUNDUP(IF(IFERROR(IF($BLK4="","",IF($BLK4=0,1,1-$BLK4/HLOOKUP(BLM$3,[2]ARBOR_REAJUSTE18!$A:$AE,VLOOKUP($BLK$2,[2]ARBOR_REAJUSTE18!$A:$B,2,0),0))),"")&lt;0.01%,0.01%,(IFERROR(IF($BLK4="","",IF($BLK4=0,1,1-$BLK4/HLOOKUP(BLM$3,[2]ARBOR_REAJUSTE18!$A:$AE,VLOOKUP($BLK$2,[2]ARBOR_REAJUSTE18!$A:$B,2,0),0))),""))),4)</f>
        <v>9.3399999999999997E-2</v>
      </c>
      <c r="BLN4" s="44">
        <f ca="1">ROUNDUP(IF(IFERROR(IF($BLK4="","",IF($BLK4=0,1,1-$BLK4/HLOOKUP(BLN$3,[2]ARBOR_REAJUSTE18!$A:$AE,VLOOKUP($BLK$2,[2]ARBOR_REAJUSTE18!$A:$B,2,0),0))),"")&lt;0.01%,0.01%,(IFERROR(IF($BLK4="","",IF($BLK4=0,1,1-$BLK4/HLOOKUP(BLN$3,[2]ARBOR_REAJUSTE18!$A:$AE,VLOOKUP($BLK$2,[2]ARBOR_REAJUSTE18!$A:$B,2,0),0))),""))),4)</f>
        <v>9.3399999999999997E-2</v>
      </c>
      <c r="BLO4" s="44">
        <f ca="1">ROUNDUP(IF(IFERROR(IF($BLK4="","",IF($BLK4=0,1,1-$BLK4/HLOOKUP(BLO$3,[2]ARBOR_REAJUSTE18!$A:$AE,VLOOKUP($BLK$2,[2]ARBOR_REAJUSTE18!$A:$B,2,0),0))),"")&lt;0.01%,0.01%,(IFERROR(IF($BLK4="","",IF($BLK4=0,1,1-$BLK4/HLOOKUP(BLO$3,[2]ARBOR_REAJUSTE18!$A:$AE,VLOOKUP($BLK$2,[2]ARBOR_REAJUSTE18!$A:$B,2,0),0))),""))),4)</f>
        <v>9.3399999999999997E-2</v>
      </c>
      <c r="BLP4" s="44">
        <f ca="1">ROUNDUP(IF(IFERROR(IF($BLK4="","",IF($BLK4=0,1,1-$BLK4/HLOOKUP(BLP$3,[2]ARBOR_REAJUSTE18!$A:$AE,VLOOKUP($BLK$2,[2]ARBOR_REAJUSTE18!$A:$B,2,0),0))),"")&lt;0.01%,0.01%,(IFERROR(IF($BLK4="","",IF($BLK4=0,1,1-$BLK4/HLOOKUP(BLP$3,[2]ARBOR_REAJUSTE18!$A:$AE,VLOOKUP($BLK$2,[2]ARBOR_REAJUSTE18!$A:$B,2,0),0))),""))),4)</f>
        <v>9.3399999999999997E-2</v>
      </c>
      <c r="BLQ4" s="44">
        <f ca="1">ROUNDUP(IF(IFERROR(IF($BLK4="","",IF($BLK4=0,1,1-$BLK4/HLOOKUP(BLQ$3,[2]ARBOR_REAJUSTE18!$A:$AE,VLOOKUP($BLK$2,[2]ARBOR_REAJUSTE18!$A:$B,2,0),0))),"")&lt;0.01%,0.01%,(IFERROR(IF($BLK4="","",IF($BLK4=0,1,1-$BLK4/HLOOKUP(BLQ$3,[2]ARBOR_REAJUSTE18!$A:$AE,VLOOKUP($BLK$2,[2]ARBOR_REAJUSTE18!$A:$B,2,0),0))),""))),4)</f>
        <v>9.3399999999999997E-2</v>
      </c>
      <c r="BLR4" s="44">
        <f ca="1">ROUNDUP(IF(IFERROR(IF($BLK4="","",IF($BLK4=0,1,1-$BLK4/HLOOKUP(BLR$3,[2]ARBOR_REAJUSTE18!$A:$AE,VLOOKUP($BLK$2,[2]ARBOR_REAJUSTE18!$A:$B,2,0),0))),"")&lt;0.01%,0.01%,(IFERROR(IF($BLK4="","",IF($BLK4=0,1,1-$BLK4/HLOOKUP(BLR$3,[2]ARBOR_REAJUSTE18!$A:$AE,VLOOKUP($BLK$2,[2]ARBOR_REAJUSTE18!$A:$B,2,0),0))),""))),4)</f>
        <v>9.3399999999999997E-2</v>
      </c>
      <c r="BLS4" s="44">
        <f ca="1">ROUNDUP(IF(IFERROR(IF($BLK4="","",IF($BLK4=0,1,1-$BLK4/HLOOKUP(BLS$3,[2]ARBOR_REAJUSTE18!$A:$AE,VLOOKUP($BLK$2,[2]ARBOR_REAJUSTE18!$A:$B,2,0),0))),"")&lt;0.01%,0.01%,(IFERROR(IF($BLK4="","",IF($BLK4=0,1,1-$BLK4/HLOOKUP(BLS$3,[2]ARBOR_REAJUSTE18!$A:$AE,VLOOKUP($BLK$2,[2]ARBOR_REAJUSTE18!$A:$B,2,0),0))),""))),4)</f>
        <v>9.2999999999999999E-2</v>
      </c>
      <c r="BLT4" s="44">
        <f ca="1">ROUNDUP(IF(IFERROR(IF($BLK4="","",IF($BLK4=0,1,1-$BLK4/HLOOKUP(BLT$3,[2]ARBOR_REAJUSTE18!$A:$AE,VLOOKUP($BLK$2,[2]ARBOR_REAJUSTE18!$A:$B,2,0),0))),"")&lt;0.01%,0.01%,(IFERROR(IF($BLK4="","",IF($BLK4=0,1,1-$BLK4/HLOOKUP(BLT$3,[2]ARBOR_REAJUSTE18!$A:$AE,VLOOKUP($BLK$2,[2]ARBOR_REAJUSTE18!$A:$B,2,0),0))),""))),4)</f>
        <v>9.3399999999999997E-2</v>
      </c>
      <c r="BLU4" s="44">
        <f ca="1">ROUNDUP(IF(IFERROR(IF($BLK4="","",IF($BLK4=0,1,1-$BLK4/HLOOKUP(BLU$3,[2]ARBOR_REAJUSTE18!$A:$AE,VLOOKUP($BLK$2,[2]ARBOR_REAJUSTE18!$A:$B,2,0),0))),"")&lt;0.01%,0.01%,(IFERROR(IF($BLK4="","",IF($BLK4=0,1,1-$BLK4/HLOOKUP(BLU$3,[2]ARBOR_REAJUSTE18!$A:$AE,VLOOKUP($BLK$2,[2]ARBOR_REAJUSTE18!$A:$B,2,0),0))),""))),4)</f>
        <v>9.3399999999999997E-2</v>
      </c>
      <c r="BLV4" s="44">
        <f ca="1">ROUNDUP(IF(IFERROR(IF($BLK4="","",IF($BLK4=0,1,1-$BLK4/HLOOKUP(BLV$3,[2]ARBOR_REAJUSTE18!$A:$AE,VLOOKUP($BLK$2,[2]ARBOR_REAJUSTE18!$A:$B,2,0),0))),"")&lt;0.01%,0.01%,(IFERROR(IF($BLK4="","",IF($BLK4=0,1,1-$BLK4/HLOOKUP(BLV$3,[2]ARBOR_REAJUSTE18!$A:$AE,VLOOKUP($BLK$2,[2]ARBOR_REAJUSTE18!$A:$B,2,0),0))),""))),4)</f>
        <v>9.3399999999999997E-2</v>
      </c>
      <c r="BLW4" s="44">
        <f ca="1">ROUNDUP(IF(IFERROR(IF($BLK4="","",IF($BLK4=0,1,1-$BLK4/HLOOKUP(BLW$3,[2]ARBOR_REAJUSTE18!$A:$AE,VLOOKUP($BLK$2,[2]ARBOR_REAJUSTE18!$A:$B,2,0),0))),"")&lt;0.01%,0.01%,(IFERROR(IF($BLK4="","",IF($BLK4=0,1,1-$BLK4/HLOOKUP(BLW$3,[2]ARBOR_REAJUSTE18!$A:$AE,VLOOKUP($BLK$2,[2]ARBOR_REAJUSTE18!$A:$B,2,0),0))),""))),4)</f>
        <v>0.12529999999999999</v>
      </c>
      <c r="BLX4" s="44">
        <f ca="1">ROUNDUP(IF(IFERROR(IF($BLK4="","",IF($BLK4=0,1,1-$BLK4/HLOOKUP(BLX$3,[2]ARBOR_REAJUSTE18!$A:$AE,VLOOKUP($BLK$2,[2]ARBOR_REAJUSTE18!$A:$B,2,0),0))),"")&lt;0.01%,0.01%,(IFERROR(IF($BLK4="","",IF($BLK4=0,1,1-$BLK4/HLOOKUP(BLX$3,[2]ARBOR_REAJUSTE18!$A:$AE,VLOOKUP($BLK$2,[2]ARBOR_REAJUSTE18!$A:$B,2,0),0))),""))),4)</f>
        <v>9.3399999999999997E-2</v>
      </c>
      <c r="BLY4" s="44">
        <f ca="1">ROUNDUP(IF(IFERROR(IF($BLK4="","",IF($BLK4=0,1,1-$BLK4/HLOOKUP(BLY$3,[2]ARBOR_REAJUSTE18!$A:$AE,VLOOKUP($BLK$2,[2]ARBOR_REAJUSTE18!$A:$B,2,0),0))),"")&lt;0.01%,0.01%,(IFERROR(IF($BLK4="","",IF($BLK4=0,1,1-$BLK4/HLOOKUP(BLY$3,[2]ARBOR_REAJUSTE18!$A:$AE,VLOOKUP($BLK$2,[2]ARBOR_REAJUSTE18!$A:$B,2,0),0))),""))),4)</f>
        <v>9.3399999999999997E-2</v>
      </c>
      <c r="BLZ4" s="44">
        <f ca="1">ROUNDUP(IF(IFERROR(IF($BLK4="","",IF($BLK4=0,1,1-$BLK4/HLOOKUP(BLZ$3,[2]ARBOR_REAJUSTE18!$A:$AE,VLOOKUP($BLK$2,[2]ARBOR_REAJUSTE18!$A:$B,2,0),0))),"")&lt;0.01%,0.01%,(IFERROR(IF($BLK4="","",IF($BLK4=0,1,1-$BLK4/HLOOKUP(BLZ$3,[2]ARBOR_REAJUSTE18!$A:$AE,VLOOKUP($BLK$2,[2]ARBOR_REAJUSTE18!$A:$B,2,0),0))),""))),4)</f>
        <v>9.3399999999999997E-2</v>
      </c>
      <c r="BMA4" s="44">
        <f ca="1">ROUNDUP(IF(IFERROR(IF($BLK4="","",IF($BLK4=0,1,1-$BLK4/HLOOKUP(BMA$3,[2]ARBOR_REAJUSTE18!$A:$AE,VLOOKUP($BLK$2,[2]ARBOR_REAJUSTE18!$A:$B,2,0),0))),"")&lt;0.01%,0.01%,(IFERROR(IF($BLK4="","",IF($BLK4=0,1,1-$BLK4/HLOOKUP(BMA$3,[2]ARBOR_REAJUSTE18!$A:$AE,VLOOKUP($BLK$2,[2]ARBOR_REAJUSTE18!$A:$B,2,0),0))),""))),4)</f>
        <v>9.3399999999999997E-2</v>
      </c>
      <c r="BMB4" s="44">
        <f ca="1">ROUNDUP(IF(IFERROR(IF($BLK4="","",IF($BLK4=0,1,1-$BLK4/HLOOKUP(BMB$3,[2]ARBOR_REAJUSTE18!$A:$AE,VLOOKUP($BLK$2,[2]ARBOR_REAJUSTE18!$A:$B,2,0),0))),"")&lt;0.01%,0.01%,(IFERROR(IF($BLK4="","",IF($BLK4=0,1,1-$BLK4/HLOOKUP(BMB$3,[2]ARBOR_REAJUSTE18!$A:$AE,VLOOKUP($BLK$2,[2]ARBOR_REAJUSTE18!$A:$B,2,0),0))),""))),4)</f>
        <v>0.1053</v>
      </c>
      <c r="BMC4" s="44">
        <f ca="1">ROUNDUP(IF(IFERROR(IF($BLK4="","",IF($BLK4=0,1,1-$BLK4/HLOOKUP(BMC$3,[2]ARBOR_REAJUSTE18!$A:$AE,VLOOKUP($BLK$2,[2]ARBOR_REAJUSTE18!$A:$B,2,0),0))),"")&lt;0.01%,0.01%,(IFERROR(IF($BLK4="","",IF($BLK4=0,1,1-$BLK4/HLOOKUP(BMC$3,[2]ARBOR_REAJUSTE18!$A:$AE,VLOOKUP($BLK$2,[2]ARBOR_REAJUSTE18!$A:$B,2,0),0))),""))),4)</f>
        <v>9.3399999999999997E-2</v>
      </c>
      <c r="BMD4" s="44">
        <f ca="1">ROUNDUP(IF(IFERROR(IF($BLK4="","",IF($BLK4=0,1,1-$BLK4/HLOOKUP(BMD$3,[2]ARBOR_REAJUSTE18!$A:$AE,VLOOKUP($BLK$2,[2]ARBOR_REAJUSTE18!$A:$B,2,0),0))),"")&lt;0.01%,0.01%,(IFERROR(IF($BLK4="","",IF($BLK4=0,1,1-$BLK4/HLOOKUP(BMD$3,[2]ARBOR_REAJUSTE18!$A:$AE,VLOOKUP($BLK$2,[2]ARBOR_REAJUSTE18!$A:$B,2,0),0))),""))),4)</f>
        <v>9.3399999999999997E-2</v>
      </c>
      <c r="BME4" s="44">
        <f ca="1">ROUNDUP(IF(IFERROR(IF($BLK4="","",IF($BLK4=0,1,1-$BLK4/HLOOKUP(BME$3,[2]ARBOR_REAJUSTE18!$A:$AE,VLOOKUP($BLK$2,[2]ARBOR_REAJUSTE18!$A:$B,2,0),0))),"")&lt;0.01%,0.01%,(IFERROR(IF($BLK4="","",IF($BLK4=0,1,1-$BLK4/HLOOKUP(BME$3,[2]ARBOR_REAJUSTE18!$A:$AE,VLOOKUP($BLK$2,[2]ARBOR_REAJUSTE18!$A:$B,2,0),0))),""))),4)</f>
        <v>9.3399999999999997E-2</v>
      </c>
      <c r="BMF4" s="44">
        <f ca="1">ROUNDUP(IF(IFERROR(IF($BLK4="","",IF($BLK4=0,1,1-$BLK4/HLOOKUP(BMF$3,[2]ARBOR_REAJUSTE18!$A:$AE,VLOOKUP($BLK$2,[2]ARBOR_REAJUSTE18!$A:$B,2,0),0))),"")&lt;0.01%,0.01%,(IFERROR(IF($BLK4="","",IF($BLK4=0,1,1-$BLK4/HLOOKUP(BMF$3,[2]ARBOR_REAJUSTE18!$A:$AE,VLOOKUP($BLK$2,[2]ARBOR_REAJUSTE18!$A:$B,2,0),0))),""))),4)</f>
        <v>0.12529999999999999</v>
      </c>
      <c r="BMG4" s="44">
        <f ca="1">ROUNDUP(IF(IFERROR(IF($BLK4="","",IF($BLK4=0,1,1-$BLK4/HLOOKUP(BMG$3,[2]ARBOR_REAJUSTE18!$A:$AE,VLOOKUP($BLK$2,[2]ARBOR_REAJUSTE18!$A:$B,2,0),0))),"")&lt;0.01%,0.01%,(IFERROR(IF($BLK4="","",IF($BLK4=0,1,1-$BLK4/HLOOKUP(BMG$3,[2]ARBOR_REAJUSTE18!$A:$AE,VLOOKUP($BLK$2,[2]ARBOR_REAJUSTE18!$A:$B,2,0),0))),""))),4)</f>
        <v>9.3399999999999997E-2</v>
      </c>
      <c r="BMH4" s="44">
        <f ca="1">ROUNDUP(IF(IFERROR(IF($BLK4="","",IF($BLK4=0,1,1-$BLK4/HLOOKUP(BMH$3,[2]ARBOR_REAJUSTE18!$A:$AE,VLOOKUP($BLK$2,[2]ARBOR_REAJUSTE18!$A:$B,2,0),0))),"")&lt;0.01%,0.01%,(IFERROR(IF($BLK4="","",IF($BLK4=0,1,1-$BLK4/HLOOKUP(BMH$3,[2]ARBOR_REAJUSTE18!$A:$AE,VLOOKUP($BLK$2,[2]ARBOR_REAJUSTE18!$A:$B,2,0),0))),""))),4)</f>
        <v>9.3399999999999997E-2</v>
      </c>
      <c r="BMI4" s="44">
        <f ca="1">ROUNDUP(IF(IFERROR(IF($BLK4="","",IF($BLK4=0,1,1-$BLK4/HLOOKUP(BMI$3,[2]ARBOR_REAJUSTE18!$A:$AE,VLOOKUP($BLK$2,[2]ARBOR_REAJUSTE18!$A:$B,2,0),0))),"")&lt;0.01%,0.01%,(IFERROR(IF($BLK4="","",IF($BLK4=0,1,1-$BLK4/HLOOKUP(BMI$3,[2]ARBOR_REAJUSTE18!$A:$AE,VLOOKUP($BLK$2,[2]ARBOR_REAJUSTE18!$A:$B,2,0),0))),""))),4)</f>
        <v>9.3399999999999997E-2</v>
      </c>
      <c r="BMJ4" s="44">
        <f ca="1">ROUNDUP(IF(IFERROR(IF($BLK4="","",IF($BLK4=0,1,1-$BLK4/HLOOKUP(BMJ$3,[2]ARBOR_REAJUSTE18!$A:$AE,VLOOKUP($BLK$2,[2]ARBOR_REAJUSTE18!$A:$B,2,0),0))),"")&lt;0.01%,0.01%,(IFERROR(IF($BLK4="","",IF($BLK4=0,1,1-$BLK4/HLOOKUP(BMJ$3,[2]ARBOR_REAJUSTE18!$A:$AE,VLOOKUP($BLK$2,[2]ARBOR_REAJUSTE18!$A:$B,2,0),0))),""))),4)</f>
        <v>9.3399999999999997E-2</v>
      </c>
      <c r="BMK4" s="44">
        <f ca="1">ROUNDUP(IF(IFERROR(IF($BLK4="","",IF($BLK4=0,1,1-$BLK4/HLOOKUP(BMK$3,[2]ARBOR_REAJUSTE18!$A:$AE,VLOOKUP($BLK$2,[2]ARBOR_REAJUSTE18!$A:$B,2,0),0))),"")&lt;0.01%,0.01%,(IFERROR(IF($BLK4="","",IF($BLK4=0,1,1-$BLK4/HLOOKUP(BMK$3,[2]ARBOR_REAJUSTE18!$A:$AE,VLOOKUP($BLK$2,[2]ARBOR_REAJUSTE18!$A:$B,2,0),0))),""))),4)</f>
        <v>9.3399999999999997E-2</v>
      </c>
      <c r="BML4" s="44">
        <f ca="1">ROUNDUP(IF(IFERROR(IF($BLK4="","",IF($BLK4=0,1,1-$BLK4/HLOOKUP(BML$3,[2]ARBOR_REAJUSTE18!$A:$AE,VLOOKUP($BLK$2,[2]ARBOR_REAJUSTE18!$A:$B,2,0),0))),"")&lt;0.01%,0.01%,(IFERROR(IF($BLK4="","",IF($BLK4=0,1,1-$BLK4/HLOOKUP(BML$3,[2]ARBOR_REAJUSTE18!$A:$AE,VLOOKUP($BLK$2,[2]ARBOR_REAJUSTE18!$A:$B,2,0),0))),""))),4)</f>
        <v>0.1144</v>
      </c>
      <c r="BMM4" s="44">
        <f ca="1">ROUNDUP(IF(IFERROR(IF($BLK4="","",IF($BLK4=0,1,1-$BLK4/HLOOKUP(BMM$3,[2]ARBOR_REAJUSTE18!$A:$AE,VLOOKUP($BLK$2,[2]ARBOR_REAJUSTE18!$A:$B,2,0),0))),"")&lt;0.01%,0.01%,(IFERROR(IF($BLK4="","",IF($BLK4=0,1,1-$BLK4/HLOOKUP(BMM$3,[2]ARBOR_REAJUSTE18!$A:$AE,VLOOKUP($BLK$2,[2]ARBOR_REAJUSTE18!$A:$B,2,0),0))),""))),4)</f>
        <v>9.3399999999999997E-2</v>
      </c>
      <c r="BMN4" s="56">
        <v>29.9</v>
      </c>
      <c r="BMO4" s="64" t="str">
        <f ca="1">VLOOKUP($AV4&amp;BMP4&amp;"Template desconto % Sexy Hot + Playboy nível conta",[2]BENEFICIOS!$A:$G,5,0)</f>
        <v>MKT-1-10624276721</v>
      </c>
      <c r="BMP4" s="44">
        <f ca="1">ROUNDUP(IF(IFERROR(IF($BMN4="","",IF($BMN4=0,1,1-$BMN4/HLOOKUP(BMP$3,[2]ARBOR_REAJUSTE18!$A:$AE,VLOOKUP($BMN$2,[2]ARBOR_REAJUSTE18!$A:$B,2,0),0))),"")&lt;0.01%,0.01%,(IFERROR(IF($BMN4="","",IF($BMN4=0,1,1-$BMN4/HLOOKUP(BMP$3,[2]ARBOR_REAJUSTE18!$A:$AE,VLOOKUP($BMN$2,[2]ARBOR_REAJUSTE18!$A:$B,2,0),0))),""))),4)</f>
        <v>9.3399999999999997E-2</v>
      </c>
      <c r="BMQ4" s="44">
        <f ca="1">ROUNDUP(IF(IFERROR(IF($BMN4="","",IF($BMN4=0,1,1-$BMN4/HLOOKUP(BMQ$3,[2]ARBOR_REAJUSTE18!$A:$AE,VLOOKUP($BMN$2,[2]ARBOR_REAJUSTE18!$A:$B,2,0),0))),"")&lt;0.01%,0.01%,(IFERROR(IF($BMN4="","",IF($BMN4=0,1,1-$BMN4/HLOOKUP(BMQ$3,[2]ARBOR_REAJUSTE18!$A:$AE,VLOOKUP($BMN$2,[2]ARBOR_REAJUSTE18!$A:$B,2,0),0))),""))),4)</f>
        <v>9.3399999999999997E-2</v>
      </c>
      <c r="BMR4" s="44">
        <f ca="1">ROUNDUP(IF(IFERROR(IF($BMN4="","",IF($BMN4=0,1,1-$BMN4/HLOOKUP(BMR$3,[2]ARBOR_REAJUSTE18!$A:$AE,VLOOKUP($BMN$2,[2]ARBOR_REAJUSTE18!$A:$B,2,0),0))),"")&lt;0.01%,0.01%,(IFERROR(IF($BMN4="","",IF($BMN4=0,1,1-$BMN4/HLOOKUP(BMR$3,[2]ARBOR_REAJUSTE18!$A:$AE,VLOOKUP($BMN$2,[2]ARBOR_REAJUSTE18!$A:$B,2,0),0))),""))),4)</f>
        <v>9.3399999999999997E-2</v>
      </c>
      <c r="BMS4" s="44">
        <f ca="1">ROUNDUP(IF(IFERROR(IF($BMN4="","",IF($BMN4=0,1,1-$BMN4/HLOOKUP(BMS$3,[2]ARBOR_REAJUSTE18!$A:$AE,VLOOKUP($BMN$2,[2]ARBOR_REAJUSTE18!$A:$B,2,0),0))),"")&lt;0.01%,0.01%,(IFERROR(IF($BMN4="","",IF($BMN4=0,1,1-$BMN4/HLOOKUP(BMS$3,[2]ARBOR_REAJUSTE18!$A:$AE,VLOOKUP($BMN$2,[2]ARBOR_REAJUSTE18!$A:$B,2,0),0))),""))),4)</f>
        <v>9.3399999999999997E-2</v>
      </c>
      <c r="BMT4" s="44">
        <f ca="1">ROUNDUP(IF(IFERROR(IF($BMN4="","",IF($BMN4=0,1,1-$BMN4/HLOOKUP(BMT$3,[2]ARBOR_REAJUSTE18!$A:$AE,VLOOKUP($BMN$2,[2]ARBOR_REAJUSTE18!$A:$B,2,0),0))),"")&lt;0.01%,0.01%,(IFERROR(IF($BMN4="","",IF($BMN4=0,1,1-$BMN4/HLOOKUP(BMT$3,[2]ARBOR_REAJUSTE18!$A:$AE,VLOOKUP($BMN$2,[2]ARBOR_REAJUSTE18!$A:$B,2,0),0))),""))),4)</f>
        <v>9.3399999999999997E-2</v>
      </c>
      <c r="BMU4" s="44">
        <f ca="1">ROUNDUP(IF(IFERROR(IF($BMN4="","",IF($BMN4=0,1,1-$BMN4/HLOOKUP(BMU$3,[2]ARBOR_REAJUSTE18!$A:$AE,VLOOKUP($BMN$2,[2]ARBOR_REAJUSTE18!$A:$B,2,0),0))),"")&lt;0.01%,0.01%,(IFERROR(IF($BMN4="","",IF($BMN4=0,1,1-$BMN4/HLOOKUP(BMU$3,[2]ARBOR_REAJUSTE18!$A:$AE,VLOOKUP($BMN$2,[2]ARBOR_REAJUSTE18!$A:$B,2,0),0))),""))),4)</f>
        <v>9.3399999999999997E-2</v>
      </c>
      <c r="BMV4" s="44">
        <f ca="1">ROUNDUP(IF(IFERROR(IF($BMN4="","",IF($BMN4=0,1,1-$BMN4/HLOOKUP(BMV$3,[2]ARBOR_REAJUSTE18!$A:$AE,VLOOKUP($BMN$2,[2]ARBOR_REAJUSTE18!$A:$B,2,0),0))),"")&lt;0.01%,0.01%,(IFERROR(IF($BMN4="","",IF($BMN4=0,1,1-$BMN4/HLOOKUP(BMV$3,[2]ARBOR_REAJUSTE18!$A:$AE,VLOOKUP($BMN$2,[2]ARBOR_REAJUSTE18!$A:$B,2,0),0))),""))),4)</f>
        <v>9.3200000000000005E-2</v>
      </c>
      <c r="BMW4" s="44">
        <f ca="1">ROUNDUP(IF(IFERROR(IF($BMN4="","",IF($BMN4=0,1,1-$BMN4/HLOOKUP(BMW$3,[2]ARBOR_REAJUSTE18!$A:$AE,VLOOKUP($BMN$2,[2]ARBOR_REAJUSTE18!$A:$B,2,0),0))),"")&lt;0.01%,0.01%,(IFERROR(IF($BMN4="","",IF($BMN4=0,1,1-$BMN4/HLOOKUP(BMW$3,[2]ARBOR_REAJUSTE18!$A:$AE,VLOOKUP($BMN$2,[2]ARBOR_REAJUSTE18!$A:$B,2,0),0))),""))),4)</f>
        <v>9.3399999999999997E-2</v>
      </c>
      <c r="BMX4" s="44">
        <f ca="1">ROUNDUP(IF(IFERROR(IF($BMN4="","",IF($BMN4=0,1,1-$BMN4/HLOOKUP(BMX$3,[2]ARBOR_REAJUSTE18!$A:$AE,VLOOKUP($BMN$2,[2]ARBOR_REAJUSTE18!$A:$B,2,0),0))),"")&lt;0.01%,0.01%,(IFERROR(IF($BMN4="","",IF($BMN4=0,1,1-$BMN4/HLOOKUP(BMX$3,[2]ARBOR_REAJUSTE18!$A:$AE,VLOOKUP($BMN$2,[2]ARBOR_REAJUSTE18!$A:$B,2,0),0))),""))),4)</f>
        <v>9.3399999999999997E-2</v>
      </c>
      <c r="BMY4" s="44">
        <f ca="1">ROUNDUP(IF(IFERROR(IF($BMN4="","",IF($BMN4=0,1,1-$BMN4/HLOOKUP(BMY$3,[2]ARBOR_REAJUSTE18!$A:$AE,VLOOKUP($BMN$2,[2]ARBOR_REAJUSTE18!$A:$B,2,0),0))),"")&lt;0.01%,0.01%,(IFERROR(IF($BMN4="","",IF($BMN4=0,1,1-$BMN4/HLOOKUP(BMY$3,[2]ARBOR_REAJUSTE18!$A:$AE,VLOOKUP($BMN$2,[2]ARBOR_REAJUSTE18!$A:$B,2,0),0))),""))),4)</f>
        <v>9.3399999999999997E-2</v>
      </c>
      <c r="BMZ4" s="44">
        <f ca="1">ROUNDUP(IF(IFERROR(IF($BMN4="","",IF($BMN4=0,1,1-$BMN4/HLOOKUP(BMZ$3,[2]ARBOR_REAJUSTE18!$A:$AE,VLOOKUP($BMN$2,[2]ARBOR_REAJUSTE18!$A:$B,2,0),0))),"")&lt;0.01%,0.01%,(IFERROR(IF($BMN4="","",IF($BMN4=0,1,1-$BMN4/HLOOKUP(BMZ$3,[2]ARBOR_REAJUSTE18!$A:$AE,VLOOKUP($BMN$2,[2]ARBOR_REAJUSTE18!$A:$B,2,0),0))),""))),4)</f>
        <v>0.1258</v>
      </c>
      <c r="BNA4" s="44">
        <f ca="1">ROUNDUP(IF(IFERROR(IF($BMN4="","",IF($BMN4=0,1,1-$BMN4/HLOOKUP(BNA$3,[2]ARBOR_REAJUSTE18!$A:$AE,VLOOKUP($BMN$2,[2]ARBOR_REAJUSTE18!$A:$B,2,0),0))),"")&lt;0.01%,0.01%,(IFERROR(IF($BMN4="","",IF($BMN4=0,1,1-$BMN4/HLOOKUP(BNA$3,[2]ARBOR_REAJUSTE18!$A:$AE,VLOOKUP($BMN$2,[2]ARBOR_REAJUSTE18!$A:$B,2,0),0))),""))),4)</f>
        <v>9.3399999999999997E-2</v>
      </c>
      <c r="BNB4" s="44">
        <f ca="1">ROUNDUP(IF(IFERROR(IF($BMN4="","",IF($BMN4=0,1,1-$BMN4/HLOOKUP(BNB$3,[2]ARBOR_REAJUSTE18!$A:$AE,VLOOKUP($BMN$2,[2]ARBOR_REAJUSTE18!$A:$B,2,0),0))),"")&lt;0.01%,0.01%,(IFERROR(IF($BMN4="","",IF($BMN4=0,1,1-$BMN4/HLOOKUP(BNB$3,[2]ARBOR_REAJUSTE18!$A:$AE,VLOOKUP($BMN$2,[2]ARBOR_REAJUSTE18!$A:$B,2,0),0))),""))),4)</f>
        <v>9.3399999999999997E-2</v>
      </c>
      <c r="BNC4" s="44">
        <f ca="1">ROUNDUP(IF(IFERROR(IF($BMN4="","",IF($BMN4=0,1,1-$BMN4/HLOOKUP(BNC$3,[2]ARBOR_REAJUSTE18!$A:$AE,VLOOKUP($BMN$2,[2]ARBOR_REAJUSTE18!$A:$B,2,0),0))),"")&lt;0.01%,0.01%,(IFERROR(IF($BMN4="","",IF($BMN4=0,1,1-$BMN4/HLOOKUP(BNC$3,[2]ARBOR_REAJUSTE18!$A:$AE,VLOOKUP($BMN$2,[2]ARBOR_REAJUSTE18!$A:$B,2,0),0))),""))),4)</f>
        <v>9.3399999999999997E-2</v>
      </c>
      <c r="BND4" s="44">
        <f ca="1">ROUNDUP(IF(IFERROR(IF($BMN4="","",IF($BMN4=0,1,1-$BMN4/HLOOKUP(BND$3,[2]ARBOR_REAJUSTE18!$A:$AE,VLOOKUP($BMN$2,[2]ARBOR_REAJUSTE18!$A:$B,2,0),0))),"")&lt;0.01%,0.01%,(IFERROR(IF($BMN4="","",IF($BMN4=0,1,1-$BMN4/HLOOKUP(BND$3,[2]ARBOR_REAJUSTE18!$A:$AE,VLOOKUP($BMN$2,[2]ARBOR_REAJUSTE18!$A:$B,2,0),0))),""))),4)</f>
        <v>9.3399999999999997E-2</v>
      </c>
      <c r="BNE4" s="44">
        <f ca="1">ROUNDUP(IF(IFERROR(IF($BMN4="","",IF($BMN4=0,1,1-$BMN4/HLOOKUP(BNE$3,[2]ARBOR_REAJUSTE18!$A:$AE,VLOOKUP($BMN$2,[2]ARBOR_REAJUSTE18!$A:$B,2,0),0))),"")&lt;0.01%,0.01%,(IFERROR(IF($BMN4="","",IF($BMN4=0,1,1-$BMN4/HLOOKUP(BNE$3,[2]ARBOR_REAJUSTE18!$A:$AE,VLOOKUP($BMN$2,[2]ARBOR_REAJUSTE18!$A:$B,2,0),0))),""))),4)</f>
        <v>0.1051</v>
      </c>
      <c r="BNF4" s="44">
        <f ca="1">ROUNDUP(IF(IFERROR(IF($BMN4="","",IF($BMN4=0,1,1-$BMN4/HLOOKUP(BNF$3,[2]ARBOR_REAJUSTE18!$A:$AE,VLOOKUP($BMN$2,[2]ARBOR_REAJUSTE18!$A:$B,2,0),0))),"")&lt;0.01%,0.01%,(IFERROR(IF($BMN4="","",IF($BMN4=0,1,1-$BMN4/HLOOKUP(BNF$3,[2]ARBOR_REAJUSTE18!$A:$AE,VLOOKUP($BMN$2,[2]ARBOR_REAJUSTE18!$A:$B,2,0),0))),""))),4)</f>
        <v>9.3399999999999997E-2</v>
      </c>
      <c r="BNG4" s="44">
        <f ca="1">ROUNDUP(IF(IFERROR(IF($BMN4="","",IF($BMN4=0,1,1-$BMN4/HLOOKUP(BNG$3,[2]ARBOR_REAJUSTE18!$A:$AE,VLOOKUP($BMN$2,[2]ARBOR_REAJUSTE18!$A:$B,2,0),0))),"")&lt;0.01%,0.01%,(IFERROR(IF($BMN4="","",IF($BMN4=0,1,1-$BMN4/HLOOKUP(BNG$3,[2]ARBOR_REAJUSTE18!$A:$AE,VLOOKUP($BMN$2,[2]ARBOR_REAJUSTE18!$A:$B,2,0),0))),""))),4)</f>
        <v>9.3399999999999997E-2</v>
      </c>
      <c r="BNH4" s="44">
        <f ca="1">ROUNDUP(IF(IFERROR(IF($BMN4="","",IF($BMN4=0,1,1-$BMN4/HLOOKUP(BNH$3,[2]ARBOR_REAJUSTE18!$A:$AE,VLOOKUP($BMN$2,[2]ARBOR_REAJUSTE18!$A:$B,2,0),0))),"")&lt;0.01%,0.01%,(IFERROR(IF($BMN4="","",IF($BMN4=0,1,1-$BMN4/HLOOKUP(BNH$3,[2]ARBOR_REAJUSTE18!$A:$AE,VLOOKUP($BMN$2,[2]ARBOR_REAJUSTE18!$A:$B,2,0),0))),""))),4)</f>
        <v>9.3399999999999997E-2</v>
      </c>
      <c r="BNI4" s="44">
        <f ca="1">ROUNDUP(IF(IFERROR(IF($BMN4="","",IF($BMN4=0,1,1-$BMN4/HLOOKUP(BNI$3,[2]ARBOR_REAJUSTE18!$A:$AE,VLOOKUP($BMN$2,[2]ARBOR_REAJUSTE18!$A:$B,2,0),0))),"")&lt;0.01%,0.01%,(IFERROR(IF($BMN4="","",IF($BMN4=0,1,1-$BMN4/HLOOKUP(BNI$3,[2]ARBOR_REAJUSTE18!$A:$AE,VLOOKUP($BMN$2,[2]ARBOR_REAJUSTE18!$A:$B,2,0),0))),""))),4)</f>
        <v>0.1255</v>
      </c>
      <c r="BNJ4" s="44">
        <f ca="1">ROUNDUP(IF(IFERROR(IF($BMN4="","",IF($BMN4=0,1,1-$BMN4/HLOOKUP(BNJ$3,[2]ARBOR_REAJUSTE18!$A:$AE,VLOOKUP($BMN$2,[2]ARBOR_REAJUSTE18!$A:$B,2,0),0))),"")&lt;0.01%,0.01%,(IFERROR(IF($BMN4="","",IF($BMN4=0,1,1-$BMN4/HLOOKUP(BNJ$3,[2]ARBOR_REAJUSTE18!$A:$AE,VLOOKUP($BMN$2,[2]ARBOR_REAJUSTE18!$A:$B,2,0),0))),""))),4)</f>
        <v>9.3399999999999997E-2</v>
      </c>
      <c r="BNK4" s="44">
        <f ca="1">ROUNDUP(IF(IFERROR(IF($BMN4="","",IF($BMN4=0,1,1-$BMN4/HLOOKUP(BNK$3,[2]ARBOR_REAJUSTE18!$A:$AE,VLOOKUP($BMN$2,[2]ARBOR_REAJUSTE18!$A:$B,2,0),0))),"")&lt;0.01%,0.01%,(IFERROR(IF($BMN4="","",IF($BMN4=0,1,1-$BMN4/HLOOKUP(BNK$3,[2]ARBOR_REAJUSTE18!$A:$AE,VLOOKUP($BMN$2,[2]ARBOR_REAJUSTE18!$A:$B,2,0),0))),""))),4)</f>
        <v>9.3399999999999997E-2</v>
      </c>
      <c r="BNL4" s="44">
        <f ca="1">ROUNDUP(IF(IFERROR(IF($BMN4="","",IF($BMN4=0,1,1-$BMN4/HLOOKUP(BNL$3,[2]ARBOR_REAJUSTE18!$A:$AE,VLOOKUP($BMN$2,[2]ARBOR_REAJUSTE18!$A:$B,2,0),0))),"")&lt;0.01%,0.01%,(IFERROR(IF($BMN4="","",IF($BMN4=0,1,1-$BMN4/HLOOKUP(BNL$3,[2]ARBOR_REAJUSTE18!$A:$AE,VLOOKUP($BMN$2,[2]ARBOR_REAJUSTE18!$A:$B,2,0),0))),""))),4)</f>
        <v>9.3399999999999997E-2</v>
      </c>
      <c r="BNM4" s="44">
        <f ca="1">ROUNDUP(IF(IFERROR(IF($BMN4="","",IF($BMN4=0,1,1-$BMN4/HLOOKUP(BNM$3,[2]ARBOR_REAJUSTE18!$A:$AE,VLOOKUP($BMN$2,[2]ARBOR_REAJUSTE18!$A:$B,2,0),0))),"")&lt;0.01%,0.01%,(IFERROR(IF($BMN4="","",IF($BMN4=0,1,1-$BMN4/HLOOKUP(BNM$3,[2]ARBOR_REAJUSTE18!$A:$AE,VLOOKUP($BMN$2,[2]ARBOR_REAJUSTE18!$A:$B,2,0),0))),""))),4)</f>
        <v>9.3399999999999997E-2</v>
      </c>
      <c r="BNN4" s="44">
        <f ca="1">ROUNDUP(IF(IFERROR(IF($BMN4="","",IF($BMN4=0,1,1-$BMN4/HLOOKUP(BNN$3,[2]ARBOR_REAJUSTE18!$A:$AE,VLOOKUP($BMN$2,[2]ARBOR_REAJUSTE18!$A:$B,2,0),0))),"")&lt;0.01%,0.01%,(IFERROR(IF($BMN4="","",IF($BMN4=0,1,1-$BMN4/HLOOKUP(BNN$3,[2]ARBOR_REAJUSTE18!$A:$AE,VLOOKUP($BMN$2,[2]ARBOR_REAJUSTE18!$A:$B,2,0),0))),""))),4)</f>
        <v>9.3399999999999997E-2</v>
      </c>
      <c r="BNO4" s="44">
        <f ca="1">ROUNDUP(IF(IFERROR(IF($BMN4="","",IF($BMN4=0,1,1-$BMN4/HLOOKUP(BNO$3,[2]ARBOR_REAJUSTE18!$A:$AE,VLOOKUP($BMN$2,[2]ARBOR_REAJUSTE18!$A:$B,2,0),0))),"")&lt;0.01%,0.01%,(IFERROR(IF($BMN4="","",IF($BMN4=0,1,1-$BMN4/HLOOKUP(BNO$3,[2]ARBOR_REAJUSTE18!$A:$AE,VLOOKUP($BMN$2,[2]ARBOR_REAJUSTE18!$A:$B,2,0),0))),""))),4)</f>
        <v>0.11410000000000001</v>
      </c>
      <c r="BNP4" s="44">
        <f ca="1">ROUNDUP(IF(IFERROR(IF($BMN4="","",IF($BMN4=0,1,1-$BMN4/HLOOKUP(BNP$3,[2]ARBOR_REAJUSTE18!$A:$AE,VLOOKUP($BMN$2,[2]ARBOR_REAJUSTE18!$A:$B,2,0),0))),"")&lt;0.01%,0.01%,(IFERROR(IF($BMN4="","",IF($BMN4=0,1,1-$BMN4/HLOOKUP(BNP$3,[2]ARBOR_REAJUSTE18!$A:$AE,VLOOKUP($BMN$2,[2]ARBOR_REAJUSTE18!$A:$B,2,0),0))),""))),4)</f>
        <v>9.3399999999999997E-2</v>
      </c>
      <c r="BNQ4" s="56">
        <v>14.9</v>
      </c>
      <c r="BNR4" s="64" t="str">
        <f ca="1">VLOOKUP($AV4&amp;BNS4&amp;"Template desconto % SexPrivê nível conta",[2]BENEFICIOS!$A:$G,5,0)</f>
        <v>MKT-1-10624289961</v>
      </c>
      <c r="BNS4" s="44">
        <f ca="1">ROUNDUP(IF(IFERROR(IF($BNQ4="","",IF($BNQ4=0,1,1-$BNQ4/HLOOKUP(BNS$3,[2]ARBOR_REAJUSTE18!$A:$AE,VLOOKUP($BNQ$2,[2]ARBOR_REAJUSTE18!$A:$B,2,0),0))),"")&lt;0.01%,0.01%,(IFERROR(IF($BNQ4="","",IF($BNQ4=0,1,1-$BNQ4/HLOOKUP(BNS$3,[2]ARBOR_REAJUSTE18!$A:$AE,VLOOKUP($BNQ$2,[2]ARBOR_REAJUSTE18!$A:$B,2,0),0))),""))),4)</f>
        <v>9.3200000000000005E-2</v>
      </c>
      <c r="BNT4" s="44">
        <f ca="1">ROUNDUP(IF(IFERROR(IF($BNQ4="","",IF($BNQ4=0,1,1-$BNQ4/HLOOKUP(BNT$3,[2]ARBOR_REAJUSTE18!$A:$AE,VLOOKUP($BNQ$2,[2]ARBOR_REAJUSTE18!$A:$B,2,0),0))),"")&lt;0.01%,0.01%,(IFERROR(IF($BNQ4="","",IF($BNQ4=0,1,1-$BNQ4/HLOOKUP(BNT$3,[2]ARBOR_REAJUSTE18!$A:$AE,VLOOKUP($BNQ$2,[2]ARBOR_REAJUSTE18!$A:$B,2,0),0))),""))),4)</f>
        <v>9.3200000000000005E-2</v>
      </c>
      <c r="BNU4" s="44">
        <f ca="1">ROUNDUP(IF(IFERROR(IF($BNQ4="","",IF($BNQ4=0,1,1-$BNQ4/HLOOKUP(BNU$3,[2]ARBOR_REAJUSTE18!$A:$AE,VLOOKUP($BNQ$2,[2]ARBOR_REAJUSTE18!$A:$B,2,0),0))),"")&lt;0.01%,0.01%,(IFERROR(IF($BNQ4="","",IF($BNQ4=0,1,1-$BNQ4/HLOOKUP(BNU$3,[2]ARBOR_REAJUSTE18!$A:$AE,VLOOKUP($BNQ$2,[2]ARBOR_REAJUSTE18!$A:$B,2,0),0))),""))),4)</f>
        <v>9.3200000000000005E-2</v>
      </c>
      <c r="BNV4" s="44">
        <f ca="1">ROUNDUP(IF(IFERROR(IF($BNQ4="","",IF($BNQ4=0,1,1-$BNQ4/HLOOKUP(BNV$3,[2]ARBOR_REAJUSTE18!$A:$AE,VLOOKUP($BNQ$2,[2]ARBOR_REAJUSTE18!$A:$B,2,0),0))),"")&lt;0.01%,0.01%,(IFERROR(IF($BNQ4="","",IF($BNQ4=0,1,1-$BNQ4/HLOOKUP(BNV$3,[2]ARBOR_REAJUSTE18!$A:$AE,VLOOKUP($BNQ$2,[2]ARBOR_REAJUSTE18!$A:$B,2,0),0))),""))),4)</f>
        <v>9.3200000000000005E-2</v>
      </c>
      <c r="BNW4" s="44">
        <f ca="1">ROUNDUP(IF(IFERROR(IF($BNQ4="","",IF($BNQ4=0,1,1-$BNQ4/HLOOKUP(BNW$3,[2]ARBOR_REAJUSTE18!$A:$AE,VLOOKUP($BNQ$2,[2]ARBOR_REAJUSTE18!$A:$B,2,0),0))),"")&lt;0.01%,0.01%,(IFERROR(IF($BNQ4="","",IF($BNQ4=0,1,1-$BNQ4/HLOOKUP(BNW$3,[2]ARBOR_REAJUSTE18!$A:$AE,VLOOKUP($BNQ$2,[2]ARBOR_REAJUSTE18!$A:$B,2,0),0))),""))),4)</f>
        <v>9.3200000000000005E-2</v>
      </c>
      <c r="BNX4" s="44">
        <f ca="1">ROUNDUP(IF(IFERROR(IF($BNQ4="","",IF($BNQ4=0,1,1-$BNQ4/HLOOKUP(BNX$3,[2]ARBOR_REAJUSTE18!$A:$AE,VLOOKUP($BNQ$2,[2]ARBOR_REAJUSTE18!$A:$B,2,0),0))),"")&lt;0.01%,0.01%,(IFERROR(IF($BNQ4="","",IF($BNQ4=0,1,1-$BNQ4/HLOOKUP(BNX$3,[2]ARBOR_REAJUSTE18!$A:$AE,VLOOKUP($BNQ$2,[2]ARBOR_REAJUSTE18!$A:$B,2,0),0))),""))),4)</f>
        <v>9.3200000000000005E-2</v>
      </c>
      <c r="BNY4" s="44">
        <f ca="1">ROUNDUP(IF(IFERROR(IF($BNQ4="","",IF($BNQ4=0,1,1-$BNQ4/HLOOKUP(BNY$3,[2]ARBOR_REAJUSTE18!$A:$AE,VLOOKUP($BNQ$2,[2]ARBOR_REAJUSTE18!$A:$B,2,0),0))),"")&lt;0.01%,0.01%,(IFERROR(IF($BNQ4="","",IF($BNQ4=0,1,1-$BNQ4/HLOOKUP(BNY$3,[2]ARBOR_REAJUSTE18!$A:$AE,VLOOKUP($BNQ$2,[2]ARBOR_REAJUSTE18!$A:$B,2,0),0))),""))),4)</f>
        <v>9.2600000000000002E-2</v>
      </c>
      <c r="BNZ4" s="44">
        <f ca="1">ROUNDUP(IF(IFERROR(IF($BNQ4="","",IF($BNQ4=0,1,1-$BNQ4/HLOOKUP(BNZ$3,[2]ARBOR_REAJUSTE18!$A:$AE,VLOOKUP($BNQ$2,[2]ARBOR_REAJUSTE18!$A:$B,2,0),0))),"")&lt;0.01%,0.01%,(IFERROR(IF($BNQ4="","",IF($BNQ4=0,1,1-$BNQ4/HLOOKUP(BNZ$3,[2]ARBOR_REAJUSTE18!$A:$AE,VLOOKUP($BNQ$2,[2]ARBOR_REAJUSTE18!$A:$B,2,0),0))),""))),4)</f>
        <v>9.3200000000000005E-2</v>
      </c>
      <c r="BOA4" s="44">
        <f ca="1">ROUNDUP(IF(IFERROR(IF($BNQ4="","",IF($BNQ4=0,1,1-$BNQ4/HLOOKUP(BOA$3,[2]ARBOR_REAJUSTE18!$A:$AE,VLOOKUP($BNQ$2,[2]ARBOR_REAJUSTE18!$A:$B,2,0),0))),"")&lt;0.01%,0.01%,(IFERROR(IF($BNQ4="","",IF($BNQ4=0,1,1-$BNQ4/HLOOKUP(BOA$3,[2]ARBOR_REAJUSTE18!$A:$AE,VLOOKUP($BNQ$2,[2]ARBOR_REAJUSTE18!$A:$B,2,0),0))),""))),4)</f>
        <v>9.3200000000000005E-2</v>
      </c>
      <c r="BOB4" s="44">
        <f ca="1">ROUNDUP(IF(IFERROR(IF($BNQ4="","",IF($BNQ4=0,1,1-$BNQ4/HLOOKUP(BOB$3,[2]ARBOR_REAJUSTE18!$A:$AE,VLOOKUP($BNQ$2,[2]ARBOR_REAJUSTE18!$A:$B,2,0),0))),"")&lt;0.01%,0.01%,(IFERROR(IF($BNQ4="","",IF($BNQ4=0,1,1-$BNQ4/HLOOKUP(BOB$3,[2]ARBOR_REAJUSTE18!$A:$AE,VLOOKUP($BNQ$2,[2]ARBOR_REAJUSTE18!$A:$B,2,0),0))),""))),4)</f>
        <v>9.3200000000000005E-2</v>
      </c>
      <c r="BOC4" s="44">
        <f ca="1">ROUNDUP(IF(IFERROR(IF($BNQ4="","",IF($BNQ4=0,1,1-$BNQ4/HLOOKUP(BOC$3,[2]ARBOR_REAJUSTE18!$A:$AE,VLOOKUP($BNQ$2,[2]ARBOR_REAJUSTE18!$A:$B,2,0),0))),"")&lt;0.01%,0.01%,(IFERROR(IF($BNQ4="","",IF($BNQ4=0,1,1-$BNQ4/HLOOKUP(BOC$3,[2]ARBOR_REAJUSTE18!$A:$AE,VLOOKUP($BNQ$2,[2]ARBOR_REAJUSTE18!$A:$B,2,0),0))),""))),4)</f>
        <v>0.12509999999999999</v>
      </c>
      <c r="BOD4" s="44">
        <f ca="1">ROUNDUP(IF(IFERROR(IF($BNQ4="","",IF($BNQ4=0,1,1-$BNQ4/HLOOKUP(BOD$3,[2]ARBOR_REAJUSTE18!$A:$AE,VLOOKUP($BNQ$2,[2]ARBOR_REAJUSTE18!$A:$B,2,0),0))),"")&lt;0.01%,0.01%,(IFERROR(IF($BNQ4="","",IF($BNQ4=0,1,1-$BNQ4/HLOOKUP(BOD$3,[2]ARBOR_REAJUSTE18!$A:$AE,VLOOKUP($BNQ$2,[2]ARBOR_REAJUSTE18!$A:$B,2,0),0))),""))),4)</f>
        <v>9.3200000000000005E-2</v>
      </c>
      <c r="BOE4" s="44">
        <f ca="1">ROUNDUP(IF(IFERROR(IF($BNQ4="","",IF($BNQ4=0,1,1-$BNQ4/HLOOKUP(BOE$3,[2]ARBOR_REAJUSTE18!$A:$AE,VLOOKUP($BNQ$2,[2]ARBOR_REAJUSTE18!$A:$B,2,0),0))),"")&lt;0.01%,0.01%,(IFERROR(IF($BNQ4="","",IF($BNQ4=0,1,1-$BNQ4/HLOOKUP(BOE$3,[2]ARBOR_REAJUSTE18!$A:$AE,VLOOKUP($BNQ$2,[2]ARBOR_REAJUSTE18!$A:$B,2,0),0))),""))),4)</f>
        <v>9.3200000000000005E-2</v>
      </c>
      <c r="BOF4" s="44">
        <f ca="1">ROUNDUP(IF(IFERROR(IF($BNQ4="","",IF($BNQ4=0,1,1-$BNQ4/HLOOKUP(BOF$3,[2]ARBOR_REAJUSTE18!$A:$AE,VLOOKUP($BNQ$2,[2]ARBOR_REAJUSTE18!$A:$B,2,0),0))),"")&lt;0.01%,0.01%,(IFERROR(IF($BNQ4="","",IF($BNQ4=0,1,1-$BNQ4/HLOOKUP(BOF$3,[2]ARBOR_REAJUSTE18!$A:$AE,VLOOKUP($BNQ$2,[2]ARBOR_REAJUSTE18!$A:$B,2,0),0))),""))),4)</f>
        <v>9.3200000000000005E-2</v>
      </c>
      <c r="BOG4" s="44">
        <f ca="1">ROUNDUP(IF(IFERROR(IF($BNQ4="","",IF($BNQ4=0,1,1-$BNQ4/HLOOKUP(BOG$3,[2]ARBOR_REAJUSTE18!$A:$AE,VLOOKUP($BNQ$2,[2]ARBOR_REAJUSTE18!$A:$B,2,0),0))),"")&lt;0.01%,0.01%,(IFERROR(IF($BNQ4="","",IF($BNQ4=0,1,1-$BNQ4/HLOOKUP(BOG$3,[2]ARBOR_REAJUSTE18!$A:$AE,VLOOKUP($BNQ$2,[2]ARBOR_REAJUSTE18!$A:$B,2,0),0))),""))),4)</f>
        <v>9.3200000000000005E-2</v>
      </c>
      <c r="BOH4" s="44">
        <f ca="1">ROUNDUP(IF(IFERROR(IF($BNQ4="","",IF($BNQ4=0,1,1-$BNQ4/HLOOKUP(BOH$3,[2]ARBOR_REAJUSTE18!$A:$AE,VLOOKUP($BNQ$2,[2]ARBOR_REAJUSTE18!$A:$B,2,0),0))),"")&lt;0.01%,0.01%,(IFERROR(IF($BNQ4="","",IF($BNQ4=0,1,1-$BNQ4/HLOOKUP(BOH$3,[2]ARBOR_REAJUSTE18!$A:$AE,VLOOKUP($BNQ$2,[2]ARBOR_REAJUSTE18!$A:$B,2,0),0))),""))),4)</f>
        <v>0.1046</v>
      </c>
      <c r="BOI4" s="44">
        <f ca="1">ROUNDUP(IF(IFERROR(IF($BNQ4="","",IF($BNQ4=0,1,1-$BNQ4/HLOOKUP(BOI$3,[2]ARBOR_REAJUSTE18!$A:$AE,VLOOKUP($BNQ$2,[2]ARBOR_REAJUSTE18!$A:$B,2,0),0))),"")&lt;0.01%,0.01%,(IFERROR(IF($BNQ4="","",IF($BNQ4=0,1,1-$BNQ4/HLOOKUP(BOI$3,[2]ARBOR_REAJUSTE18!$A:$AE,VLOOKUP($BNQ$2,[2]ARBOR_REAJUSTE18!$A:$B,2,0),0))),""))),4)</f>
        <v>9.3200000000000005E-2</v>
      </c>
      <c r="BOJ4" s="44">
        <f ca="1">ROUNDUP(IF(IFERROR(IF($BNQ4="","",IF($BNQ4=0,1,1-$BNQ4/HLOOKUP(BOJ$3,[2]ARBOR_REAJUSTE18!$A:$AE,VLOOKUP($BNQ$2,[2]ARBOR_REAJUSTE18!$A:$B,2,0),0))),"")&lt;0.01%,0.01%,(IFERROR(IF($BNQ4="","",IF($BNQ4=0,1,1-$BNQ4/HLOOKUP(BOJ$3,[2]ARBOR_REAJUSTE18!$A:$AE,VLOOKUP($BNQ$2,[2]ARBOR_REAJUSTE18!$A:$B,2,0),0))),""))),4)</f>
        <v>9.3200000000000005E-2</v>
      </c>
      <c r="BOK4" s="44">
        <f ca="1">ROUNDUP(IF(IFERROR(IF($BNQ4="","",IF($BNQ4=0,1,1-$BNQ4/HLOOKUP(BOK$3,[2]ARBOR_REAJUSTE18!$A:$AE,VLOOKUP($BNQ$2,[2]ARBOR_REAJUSTE18!$A:$B,2,0),0))),"")&lt;0.01%,0.01%,(IFERROR(IF($BNQ4="","",IF($BNQ4=0,1,1-$BNQ4/HLOOKUP(BOK$3,[2]ARBOR_REAJUSTE18!$A:$AE,VLOOKUP($BNQ$2,[2]ARBOR_REAJUSTE18!$A:$B,2,0),0))),""))),4)</f>
        <v>9.3200000000000005E-2</v>
      </c>
      <c r="BOL4" s="44">
        <f ca="1">ROUNDUP(IF(IFERROR(IF($BNQ4="","",IF($BNQ4=0,1,1-$BNQ4/HLOOKUP(BOL$3,[2]ARBOR_REAJUSTE18!$A:$AE,VLOOKUP($BNQ$2,[2]ARBOR_REAJUSTE18!$A:$B,2,0),0))),"")&lt;0.01%,0.01%,(IFERROR(IF($BNQ4="","",IF($BNQ4=0,1,1-$BNQ4/HLOOKUP(BOL$3,[2]ARBOR_REAJUSTE18!$A:$AE,VLOOKUP($BNQ$2,[2]ARBOR_REAJUSTE18!$A:$B,2,0),0))),""))),4)</f>
        <v>0.12509999999999999</v>
      </c>
      <c r="BOM4" s="44">
        <f ca="1">ROUNDUP(IF(IFERROR(IF($BNQ4="","",IF($BNQ4=0,1,1-$BNQ4/HLOOKUP(BOM$3,[2]ARBOR_REAJUSTE18!$A:$AE,VLOOKUP($BNQ$2,[2]ARBOR_REAJUSTE18!$A:$B,2,0),0))),"")&lt;0.01%,0.01%,(IFERROR(IF($BNQ4="","",IF($BNQ4=0,1,1-$BNQ4/HLOOKUP(BOM$3,[2]ARBOR_REAJUSTE18!$A:$AE,VLOOKUP($BNQ$2,[2]ARBOR_REAJUSTE18!$A:$B,2,0),0))),""))),4)</f>
        <v>9.3200000000000005E-2</v>
      </c>
      <c r="BON4" s="44">
        <f ca="1">ROUNDUP(IF(IFERROR(IF($BNQ4="","",IF($BNQ4=0,1,1-$BNQ4/HLOOKUP(BON$3,[2]ARBOR_REAJUSTE18!$A:$AE,VLOOKUP($BNQ$2,[2]ARBOR_REAJUSTE18!$A:$B,2,0),0))),"")&lt;0.01%,0.01%,(IFERROR(IF($BNQ4="","",IF($BNQ4=0,1,1-$BNQ4/HLOOKUP(BON$3,[2]ARBOR_REAJUSTE18!$A:$AE,VLOOKUP($BNQ$2,[2]ARBOR_REAJUSTE18!$A:$B,2,0),0))),""))),4)</f>
        <v>9.3200000000000005E-2</v>
      </c>
      <c r="BOO4" s="44">
        <f ca="1">ROUNDUP(IF(IFERROR(IF($BNQ4="","",IF($BNQ4=0,1,1-$BNQ4/HLOOKUP(BOO$3,[2]ARBOR_REAJUSTE18!$A:$AE,VLOOKUP($BNQ$2,[2]ARBOR_REAJUSTE18!$A:$B,2,0),0))),"")&lt;0.01%,0.01%,(IFERROR(IF($BNQ4="","",IF($BNQ4=0,1,1-$BNQ4/HLOOKUP(BOO$3,[2]ARBOR_REAJUSTE18!$A:$AE,VLOOKUP($BNQ$2,[2]ARBOR_REAJUSTE18!$A:$B,2,0),0))),""))),4)</f>
        <v>9.3200000000000005E-2</v>
      </c>
      <c r="BOP4" s="44">
        <f ca="1">ROUNDUP(IF(IFERROR(IF($BNQ4="","",IF($BNQ4=0,1,1-$BNQ4/HLOOKUP(BOP$3,[2]ARBOR_REAJUSTE18!$A:$AE,VLOOKUP($BNQ$2,[2]ARBOR_REAJUSTE18!$A:$B,2,0),0))),"")&lt;0.01%,0.01%,(IFERROR(IF($BNQ4="","",IF($BNQ4=0,1,1-$BNQ4/HLOOKUP(BOP$3,[2]ARBOR_REAJUSTE18!$A:$AE,VLOOKUP($BNQ$2,[2]ARBOR_REAJUSTE18!$A:$B,2,0),0))),""))),4)</f>
        <v>9.3200000000000005E-2</v>
      </c>
      <c r="BOQ4" s="44">
        <f ca="1">ROUNDUP(IF(IFERROR(IF($BNQ4="","",IF($BNQ4=0,1,1-$BNQ4/HLOOKUP(BOQ$3,[2]ARBOR_REAJUSTE18!$A:$AE,VLOOKUP($BNQ$2,[2]ARBOR_REAJUSTE18!$A:$B,2,0),0))),"")&lt;0.01%,0.01%,(IFERROR(IF($BNQ4="","",IF($BNQ4=0,1,1-$BNQ4/HLOOKUP(BOQ$3,[2]ARBOR_REAJUSTE18!$A:$AE,VLOOKUP($BNQ$2,[2]ARBOR_REAJUSTE18!$A:$B,2,0),0))),""))),4)</f>
        <v>9.3200000000000005E-2</v>
      </c>
      <c r="BOR4" s="44">
        <f ca="1">ROUNDUP(IF(IFERROR(IF($BNQ4="","",IF($BNQ4=0,1,1-$BNQ4/HLOOKUP(BOR$3,[2]ARBOR_REAJUSTE18!$A:$AE,VLOOKUP($BNQ$2,[2]ARBOR_REAJUSTE18!$A:$B,2,0),0))),"")&lt;0.01%,0.01%,(IFERROR(IF($BNQ4="","",IF($BNQ4=0,1,1-$BNQ4/HLOOKUP(BOR$3,[2]ARBOR_REAJUSTE18!$A:$AE,VLOOKUP($BNQ$2,[2]ARBOR_REAJUSTE18!$A:$B,2,0),0))),""))),4)</f>
        <v>0.1142</v>
      </c>
      <c r="BOS4" s="44">
        <f ca="1">ROUNDUP(IF(IFERROR(IF($BNQ4="","",IF($BNQ4=0,1,1-$BNQ4/HLOOKUP(BOS$3,[2]ARBOR_REAJUSTE18!$A:$AE,VLOOKUP($BNQ$2,[2]ARBOR_REAJUSTE18!$A:$B,2,0),0))),"")&lt;0.01%,0.01%,(IFERROR(IF($BNQ4="","",IF($BNQ4=0,1,1-$BNQ4/HLOOKUP(BOS$3,[2]ARBOR_REAJUSTE18!$A:$AE,VLOOKUP($BNQ$2,[2]ARBOR_REAJUSTE18!$A:$B,2,0),0))),""))),4)</f>
        <v>9.3200000000000005E-2</v>
      </c>
      <c r="BOT4" s="56"/>
      <c r="BOU4" s="56" t="s">
        <v>261</v>
      </c>
      <c r="BOV4" s="44" t="e">
        <f>ROUNDUP(IF(IFERROR(IF($BOT4="","",IF($BOT4=0,1,1-$BOT4/HLOOKUP(BOV$3,[2]ARBOR_REAJUSTE18!$A:$AE,VLOOKUP($BOT$2,[2]ARBOR_REAJUSTE18!$A:$B,2,0),0))),"")&lt;0.01%,0.01%,(IFERROR(IF($BOT4="","",IF($BOT4=0,1,1-$BOT4/HLOOKUP(BOV$3,[2]ARBOR_REAJUSTE18!$A:$AE,VLOOKUP($BOT$2,[2]ARBOR_REAJUSTE18!$A:$B,2,0),0))),""))),4)</f>
        <v>#VALUE!</v>
      </c>
      <c r="BOW4" s="44" t="e">
        <f>ROUNDUP(IF(IFERROR(IF($BOT4="","",IF($BOT4=0,1,1-$BOT4/HLOOKUP(BOW$3,[2]ARBOR_REAJUSTE18!$A:$AE,VLOOKUP($BOT$2,[2]ARBOR_REAJUSTE18!$A:$B,2,0),0))),"")&lt;0.01%,0.01%,(IFERROR(IF($BOT4="","",IF($BOT4=0,1,1-$BOT4/HLOOKUP(BOW$3,[2]ARBOR_REAJUSTE18!$A:$AE,VLOOKUP($BOT$2,[2]ARBOR_REAJUSTE18!$A:$B,2,0),0))),""))),4)</f>
        <v>#VALUE!</v>
      </c>
      <c r="BOX4" s="44" t="e">
        <f>ROUNDUP(IF(IFERROR(IF($BOT4="","",IF($BOT4=0,1,1-$BOT4/HLOOKUP(BOX$3,[2]ARBOR_REAJUSTE18!$A:$AE,VLOOKUP($BOT$2,[2]ARBOR_REAJUSTE18!$A:$B,2,0),0))),"")&lt;0.01%,0.01%,(IFERROR(IF($BOT4="","",IF($BOT4=0,1,1-$BOT4/HLOOKUP(BOX$3,[2]ARBOR_REAJUSTE18!$A:$AE,VLOOKUP($BOT$2,[2]ARBOR_REAJUSTE18!$A:$B,2,0),0))),""))),4)</f>
        <v>#VALUE!</v>
      </c>
      <c r="BOY4" s="44" t="e">
        <f>ROUNDUP(IF(IFERROR(IF($BOT4="","",IF($BOT4=0,1,1-$BOT4/HLOOKUP(BOY$3,[2]ARBOR_REAJUSTE18!$A:$AE,VLOOKUP($BOT$2,[2]ARBOR_REAJUSTE18!$A:$B,2,0),0))),"")&lt;0.01%,0.01%,(IFERROR(IF($BOT4="","",IF($BOT4=0,1,1-$BOT4/HLOOKUP(BOY$3,[2]ARBOR_REAJUSTE18!$A:$AE,VLOOKUP($BOT$2,[2]ARBOR_REAJUSTE18!$A:$B,2,0),0))),""))),4)</f>
        <v>#VALUE!</v>
      </c>
      <c r="BOZ4" s="44" t="e">
        <f>ROUNDUP(IF(IFERROR(IF($BOT4="","",IF($BOT4=0,1,1-$BOT4/HLOOKUP(BOZ$3,[2]ARBOR_REAJUSTE18!$A:$AE,VLOOKUP($BOT$2,[2]ARBOR_REAJUSTE18!$A:$B,2,0),0))),"")&lt;0.01%,0.01%,(IFERROR(IF($BOT4="","",IF($BOT4=0,1,1-$BOT4/HLOOKUP(BOZ$3,[2]ARBOR_REAJUSTE18!$A:$AE,VLOOKUP($BOT$2,[2]ARBOR_REAJUSTE18!$A:$B,2,0),0))),""))),4)</f>
        <v>#VALUE!</v>
      </c>
      <c r="BPA4" s="44" t="e">
        <f>ROUNDUP(IF(IFERROR(IF($BOT4="","",IF($BOT4=0,1,1-$BOT4/HLOOKUP(BPA$3,[2]ARBOR_REAJUSTE18!$A:$AE,VLOOKUP($BOT$2,[2]ARBOR_REAJUSTE18!$A:$B,2,0),0))),"")&lt;0.01%,0.01%,(IFERROR(IF($BOT4="","",IF($BOT4=0,1,1-$BOT4/HLOOKUP(BPA$3,[2]ARBOR_REAJUSTE18!$A:$AE,VLOOKUP($BOT$2,[2]ARBOR_REAJUSTE18!$A:$B,2,0),0))),""))),4)</f>
        <v>#VALUE!</v>
      </c>
      <c r="BPB4" s="44" t="e">
        <f>ROUNDUP(IF(IFERROR(IF($BOT4="","",IF($BOT4=0,1,1-$BOT4/HLOOKUP(BPB$3,[2]ARBOR_REAJUSTE18!$A:$AE,VLOOKUP($BOT$2,[2]ARBOR_REAJUSTE18!$A:$B,2,0),0))),"")&lt;0.01%,0.01%,(IFERROR(IF($BOT4="","",IF($BOT4=0,1,1-$BOT4/HLOOKUP(BPB$3,[2]ARBOR_REAJUSTE18!$A:$AE,VLOOKUP($BOT$2,[2]ARBOR_REAJUSTE18!$A:$B,2,0),0))),""))),4)</f>
        <v>#VALUE!</v>
      </c>
      <c r="BPC4" s="44" t="e">
        <f>ROUNDUP(IF(IFERROR(IF($BOT4="","",IF($BOT4=0,1,1-$BOT4/HLOOKUP(BPC$3,[2]ARBOR_REAJUSTE18!$A:$AE,VLOOKUP($BOT$2,[2]ARBOR_REAJUSTE18!$A:$B,2,0),0))),"")&lt;0.01%,0.01%,(IFERROR(IF($BOT4="","",IF($BOT4=0,1,1-$BOT4/HLOOKUP(BPC$3,[2]ARBOR_REAJUSTE18!$A:$AE,VLOOKUP($BOT$2,[2]ARBOR_REAJUSTE18!$A:$B,2,0),0))),""))),4)</f>
        <v>#VALUE!</v>
      </c>
      <c r="BPD4" s="44" t="e">
        <f>ROUNDUP(IF(IFERROR(IF($BOT4="","",IF($BOT4=0,1,1-$BOT4/HLOOKUP(BPD$3,[2]ARBOR_REAJUSTE18!$A:$AE,VLOOKUP($BOT$2,[2]ARBOR_REAJUSTE18!$A:$B,2,0),0))),"")&lt;0.01%,0.01%,(IFERROR(IF($BOT4="","",IF($BOT4=0,1,1-$BOT4/HLOOKUP(BPD$3,[2]ARBOR_REAJUSTE18!$A:$AE,VLOOKUP($BOT$2,[2]ARBOR_REAJUSTE18!$A:$B,2,0),0))),""))),4)</f>
        <v>#VALUE!</v>
      </c>
      <c r="BPE4" s="44" t="e">
        <f>ROUNDUP(IF(IFERROR(IF($BOT4="","",IF($BOT4=0,1,1-$BOT4/HLOOKUP(BPE$3,[2]ARBOR_REAJUSTE18!$A:$AE,VLOOKUP($BOT$2,[2]ARBOR_REAJUSTE18!$A:$B,2,0),0))),"")&lt;0.01%,0.01%,(IFERROR(IF($BOT4="","",IF($BOT4=0,1,1-$BOT4/HLOOKUP(BPE$3,[2]ARBOR_REAJUSTE18!$A:$AE,VLOOKUP($BOT$2,[2]ARBOR_REAJUSTE18!$A:$B,2,0),0))),""))),4)</f>
        <v>#VALUE!</v>
      </c>
      <c r="BPF4" s="44" t="e">
        <f>ROUNDUP(IF(IFERROR(IF($BOT4="","",IF($BOT4=0,1,1-$BOT4/HLOOKUP(BPF$3,[2]ARBOR_REAJUSTE18!$A:$AE,VLOOKUP($BOT$2,[2]ARBOR_REAJUSTE18!$A:$B,2,0),0))),"")&lt;0.01%,0.01%,(IFERROR(IF($BOT4="","",IF($BOT4=0,1,1-$BOT4/HLOOKUP(BPF$3,[2]ARBOR_REAJUSTE18!$A:$AE,VLOOKUP($BOT$2,[2]ARBOR_REAJUSTE18!$A:$B,2,0),0))),""))),4)</f>
        <v>#VALUE!</v>
      </c>
      <c r="BPG4" s="44" t="e">
        <f>ROUNDUP(IF(IFERROR(IF($BOT4="","",IF($BOT4=0,1,1-$BOT4/HLOOKUP(BPG$3,[2]ARBOR_REAJUSTE18!$A:$AE,VLOOKUP($BOT$2,[2]ARBOR_REAJUSTE18!$A:$B,2,0),0))),"")&lt;0.01%,0.01%,(IFERROR(IF($BOT4="","",IF($BOT4=0,1,1-$BOT4/HLOOKUP(BPG$3,[2]ARBOR_REAJUSTE18!$A:$AE,VLOOKUP($BOT$2,[2]ARBOR_REAJUSTE18!$A:$B,2,0),0))),""))),4)</f>
        <v>#VALUE!</v>
      </c>
      <c r="BPH4" s="44" t="e">
        <f>ROUNDUP(IF(IFERROR(IF($BOT4="","",IF($BOT4=0,1,1-$BOT4/HLOOKUP(BPH$3,[2]ARBOR_REAJUSTE18!$A:$AE,VLOOKUP($BOT$2,[2]ARBOR_REAJUSTE18!$A:$B,2,0),0))),"")&lt;0.01%,0.01%,(IFERROR(IF($BOT4="","",IF($BOT4=0,1,1-$BOT4/HLOOKUP(BPH$3,[2]ARBOR_REAJUSTE18!$A:$AE,VLOOKUP($BOT$2,[2]ARBOR_REAJUSTE18!$A:$B,2,0),0))),""))),4)</f>
        <v>#VALUE!</v>
      </c>
      <c r="BPI4" s="44" t="e">
        <f>ROUNDUP(IF(IFERROR(IF($BOT4="","",IF($BOT4=0,1,1-$BOT4/HLOOKUP(BPI$3,[2]ARBOR_REAJUSTE18!$A:$AE,VLOOKUP($BOT$2,[2]ARBOR_REAJUSTE18!$A:$B,2,0),0))),"")&lt;0.01%,0.01%,(IFERROR(IF($BOT4="","",IF($BOT4=0,1,1-$BOT4/HLOOKUP(BPI$3,[2]ARBOR_REAJUSTE18!$A:$AE,VLOOKUP($BOT$2,[2]ARBOR_REAJUSTE18!$A:$B,2,0),0))),""))),4)</f>
        <v>#VALUE!</v>
      </c>
      <c r="BPJ4" s="44" t="e">
        <f>ROUNDUP(IF(IFERROR(IF($BOT4="","",IF($BOT4=0,1,1-$BOT4/HLOOKUP(BPJ$3,[2]ARBOR_REAJUSTE18!$A:$AE,VLOOKUP($BOT$2,[2]ARBOR_REAJUSTE18!$A:$B,2,0),0))),"")&lt;0.01%,0.01%,(IFERROR(IF($BOT4="","",IF($BOT4=0,1,1-$BOT4/HLOOKUP(BPJ$3,[2]ARBOR_REAJUSTE18!$A:$AE,VLOOKUP($BOT$2,[2]ARBOR_REAJUSTE18!$A:$B,2,0),0))),""))),4)</f>
        <v>#VALUE!</v>
      </c>
      <c r="BPK4" s="44" t="e">
        <f>ROUNDUP(IF(IFERROR(IF($BOT4="","",IF($BOT4=0,1,1-$BOT4/HLOOKUP(BPK$3,[2]ARBOR_REAJUSTE18!$A:$AE,VLOOKUP($BOT$2,[2]ARBOR_REAJUSTE18!$A:$B,2,0),0))),"")&lt;0.01%,0.01%,(IFERROR(IF($BOT4="","",IF($BOT4=0,1,1-$BOT4/HLOOKUP(BPK$3,[2]ARBOR_REAJUSTE18!$A:$AE,VLOOKUP($BOT$2,[2]ARBOR_REAJUSTE18!$A:$B,2,0),0))),""))),4)</f>
        <v>#VALUE!</v>
      </c>
      <c r="BPL4" s="44" t="e">
        <f>ROUNDUP(IF(IFERROR(IF($BOT4="","",IF($BOT4=0,1,1-$BOT4/HLOOKUP(BPL$3,[2]ARBOR_REAJUSTE18!$A:$AE,VLOOKUP($BOT$2,[2]ARBOR_REAJUSTE18!$A:$B,2,0),0))),"")&lt;0.01%,0.01%,(IFERROR(IF($BOT4="","",IF($BOT4=0,1,1-$BOT4/HLOOKUP(BPL$3,[2]ARBOR_REAJUSTE18!$A:$AE,VLOOKUP($BOT$2,[2]ARBOR_REAJUSTE18!$A:$B,2,0),0))),""))),4)</f>
        <v>#VALUE!</v>
      </c>
      <c r="BPM4" s="44" t="e">
        <f>ROUNDUP(IF(IFERROR(IF($BOT4="","",IF($BOT4=0,1,1-$BOT4/HLOOKUP(BPM$3,[2]ARBOR_REAJUSTE18!$A:$AE,VLOOKUP($BOT$2,[2]ARBOR_REAJUSTE18!$A:$B,2,0),0))),"")&lt;0.01%,0.01%,(IFERROR(IF($BOT4="","",IF($BOT4=0,1,1-$BOT4/HLOOKUP(BPM$3,[2]ARBOR_REAJUSTE18!$A:$AE,VLOOKUP($BOT$2,[2]ARBOR_REAJUSTE18!$A:$B,2,0),0))),""))),4)</f>
        <v>#VALUE!</v>
      </c>
      <c r="BPN4" s="44" t="e">
        <f>ROUNDUP(IF(IFERROR(IF($BOT4="","",IF($BOT4=0,1,1-$BOT4/HLOOKUP(BPN$3,[2]ARBOR_REAJUSTE18!$A:$AE,VLOOKUP($BOT$2,[2]ARBOR_REAJUSTE18!$A:$B,2,0),0))),"")&lt;0.01%,0.01%,(IFERROR(IF($BOT4="","",IF($BOT4=0,1,1-$BOT4/HLOOKUP(BPN$3,[2]ARBOR_REAJUSTE18!$A:$AE,VLOOKUP($BOT$2,[2]ARBOR_REAJUSTE18!$A:$B,2,0),0))),""))),4)</f>
        <v>#VALUE!</v>
      </c>
      <c r="BPO4" s="44" t="e">
        <f>ROUNDUP(IF(IFERROR(IF($BOT4="","",IF($BOT4=0,1,1-$BOT4/HLOOKUP(BPO$3,[2]ARBOR_REAJUSTE18!$A:$AE,VLOOKUP($BOT$2,[2]ARBOR_REAJUSTE18!$A:$B,2,0),0))),"")&lt;0.01%,0.01%,(IFERROR(IF($BOT4="","",IF($BOT4=0,1,1-$BOT4/HLOOKUP(BPO$3,[2]ARBOR_REAJUSTE18!$A:$AE,VLOOKUP($BOT$2,[2]ARBOR_REAJUSTE18!$A:$B,2,0),0))),""))),4)</f>
        <v>#VALUE!</v>
      </c>
      <c r="BPP4" s="44" t="e">
        <f>ROUNDUP(IF(IFERROR(IF($BOT4="","",IF($BOT4=0,1,1-$BOT4/HLOOKUP(BPP$3,[2]ARBOR_REAJUSTE18!$A:$AE,VLOOKUP($BOT$2,[2]ARBOR_REAJUSTE18!$A:$B,2,0),0))),"")&lt;0.01%,0.01%,(IFERROR(IF($BOT4="","",IF($BOT4=0,1,1-$BOT4/HLOOKUP(BPP$3,[2]ARBOR_REAJUSTE18!$A:$AE,VLOOKUP($BOT$2,[2]ARBOR_REAJUSTE18!$A:$B,2,0),0))),""))),4)</f>
        <v>#VALUE!</v>
      </c>
      <c r="BPQ4" s="44" t="e">
        <f>ROUNDUP(IF(IFERROR(IF($BOT4="","",IF($BOT4=0,1,1-$BOT4/HLOOKUP(BPQ$3,[2]ARBOR_REAJUSTE18!$A:$AE,VLOOKUP($BOT$2,[2]ARBOR_REAJUSTE18!$A:$B,2,0),0))),"")&lt;0.01%,0.01%,(IFERROR(IF($BOT4="","",IF($BOT4=0,1,1-$BOT4/HLOOKUP(BPQ$3,[2]ARBOR_REAJUSTE18!$A:$AE,VLOOKUP($BOT$2,[2]ARBOR_REAJUSTE18!$A:$B,2,0),0))),""))),4)</f>
        <v>#VALUE!</v>
      </c>
      <c r="BPR4" s="44" t="e">
        <f>ROUNDUP(IF(IFERROR(IF($BOT4="","",IF($BOT4=0,1,1-$BOT4/HLOOKUP(BPR$3,[2]ARBOR_REAJUSTE18!$A:$AE,VLOOKUP($BOT$2,[2]ARBOR_REAJUSTE18!$A:$B,2,0),0))),"")&lt;0.01%,0.01%,(IFERROR(IF($BOT4="","",IF($BOT4=0,1,1-$BOT4/HLOOKUP(BPR$3,[2]ARBOR_REAJUSTE18!$A:$AE,VLOOKUP($BOT$2,[2]ARBOR_REAJUSTE18!$A:$B,2,0),0))),""))),4)</f>
        <v>#VALUE!</v>
      </c>
      <c r="BPS4" s="44" t="e">
        <f>ROUNDUP(IF(IFERROR(IF($BOT4="","",IF($BOT4=0,1,1-$BOT4/HLOOKUP(BPS$3,[2]ARBOR_REAJUSTE18!$A:$AE,VLOOKUP($BOT$2,[2]ARBOR_REAJUSTE18!$A:$B,2,0),0))),"")&lt;0.01%,0.01%,(IFERROR(IF($BOT4="","",IF($BOT4=0,1,1-$BOT4/HLOOKUP(BPS$3,[2]ARBOR_REAJUSTE18!$A:$AE,VLOOKUP($BOT$2,[2]ARBOR_REAJUSTE18!$A:$B,2,0),0))),""))),4)</f>
        <v>#VALUE!</v>
      </c>
      <c r="BPT4" s="44" t="e">
        <f>ROUNDUP(IF(IFERROR(IF($BOT4="","",IF($BOT4=0,1,1-$BOT4/HLOOKUP(BPT$3,[2]ARBOR_REAJUSTE18!$A:$AE,VLOOKUP($BOT$2,[2]ARBOR_REAJUSTE18!$A:$B,2,0),0))),"")&lt;0.01%,0.01%,(IFERROR(IF($BOT4="","",IF($BOT4=0,1,1-$BOT4/HLOOKUP(BPT$3,[2]ARBOR_REAJUSTE18!$A:$AE,VLOOKUP($BOT$2,[2]ARBOR_REAJUSTE18!$A:$B,2,0),0))),""))),4)</f>
        <v>#VALUE!</v>
      </c>
      <c r="BPU4" s="44" t="e">
        <f>ROUNDUP(IF(IFERROR(IF($BOT4="","",IF($BOT4=0,1,1-$BOT4/HLOOKUP(BPU$3,[2]ARBOR_REAJUSTE18!$A:$AE,VLOOKUP($BOT$2,[2]ARBOR_REAJUSTE18!$A:$B,2,0),0))),"")&lt;0.01%,0.01%,(IFERROR(IF($BOT4="","",IF($BOT4=0,1,1-$BOT4/HLOOKUP(BPU$3,[2]ARBOR_REAJUSTE18!$A:$AE,VLOOKUP($BOT$2,[2]ARBOR_REAJUSTE18!$A:$B,2,0),0))),""))),4)</f>
        <v>#VALUE!</v>
      </c>
      <c r="BPV4" s="44" t="e">
        <f>ROUNDUP(IF(IFERROR(IF($BOT4="","",IF($BOT4=0,1,1-$BOT4/HLOOKUP(BPV$3,[2]ARBOR_REAJUSTE18!$A:$AE,VLOOKUP($BOT$2,[2]ARBOR_REAJUSTE18!$A:$B,2,0),0))),"")&lt;0.01%,0.01%,(IFERROR(IF($BOT4="","",IF($BOT4=0,1,1-$BOT4/HLOOKUP(BPV$3,[2]ARBOR_REAJUSTE18!$A:$AE,VLOOKUP($BOT$2,[2]ARBOR_REAJUSTE18!$A:$B,2,0),0))),""))),4)</f>
        <v>#VALUE!</v>
      </c>
      <c r="BPW4" s="56"/>
      <c r="BPX4" s="56" t="s">
        <v>262</v>
      </c>
      <c r="BPY4" s="44" t="e">
        <f>ROUNDUP(IF(IFERROR(IF($BPW4="","",IF($BPW4=0,1,1-$BPW4/HLOOKUP(BPY$3,[2]ARBOR_REAJUSTE18!$A:$AE,VLOOKUP($BPW$2,[2]ARBOR_REAJUSTE18!$A:$B,2,0),0))),"")&lt;0.01%,0.01%,(IFERROR(IF($BPW4="","",IF($BPW4=0,1,1-$BPW4/HLOOKUP(BPY$3,[2]ARBOR_REAJUSTE18!$A:$AE,VLOOKUP($BPW$2,[2]ARBOR_REAJUSTE18!$A:$B,2,0),0))),""))),4)</f>
        <v>#VALUE!</v>
      </c>
      <c r="BPZ4" s="44" t="e">
        <f>ROUNDUP(IF(IFERROR(IF($BPW4="","",IF($BPW4=0,1,1-$BPW4/HLOOKUP(BPZ$3,[2]ARBOR_REAJUSTE18!$A:$AE,VLOOKUP($BPW$2,[2]ARBOR_REAJUSTE18!$A:$B,2,0),0))),"")&lt;0.01%,0.01%,(IFERROR(IF($BPW4="","",IF($BPW4=0,1,1-$BPW4/HLOOKUP(BPZ$3,[2]ARBOR_REAJUSTE18!$A:$AE,VLOOKUP($BPW$2,[2]ARBOR_REAJUSTE18!$A:$B,2,0),0))),""))),4)</f>
        <v>#VALUE!</v>
      </c>
      <c r="BQA4" s="44" t="e">
        <f>ROUNDUP(IF(IFERROR(IF($BPW4="","",IF($BPW4=0,1,1-$BPW4/HLOOKUP(BQA$3,[2]ARBOR_REAJUSTE18!$A:$AE,VLOOKUP($BPW$2,[2]ARBOR_REAJUSTE18!$A:$B,2,0),0))),"")&lt;0.01%,0.01%,(IFERROR(IF($BPW4="","",IF($BPW4=0,1,1-$BPW4/HLOOKUP(BQA$3,[2]ARBOR_REAJUSTE18!$A:$AE,VLOOKUP($BPW$2,[2]ARBOR_REAJUSTE18!$A:$B,2,0),0))),""))),4)</f>
        <v>#VALUE!</v>
      </c>
      <c r="BQB4" s="44" t="e">
        <f>ROUNDUP(IF(IFERROR(IF($BPW4="","",IF($BPW4=0,1,1-$BPW4/HLOOKUP(BQB$3,[2]ARBOR_REAJUSTE18!$A:$AE,VLOOKUP($BPW$2,[2]ARBOR_REAJUSTE18!$A:$B,2,0),0))),"")&lt;0.01%,0.01%,(IFERROR(IF($BPW4="","",IF($BPW4=0,1,1-$BPW4/HLOOKUP(BQB$3,[2]ARBOR_REAJUSTE18!$A:$AE,VLOOKUP($BPW$2,[2]ARBOR_REAJUSTE18!$A:$B,2,0),0))),""))),4)</f>
        <v>#VALUE!</v>
      </c>
      <c r="BQC4" s="44" t="e">
        <f>ROUNDUP(IF(IFERROR(IF($BPW4="","",IF($BPW4=0,1,1-$BPW4/HLOOKUP(BQC$3,[2]ARBOR_REAJUSTE18!$A:$AE,VLOOKUP($BPW$2,[2]ARBOR_REAJUSTE18!$A:$B,2,0),0))),"")&lt;0.01%,0.01%,(IFERROR(IF($BPW4="","",IF($BPW4=0,1,1-$BPW4/HLOOKUP(BQC$3,[2]ARBOR_REAJUSTE18!$A:$AE,VLOOKUP($BPW$2,[2]ARBOR_REAJUSTE18!$A:$B,2,0),0))),""))),4)</f>
        <v>#VALUE!</v>
      </c>
      <c r="BQD4" s="44" t="e">
        <f>ROUNDUP(IF(IFERROR(IF($BPW4="","",IF($BPW4=0,1,1-$BPW4/HLOOKUP(BQD$3,[2]ARBOR_REAJUSTE18!$A:$AE,VLOOKUP($BPW$2,[2]ARBOR_REAJUSTE18!$A:$B,2,0),0))),"")&lt;0.01%,0.01%,(IFERROR(IF($BPW4="","",IF($BPW4=0,1,1-$BPW4/HLOOKUP(BQD$3,[2]ARBOR_REAJUSTE18!$A:$AE,VLOOKUP($BPW$2,[2]ARBOR_REAJUSTE18!$A:$B,2,0),0))),""))),4)</f>
        <v>#VALUE!</v>
      </c>
      <c r="BQE4" s="44" t="e">
        <f>ROUNDUP(IF(IFERROR(IF($BPW4="","",IF($BPW4=0,1,1-$BPW4/HLOOKUP(BQE$3,[2]ARBOR_REAJUSTE18!$A:$AE,VLOOKUP($BPW$2,[2]ARBOR_REAJUSTE18!$A:$B,2,0),0))),"")&lt;0.01%,0.01%,(IFERROR(IF($BPW4="","",IF($BPW4=0,1,1-$BPW4/HLOOKUP(BQE$3,[2]ARBOR_REAJUSTE18!$A:$AE,VLOOKUP($BPW$2,[2]ARBOR_REAJUSTE18!$A:$B,2,0),0))),""))),4)</f>
        <v>#VALUE!</v>
      </c>
      <c r="BQF4" s="44" t="e">
        <f>ROUNDUP(IF(IFERROR(IF($BPW4="","",IF($BPW4=0,1,1-$BPW4/HLOOKUP(BQF$3,[2]ARBOR_REAJUSTE18!$A:$AE,VLOOKUP($BPW$2,[2]ARBOR_REAJUSTE18!$A:$B,2,0),0))),"")&lt;0.01%,0.01%,(IFERROR(IF($BPW4="","",IF($BPW4=0,1,1-$BPW4/HLOOKUP(BQF$3,[2]ARBOR_REAJUSTE18!$A:$AE,VLOOKUP($BPW$2,[2]ARBOR_REAJUSTE18!$A:$B,2,0),0))),""))),4)</f>
        <v>#VALUE!</v>
      </c>
      <c r="BQG4" s="44" t="e">
        <f>ROUNDUP(IF(IFERROR(IF($BPW4="","",IF($BPW4=0,1,1-$BPW4/HLOOKUP(BQG$3,[2]ARBOR_REAJUSTE18!$A:$AE,VLOOKUP($BPW$2,[2]ARBOR_REAJUSTE18!$A:$B,2,0),0))),"")&lt;0.01%,0.01%,(IFERROR(IF($BPW4="","",IF($BPW4=0,1,1-$BPW4/HLOOKUP(BQG$3,[2]ARBOR_REAJUSTE18!$A:$AE,VLOOKUP($BPW$2,[2]ARBOR_REAJUSTE18!$A:$B,2,0),0))),""))),4)</f>
        <v>#VALUE!</v>
      </c>
      <c r="BQH4" s="44" t="e">
        <f>ROUNDUP(IF(IFERROR(IF($BPW4="","",IF($BPW4=0,1,1-$BPW4/HLOOKUP(BQH$3,[2]ARBOR_REAJUSTE18!$A:$AE,VLOOKUP($BPW$2,[2]ARBOR_REAJUSTE18!$A:$B,2,0),0))),"")&lt;0.01%,0.01%,(IFERROR(IF($BPW4="","",IF($BPW4=0,1,1-$BPW4/HLOOKUP(BQH$3,[2]ARBOR_REAJUSTE18!$A:$AE,VLOOKUP($BPW$2,[2]ARBOR_REAJUSTE18!$A:$B,2,0),0))),""))),4)</f>
        <v>#VALUE!</v>
      </c>
      <c r="BQI4" s="44" t="e">
        <f>ROUNDUP(IF(IFERROR(IF($BPW4="","",IF($BPW4=0,1,1-$BPW4/HLOOKUP(BQI$3,[2]ARBOR_REAJUSTE18!$A:$AE,VLOOKUP($BPW$2,[2]ARBOR_REAJUSTE18!$A:$B,2,0),0))),"")&lt;0.01%,0.01%,(IFERROR(IF($BPW4="","",IF($BPW4=0,1,1-$BPW4/HLOOKUP(BQI$3,[2]ARBOR_REAJUSTE18!$A:$AE,VLOOKUP($BPW$2,[2]ARBOR_REAJUSTE18!$A:$B,2,0),0))),""))),4)</f>
        <v>#VALUE!</v>
      </c>
      <c r="BQJ4" s="44" t="e">
        <f>ROUNDUP(IF(IFERROR(IF($BPW4="","",IF($BPW4=0,1,1-$BPW4/HLOOKUP(BQJ$3,[2]ARBOR_REAJUSTE18!$A:$AE,VLOOKUP($BPW$2,[2]ARBOR_REAJUSTE18!$A:$B,2,0),0))),"")&lt;0.01%,0.01%,(IFERROR(IF($BPW4="","",IF($BPW4=0,1,1-$BPW4/HLOOKUP(BQJ$3,[2]ARBOR_REAJUSTE18!$A:$AE,VLOOKUP($BPW$2,[2]ARBOR_REAJUSTE18!$A:$B,2,0),0))),""))),4)</f>
        <v>#VALUE!</v>
      </c>
      <c r="BQK4" s="44" t="e">
        <f>ROUNDUP(IF(IFERROR(IF($BPW4="","",IF($BPW4=0,1,1-$BPW4/HLOOKUP(BQK$3,[2]ARBOR_REAJUSTE18!$A:$AE,VLOOKUP($BPW$2,[2]ARBOR_REAJUSTE18!$A:$B,2,0),0))),"")&lt;0.01%,0.01%,(IFERROR(IF($BPW4="","",IF($BPW4=0,1,1-$BPW4/HLOOKUP(BQK$3,[2]ARBOR_REAJUSTE18!$A:$AE,VLOOKUP($BPW$2,[2]ARBOR_REAJUSTE18!$A:$B,2,0),0))),""))),4)</f>
        <v>#VALUE!</v>
      </c>
      <c r="BQL4" s="44" t="e">
        <f>ROUNDUP(IF(IFERROR(IF($BPW4="","",IF($BPW4=0,1,1-$BPW4/HLOOKUP(BQL$3,[2]ARBOR_REAJUSTE18!$A:$AE,VLOOKUP($BPW$2,[2]ARBOR_REAJUSTE18!$A:$B,2,0),0))),"")&lt;0.01%,0.01%,(IFERROR(IF($BPW4="","",IF($BPW4=0,1,1-$BPW4/HLOOKUP(BQL$3,[2]ARBOR_REAJUSTE18!$A:$AE,VLOOKUP($BPW$2,[2]ARBOR_REAJUSTE18!$A:$B,2,0),0))),""))),4)</f>
        <v>#VALUE!</v>
      </c>
      <c r="BQM4" s="44" t="e">
        <f>ROUNDUP(IF(IFERROR(IF($BPW4="","",IF($BPW4=0,1,1-$BPW4/HLOOKUP(BQM$3,[2]ARBOR_REAJUSTE18!$A:$AE,VLOOKUP($BPW$2,[2]ARBOR_REAJUSTE18!$A:$B,2,0),0))),"")&lt;0.01%,0.01%,(IFERROR(IF($BPW4="","",IF($BPW4=0,1,1-$BPW4/HLOOKUP(BQM$3,[2]ARBOR_REAJUSTE18!$A:$AE,VLOOKUP($BPW$2,[2]ARBOR_REAJUSTE18!$A:$B,2,0),0))),""))),4)</f>
        <v>#VALUE!</v>
      </c>
      <c r="BQN4" s="44" t="e">
        <f>ROUNDUP(IF(IFERROR(IF($BPW4="","",IF($BPW4=0,1,1-$BPW4/HLOOKUP(BQN$3,[2]ARBOR_REAJUSTE18!$A:$AE,VLOOKUP($BPW$2,[2]ARBOR_REAJUSTE18!$A:$B,2,0),0))),"")&lt;0.01%,0.01%,(IFERROR(IF($BPW4="","",IF($BPW4=0,1,1-$BPW4/HLOOKUP(BQN$3,[2]ARBOR_REAJUSTE18!$A:$AE,VLOOKUP($BPW$2,[2]ARBOR_REAJUSTE18!$A:$B,2,0),0))),""))),4)</f>
        <v>#VALUE!</v>
      </c>
      <c r="BQO4" s="44" t="e">
        <f>ROUNDUP(IF(IFERROR(IF($BPW4="","",IF($BPW4=0,1,1-$BPW4/HLOOKUP(BQO$3,[2]ARBOR_REAJUSTE18!$A:$AE,VLOOKUP($BPW$2,[2]ARBOR_REAJUSTE18!$A:$B,2,0),0))),"")&lt;0.01%,0.01%,(IFERROR(IF($BPW4="","",IF($BPW4=0,1,1-$BPW4/HLOOKUP(BQO$3,[2]ARBOR_REAJUSTE18!$A:$AE,VLOOKUP($BPW$2,[2]ARBOR_REAJUSTE18!$A:$B,2,0),0))),""))),4)</f>
        <v>#VALUE!</v>
      </c>
      <c r="BQP4" s="44" t="e">
        <f>ROUNDUP(IF(IFERROR(IF($BPW4="","",IF($BPW4=0,1,1-$BPW4/HLOOKUP(BQP$3,[2]ARBOR_REAJUSTE18!$A:$AE,VLOOKUP($BPW$2,[2]ARBOR_REAJUSTE18!$A:$B,2,0),0))),"")&lt;0.01%,0.01%,(IFERROR(IF($BPW4="","",IF($BPW4=0,1,1-$BPW4/HLOOKUP(BQP$3,[2]ARBOR_REAJUSTE18!$A:$AE,VLOOKUP($BPW$2,[2]ARBOR_REAJUSTE18!$A:$B,2,0),0))),""))),4)</f>
        <v>#VALUE!</v>
      </c>
      <c r="BQQ4" s="44" t="e">
        <f>ROUNDUP(IF(IFERROR(IF($BPW4="","",IF($BPW4=0,1,1-$BPW4/HLOOKUP(BQQ$3,[2]ARBOR_REAJUSTE18!$A:$AE,VLOOKUP($BPW$2,[2]ARBOR_REAJUSTE18!$A:$B,2,0),0))),"")&lt;0.01%,0.01%,(IFERROR(IF($BPW4="","",IF($BPW4=0,1,1-$BPW4/HLOOKUP(BQQ$3,[2]ARBOR_REAJUSTE18!$A:$AE,VLOOKUP($BPW$2,[2]ARBOR_REAJUSTE18!$A:$B,2,0),0))),""))),4)</f>
        <v>#VALUE!</v>
      </c>
      <c r="BQR4" s="44" t="e">
        <f>ROUNDUP(IF(IFERROR(IF($BPW4="","",IF($BPW4=0,1,1-$BPW4/HLOOKUP(BQR$3,[2]ARBOR_REAJUSTE18!$A:$AE,VLOOKUP($BPW$2,[2]ARBOR_REAJUSTE18!$A:$B,2,0),0))),"")&lt;0.01%,0.01%,(IFERROR(IF($BPW4="","",IF($BPW4=0,1,1-$BPW4/HLOOKUP(BQR$3,[2]ARBOR_REAJUSTE18!$A:$AE,VLOOKUP($BPW$2,[2]ARBOR_REAJUSTE18!$A:$B,2,0),0))),""))),4)</f>
        <v>#VALUE!</v>
      </c>
      <c r="BQS4" s="44" t="e">
        <f>ROUNDUP(IF(IFERROR(IF($BPW4="","",IF($BPW4=0,1,1-$BPW4/HLOOKUP(BQS$3,[2]ARBOR_REAJUSTE18!$A:$AE,VLOOKUP($BPW$2,[2]ARBOR_REAJUSTE18!$A:$B,2,0),0))),"")&lt;0.01%,0.01%,(IFERROR(IF($BPW4="","",IF($BPW4=0,1,1-$BPW4/HLOOKUP(BQS$3,[2]ARBOR_REAJUSTE18!$A:$AE,VLOOKUP($BPW$2,[2]ARBOR_REAJUSTE18!$A:$B,2,0),0))),""))),4)</f>
        <v>#VALUE!</v>
      </c>
      <c r="BQT4" s="44" t="e">
        <f>ROUNDUP(IF(IFERROR(IF($BPW4="","",IF($BPW4=0,1,1-$BPW4/HLOOKUP(BQT$3,[2]ARBOR_REAJUSTE18!$A:$AE,VLOOKUP($BPW$2,[2]ARBOR_REAJUSTE18!$A:$B,2,0),0))),"")&lt;0.01%,0.01%,(IFERROR(IF($BPW4="","",IF($BPW4=0,1,1-$BPW4/HLOOKUP(BQT$3,[2]ARBOR_REAJUSTE18!$A:$AE,VLOOKUP($BPW$2,[2]ARBOR_REAJUSTE18!$A:$B,2,0),0))),""))),4)</f>
        <v>#VALUE!</v>
      </c>
      <c r="BQU4" s="44" t="e">
        <f>ROUNDUP(IF(IFERROR(IF($BPW4="","",IF($BPW4=0,1,1-$BPW4/HLOOKUP(BQU$3,[2]ARBOR_REAJUSTE18!$A:$AE,VLOOKUP($BPW$2,[2]ARBOR_REAJUSTE18!$A:$B,2,0),0))),"")&lt;0.01%,0.01%,(IFERROR(IF($BPW4="","",IF($BPW4=0,1,1-$BPW4/HLOOKUP(BQU$3,[2]ARBOR_REAJUSTE18!$A:$AE,VLOOKUP($BPW$2,[2]ARBOR_REAJUSTE18!$A:$B,2,0),0))),""))),4)</f>
        <v>#VALUE!</v>
      </c>
      <c r="BQV4" s="44" t="e">
        <f>ROUNDUP(IF(IFERROR(IF($BPW4="","",IF($BPW4=0,1,1-$BPW4/HLOOKUP(BQV$3,[2]ARBOR_REAJUSTE18!$A:$AE,VLOOKUP($BPW$2,[2]ARBOR_REAJUSTE18!$A:$B,2,0),0))),"")&lt;0.01%,0.01%,(IFERROR(IF($BPW4="","",IF($BPW4=0,1,1-$BPW4/HLOOKUP(BQV$3,[2]ARBOR_REAJUSTE18!$A:$AE,VLOOKUP($BPW$2,[2]ARBOR_REAJUSTE18!$A:$B,2,0),0))),""))),4)</f>
        <v>#VALUE!</v>
      </c>
      <c r="BQW4" s="44" t="e">
        <f>ROUNDUP(IF(IFERROR(IF($BPW4="","",IF($BPW4=0,1,1-$BPW4/HLOOKUP(BQW$3,[2]ARBOR_REAJUSTE18!$A:$AE,VLOOKUP($BPW$2,[2]ARBOR_REAJUSTE18!$A:$B,2,0),0))),"")&lt;0.01%,0.01%,(IFERROR(IF($BPW4="","",IF($BPW4=0,1,1-$BPW4/HLOOKUP(BQW$3,[2]ARBOR_REAJUSTE18!$A:$AE,VLOOKUP($BPW$2,[2]ARBOR_REAJUSTE18!$A:$B,2,0),0))),""))),4)</f>
        <v>#VALUE!</v>
      </c>
      <c r="BQX4" s="44" t="e">
        <f>ROUNDUP(IF(IFERROR(IF($BPW4="","",IF($BPW4=0,1,1-$BPW4/HLOOKUP(BQX$3,[2]ARBOR_REAJUSTE18!$A:$AE,VLOOKUP($BPW$2,[2]ARBOR_REAJUSTE18!$A:$B,2,0),0))),"")&lt;0.01%,0.01%,(IFERROR(IF($BPW4="","",IF($BPW4=0,1,1-$BPW4/HLOOKUP(BQX$3,[2]ARBOR_REAJUSTE18!$A:$AE,VLOOKUP($BPW$2,[2]ARBOR_REAJUSTE18!$A:$B,2,0),0))),""))),4)</f>
        <v>#VALUE!</v>
      </c>
      <c r="BQY4" s="44" t="e">
        <f>ROUNDUP(IF(IFERROR(IF($BPW4="","",IF($BPW4=0,1,1-$BPW4/HLOOKUP(BQY$3,[2]ARBOR_REAJUSTE18!$A:$AE,VLOOKUP($BPW$2,[2]ARBOR_REAJUSTE18!$A:$B,2,0),0))),"")&lt;0.01%,0.01%,(IFERROR(IF($BPW4="","",IF($BPW4=0,1,1-$BPW4/HLOOKUP(BQY$3,[2]ARBOR_REAJUSTE18!$A:$AE,VLOOKUP($BPW$2,[2]ARBOR_REAJUSTE18!$A:$B,2,0),0))),""))),4)</f>
        <v>#VALUE!</v>
      </c>
      <c r="BQZ4" s="56"/>
      <c r="BRA4" s="56" t="s">
        <v>296</v>
      </c>
      <c r="BRB4" s="44" t="e">
        <f>ROUNDUP(IF(IFERROR(IF($BQZ4="","",IF($BQZ4=0,1,1-$BQZ4/HLOOKUP(BRB$3,[2]ARBOR_REAJUSTE18!$A:$AE,VLOOKUP($BQZ$2,[2]ARBOR_REAJUSTE18!$A:$B,2,0),0))),"")&lt;0.01%,0.01%,(IFERROR(IF($BQZ4="","",IF($BQZ4=0,1,1-$BQZ4/HLOOKUP(BRB$3,[2]ARBOR_REAJUSTE18!$A:$AE,VLOOKUP($BQZ$2,[2]ARBOR_REAJUSTE18!$A:$B,2,0),0))),""))),4)</f>
        <v>#VALUE!</v>
      </c>
      <c r="BRC4" s="44" t="e">
        <f>ROUNDUP(IF(IFERROR(IF($BQZ4="","",IF($BQZ4=0,1,1-$BQZ4/HLOOKUP(BRC$3,[2]ARBOR_REAJUSTE18!$A:$AE,VLOOKUP($BQZ$2,[2]ARBOR_REAJUSTE18!$A:$B,2,0),0))),"")&lt;0.01%,0.01%,(IFERROR(IF($BQZ4="","",IF($BQZ4=0,1,1-$BQZ4/HLOOKUP(BRC$3,[2]ARBOR_REAJUSTE18!$A:$AE,VLOOKUP($BQZ$2,[2]ARBOR_REAJUSTE18!$A:$B,2,0),0))),""))),4)</f>
        <v>#VALUE!</v>
      </c>
      <c r="BRD4" s="44" t="e">
        <f>ROUNDUP(IF(IFERROR(IF($BQZ4="","",IF($BQZ4=0,1,1-$BQZ4/HLOOKUP(BRD$3,[2]ARBOR_REAJUSTE18!$A:$AE,VLOOKUP($BQZ$2,[2]ARBOR_REAJUSTE18!$A:$B,2,0),0))),"")&lt;0.01%,0.01%,(IFERROR(IF($BQZ4="","",IF($BQZ4=0,1,1-$BQZ4/HLOOKUP(BRD$3,[2]ARBOR_REAJUSTE18!$A:$AE,VLOOKUP($BQZ$2,[2]ARBOR_REAJUSTE18!$A:$B,2,0),0))),""))),4)</f>
        <v>#VALUE!</v>
      </c>
      <c r="BRE4" s="44" t="e">
        <f>ROUNDUP(IF(IFERROR(IF($BQZ4="","",IF($BQZ4=0,1,1-$BQZ4/HLOOKUP(BRE$3,[2]ARBOR_REAJUSTE18!$A:$AE,VLOOKUP($BQZ$2,[2]ARBOR_REAJUSTE18!$A:$B,2,0),0))),"")&lt;0.01%,0.01%,(IFERROR(IF($BQZ4="","",IF($BQZ4=0,1,1-$BQZ4/HLOOKUP(BRE$3,[2]ARBOR_REAJUSTE18!$A:$AE,VLOOKUP($BQZ$2,[2]ARBOR_REAJUSTE18!$A:$B,2,0),0))),""))),4)</f>
        <v>#VALUE!</v>
      </c>
      <c r="BRF4" s="44" t="e">
        <f>ROUNDUP(IF(IFERROR(IF($BQZ4="","",IF($BQZ4=0,1,1-$BQZ4/HLOOKUP(BRF$3,[2]ARBOR_REAJUSTE18!$A:$AE,VLOOKUP($BQZ$2,[2]ARBOR_REAJUSTE18!$A:$B,2,0),0))),"")&lt;0.01%,0.01%,(IFERROR(IF($BQZ4="","",IF($BQZ4=0,1,1-$BQZ4/HLOOKUP(BRF$3,[2]ARBOR_REAJUSTE18!$A:$AE,VLOOKUP($BQZ$2,[2]ARBOR_REAJUSTE18!$A:$B,2,0),0))),""))),4)</f>
        <v>#VALUE!</v>
      </c>
      <c r="BRG4" s="44" t="e">
        <f>ROUNDUP(IF(IFERROR(IF($BQZ4="","",IF($BQZ4=0,1,1-$BQZ4/HLOOKUP(BRG$3,[2]ARBOR_REAJUSTE18!$A:$AE,VLOOKUP($BQZ$2,[2]ARBOR_REAJUSTE18!$A:$B,2,0),0))),"")&lt;0.01%,0.01%,(IFERROR(IF($BQZ4="","",IF($BQZ4=0,1,1-$BQZ4/HLOOKUP(BRG$3,[2]ARBOR_REAJUSTE18!$A:$AE,VLOOKUP($BQZ$2,[2]ARBOR_REAJUSTE18!$A:$B,2,0),0))),""))),4)</f>
        <v>#VALUE!</v>
      </c>
      <c r="BRH4" s="44" t="e">
        <f>ROUNDUP(IF(IFERROR(IF($BQZ4="","",IF($BQZ4=0,1,1-$BQZ4/HLOOKUP(BRH$3,[2]ARBOR_REAJUSTE18!$A:$AE,VLOOKUP($BQZ$2,[2]ARBOR_REAJUSTE18!$A:$B,2,0),0))),"")&lt;0.01%,0.01%,(IFERROR(IF($BQZ4="","",IF($BQZ4=0,1,1-$BQZ4/HLOOKUP(BRH$3,[2]ARBOR_REAJUSTE18!$A:$AE,VLOOKUP($BQZ$2,[2]ARBOR_REAJUSTE18!$A:$B,2,0),0))),""))),4)</f>
        <v>#VALUE!</v>
      </c>
      <c r="BRI4" s="44" t="e">
        <f>ROUNDUP(IF(IFERROR(IF($BQZ4="","",IF($BQZ4=0,1,1-$BQZ4/HLOOKUP(BRI$3,[2]ARBOR_REAJUSTE18!$A:$AE,VLOOKUP($BQZ$2,[2]ARBOR_REAJUSTE18!$A:$B,2,0),0))),"")&lt;0.01%,0.01%,(IFERROR(IF($BQZ4="","",IF($BQZ4=0,1,1-$BQZ4/HLOOKUP(BRI$3,[2]ARBOR_REAJUSTE18!$A:$AE,VLOOKUP($BQZ$2,[2]ARBOR_REAJUSTE18!$A:$B,2,0),0))),""))),4)</f>
        <v>#VALUE!</v>
      </c>
      <c r="BRJ4" s="44" t="e">
        <f>ROUNDUP(IF(IFERROR(IF($BQZ4="","",IF($BQZ4=0,1,1-$BQZ4/HLOOKUP(BRJ$3,[2]ARBOR_REAJUSTE18!$A:$AE,VLOOKUP($BQZ$2,[2]ARBOR_REAJUSTE18!$A:$B,2,0),0))),"")&lt;0.01%,0.01%,(IFERROR(IF($BQZ4="","",IF($BQZ4=0,1,1-$BQZ4/HLOOKUP(BRJ$3,[2]ARBOR_REAJUSTE18!$A:$AE,VLOOKUP($BQZ$2,[2]ARBOR_REAJUSTE18!$A:$B,2,0),0))),""))),4)</f>
        <v>#VALUE!</v>
      </c>
      <c r="BRK4" s="44" t="e">
        <f>ROUNDUP(IF(IFERROR(IF($BQZ4="","",IF($BQZ4=0,1,1-$BQZ4/HLOOKUP(BRK$3,[2]ARBOR_REAJUSTE18!$A:$AE,VLOOKUP($BQZ$2,[2]ARBOR_REAJUSTE18!$A:$B,2,0),0))),"")&lt;0.01%,0.01%,(IFERROR(IF($BQZ4="","",IF($BQZ4=0,1,1-$BQZ4/HLOOKUP(BRK$3,[2]ARBOR_REAJUSTE18!$A:$AE,VLOOKUP($BQZ$2,[2]ARBOR_REAJUSTE18!$A:$B,2,0),0))),""))),4)</f>
        <v>#VALUE!</v>
      </c>
      <c r="BRL4" s="44" t="e">
        <f>ROUNDUP(IF(IFERROR(IF($BQZ4="","",IF($BQZ4=0,1,1-$BQZ4/HLOOKUP(BRL$3,[2]ARBOR_REAJUSTE18!$A:$AE,VLOOKUP($BQZ$2,[2]ARBOR_REAJUSTE18!$A:$B,2,0),0))),"")&lt;0.01%,0.01%,(IFERROR(IF($BQZ4="","",IF($BQZ4=0,1,1-$BQZ4/HLOOKUP(BRL$3,[2]ARBOR_REAJUSTE18!$A:$AE,VLOOKUP($BQZ$2,[2]ARBOR_REAJUSTE18!$A:$B,2,0),0))),""))),4)</f>
        <v>#VALUE!</v>
      </c>
      <c r="BRM4" s="44" t="e">
        <f>ROUNDUP(IF(IFERROR(IF($BQZ4="","",IF($BQZ4=0,1,1-$BQZ4/HLOOKUP(BRM$3,[2]ARBOR_REAJUSTE18!$A:$AE,VLOOKUP($BQZ$2,[2]ARBOR_REAJUSTE18!$A:$B,2,0),0))),"")&lt;0.01%,0.01%,(IFERROR(IF($BQZ4="","",IF($BQZ4=0,1,1-$BQZ4/HLOOKUP(BRM$3,[2]ARBOR_REAJUSTE18!$A:$AE,VLOOKUP($BQZ$2,[2]ARBOR_REAJUSTE18!$A:$B,2,0),0))),""))),4)</f>
        <v>#VALUE!</v>
      </c>
      <c r="BRN4" s="44" t="e">
        <f>ROUNDUP(IF(IFERROR(IF($BQZ4="","",IF($BQZ4=0,1,1-$BQZ4/HLOOKUP(BRN$3,[2]ARBOR_REAJUSTE18!$A:$AE,VLOOKUP($BQZ$2,[2]ARBOR_REAJUSTE18!$A:$B,2,0),0))),"")&lt;0.01%,0.01%,(IFERROR(IF($BQZ4="","",IF($BQZ4=0,1,1-$BQZ4/HLOOKUP(BRN$3,[2]ARBOR_REAJUSTE18!$A:$AE,VLOOKUP($BQZ$2,[2]ARBOR_REAJUSTE18!$A:$B,2,0),0))),""))),4)</f>
        <v>#VALUE!</v>
      </c>
      <c r="BRO4" s="44" t="e">
        <f>ROUNDUP(IF(IFERROR(IF($BQZ4="","",IF($BQZ4=0,1,1-$BQZ4/HLOOKUP(BRO$3,[2]ARBOR_REAJUSTE18!$A:$AE,VLOOKUP($BQZ$2,[2]ARBOR_REAJUSTE18!$A:$B,2,0),0))),"")&lt;0.01%,0.01%,(IFERROR(IF($BQZ4="","",IF($BQZ4=0,1,1-$BQZ4/HLOOKUP(BRO$3,[2]ARBOR_REAJUSTE18!$A:$AE,VLOOKUP($BQZ$2,[2]ARBOR_REAJUSTE18!$A:$B,2,0),0))),""))),4)</f>
        <v>#VALUE!</v>
      </c>
      <c r="BRP4" s="44" t="e">
        <f>ROUNDUP(IF(IFERROR(IF($BQZ4="","",IF($BQZ4=0,1,1-$BQZ4/HLOOKUP(BRP$3,[2]ARBOR_REAJUSTE18!$A:$AE,VLOOKUP($BQZ$2,[2]ARBOR_REAJUSTE18!$A:$B,2,0),0))),"")&lt;0.01%,0.01%,(IFERROR(IF($BQZ4="","",IF($BQZ4=0,1,1-$BQZ4/HLOOKUP(BRP$3,[2]ARBOR_REAJUSTE18!$A:$AE,VLOOKUP($BQZ$2,[2]ARBOR_REAJUSTE18!$A:$B,2,0),0))),""))),4)</f>
        <v>#VALUE!</v>
      </c>
      <c r="BRQ4" s="44" t="e">
        <f>ROUNDUP(IF(IFERROR(IF($BQZ4="","",IF($BQZ4=0,1,1-$BQZ4/HLOOKUP(BRQ$3,[2]ARBOR_REAJUSTE18!$A:$AE,VLOOKUP($BQZ$2,[2]ARBOR_REAJUSTE18!$A:$B,2,0),0))),"")&lt;0.01%,0.01%,(IFERROR(IF($BQZ4="","",IF($BQZ4=0,1,1-$BQZ4/HLOOKUP(BRQ$3,[2]ARBOR_REAJUSTE18!$A:$AE,VLOOKUP($BQZ$2,[2]ARBOR_REAJUSTE18!$A:$B,2,0),0))),""))),4)</f>
        <v>#VALUE!</v>
      </c>
      <c r="BRR4" s="44" t="e">
        <f>ROUNDUP(IF(IFERROR(IF($BQZ4="","",IF($BQZ4=0,1,1-$BQZ4/HLOOKUP(BRR$3,[2]ARBOR_REAJUSTE18!$A:$AE,VLOOKUP($BQZ$2,[2]ARBOR_REAJUSTE18!$A:$B,2,0),0))),"")&lt;0.01%,0.01%,(IFERROR(IF($BQZ4="","",IF($BQZ4=0,1,1-$BQZ4/HLOOKUP(BRR$3,[2]ARBOR_REAJUSTE18!$A:$AE,VLOOKUP($BQZ$2,[2]ARBOR_REAJUSTE18!$A:$B,2,0),0))),""))),4)</f>
        <v>#VALUE!</v>
      </c>
      <c r="BRS4" s="44" t="e">
        <f>ROUNDUP(IF(IFERROR(IF($BQZ4="","",IF($BQZ4=0,1,1-$BQZ4/HLOOKUP(BRS$3,[2]ARBOR_REAJUSTE18!$A:$AE,VLOOKUP($BQZ$2,[2]ARBOR_REAJUSTE18!$A:$B,2,0),0))),"")&lt;0.01%,0.01%,(IFERROR(IF($BQZ4="","",IF($BQZ4=0,1,1-$BQZ4/HLOOKUP(BRS$3,[2]ARBOR_REAJUSTE18!$A:$AE,VLOOKUP($BQZ$2,[2]ARBOR_REAJUSTE18!$A:$B,2,0),0))),""))),4)</f>
        <v>#VALUE!</v>
      </c>
      <c r="BRT4" s="44" t="e">
        <f>ROUNDUP(IF(IFERROR(IF($BQZ4="","",IF($BQZ4=0,1,1-$BQZ4/HLOOKUP(BRT$3,[2]ARBOR_REAJUSTE18!$A:$AE,VLOOKUP($BQZ$2,[2]ARBOR_REAJUSTE18!$A:$B,2,0),0))),"")&lt;0.01%,0.01%,(IFERROR(IF($BQZ4="","",IF($BQZ4=0,1,1-$BQZ4/HLOOKUP(BRT$3,[2]ARBOR_REAJUSTE18!$A:$AE,VLOOKUP($BQZ$2,[2]ARBOR_REAJUSTE18!$A:$B,2,0),0))),""))),4)</f>
        <v>#VALUE!</v>
      </c>
      <c r="BRU4" s="44" t="e">
        <f>ROUNDUP(IF(IFERROR(IF($BQZ4="","",IF($BQZ4=0,1,1-$BQZ4/HLOOKUP(BRU$3,[2]ARBOR_REAJUSTE18!$A:$AE,VLOOKUP($BQZ$2,[2]ARBOR_REAJUSTE18!$A:$B,2,0),0))),"")&lt;0.01%,0.01%,(IFERROR(IF($BQZ4="","",IF($BQZ4=0,1,1-$BQZ4/HLOOKUP(BRU$3,[2]ARBOR_REAJUSTE18!$A:$AE,VLOOKUP($BQZ$2,[2]ARBOR_REAJUSTE18!$A:$B,2,0),0))),""))),4)</f>
        <v>#VALUE!</v>
      </c>
      <c r="BRV4" s="44" t="e">
        <f>ROUNDUP(IF(IFERROR(IF($BQZ4="","",IF($BQZ4=0,1,1-$BQZ4/HLOOKUP(BRV$3,[2]ARBOR_REAJUSTE18!$A:$AE,VLOOKUP($BQZ$2,[2]ARBOR_REAJUSTE18!$A:$B,2,0),0))),"")&lt;0.01%,0.01%,(IFERROR(IF($BQZ4="","",IF($BQZ4=0,1,1-$BQZ4/HLOOKUP(BRV$3,[2]ARBOR_REAJUSTE18!$A:$AE,VLOOKUP($BQZ$2,[2]ARBOR_REAJUSTE18!$A:$B,2,0),0))),""))),4)</f>
        <v>#VALUE!</v>
      </c>
      <c r="BRW4" s="44" t="e">
        <f>ROUNDUP(IF(IFERROR(IF($BQZ4="","",IF($BQZ4=0,1,1-$BQZ4/HLOOKUP(BRW$3,[2]ARBOR_REAJUSTE18!$A:$AE,VLOOKUP($BQZ$2,[2]ARBOR_REAJUSTE18!$A:$B,2,0),0))),"")&lt;0.01%,0.01%,(IFERROR(IF($BQZ4="","",IF($BQZ4=0,1,1-$BQZ4/HLOOKUP(BRW$3,[2]ARBOR_REAJUSTE18!$A:$AE,VLOOKUP($BQZ$2,[2]ARBOR_REAJUSTE18!$A:$B,2,0),0))),""))),4)</f>
        <v>#VALUE!</v>
      </c>
      <c r="BRX4" s="44" t="e">
        <f>ROUNDUP(IF(IFERROR(IF($BQZ4="","",IF($BQZ4=0,1,1-$BQZ4/HLOOKUP(BRX$3,[2]ARBOR_REAJUSTE18!$A:$AE,VLOOKUP($BQZ$2,[2]ARBOR_REAJUSTE18!$A:$B,2,0),0))),"")&lt;0.01%,0.01%,(IFERROR(IF($BQZ4="","",IF($BQZ4=0,1,1-$BQZ4/HLOOKUP(BRX$3,[2]ARBOR_REAJUSTE18!$A:$AE,VLOOKUP($BQZ$2,[2]ARBOR_REAJUSTE18!$A:$B,2,0),0))),""))),4)</f>
        <v>#VALUE!</v>
      </c>
      <c r="BRY4" s="44" t="e">
        <f>ROUNDUP(IF(IFERROR(IF($BQZ4="","",IF($BQZ4=0,1,1-$BQZ4/HLOOKUP(BRY$3,[2]ARBOR_REAJUSTE18!$A:$AE,VLOOKUP($BQZ$2,[2]ARBOR_REAJUSTE18!$A:$B,2,0),0))),"")&lt;0.01%,0.01%,(IFERROR(IF($BQZ4="","",IF($BQZ4=0,1,1-$BQZ4/HLOOKUP(BRY$3,[2]ARBOR_REAJUSTE18!$A:$AE,VLOOKUP($BQZ$2,[2]ARBOR_REAJUSTE18!$A:$B,2,0),0))),""))),4)</f>
        <v>#VALUE!</v>
      </c>
      <c r="BRZ4" s="44" t="e">
        <f>ROUNDUP(IF(IFERROR(IF($BQZ4="","",IF($BQZ4=0,1,1-$BQZ4/HLOOKUP(BRZ$3,[2]ARBOR_REAJUSTE18!$A:$AE,VLOOKUP($BQZ$2,[2]ARBOR_REAJUSTE18!$A:$B,2,0),0))),"")&lt;0.01%,0.01%,(IFERROR(IF($BQZ4="","",IF($BQZ4=0,1,1-$BQZ4/HLOOKUP(BRZ$3,[2]ARBOR_REAJUSTE18!$A:$AE,VLOOKUP($BQZ$2,[2]ARBOR_REAJUSTE18!$A:$B,2,0),0))),""))),4)</f>
        <v>#VALUE!</v>
      </c>
      <c r="BSA4" s="44" t="e">
        <f>ROUNDUP(IF(IFERROR(IF($BQZ4="","",IF($BQZ4=0,1,1-$BQZ4/HLOOKUP(BSA$3,[2]ARBOR_REAJUSTE18!$A:$AE,VLOOKUP($BQZ$2,[2]ARBOR_REAJUSTE18!$A:$B,2,0),0))),"")&lt;0.01%,0.01%,(IFERROR(IF($BQZ4="","",IF($BQZ4=0,1,1-$BQZ4/HLOOKUP(BSA$3,[2]ARBOR_REAJUSTE18!$A:$AE,VLOOKUP($BQZ$2,[2]ARBOR_REAJUSTE18!$A:$B,2,0),0))),""))),4)</f>
        <v>#VALUE!</v>
      </c>
      <c r="BSB4" s="44" t="e">
        <f>ROUNDUP(IF(IFERROR(IF($BQZ4="","",IF($BQZ4=0,1,1-$BQZ4/HLOOKUP(BSB$3,[2]ARBOR_REAJUSTE18!$A:$AE,VLOOKUP($BQZ$2,[2]ARBOR_REAJUSTE18!$A:$B,2,0),0))),"")&lt;0.01%,0.01%,(IFERROR(IF($BQZ4="","",IF($BQZ4=0,1,1-$BQZ4/HLOOKUP(BSB$3,[2]ARBOR_REAJUSTE18!$A:$AE,VLOOKUP($BQZ$2,[2]ARBOR_REAJUSTE18!$A:$B,2,0),0))),""))),4)</f>
        <v>#VALUE!</v>
      </c>
      <c r="BSC4" s="56"/>
      <c r="BSD4" s="56" t="s">
        <v>264</v>
      </c>
      <c r="BSE4" s="44" t="e">
        <f>ROUNDUP(IF(IFERROR(IF($BSC4="","",IF($BSC4=0,1,1-$BSC4/HLOOKUP(BSE$3,[2]ARBOR_REAJUSTE18!$A:$AE,VLOOKUP($BSC$2,[2]ARBOR_REAJUSTE18!$A:$B,2,0),0))),"")&lt;0.01%,0.01%,(IFERROR(IF($BSC4="","",IF($BSC4=0,1,1-$BSC4/HLOOKUP(BSE$3,[2]ARBOR_REAJUSTE18!$A:$AE,VLOOKUP($BSC$2,[2]ARBOR_REAJUSTE18!$A:$B,2,0),0))),""))),4)</f>
        <v>#VALUE!</v>
      </c>
      <c r="BSF4" s="44" t="e">
        <f>ROUNDUP(IF(IFERROR(IF($BSC4="","",IF($BSC4=0,1,1-$BSC4/HLOOKUP(BSF$3,[2]ARBOR_REAJUSTE18!$A:$AE,VLOOKUP($BSC$2,[2]ARBOR_REAJUSTE18!$A:$B,2,0),0))),"")&lt;0.01%,0.01%,(IFERROR(IF($BSC4="","",IF($BSC4=0,1,1-$BSC4/HLOOKUP(BSF$3,[2]ARBOR_REAJUSTE18!$A:$AE,VLOOKUP($BSC$2,[2]ARBOR_REAJUSTE18!$A:$B,2,0),0))),""))),4)</f>
        <v>#VALUE!</v>
      </c>
      <c r="BSG4" s="44" t="e">
        <f>ROUNDUP(IF(IFERROR(IF($BSC4="","",IF($BSC4=0,1,1-$BSC4/HLOOKUP(BSG$3,[2]ARBOR_REAJUSTE18!$A:$AE,VLOOKUP($BSC$2,[2]ARBOR_REAJUSTE18!$A:$B,2,0),0))),"")&lt;0.01%,0.01%,(IFERROR(IF($BSC4="","",IF($BSC4=0,1,1-$BSC4/HLOOKUP(BSG$3,[2]ARBOR_REAJUSTE18!$A:$AE,VLOOKUP($BSC$2,[2]ARBOR_REAJUSTE18!$A:$B,2,0),0))),""))),4)</f>
        <v>#VALUE!</v>
      </c>
      <c r="BSH4" s="44" t="e">
        <f>ROUNDUP(IF(IFERROR(IF($BSC4="","",IF($BSC4=0,1,1-$BSC4/HLOOKUP(BSH$3,[2]ARBOR_REAJUSTE18!$A:$AE,VLOOKUP($BSC$2,[2]ARBOR_REAJUSTE18!$A:$B,2,0),0))),"")&lt;0.01%,0.01%,(IFERROR(IF($BSC4="","",IF($BSC4=0,1,1-$BSC4/HLOOKUP(BSH$3,[2]ARBOR_REAJUSTE18!$A:$AE,VLOOKUP($BSC$2,[2]ARBOR_REAJUSTE18!$A:$B,2,0),0))),""))),4)</f>
        <v>#VALUE!</v>
      </c>
      <c r="BSI4" s="44" t="e">
        <f>ROUNDUP(IF(IFERROR(IF($BSC4="","",IF($BSC4=0,1,1-$BSC4/HLOOKUP(BSI$3,[2]ARBOR_REAJUSTE18!$A:$AE,VLOOKUP($BSC$2,[2]ARBOR_REAJUSTE18!$A:$B,2,0),0))),"")&lt;0.01%,0.01%,(IFERROR(IF($BSC4="","",IF($BSC4=0,1,1-$BSC4/HLOOKUP(BSI$3,[2]ARBOR_REAJUSTE18!$A:$AE,VLOOKUP($BSC$2,[2]ARBOR_REAJUSTE18!$A:$B,2,0),0))),""))),4)</f>
        <v>#VALUE!</v>
      </c>
      <c r="BSJ4" s="44" t="e">
        <f>ROUNDUP(IF(IFERROR(IF($BSC4="","",IF($BSC4=0,1,1-$BSC4/HLOOKUP(BSJ$3,[2]ARBOR_REAJUSTE18!$A:$AE,VLOOKUP($BSC$2,[2]ARBOR_REAJUSTE18!$A:$B,2,0),0))),"")&lt;0.01%,0.01%,(IFERROR(IF($BSC4="","",IF($BSC4=0,1,1-$BSC4/HLOOKUP(BSJ$3,[2]ARBOR_REAJUSTE18!$A:$AE,VLOOKUP($BSC$2,[2]ARBOR_REAJUSTE18!$A:$B,2,0),0))),""))),4)</f>
        <v>#VALUE!</v>
      </c>
      <c r="BSK4" s="44" t="e">
        <f>ROUNDUP(IF(IFERROR(IF($BSC4="","",IF($BSC4=0,1,1-$BSC4/HLOOKUP(BSK$3,[2]ARBOR_REAJUSTE18!$A:$AE,VLOOKUP($BSC$2,[2]ARBOR_REAJUSTE18!$A:$B,2,0),0))),"")&lt;0.01%,0.01%,(IFERROR(IF($BSC4="","",IF($BSC4=0,1,1-$BSC4/HLOOKUP(BSK$3,[2]ARBOR_REAJUSTE18!$A:$AE,VLOOKUP($BSC$2,[2]ARBOR_REAJUSTE18!$A:$B,2,0),0))),""))),4)</f>
        <v>#VALUE!</v>
      </c>
      <c r="BSL4" s="44" t="e">
        <f>ROUNDUP(IF(IFERROR(IF($BSC4="","",IF($BSC4=0,1,1-$BSC4/HLOOKUP(BSL$3,[2]ARBOR_REAJUSTE18!$A:$AE,VLOOKUP($BSC$2,[2]ARBOR_REAJUSTE18!$A:$B,2,0),0))),"")&lt;0.01%,0.01%,(IFERROR(IF($BSC4="","",IF($BSC4=0,1,1-$BSC4/HLOOKUP(BSL$3,[2]ARBOR_REAJUSTE18!$A:$AE,VLOOKUP($BSC$2,[2]ARBOR_REAJUSTE18!$A:$B,2,0),0))),""))),4)</f>
        <v>#VALUE!</v>
      </c>
      <c r="BSM4" s="44" t="e">
        <f>ROUNDUP(IF(IFERROR(IF($BSC4="","",IF($BSC4=0,1,1-$BSC4/HLOOKUP(BSM$3,[2]ARBOR_REAJUSTE18!$A:$AE,VLOOKUP($BSC$2,[2]ARBOR_REAJUSTE18!$A:$B,2,0),0))),"")&lt;0.01%,0.01%,(IFERROR(IF($BSC4="","",IF($BSC4=0,1,1-$BSC4/HLOOKUP(BSM$3,[2]ARBOR_REAJUSTE18!$A:$AE,VLOOKUP($BSC$2,[2]ARBOR_REAJUSTE18!$A:$B,2,0),0))),""))),4)</f>
        <v>#VALUE!</v>
      </c>
      <c r="BSN4" s="44" t="e">
        <f>ROUNDUP(IF(IFERROR(IF($BSC4="","",IF($BSC4=0,1,1-$BSC4/HLOOKUP(BSN$3,[2]ARBOR_REAJUSTE18!$A:$AE,VLOOKUP($BSC$2,[2]ARBOR_REAJUSTE18!$A:$B,2,0),0))),"")&lt;0.01%,0.01%,(IFERROR(IF($BSC4="","",IF($BSC4=0,1,1-$BSC4/HLOOKUP(BSN$3,[2]ARBOR_REAJUSTE18!$A:$AE,VLOOKUP($BSC$2,[2]ARBOR_REAJUSTE18!$A:$B,2,0),0))),""))),4)</f>
        <v>#VALUE!</v>
      </c>
      <c r="BSO4" s="44" t="e">
        <f>ROUNDUP(IF(IFERROR(IF($BSC4="","",IF($BSC4=0,1,1-$BSC4/HLOOKUP(BSO$3,[2]ARBOR_REAJUSTE18!$A:$AE,VLOOKUP($BSC$2,[2]ARBOR_REAJUSTE18!$A:$B,2,0),0))),"")&lt;0.01%,0.01%,(IFERROR(IF($BSC4="","",IF($BSC4=0,1,1-$BSC4/HLOOKUP(BSO$3,[2]ARBOR_REAJUSTE18!$A:$AE,VLOOKUP($BSC$2,[2]ARBOR_REAJUSTE18!$A:$B,2,0),0))),""))),4)</f>
        <v>#VALUE!</v>
      </c>
      <c r="BSP4" s="44" t="e">
        <f>ROUNDUP(IF(IFERROR(IF($BSC4="","",IF($BSC4=0,1,1-$BSC4/HLOOKUP(BSP$3,[2]ARBOR_REAJUSTE18!$A:$AE,VLOOKUP($BSC$2,[2]ARBOR_REAJUSTE18!$A:$B,2,0),0))),"")&lt;0.01%,0.01%,(IFERROR(IF($BSC4="","",IF($BSC4=0,1,1-$BSC4/HLOOKUP(BSP$3,[2]ARBOR_REAJUSTE18!$A:$AE,VLOOKUP($BSC$2,[2]ARBOR_REAJUSTE18!$A:$B,2,0),0))),""))),4)</f>
        <v>#VALUE!</v>
      </c>
      <c r="BSQ4" s="44" t="e">
        <f>ROUNDUP(IF(IFERROR(IF($BSC4="","",IF($BSC4=0,1,1-$BSC4/HLOOKUP(BSQ$3,[2]ARBOR_REAJUSTE18!$A:$AE,VLOOKUP($BSC$2,[2]ARBOR_REAJUSTE18!$A:$B,2,0),0))),"")&lt;0.01%,0.01%,(IFERROR(IF($BSC4="","",IF($BSC4=0,1,1-$BSC4/HLOOKUP(BSQ$3,[2]ARBOR_REAJUSTE18!$A:$AE,VLOOKUP($BSC$2,[2]ARBOR_REAJUSTE18!$A:$B,2,0),0))),""))),4)</f>
        <v>#VALUE!</v>
      </c>
      <c r="BSR4" s="44" t="e">
        <f>ROUNDUP(IF(IFERROR(IF($BSC4="","",IF($BSC4=0,1,1-$BSC4/HLOOKUP(BSR$3,[2]ARBOR_REAJUSTE18!$A:$AE,VLOOKUP($BSC$2,[2]ARBOR_REAJUSTE18!$A:$B,2,0),0))),"")&lt;0.01%,0.01%,(IFERROR(IF($BSC4="","",IF($BSC4=0,1,1-$BSC4/HLOOKUP(BSR$3,[2]ARBOR_REAJUSTE18!$A:$AE,VLOOKUP($BSC$2,[2]ARBOR_REAJUSTE18!$A:$B,2,0),0))),""))),4)</f>
        <v>#VALUE!</v>
      </c>
      <c r="BSS4" s="44" t="e">
        <f>ROUNDUP(IF(IFERROR(IF($BSC4="","",IF($BSC4=0,1,1-$BSC4/HLOOKUP(BSS$3,[2]ARBOR_REAJUSTE18!$A:$AE,VLOOKUP($BSC$2,[2]ARBOR_REAJUSTE18!$A:$B,2,0),0))),"")&lt;0.01%,0.01%,(IFERROR(IF($BSC4="","",IF($BSC4=0,1,1-$BSC4/HLOOKUP(BSS$3,[2]ARBOR_REAJUSTE18!$A:$AE,VLOOKUP($BSC$2,[2]ARBOR_REAJUSTE18!$A:$B,2,0),0))),""))),4)</f>
        <v>#VALUE!</v>
      </c>
      <c r="BST4" s="44" t="e">
        <f>ROUNDUP(IF(IFERROR(IF($BSC4="","",IF($BSC4=0,1,1-$BSC4/HLOOKUP(BST$3,[2]ARBOR_REAJUSTE18!$A:$AE,VLOOKUP($BSC$2,[2]ARBOR_REAJUSTE18!$A:$B,2,0),0))),"")&lt;0.01%,0.01%,(IFERROR(IF($BSC4="","",IF($BSC4=0,1,1-$BSC4/HLOOKUP(BST$3,[2]ARBOR_REAJUSTE18!$A:$AE,VLOOKUP($BSC$2,[2]ARBOR_REAJUSTE18!$A:$B,2,0),0))),""))),4)</f>
        <v>#VALUE!</v>
      </c>
      <c r="BSU4" s="44" t="e">
        <f>ROUNDUP(IF(IFERROR(IF($BSC4="","",IF($BSC4=0,1,1-$BSC4/HLOOKUP(BSU$3,[2]ARBOR_REAJUSTE18!$A:$AE,VLOOKUP($BSC$2,[2]ARBOR_REAJUSTE18!$A:$B,2,0),0))),"")&lt;0.01%,0.01%,(IFERROR(IF($BSC4="","",IF($BSC4=0,1,1-$BSC4/HLOOKUP(BSU$3,[2]ARBOR_REAJUSTE18!$A:$AE,VLOOKUP($BSC$2,[2]ARBOR_REAJUSTE18!$A:$B,2,0),0))),""))),4)</f>
        <v>#VALUE!</v>
      </c>
      <c r="BSV4" s="44" t="e">
        <f>ROUNDUP(IF(IFERROR(IF($BSC4="","",IF($BSC4=0,1,1-$BSC4/HLOOKUP(BSV$3,[2]ARBOR_REAJUSTE18!$A:$AE,VLOOKUP($BSC$2,[2]ARBOR_REAJUSTE18!$A:$B,2,0),0))),"")&lt;0.01%,0.01%,(IFERROR(IF($BSC4="","",IF($BSC4=0,1,1-$BSC4/HLOOKUP(BSV$3,[2]ARBOR_REAJUSTE18!$A:$AE,VLOOKUP($BSC$2,[2]ARBOR_REAJUSTE18!$A:$B,2,0),0))),""))),4)</f>
        <v>#VALUE!</v>
      </c>
      <c r="BSW4" s="44" t="e">
        <f>ROUNDUP(IF(IFERROR(IF($BSC4="","",IF($BSC4=0,1,1-$BSC4/HLOOKUP(BSW$3,[2]ARBOR_REAJUSTE18!$A:$AE,VLOOKUP($BSC$2,[2]ARBOR_REAJUSTE18!$A:$B,2,0),0))),"")&lt;0.01%,0.01%,(IFERROR(IF($BSC4="","",IF($BSC4=0,1,1-$BSC4/HLOOKUP(BSW$3,[2]ARBOR_REAJUSTE18!$A:$AE,VLOOKUP($BSC$2,[2]ARBOR_REAJUSTE18!$A:$B,2,0),0))),""))),4)</f>
        <v>#VALUE!</v>
      </c>
      <c r="BSX4" s="44" t="e">
        <f>ROUNDUP(IF(IFERROR(IF($BSC4="","",IF($BSC4=0,1,1-$BSC4/HLOOKUP(BSX$3,[2]ARBOR_REAJUSTE18!$A:$AE,VLOOKUP($BSC$2,[2]ARBOR_REAJUSTE18!$A:$B,2,0),0))),"")&lt;0.01%,0.01%,(IFERROR(IF($BSC4="","",IF($BSC4=0,1,1-$BSC4/HLOOKUP(BSX$3,[2]ARBOR_REAJUSTE18!$A:$AE,VLOOKUP($BSC$2,[2]ARBOR_REAJUSTE18!$A:$B,2,0),0))),""))),4)</f>
        <v>#VALUE!</v>
      </c>
      <c r="BSY4" s="44" t="e">
        <f>ROUNDUP(IF(IFERROR(IF($BSC4="","",IF($BSC4=0,1,1-$BSC4/HLOOKUP(BSY$3,[2]ARBOR_REAJUSTE18!$A:$AE,VLOOKUP($BSC$2,[2]ARBOR_REAJUSTE18!$A:$B,2,0),0))),"")&lt;0.01%,0.01%,(IFERROR(IF($BSC4="","",IF($BSC4=0,1,1-$BSC4/HLOOKUP(BSY$3,[2]ARBOR_REAJUSTE18!$A:$AE,VLOOKUP($BSC$2,[2]ARBOR_REAJUSTE18!$A:$B,2,0),0))),""))),4)</f>
        <v>#VALUE!</v>
      </c>
      <c r="BSZ4" s="44" t="e">
        <f>ROUNDUP(IF(IFERROR(IF($BSC4="","",IF($BSC4=0,1,1-$BSC4/HLOOKUP(BSZ$3,[2]ARBOR_REAJUSTE18!$A:$AE,VLOOKUP($BSC$2,[2]ARBOR_REAJUSTE18!$A:$B,2,0),0))),"")&lt;0.01%,0.01%,(IFERROR(IF($BSC4="","",IF($BSC4=0,1,1-$BSC4/HLOOKUP(BSZ$3,[2]ARBOR_REAJUSTE18!$A:$AE,VLOOKUP($BSC$2,[2]ARBOR_REAJUSTE18!$A:$B,2,0),0))),""))),4)</f>
        <v>#VALUE!</v>
      </c>
      <c r="BTA4" s="44" t="e">
        <f>ROUNDUP(IF(IFERROR(IF($BSC4="","",IF($BSC4=0,1,1-$BSC4/HLOOKUP(BTA$3,[2]ARBOR_REAJUSTE18!$A:$AE,VLOOKUP($BSC$2,[2]ARBOR_REAJUSTE18!$A:$B,2,0),0))),"")&lt;0.01%,0.01%,(IFERROR(IF($BSC4="","",IF($BSC4=0,1,1-$BSC4/HLOOKUP(BTA$3,[2]ARBOR_REAJUSTE18!$A:$AE,VLOOKUP($BSC$2,[2]ARBOR_REAJUSTE18!$A:$B,2,0),0))),""))),4)</f>
        <v>#VALUE!</v>
      </c>
      <c r="BTB4" s="44" t="e">
        <f>ROUNDUP(IF(IFERROR(IF($BSC4="","",IF($BSC4=0,1,1-$BSC4/HLOOKUP(BTB$3,[2]ARBOR_REAJUSTE18!$A:$AE,VLOOKUP($BSC$2,[2]ARBOR_REAJUSTE18!$A:$B,2,0),0))),"")&lt;0.01%,0.01%,(IFERROR(IF($BSC4="","",IF($BSC4=0,1,1-$BSC4/HLOOKUP(BTB$3,[2]ARBOR_REAJUSTE18!$A:$AE,VLOOKUP($BSC$2,[2]ARBOR_REAJUSTE18!$A:$B,2,0),0))),""))),4)</f>
        <v>#VALUE!</v>
      </c>
      <c r="BTC4" s="44" t="e">
        <f>ROUNDUP(IF(IFERROR(IF($BSC4="","",IF($BSC4=0,1,1-$BSC4/HLOOKUP(BTC$3,[2]ARBOR_REAJUSTE18!$A:$AE,VLOOKUP($BSC$2,[2]ARBOR_REAJUSTE18!$A:$B,2,0),0))),"")&lt;0.01%,0.01%,(IFERROR(IF($BSC4="","",IF($BSC4=0,1,1-$BSC4/HLOOKUP(BTC$3,[2]ARBOR_REAJUSTE18!$A:$AE,VLOOKUP($BSC$2,[2]ARBOR_REAJUSTE18!$A:$B,2,0),0))),""))),4)</f>
        <v>#VALUE!</v>
      </c>
      <c r="BTD4" s="44" t="e">
        <f>ROUNDUP(IF(IFERROR(IF($BSC4="","",IF($BSC4=0,1,1-$BSC4/HLOOKUP(BTD$3,[2]ARBOR_REAJUSTE18!$A:$AE,VLOOKUP($BSC$2,[2]ARBOR_REAJUSTE18!$A:$B,2,0),0))),"")&lt;0.01%,0.01%,(IFERROR(IF($BSC4="","",IF($BSC4=0,1,1-$BSC4/HLOOKUP(BTD$3,[2]ARBOR_REAJUSTE18!$A:$AE,VLOOKUP($BSC$2,[2]ARBOR_REAJUSTE18!$A:$B,2,0),0))),""))),4)</f>
        <v>#VALUE!</v>
      </c>
      <c r="BTE4" s="44" t="e">
        <f>ROUNDUP(IF(IFERROR(IF($BSC4="","",IF($BSC4=0,1,1-$BSC4/HLOOKUP(BTE$3,[2]ARBOR_REAJUSTE18!$A:$AE,VLOOKUP($BSC$2,[2]ARBOR_REAJUSTE18!$A:$B,2,0),0))),"")&lt;0.01%,0.01%,(IFERROR(IF($BSC4="","",IF($BSC4=0,1,1-$BSC4/HLOOKUP(BTE$3,[2]ARBOR_REAJUSTE18!$A:$AE,VLOOKUP($BSC$2,[2]ARBOR_REAJUSTE18!$A:$B,2,0),0))),""))),4)</f>
        <v>#VALUE!</v>
      </c>
      <c r="BTF4" s="56"/>
      <c r="BTG4" s="56" t="s">
        <v>265</v>
      </c>
      <c r="BTH4" s="44" t="e">
        <f>ROUNDUP(IF(IFERROR(IF($BTF4="","",IF($BTF4=0,1,1-$BTF4/HLOOKUP(BTH$3,[2]ARBOR_REAJUSTE18!$A:$AE,VLOOKUP($BTF$2,[2]ARBOR_REAJUSTE18!$A:$B,2,0),0))),"")&lt;0.01%,0.01%,(IFERROR(IF($BTF4="","",IF($BTF4=0,1,1-$BTF4/HLOOKUP(BTH$3,[2]ARBOR_REAJUSTE18!$A:$AE,VLOOKUP($BTF$2,[2]ARBOR_REAJUSTE18!$A:$B,2,0),0))),""))),4)</f>
        <v>#VALUE!</v>
      </c>
      <c r="BTI4" s="44" t="e">
        <f>ROUNDUP(IF(IFERROR(IF($BTF4="","",IF($BTF4=0,1,1-$BTF4/HLOOKUP(BTI$3,[2]ARBOR_REAJUSTE18!$A:$AE,VLOOKUP($BTF$2,[2]ARBOR_REAJUSTE18!$A:$B,2,0),0))),"")&lt;0.01%,0.01%,(IFERROR(IF($BTF4="","",IF($BTF4=0,1,1-$BTF4/HLOOKUP(BTI$3,[2]ARBOR_REAJUSTE18!$A:$AE,VLOOKUP($BTF$2,[2]ARBOR_REAJUSTE18!$A:$B,2,0),0))),""))),4)</f>
        <v>#VALUE!</v>
      </c>
      <c r="BTJ4" s="44" t="e">
        <f>ROUNDUP(IF(IFERROR(IF($BTF4="","",IF($BTF4=0,1,1-$BTF4/HLOOKUP(BTJ$3,[2]ARBOR_REAJUSTE18!$A:$AE,VLOOKUP($BTF$2,[2]ARBOR_REAJUSTE18!$A:$B,2,0),0))),"")&lt;0.01%,0.01%,(IFERROR(IF($BTF4="","",IF($BTF4=0,1,1-$BTF4/HLOOKUP(BTJ$3,[2]ARBOR_REAJUSTE18!$A:$AE,VLOOKUP($BTF$2,[2]ARBOR_REAJUSTE18!$A:$B,2,0),0))),""))),4)</f>
        <v>#VALUE!</v>
      </c>
      <c r="BTK4" s="44" t="e">
        <f>ROUNDUP(IF(IFERROR(IF($BTF4="","",IF($BTF4=0,1,1-$BTF4/HLOOKUP(BTK$3,[2]ARBOR_REAJUSTE18!$A:$AE,VLOOKUP($BTF$2,[2]ARBOR_REAJUSTE18!$A:$B,2,0),0))),"")&lt;0.01%,0.01%,(IFERROR(IF($BTF4="","",IF($BTF4=0,1,1-$BTF4/HLOOKUP(BTK$3,[2]ARBOR_REAJUSTE18!$A:$AE,VLOOKUP($BTF$2,[2]ARBOR_REAJUSTE18!$A:$B,2,0),0))),""))),4)</f>
        <v>#VALUE!</v>
      </c>
      <c r="BTL4" s="44" t="e">
        <f>ROUNDUP(IF(IFERROR(IF($BTF4="","",IF($BTF4=0,1,1-$BTF4/HLOOKUP(BTL$3,[2]ARBOR_REAJUSTE18!$A:$AE,VLOOKUP($BTF$2,[2]ARBOR_REAJUSTE18!$A:$B,2,0),0))),"")&lt;0.01%,0.01%,(IFERROR(IF($BTF4="","",IF($BTF4=0,1,1-$BTF4/HLOOKUP(BTL$3,[2]ARBOR_REAJUSTE18!$A:$AE,VLOOKUP($BTF$2,[2]ARBOR_REAJUSTE18!$A:$B,2,0),0))),""))),4)</f>
        <v>#VALUE!</v>
      </c>
      <c r="BTM4" s="44" t="e">
        <f>ROUNDUP(IF(IFERROR(IF($BTF4="","",IF($BTF4=0,1,1-$BTF4/HLOOKUP(BTM$3,[2]ARBOR_REAJUSTE18!$A:$AE,VLOOKUP($BTF$2,[2]ARBOR_REAJUSTE18!$A:$B,2,0),0))),"")&lt;0.01%,0.01%,(IFERROR(IF($BTF4="","",IF($BTF4=0,1,1-$BTF4/HLOOKUP(BTM$3,[2]ARBOR_REAJUSTE18!$A:$AE,VLOOKUP($BTF$2,[2]ARBOR_REAJUSTE18!$A:$B,2,0),0))),""))),4)</f>
        <v>#VALUE!</v>
      </c>
      <c r="BTN4" s="44" t="e">
        <f>ROUNDUP(IF(IFERROR(IF($BTF4="","",IF($BTF4=0,1,1-$BTF4/HLOOKUP(BTN$3,[2]ARBOR_REAJUSTE18!$A:$AE,VLOOKUP($BTF$2,[2]ARBOR_REAJUSTE18!$A:$B,2,0),0))),"")&lt;0.01%,0.01%,(IFERROR(IF($BTF4="","",IF($BTF4=0,1,1-$BTF4/HLOOKUP(BTN$3,[2]ARBOR_REAJUSTE18!$A:$AE,VLOOKUP($BTF$2,[2]ARBOR_REAJUSTE18!$A:$B,2,0),0))),""))),4)</f>
        <v>#VALUE!</v>
      </c>
      <c r="BTO4" s="44" t="e">
        <f>ROUNDUP(IF(IFERROR(IF($BTF4="","",IF($BTF4=0,1,1-$BTF4/HLOOKUP(BTO$3,[2]ARBOR_REAJUSTE18!$A:$AE,VLOOKUP($BTF$2,[2]ARBOR_REAJUSTE18!$A:$B,2,0),0))),"")&lt;0.01%,0.01%,(IFERROR(IF($BTF4="","",IF($BTF4=0,1,1-$BTF4/HLOOKUP(BTO$3,[2]ARBOR_REAJUSTE18!$A:$AE,VLOOKUP($BTF$2,[2]ARBOR_REAJUSTE18!$A:$B,2,0),0))),""))),4)</f>
        <v>#VALUE!</v>
      </c>
      <c r="BTP4" s="44" t="e">
        <f>ROUNDUP(IF(IFERROR(IF($BTF4="","",IF($BTF4=0,1,1-$BTF4/HLOOKUP(BTP$3,[2]ARBOR_REAJUSTE18!$A:$AE,VLOOKUP($BTF$2,[2]ARBOR_REAJUSTE18!$A:$B,2,0),0))),"")&lt;0.01%,0.01%,(IFERROR(IF($BTF4="","",IF($BTF4=0,1,1-$BTF4/HLOOKUP(BTP$3,[2]ARBOR_REAJUSTE18!$A:$AE,VLOOKUP($BTF$2,[2]ARBOR_REAJUSTE18!$A:$B,2,0),0))),""))),4)</f>
        <v>#VALUE!</v>
      </c>
      <c r="BTQ4" s="44" t="e">
        <f>ROUNDUP(IF(IFERROR(IF($BTF4="","",IF($BTF4=0,1,1-$BTF4/HLOOKUP(BTQ$3,[2]ARBOR_REAJUSTE18!$A:$AE,VLOOKUP($BTF$2,[2]ARBOR_REAJUSTE18!$A:$B,2,0),0))),"")&lt;0.01%,0.01%,(IFERROR(IF($BTF4="","",IF($BTF4=0,1,1-$BTF4/HLOOKUP(BTQ$3,[2]ARBOR_REAJUSTE18!$A:$AE,VLOOKUP($BTF$2,[2]ARBOR_REAJUSTE18!$A:$B,2,0),0))),""))),4)</f>
        <v>#VALUE!</v>
      </c>
      <c r="BTR4" s="44" t="e">
        <f>ROUNDUP(IF(IFERROR(IF($BTF4="","",IF($BTF4=0,1,1-$BTF4/HLOOKUP(BTR$3,[2]ARBOR_REAJUSTE18!$A:$AE,VLOOKUP($BTF$2,[2]ARBOR_REAJUSTE18!$A:$B,2,0),0))),"")&lt;0.01%,0.01%,(IFERROR(IF($BTF4="","",IF($BTF4=0,1,1-$BTF4/HLOOKUP(BTR$3,[2]ARBOR_REAJUSTE18!$A:$AE,VLOOKUP($BTF$2,[2]ARBOR_REAJUSTE18!$A:$B,2,0),0))),""))),4)</f>
        <v>#VALUE!</v>
      </c>
      <c r="BTS4" s="44" t="e">
        <f>ROUNDUP(IF(IFERROR(IF($BTF4="","",IF($BTF4=0,1,1-$BTF4/HLOOKUP(BTS$3,[2]ARBOR_REAJUSTE18!$A:$AE,VLOOKUP($BTF$2,[2]ARBOR_REAJUSTE18!$A:$B,2,0),0))),"")&lt;0.01%,0.01%,(IFERROR(IF($BTF4="","",IF($BTF4=0,1,1-$BTF4/HLOOKUP(BTS$3,[2]ARBOR_REAJUSTE18!$A:$AE,VLOOKUP($BTF$2,[2]ARBOR_REAJUSTE18!$A:$B,2,0),0))),""))),4)</f>
        <v>#VALUE!</v>
      </c>
      <c r="BTT4" s="44" t="e">
        <f>ROUNDUP(IF(IFERROR(IF($BTF4="","",IF($BTF4=0,1,1-$BTF4/HLOOKUP(BTT$3,[2]ARBOR_REAJUSTE18!$A:$AE,VLOOKUP($BTF$2,[2]ARBOR_REAJUSTE18!$A:$B,2,0),0))),"")&lt;0.01%,0.01%,(IFERROR(IF($BTF4="","",IF($BTF4=0,1,1-$BTF4/HLOOKUP(BTT$3,[2]ARBOR_REAJUSTE18!$A:$AE,VLOOKUP($BTF$2,[2]ARBOR_REAJUSTE18!$A:$B,2,0),0))),""))),4)</f>
        <v>#VALUE!</v>
      </c>
      <c r="BTU4" s="44" t="e">
        <f>ROUNDUP(IF(IFERROR(IF($BTF4="","",IF($BTF4=0,1,1-$BTF4/HLOOKUP(BTU$3,[2]ARBOR_REAJUSTE18!$A:$AE,VLOOKUP($BTF$2,[2]ARBOR_REAJUSTE18!$A:$B,2,0),0))),"")&lt;0.01%,0.01%,(IFERROR(IF($BTF4="","",IF($BTF4=0,1,1-$BTF4/HLOOKUP(BTU$3,[2]ARBOR_REAJUSTE18!$A:$AE,VLOOKUP($BTF$2,[2]ARBOR_REAJUSTE18!$A:$B,2,0),0))),""))),4)</f>
        <v>#VALUE!</v>
      </c>
      <c r="BTV4" s="44" t="e">
        <f>ROUNDUP(IF(IFERROR(IF($BTF4="","",IF($BTF4=0,1,1-$BTF4/HLOOKUP(BTV$3,[2]ARBOR_REAJUSTE18!$A:$AE,VLOOKUP($BTF$2,[2]ARBOR_REAJUSTE18!$A:$B,2,0),0))),"")&lt;0.01%,0.01%,(IFERROR(IF($BTF4="","",IF($BTF4=0,1,1-$BTF4/HLOOKUP(BTV$3,[2]ARBOR_REAJUSTE18!$A:$AE,VLOOKUP($BTF$2,[2]ARBOR_REAJUSTE18!$A:$B,2,0),0))),""))),4)</f>
        <v>#VALUE!</v>
      </c>
      <c r="BTW4" s="44" t="e">
        <f>ROUNDUP(IF(IFERROR(IF($BTF4="","",IF($BTF4=0,1,1-$BTF4/HLOOKUP(BTW$3,[2]ARBOR_REAJUSTE18!$A:$AE,VLOOKUP($BTF$2,[2]ARBOR_REAJUSTE18!$A:$B,2,0),0))),"")&lt;0.01%,0.01%,(IFERROR(IF($BTF4="","",IF($BTF4=0,1,1-$BTF4/HLOOKUP(BTW$3,[2]ARBOR_REAJUSTE18!$A:$AE,VLOOKUP($BTF$2,[2]ARBOR_REAJUSTE18!$A:$B,2,0),0))),""))),4)</f>
        <v>#VALUE!</v>
      </c>
      <c r="BTX4" s="44" t="e">
        <f>ROUNDUP(IF(IFERROR(IF($BTF4="","",IF($BTF4=0,1,1-$BTF4/HLOOKUP(BTX$3,[2]ARBOR_REAJUSTE18!$A:$AE,VLOOKUP($BTF$2,[2]ARBOR_REAJUSTE18!$A:$B,2,0),0))),"")&lt;0.01%,0.01%,(IFERROR(IF($BTF4="","",IF($BTF4=0,1,1-$BTF4/HLOOKUP(BTX$3,[2]ARBOR_REAJUSTE18!$A:$AE,VLOOKUP($BTF$2,[2]ARBOR_REAJUSTE18!$A:$B,2,0),0))),""))),4)</f>
        <v>#VALUE!</v>
      </c>
      <c r="BTY4" s="44" t="e">
        <f>ROUNDUP(IF(IFERROR(IF($BTF4="","",IF($BTF4=0,1,1-$BTF4/HLOOKUP(BTY$3,[2]ARBOR_REAJUSTE18!$A:$AE,VLOOKUP($BTF$2,[2]ARBOR_REAJUSTE18!$A:$B,2,0),0))),"")&lt;0.01%,0.01%,(IFERROR(IF($BTF4="","",IF($BTF4=0,1,1-$BTF4/HLOOKUP(BTY$3,[2]ARBOR_REAJUSTE18!$A:$AE,VLOOKUP($BTF$2,[2]ARBOR_REAJUSTE18!$A:$B,2,0),0))),""))),4)</f>
        <v>#VALUE!</v>
      </c>
      <c r="BTZ4" s="44" t="e">
        <f>ROUNDUP(IF(IFERROR(IF($BTF4="","",IF($BTF4=0,1,1-$BTF4/HLOOKUP(BTZ$3,[2]ARBOR_REAJUSTE18!$A:$AE,VLOOKUP($BTF$2,[2]ARBOR_REAJUSTE18!$A:$B,2,0),0))),"")&lt;0.01%,0.01%,(IFERROR(IF($BTF4="","",IF($BTF4=0,1,1-$BTF4/HLOOKUP(BTZ$3,[2]ARBOR_REAJUSTE18!$A:$AE,VLOOKUP($BTF$2,[2]ARBOR_REAJUSTE18!$A:$B,2,0),0))),""))),4)</f>
        <v>#VALUE!</v>
      </c>
      <c r="BUA4" s="44" t="e">
        <f>ROUNDUP(IF(IFERROR(IF($BTF4="","",IF($BTF4=0,1,1-$BTF4/HLOOKUP(BUA$3,[2]ARBOR_REAJUSTE18!$A:$AE,VLOOKUP($BTF$2,[2]ARBOR_REAJUSTE18!$A:$B,2,0),0))),"")&lt;0.01%,0.01%,(IFERROR(IF($BTF4="","",IF($BTF4=0,1,1-$BTF4/HLOOKUP(BUA$3,[2]ARBOR_REAJUSTE18!$A:$AE,VLOOKUP($BTF$2,[2]ARBOR_REAJUSTE18!$A:$B,2,0),0))),""))),4)</f>
        <v>#VALUE!</v>
      </c>
      <c r="BUB4" s="44" t="e">
        <f>ROUNDUP(IF(IFERROR(IF($BTF4="","",IF($BTF4=0,1,1-$BTF4/HLOOKUP(BUB$3,[2]ARBOR_REAJUSTE18!$A:$AE,VLOOKUP($BTF$2,[2]ARBOR_REAJUSTE18!$A:$B,2,0),0))),"")&lt;0.01%,0.01%,(IFERROR(IF($BTF4="","",IF($BTF4=0,1,1-$BTF4/HLOOKUP(BUB$3,[2]ARBOR_REAJUSTE18!$A:$AE,VLOOKUP($BTF$2,[2]ARBOR_REAJUSTE18!$A:$B,2,0),0))),""))),4)</f>
        <v>#VALUE!</v>
      </c>
      <c r="BUC4" s="44" t="e">
        <f>ROUNDUP(IF(IFERROR(IF($BTF4="","",IF($BTF4=0,1,1-$BTF4/HLOOKUP(BUC$3,[2]ARBOR_REAJUSTE18!$A:$AE,VLOOKUP($BTF$2,[2]ARBOR_REAJUSTE18!$A:$B,2,0),0))),"")&lt;0.01%,0.01%,(IFERROR(IF($BTF4="","",IF($BTF4=0,1,1-$BTF4/HLOOKUP(BUC$3,[2]ARBOR_REAJUSTE18!$A:$AE,VLOOKUP($BTF$2,[2]ARBOR_REAJUSTE18!$A:$B,2,0),0))),""))),4)</f>
        <v>#VALUE!</v>
      </c>
      <c r="BUD4" s="44" t="e">
        <f>ROUNDUP(IF(IFERROR(IF($BTF4="","",IF($BTF4=0,1,1-$BTF4/HLOOKUP(BUD$3,[2]ARBOR_REAJUSTE18!$A:$AE,VLOOKUP($BTF$2,[2]ARBOR_REAJUSTE18!$A:$B,2,0),0))),"")&lt;0.01%,0.01%,(IFERROR(IF($BTF4="","",IF($BTF4=0,1,1-$BTF4/HLOOKUP(BUD$3,[2]ARBOR_REAJUSTE18!$A:$AE,VLOOKUP($BTF$2,[2]ARBOR_REAJUSTE18!$A:$B,2,0),0))),""))),4)</f>
        <v>#VALUE!</v>
      </c>
      <c r="BUE4" s="44" t="e">
        <f>ROUNDUP(IF(IFERROR(IF($BTF4="","",IF($BTF4=0,1,1-$BTF4/HLOOKUP(BUE$3,[2]ARBOR_REAJUSTE18!$A:$AE,VLOOKUP($BTF$2,[2]ARBOR_REAJUSTE18!$A:$B,2,0),0))),"")&lt;0.01%,0.01%,(IFERROR(IF($BTF4="","",IF($BTF4=0,1,1-$BTF4/HLOOKUP(BUE$3,[2]ARBOR_REAJUSTE18!$A:$AE,VLOOKUP($BTF$2,[2]ARBOR_REAJUSTE18!$A:$B,2,0),0))),""))),4)</f>
        <v>#VALUE!</v>
      </c>
      <c r="BUF4" s="44" t="e">
        <f>ROUNDUP(IF(IFERROR(IF($BTF4="","",IF($BTF4=0,1,1-$BTF4/HLOOKUP(BUF$3,[2]ARBOR_REAJUSTE18!$A:$AE,VLOOKUP($BTF$2,[2]ARBOR_REAJUSTE18!$A:$B,2,0),0))),"")&lt;0.01%,0.01%,(IFERROR(IF($BTF4="","",IF($BTF4=0,1,1-$BTF4/HLOOKUP(BUF$3,[2]ARBOR_REAJUSTE18!$A:$AE,VLOOKUP($BTF$2,[2]ARBOR_REAJUSTE18!$A:$B,2,0),0))),""))),4)</f>
        <v>#VALUE!</v>
      </c>
      <c r="BUG4" s="44" t="e">
        <f>ROUNDUP(IF(IFERROR(IF($BTF4="","",IF($BTF4=0,1,1-$BTF4/HLOOKUP(BUG$3,[2]ARBOR_REAJUSTE18!$A:$AE,VLOOKUP($BTF$2,[2]ARBOR_REAJUSTE18!$A:$B,2,0),0))),"")&lt;0.01%,0.01%,(IFERROR(IF($BTF4="","",IF($BTF4=0,1,1-$BTF4/HLOOKUP(BUG$3,[2]ARBOR_REAJUSTE18!$A:$AE,VLOOKUP($BTF$2,[2]ARBOR_REAJUSTE18!$A:$B,2,0),0))),""))),4)</f>
        <v>#VALUE!</v>
      </c>
      <c r="BUH4" s="44" t="e">
        <f>ROUNDUP(IF(IFERROR(IF($BTF4="","",IF($BTF4=0,1,1-$BTF4/HLOOKUP(BUH$3,[2]ARBOR_REAJUSTE18!$A:$AE,VLOOKUP($BTF$2,[2]ARBOR_REAJUSTE18!$A:$B,2,0),0))),"")&lt;0.01%,0.01%,(IFERROR(IF($BTF4="","",IF($BTF4=0,1,1-$BTF4/HLOOKUP(BUH$3,[2]ARBOR_REAJUSTE18!$A:$AE,VLOOKUP($BTF$2,[2]ARBOR_REAJUSTE18!$A:$B,2,0),0))),""))),4)</f>
        <v>#VALUE!</v>
      </c>
      <c r="BUI4" s="56"/>
      <c r="BUJ4" s="56" t="s">
        <v>266</v>
      </c>
      <c r="BUK4" s="44" t="e">
        <f>ROUNDUP(IF(IFERROR(IF($BUI4="","",IF($BUI4=0,1,1-$BUI4/HLOOKUP(BUK$3,[2]ARBOR_REAJUSTE18!$A:$AE,VLOOKUP($BUI$2,[2]ARBOR_REAJUSTE18!$A:$B,2,0),0))),"")&lt;0.01%,0.01%,(IFERROR(IF($BUI4="","",IF($BUI4=0,1,1-$BUI4/HLOOKUP(BUK$3,[2]ARBOR_REAJUSTE18!$A:$AE,VLOOKUP($BUI$2,[2]ARBOR_REAJUSTE18!$A:$B,2,0),0))),""))),4)</f>
        <v>#VALUE!</v>
      </c>
      <c r="BUL4" s="44" t="e">
        <f>ROUNDUP(IF(IFERROR(IF($BUI4="","",IF($BUI4=0,1,1-$BUI4/HLOOKUP(BUL$3,[2]ARBOR_REAJUSTE18!$A:$AE,VLOOKUP($BUI$2,[2]ARBOR_REAJUSTE18!$A:$B,2,0),0))),"")&lt;0.01%,0.01%,(IFERROR(IF($BUI4="","",IF($BUI4=0,1,1-$BUI4/HLOOKUP(BUL$3,[2]ARBOR_REAJUSTE18!$A:$AE,VLOOKUP($BUI$2,[2]ARBOR_REAJUSTE18!$A:$B,2,0),0))),""))),4)</f>
        <v>#VALUE!</v>
      </c>
      <c r="BUM4" s="44" t="e">
        <f>ROUNDUP(IF(IFERROR(IF($BUI4="","",IF($BUI4=0,1,1-$BUI4/HLOOKUP(BUM$3,[2]ARBOR_REAJUSTE18!$A:$AE,VLOOKUP($BUI$2,[2]ARBOR_REAJUSTE18!$A:$B,2,0),0))),"")&lt;0.01%,0.01%,(IFERROR(IF($BUI4="","",IF($BUI4=0,1,1-$BUI4/HLOOKUP(BUM$3,[2]ARBOR_REAJUSTE18!$A:$AE,VLOOKUP($BUI$2,[2]ARBOR_REAJUSTE18!$A:$B,2,0),0))),""))),4)</f>
        <v>#VALUE!</v>
      </c>
      <c r="BUN4" s="44" t="e">
        <f>ROUNDUP(IF(IFERROR(IF($BUI4="","",IF($BUI4=0,1,1-$BUI4/HLOOKUP(BUN$3,[2]ARBOR_REAJUSTE18!$A:$AE,VLOOKUP($BUI$2,[2]ARBOR_REAJUSTE18!$A:$B,2,0),0))),"")&lt;0.01%,0.01%,(IFERROR(IF($BUI4="","",IF($BUI4=0,1,1-$BUI4/HLOOKUP(BUN$3,[2]ARBOR_REAJUSTE18!$A:$AE,VLOOKUP($BUI$2,[2]ARBOR_REAJUSTE18!$A:$B,2,0),0))),""))),4)</f>
        <v>#VALUE!</v>
      </c>
      <c r="BUO4" s="44" t="e">
        <f>ROUNDUP(IF(IFERROR(IF($BUI4="","",IF($BUI4=0,1,1-$BUI4/HLOOKUP(BUO$3,[2]ARBOR_REAJUSTE18!$A:$AE,VLOOKUP($BUI$2,[2]ARBOR_REAJUSTE18!$A:$B,2,0),0))),"")&lt;0.01%,0.01%,(IFERROR(IF($BUI4="","",IF($BUI4=0,1,1-$BUI4/HLOOKUP(BUO$3,[2]ARBOR_REAJUSTE18!$A:$AE,VLOOKUP($BUI$2,[2]ARBOR_REAJUSTE18!$A:$B,2,0),0))),""))),4)</f>
        <v>#VALUE!</v>
      </c>
      <c r="BUP4" s="44" t="e">
        <f>ROUNDUP(IF(IFERROR(IF($BUI4="","",IF($BUI4=0,1,1-$BUI4/HLOOKUP(BUP$3,[2]ARBOR_REAJUSTE18!$A:$AE,VLOOKUP($BUI$2,[2]ARBOR_REAJUSTE18!$A:$B,2,0),0))),"")&lt;0.01%,0.01%,(IFERROR(IF($BUI4="","",IF($BUI4=0,1,1-$BUI4/HLOOKUP(BUP$3,[2]ARBOR_REAJUSTE18!$A:$AE,VLOOKUP($BUI$2,[2]ARBOR_REAJUSTE18!$A:$B,2,0),0))),""))),4)</f>
        <v>#VALUE!</v>
      </c>
      <c r="BUQ4" s="44" t="e">
        <f>ROUNDUP(IF(IFERROR(IF($BUI4="","",IF($BUI4=0,1,1-$BUI4/HLOOKUP(BUQ$3,[2]ARBOR_REAJUSTE18!$A:$AE,VLOOKUP($BUI$2,[2]ARBOR_REAJUSTE18!$A:$B,2,0),0))),"")&lt;0.01%,0.01%,(IFERROR(IF($BUI4="","",IF($BUI4=0,1,1-$BUI4/HLOOKUP(BUQ$3,[2]ARBOR_REAJUSTE18!$A:$AE,VLOOKUP($BUI$2,[2]ARBOR_REAJUSTE18!$A:$B,2,0),0))),""))),4)</f>
        <v>#VALUE!</v>
      </c>
      <c r="BUR4" s="44" t="e">
        <f>ROUNDUP(IF(IFERROR(IF($BUI4="","",IF($BUI4=0,1,1-$BUI4/HLOOKUP(BUR$3,[2]ARBOR_REAJUSTE18!$A:$AE,VLOOKUP($BUI$2,[2]ARBOR_REAJUSTE18!$A:$B,2,0),0))),"")&lt;0.01%,0.01%,(IFERROR(IF($BUI4="","",IF($BUI4=0,1,1-$BUI4/HLOOKUP(BUR$3,[2]ARBOR_REAJUSTE18!$A:$AE,VLOOKUP($BUI$2,[2]ARBOR_REAJUSTE18!$A:$B,2,0),0))),""))),4)</f>
        <v>#VALUE!</v>
      </c>
      <c r="BUS4" s="44" t="e">
        <f>ROUNDUP(IF(IFERROR(IF($BUI4="","",IF($BUI4=0,1,1-$BUI4/HLOOKUP(BUS$3,[2]ARBOR_REAJUSTE18!$A:$AE,VLOOKUP($BUI$2,[2]ARBOR_REAJUSTE18!$A:$B,2,0),0))),"")&lt;0.01%,0.01%,(IFERROR(IF($BUI4="","",IF($BUI4=0,1,1-$BUI4/HLOOKUP(BUS$3,[2]ARBOR_REAJUSTE18!$A:$AE,VLOOKUP($BUI$2,[2]ARBOR_REAJUSTE18!$A:$B,2,0),0))),""))),4)</f>
        <v>#VALUE!</v>
      </c>
      <c r="BUT4" s="44" t="e">
        <f>ROUNDUP(IF(IFERROR(IF($BUI4="","",IF($BUI4=0,1,1-$BUI4/HLOOKUP(BUT$3,[2]ARBOR_REAJUSTE18!$A:$AE,VLOOKUP($BUI$2,[2]ARBOR_REAJUSTE18!$A:$B,2,0),0))),"")&lt;0.01%,0.01%,(IFERROR(IF($BUI4="","",IF($BUI4=0,1,1-$BUI4/HLOOKUP(BUT$3,[2]ARBOR_REAJUSTE18!$A:$AE,VLOOKUP($BUI$2,[2]ARBOR_REAJUSTE18!$A:$B,2,0),0))),""))),4)</f>
        <v>#VALUE!</v>
      </c>
      <c r="BUU4" s="44" t="e">
        <f>ROUNDUP(IF(IFERROR(IF($BUI4="","",IF($BUI4=0,1,1-$BUI4/HLOOKUP(BUU$3,[2]ARBOR_REAJUSTE18!$A:$AE,VLOOKUP($BUI$2,[2]ARBOR_REAJUSTE18!$A:$B,2,0),0))),"")&lt;0.01%,0.01%,(IFERROR(IF($BUI4="","",IF($BUI4=0,1,1-$BUI4/HLOOKUP(BUU$3,[2]ARBOR_REAJUSTE18!$A:$AE,VLOOKUP($BUI$2,[2]ARBOR_REAJUSTE18!$A:$B,2,0),0))),""))),4)</f>
        <v>#VALUE!</v>
      </c>
      <c r="BUV4" s="44" t="e">
        <f>ROUNDUP(IF(IFERROR(IF($BUI4="","",IF($BUI4=0,1,1-$BUI4/HLOOKUP(BUV$3,[2]ARBOR_REAJUSTE18!$A:$AE,VLOOKUP($BUI$2,[2]ARBOR_REAJUSTE18!$A:$B,2,0),0))),"")&lt;0.01%,0.01%,(IFERROR(IF($BUI4="","",IF($BUI4=0,1,1-$BUI4/HLOOKUP(BUV$3,[2]ARBOR_REAJUSTE18!$A:$AE,VLOOKUP($BUI$2,[2]ARBOR_REAJUSTE18!$A:$B,2,0),0))),""))),4)</f>
        <v>#VALUE!</v>
      </c>
      <c r="BUW4" s="44" t="e">
        <f>ROUNDUP(IF(IFERROR(IF($BUI4="","",IF($BUI4=0,1,1-$BUI4/HLOOKUP(BUW$3,[2]ARBOR_REAJUSTE18!$A:$AE,VLOOKUP($BUI$2,[2]ARBOR_REAJUSTE18!$A:$B,2,0),0))),"")&lt;0.01%,0.01%,(IFERROR(IF($BUI4="","",IF($BUI4=0,1,1-$BUI4/HLOOKUP(BUW$3,[2]ARBOR_REAJUSTE18!$A:$AE,VLOOKUP($BUI$2,[2]ARBOR_REAJUSTE18!$A:$B,2,0),0))),""))),4)</f>
        <v>#VALUE!</v>
      </c>
      <c r="BUX4" s="44" t="e">
        <f>ROUNDUP(IF(IFERROR(IF($BUI4="","",IF($BUI4=0,1,1-$BUI4/HLOOKUP(BUX$3,[2]ARBOR_REAJUSTE18!$A:$AE,VLOOKUP($BUI$2,[2]ARBOR_REAJUSTE18!$A:$B,2,0),0))),"")&lt;0.01%,0.01%,(IFERROR(IF($BUI4="","",IF($BUI4=0,1,1-$BUI4/HLOOKUP(BUX$3,[2]ARBOR_REAJUSTE18!$A:$AE,VLOOKUP($BUI$2,[2]ARBOR_REAJUSTE18!$A:$B,2,0),0))),""))),4)</f>
        <v>#VALUE!</v>
      </c>
      <c r="BUY4" s="44" t="e">
        <f>ROUNDUP(IF(IFERROR(IF($BUI4="","",IF($BUI4=0,1,1-$BUI4/HLOOKUP(BUY$3,[2]ARBOR_REAJUSTE18!$A:$AE,VLOOKUP($BUI$2,[2]ARBOR_REAJUSTE18!$A:$B,2,0),0))),"")&lt;0.01%,0.01%,(IFERROR(IF($BUI4="","",IF($BUI4=0,1,1-$BUI4/HLOOKUP(BUY$3,[2]ARBOR_REAJUSTE18!$A:$AE,VLOOKUP($BUI$2,[2]ARBOR_REAJUSTE18!$A:$B,2,0),0))),""))),4)</f>
        <v>#VALUE!</v>
      </c>
      <c r="BUZ4" s="44" t="e">
        <f>ROUNDUP(IF(IFERROR(IF($BUI4="","",IF($BUI4=0,1,1-$BUI4/HLOOKUP(BUZ$3,[2]ARBOR_REAJUSTE18!$A:$AE,VLOOKUP($BUI$2,[2]ARBOR_REAJUSTE18!$A:$B,2,0),0))),"")&lt;0.01%,0.01%,(IFERROR(IF($BUI4="","",IF($BUI4=0,1,1-$BUI4/HLOOKUP(BUZ$3,[2]ARBOR_REAJUSTE18!$A:$AE,VLOOKUP($BUI$2,[2]ARBOR_REAJUSTE18!$A:$B,2,0),0))),""))),4)</f>
        <v>#VALUE!</v>
      </c>
      <c r="BVA4" s="44" t="e">
        <f>ROUNDUP(IF(IFERROR(IF($BUI4="","",IF($BUI4=0,1,1-$BUI4/HLOOKUP(BVA$3,[2]ARBOR_REAJUSTE18!$A:$AE,VLOOKUP($BUI$2,[2]ARBOR_REAJUSTE18!$A:$B,2,0),0))),"")&lt;0.01%,0.01%,(IFERROR(IF($BUI4="","",IF($BUI4=0,1,1-$BUI4/HLOOKUP(BVA$3,[2]ARBOR_REAJUSTE18!$A:$AE,VLOOKUP($BUI$2,[2]ARBOR_REAJUSTE18!$A:$B,2,0),0))),""))),4)</f>
        <v>#VALUE!</v>
      </c>
      <c r="BVB4" s="44" t="e">
        <f>ROUNDUP(IF(IFERROR(IF($BUI4="","",IF($BUI4=0,1,1-$BUI4/HLOOKUP(BVB$3,[2]ARBOR_REAJUSTE18!$A:$AE,VLOOKUP($BUI$2,[2]ARBOR_REAJUSTE18!$A:$B,2,0),0))),"")&lt;0.01%,0.01%,(IFERROR(IF($BUI4="","",IF($BUI4=0,1,1-$BUI4/HLOOKUP(BVB$3,[2]ARBOR_REAJUSTE18!$A:$AE,VLOOKUP($BUI$2,[2]ARBOR_REAJUSTE18!$A:$B,2,0),0))),""))),4)</f>
        <v>#VALUE!</v>
      </c>
      <c r="BVC4" s="44" t="e">
        <f>ROUNDUP(IF(IFERROR(IF($BUI4="","",IF($BUI4=0,1,1-$BUI4/HLOOKUP(BVC$3,[2]ARBOR_REAJUSTE18!$A:$AE,VLOOKUP($BUI$2,[2]ARBOR_REAJUSTE18!$A:$B,2,0),0))),"")&lt;0.01%,0.01%,(IFERROR(IF($BUI4="","",IF($BUI4=0,1,1-$BUI4/HLOOKUP(BVC$3,[2]ARBOR_REAJUSTE18!$A:$AE,VLOOKUP($BUI$2,[2]ARBOR_REAJUSTE18!$A:$B,2,0),0))),""))),4)</f>
        <v>#VALUE!</v>
      </c>
      <c r="BVD4" s="44" t="e">
        <f>ROUNDUP(IF(IFERROR(IF($BUI4="","",IF($BUI4=0,1,1-$BUI4/HLOOKUP(BVD$3,[2]ARBOR_REAJUSTE18!$A:$AE,VLOOKUP($BUI$2,[2]ARBOR_REAJUSTE18!$A:$B,2,0),0))),"")&lt;0.01%,0.01%,(IFERROR(IF($BUI4="","",IF($BUI4=0,1,1-$BUI4/HLOOKUP(BVD$3,[2]ARBOR_REAJUSTE18!$A:$AE,VLOOKUP($BUI$2,[2]ARBOR_REAJUSTE18!$A:$B,2,0),0))),""))),4)</f>
        <v>#VALUE!</v>
      </c>
      <c r="BVE4" s="44" t="e">
        <f>ROUNDUP(IF(IFERROR(IF($BUI4="","",IF($BUI4=0,1,1-$BUI4/HLOOKUP(BVE$3,[2]ARBOR_REAJUSTE18!$A:$AE,VLOOKUP($BUI$2,[2]ARBOR_REAJUSTE18!$A:$B,2,0),0))),"")&lt;0.01%,0.01%,(IFERROR(IF($BUI4="","",IF($BUI4=0,1,1-$BUI4/HLOOKUP(BVE$3,[2]ARBOR_REAJUSTE18!$A:$AE,VLOOKUP($BUI$2,[2]ARBOR_REAJUSTE18!$A:$B,2,0),0))),""))),4)</f>
        <v>#VALUE!</v>
      </c>
      <c r="BVF4" s="44" t="e">
        <f>ROUNDUP(IF(IFERROR(IF($BUI4="","",IF($BUI4=0,1,1-$BUI4/HLOOKUP(BVF$3,[2]ARBOR_REAJUSTE18!$A:$AE,VLOOKUP($BUI$2,[2]ARBOR_REAJUSTE18!$A:$B,2,0),0))),"")&lt;0.01%,0.01%,(IFERROR(IF($BUI4="","",IF($BUI4=0,1,1-$BUI4/HLOOKUP(BVF$3,[2]ARBOR_REAJUSTE18!$A:$AE,VLOOKUP($BUI$2,[2]ARBOR_REAJUSTE18!$A:$B,2,0),0))),""))),4)</f>
        <v>#VALUE!</v>
      </c>
      <c r="BVG4" s="44" t="e">
        <f>ROUNDUP(IF(IFERROR(IF($BUI4="","",IF($BUI4=0,1,1-$BUI4/HLOOKUP(BVG$3,[2]ARBOR_REAJUSTE18!$A:$AE,VLOOKUP($BUI$2,[2]ARBOR_REAJUSTE18!$A:$B,2,0),0))),"")&lt;0.01%,0.01%,(IFERROR(IF($BUI4="","",IF($BUI4=0,1,1-$BUI4/HLOOKUP(BVG$3,[2]ARBOR_REAJUSTE18!$A:$AE,VLOOKUP($BUI$2,[2]ARBOR_REAJUSTE18!$A:$B,2,0),0))),""))),4)</f>
        <v>#VALUE!</v>
      </c>
      <c r="BVH4" s="44" t="e">
        <f>ROUNDUP(IF(IFERROR(IF($BUI4="","",IF($BUI4=0,1,1-$BUI4/HLOOKUP(BVH$3,[2]ARBOR_REAJUSTE18!$A:$AE,VLOOKUP($BUI$2,[2]ARBOR_REAJUSTE18!$A:$B,2,0),0))),"")&lt;0.01%,0.01%,(IFERROR(IF($BUI4="","",IF($BUI4=0,1,1-$BUI4/HLOOKUP(BVH$3,[2]ARBOR_REAJUSTE18!$A:$AE,VLOOKUP($BUI$2,[2]ARBOR_REAJUSTE18!$A:$B,2,0),0))),""))),4)</f>
        <v>#VALUE!</v>
      </c>
      <c r="BVI4" s="44" t="e">
        <f>ROUNDUP(IF(IFERROR(IF($BUI4="","",IF($BUI4=0,1,1-$BUI4/HLOOKUP(BVI$3,[2]ARBOR_REAJUSTE18!$A:$AE,VLOOKUP($BUI$2,[2]ARBOR_REAJUSTE18!$A:$B,2,0),0))),"")&lt;0.01%,0.01%,(IFERROR(IF($BUI4="","",IF($BUI4=0,1,1-$BUI4/HLOOKUP(BVI$3,[2]ARBOR_REAJUSTE18!$A:$AE,VLOOKUP($BUI$2,[2]ARBOR_REAJUSTE18!$A:$B,2,0),0))),""))),4)</f>
        <v>#VALUE!</v>
      </c>
      <c r="BVJ4" s="44" t="e">
        <f>ROUNDUP(IF(IFERROR(IF($BUI4="","",IF($BUI4=0,1,1-$BUI4/HLOOKUP(BVJ$3,[2]ARBOR_REAJUSTE18!$A:$AE,VLOOKUP($BUI$2,[2]ARBOR_REAJUSTE18!$A:$B,2,0),0))),"")&lt;0.01%,0.01%,(IFERROR(IF($BUI4="","",IF($BUI4=0,1,1-$BUI4/HLOOKUP(BVJ$3,[2]ARBOR_REAJUSTE18!$A:$AE,VLOOKUP($BUI$2,[2]ARBOR_REAJUSTE18!$A:$B,2,0),0))),""))),4)</f>
        <v>#VALUE!</v>
      </c>
      <c r="BVK4" s="44" t="e">
        <f>ROUNDUP(IF(IFERROR(IF($BUI4="","",IF($BUI4=0,1,1-$BUI4/HLOOKUP(BVK$3,[2]ARBOR_REAJUSTE18!$A:$AE,VLOOKUP($BUI$2,[2]ARBOR_REAJUSTE18!$A:$B,2,0),0))),"")&lt;0.01%,0.01%,(IFERROR(IF($BUI4="","",IF($BUI4=0,1,1-$BUI4/HLOOKUP(BVK$3,[2]ARBOR_REAJUSTE18!$A:$AE,VLOOKUP($BUI$2,[2]ARBOR_REAJUSTE18!$A:$B,2,0),0))),""))),4)</f>
        <v>#VALUE!</v>
      </c>
      <c r="BVL4" s="56"/>
      <c r="BVM4" s="64"/>
      <c r="BVN4" s="44" t="e">
        <f>ROUNDUP(IF(IFERROR(IF($BVL4="","",IF($BVL4=0,1,1-$BVL4/HLOOKUP(BVN$3,[2]ARBOR_REAJUSTE18!$A:$AE,VLOOKUP($BVL$2,[2]ARBOR_REAJUSTE18!$A:$B,2,0),0))),"")&lt;0.01%,0.01%,(IFERROR(IF($BVL4="","",IF($BVL4=0,1,1-$BVL4/HLOOKUP(BVN$3,[2]ARBOR_REAJUSTE18!$A:$AE,VLOOKUP($BVL$2,[2]ARBOR_REAJUSTE18!$A:$B,2,0),0))),""))),4)</f>
        <v>#VALUE!</v>
      </c>
      <c r="BVO4" s="44" t="e">
        <f>ROUNDUP(IF(IFERROR(IF($BVL4="","",IF($BVL4=0,1,1-$BVL4/HLOOKUP(BVO$3,[2]ARBOR_REAJUSTE18!$A:$AE,VLOOKUP($BVL$2,[2]ARBOR_REAJUSTE18!$A:$B,2,0),0))),"")&lt;0.01%,0.01%,(IFERROR(IF($BVL4="","",IF($BVL4=0,1,1-$BVL4/HLOOKUP(BVO$3,[2]ARBOR_REAJUSTE18!$A:$AE,VLOOKUP($BVL$2,[2]ARBOR_REAJUSTE18!$A:$B,2,0),0))),""))),4)</f>
        <v>#VALUE!</v>
      </c>
      <c r="BVP4" s="44" t="e">
        <f>ROUNDUP(IF(IFERROR(IF($BVL4="","",IF($BVL4=0,1,1-$BVL4/HLOOKUP(BVP$3,[2]ARBOR_REAJUSTE18!$A:$AE,VLOOKUP($BVL$2,[2]ARBOR_REAJUSTE18!$A:$B,2,0),0))),"")&lt;0.01%,0.01%,(IFERROR(IF($BVL4="","",IF($BVL4=0,1,1-$BVL4/HLOOKUP(BVP$3,[2]ARBOR_REAJUSTE18!$A:$AE,VLOOKUP($BVL$2,[2]ARBOR_REAJUSTE18!$A:$B,2,0),0))),""))),4)</f>
        <v>#VALUE!</v>
      </c>
      <c r="BVQ4" s="44" t="e">
        <f>ROUNDUP(IF(IFERROR(IF($BVL4="","",IF($BVL4=0,1,1-$BVL4/HLOOKUP(BVQ$3,[2]ARBOR_REAJUSTE18!$A:$AE,VLOOKUP($BVL$2,[2]ARBOR_REAJUSTE18!$A:$B,2,0),0))),"")&lt;0.01%,0.01%,(IFERROR(IF($BVL4="","",IF($BVL4=0,1,1-$BVL4/HLOOKUP(BVQ$3,[2]ARBOR_REAJUSTE18!$A:$AE,VLOOKUP($BVL$2,[2]ARBOR_REAJUSTE18!$A:$B,2,0),0))),""))),4)</f>
        <v>#VALUE!</v>
      </c>
      <c r="BVR4" s="44" t="e">
        <f>ROUNDUP(IF(IFERROR(IF($BVL4="","",IF($BVL4=0,1,1-$BVL4/HLOOKUP(BVR$3,[2]ARBOR_REAJUSTE18!$A:$AE,VLOOKUP($BVL$2,[2]ARBOR_REAJUSTE18!$A:$B,2,0),0))),"")&lt;0.01%,0.01%,(IFERROR(IF($BVL4="","",IF($BVL4=0,1,1-$BVL4/HLOOKUP(BVR$3,[2]ARBOR_REAJUSTE18!$A:$AE,VLOOKUP($BVL$2,[2]ARBOR_REAJUSTE18!$A:$B,2,0),0))),""))),4)</f>
        <v>#VALUE!</v>
      </c>
      <c r="BVS4" s="44" t="e">
        <f>ROUNDUP(IF(IFERROR(IF($BVL4="","",IF($BVL4=0,1,1-$BVL4/HLOOKUP(BVS$3,[2]ARBOR_REAJUSTE18!$A:$AE,VLOOKUP($BVL$2,[2]ARBOR_REAJUSTE18!$A:$B,2,0),0))),"")&lt;0.01%,0.01%,(IFERROR(IF($BVL4="","",IF($BVL4=0,1,1-$BVL4/HLOOKUP(BVS$3,[2]ARBOR_REAJUSTE18!$A:$AE,VLOOKUP($BVL$2,[2]ARBOR_REAJUSTE18!$A:$B,2,0),0))),""))),4)</f>
        <v>#VALUE!</v>
      </c>
      <c r="BVT4" s="44" t="e">
        <f>ROUNDUP(IF(IFERROR(IF($BVL4="","",IF($BVL4=0,1,1-$BVL4/HLOOKUP(BVT$3,[2]ARBOR_REAJUSTE18!$A:$AE,VLOOKUP($BVL$2,[2]ARBOR_REAJUSTE18!$A:$B,2,0),0))),"")&lt;0.01%,0.01%,(IFERROR(IF($BVL4="","",IF($BVL4=0,1,1-$BVL4/HLOOKUP(BVT$3,[2]ARBOR_REAJUSTE18!$A:$AE,VLOOKUP($BVL$2,[2]ARBOR_REAJUSTE18!$A:$B,2,0),0))),""))),4)</f>
        <v>#VALUE!</v>
      </c>
      <c r="BVU4" s="44" t="e">
        <f>ROUNDUP(IF(IFERROR(IF($BVL4="","",IF($BVL4=0,1,1-$BVL4/HLOOKUP(BVU$3,[2]ARBOR_REAJUSTE18!$A:$AE,VLOOKUP($BVL$2,[2]ARBOR_REAJUSTE18!$A:$B,2,0),0))),"")&lt;0.01%,0.01%,(IFERROR(IF($BVL4="","",IF($BVL4=0,1,1-$BVL4/HLOOKUP(BVU$3,[2]ARBOR_REAJUSTE18!$A:$AE,VLOOKUP($BVL$2,[2]ARBOR_REAJUSTE18!$A:$B,2,0),0))),""))),4)</f>
        <v>#VALUE!</v>
      </c>
      <c r="BVV4" s="44" t="e">
        <f>ROUNDUP(IF(IFERROR(IF($BVL4="","",IF($BVL4=0,1,1-$BVL4/HLOOKUP(BVV$3,[2]ARBOR_REAJUSTE18!$A:$AE,VLOOKUP($BVL$2,[2]ARBOR_REAJUSTE18!$A:$B,2,0),0))),"")&lt;0.01%,0.01%,(IFERROR(IF($BVL4="","",IF($BVL4=0,1,1-$BVL4/HLOOKUP(BVV$3,[2]ARBOR_REAJUSTE18!$A:$AE,VLOOKUP($BVL$2,[2]ARBOR_REAJUSTE18!$A:$B,2,0),0))),""))),4)</f>
        <v>#VALUE!</v>
      </c>
      <c r="BVW4" s="44" t="e">
        <f>ROUNDUP(IF(IFERROR(IF($BVL4="","",IF($BVL4=0,1,1-$BVL4/HLOOKUP(BVW$3,[2]ARBOR_REAJUSTE18!$A:$AE,VLOOKUP($BVL$2,[2]ARBOR_REAJUSTE18!$A:$B,2,0),0))),"")&lt;0.01%,0.01%,(IFERROR(IF($BVL4="","",IF($BVL4=0,1,1-$BVL4/HLOOKUP(BVW$3,[2]ARBOR_REAJUSTE18!$A:$AE,VLOOKUP($BVL$2,[2]ARBOR_REAJUSTE18!$A:$B,2,0),0))),""))),4)</f>
        <v>#VALUE!</v>
      </c>
      <c r="BVX4" s="44" t="e">
        <f>ROUNDUP(IF(IFERROR(IF($BVL4="","",IF($BVL4=0,1,1-$BVL4/HLOOKUP(BVX$3,[2]ARBOR_REAJUSTE18!$A:$AE,VLOOKUP($BVL$2,[2]ARBOR_REAJUSTE18!$A:$B,2,0),0))),"")&lt;0.01%,0.01%,(IFERROR(IF($BVL4="","",IF($BVL4=0,1,1-$BVL4/HLOOKUP(BVX$3,[2]ARBOR_REAJUSTE18!$A:$AE,VLOOKUP($BVL$2,[2]ARBOR_REAJUSTE18!$A:$B,2,0),0))),""))),4)</f>
        <v>#VALUE!</v>
      </c>
      <c r="BVY4" s="44" t="e">
        <f>ROUNDUP(IF(IFERROR(IF($BVL4="","",IF($BVL4=0,1,1-$BVL4/HLOOKUP(BVY$3,[2]ARBOR_REAJUSTE18!$A:$AE,VLOOKUP($BVL$2,[2]ARBOR_REAJUSTE18!$A:$B,2,0),0))),"")&lt;0.01%,0.01%,(IFERROR(IF($BVL4="","",IF($BVL4=0,1,1-$BVL4/HLOOKUP(BVY$3,[2]ARBOR_REAJUSTE18!$A:$AE,VLOOKUP($BVL$2,[2]ARBOR_REAJUSTE18!$A:$B,2,0),0))),""))),4)</f>
        <v>#VALUE!</v>
      </c>
      <c r="BVZ4" s="44" t="e">
        <f>ROUNDUP(IF(IFERROR(IF($BVL4="","",IF($BVL4=0,1,1-$BVL4/HLOOKUP(BVZ$3,[2]ARBOR_REAJUSTE18!$A:$AE,VLOOKUP($BVL$2,[2]ARBOR_REAJUSTE18!$A:$B,2,0),0))),"")&lt;0.01%,0.01%,(IFERROR(IF($BVL4="","",IF($BVL4=0,1,1-$BVL4/HLOOKUP(BVZ$3,[2]ARBOR_REAJUSTE18!$A:$AE,VLOOKUP($BVL$2,[2]ARBOR_REAJUSTE18!$A:$B,2,0),0))),""))),4)</f>
        <v>#VALUE!</v>
      </c>
      <c r="BWA4" s="44" t="e">
        <f>ROUNDUP(IF(IFERROR(IF($BVL4="","",IF($BVL4=0,1,1-$BVL4/HLOOKUP(BWA$3,[2]ARBOR_REAJUSTE18!$A:$AE,VLOOKUP($BVL$2,[2]ARBOR_REAJUSTE18!$A:$B,2,0),0))),"")&lt;0.01%,0.01%,(IFERROR(IF($BVL4="","",IF($BVL4=0,1,1-$BVL4/HLOOKUP(BWA$3,[2]ARBOR_REAJUSTE18!$A:$AE,VLOOKUP($BVL$2,[2]ARBOR_REAJUSTE18!$A:$B,2,0),0))),""))),4)</f>
        <v>#VALUE!</v>
      </c>
      <c r="BWB4" s="44" t="e">
        <f>ROUNDUP(IF(IFERROR(IF($BVL4="","",IF($BVL4=0,1,1-$BVL4/HLOOKUP(BWB$3,[2]ARBOR_REAJUSTE18!$A:$AE,VLOOKUP($BVL$2,[2]ARBOR_REAJUSTE18!$A:$B,2,0),0))),"")&lt;0.01%,0.01%,(IFERROR(IF($BVL4="","",IF($BVL4=0,1,1-$BVL4/HLOOKUP(BWB$3,[2]ARBOR_REAJUSTE18!$A:$AE,VLOOKUP($BVL$2,[2]ARBOR_REAJUSTE18!$A:$B,2,0),0))),""))),4)</f>
        <v>#VALUE!</v>
      </c>
      <c r="BWC4" s="44" t="e">
        <f>ROUNDUP(IF(IFERROR(IF($BVL4="","",IF($BVL4=0,1,1-$BVL4/HLOOKUP(BWC$3,[2]ARBOR_REAJUSTE18!$A:$AE,VLOOKUP($BVL$2,[2]ARBOR_REAJUSTE18!$A:$B,2,0),0))),"")&lt;0.01%,0.01%,(IFERROR(IF($BVL4="","",IF($BVL4=0,1,1-$BVL4/HLOOKUP(BWC$3,[2]ARBOR_REAJUSTE18!$A:$AE,VLOOKUP($BVL$2,[2]ARBOR_REAJUSTE18!$A:$B,2,0),0))),""))),4)</f>
        <v>#VALUE!</v>
      </c>
      <c r="BWD4" s="44" t="e">
        <f>ROUNDUP(IF(IFERROR(IF($BVL4="","",IF($BVL4=0,1,1-$BVL4/HLOOKUP(BWD$3,[2]ARBOR_REAJUSTE18!$A:$AE,VLOOKUP($BVL$2,[2]ARBOR_REAJUSTE18!$A:$B,2,0),0))),"")&lt;0.01%,0.01%,(IFERROR(IF($BVL4="","",IF($BVL4=0,1,1-$BVL4/HLOOKUP(BWD$3,[2]ARBOR_REAJUSTE18!$A:$AE,VLOOKUP($BVL$2,[2]ARBOR_REAJUSTE18!$A:$B,2,0),0))),""))),4)</f>
        <v>#VALUE!</v>
      </c>
      <c r="BWE4" s="44" t="e">
        <f>ROUNDUP(IF(IFERROR(IF($BVL4="","",IF($BVL4=0,1,1-$BVL4/HLOOKUP(BWE$3,[2]ARBOR_REAJUSTE18!$A:$AE,VLOOKUP($BVL$2,[2]ARBOR_REAJUSTE18!$A:$B,2,0),0))),"")&lt;0.01%,0.01%,(IFERROR(IF($BVL4="","",IF($BVL4=0,1,1-$BVL4/HLOOKUP(BWE$3,[2]ARBOR_REAJUSTE18!$A:$AE,VLOOKUP($BVL$2,[2]ARBOR_REAJUSTE18!$A:$B,2,0),0))),""))),4)</f>
        <v>#VALUE!</v>
      </c>
      <c r="BWF4" s="44" t="e">
        <f>ROUNDUP(IF(IFERROR(IF($BVL4="","",IF($BVL4=0,1,1-$BVL4/HLOOKUP(BWF$3,[2]ARBOR_REAJUSTE18!$A:$AE,VLOOKUP($BVL$2,[2]ARBOR_REAJUSTE18!$A:$B,2,0),0))),"")&lt;0.01%,0.01%,(IFERROR(IF($BVL4="","",IF($BVL4=0,1,1-$BVL4/HLOOKUP(BWF$3,[2]ARBOR_REAJUSTE18!$A:$AE,VLOOKUP($BVL$2,[2]ARBOR_REAJUSTE18!$A:$B,2,0),0))),""))),4)</f>
        <v>#VALUE!</v>
      </c>
      <c r="BWG4" s="44" t="e">
        <f>ROUNDUP(IF(IFERROR(IF($BVL4="","",IF($BVL4=0,1,1-$BVL4/HLOOKUP(BWG$3,[2]ARBOR_REAJUSTE18!$A:$AE,VLOOKUP($BVL$2,[2]ARBOR_REAJUSTE18!$A:$B,2,0),0))),"")&lt;0.01%,0.01%,(IFERROR(IF($BVL4="","",IF($BVL4=0,1,1-$BVL4/HLOOKUP(BWG$3,[2]ARBOR_REAJUSTE18!$A:$AE,VLOOKUP($BVL$2,[2]ARBOR_REAJUSTE18!$A:$B,2,0),0))),""))),4)</f>
        <v>#VALUE!</v>
      </c>
      <c r="BWH4" s="44" t="e">
        <f>ROUNDUP(IF(IFERROR(IF($BVL4="","",IF($BVL4=0,1,1-$BVL4/HLOOKUP(BWH$3,[2]ARBOR_REAJUSTE18!$A:$AE,VLOOKUP($BVL$2,[2]ARBOR_REAJUSTE18!$A:$B,2,0),0))),"")&lt;0.01%,0.01%,(IFERROR(IF($BVL4="","",IF($BVL4=0,1,1-$BVL4/HLOOKUP(BWH$3,[2]ARBOR_REAJUSTE18!$A:$AE,VLOOKUP($BVL$2,[2]ARBOR_REAJUSTE18!$A:$B,2,0),0))),""))),4)</f>
        <v>#VALUE!</v>
      </c>
      <c r="BWI4" s="44" t="e">
        <f>ROUNDUP(IF(IFERROR(IF($BVL4="","",IF($BVL4=0,1,1-$BVL4/HLOOKUP(BWI$3,[2]ARBOR_REAJUSTE18!$A:$AE,VLOOKUP($BVL$2,[2]ARBOR_REAJUSTE18!$A:$B,2,0),0))),"")&lt;0.01%,0.01%,(IFERROR(IF($BVL4="","",IF($BVL4=0,1,1-$BVL4/HLOOKUP(BWI$3,[2]ARBOR_REAJUSTE18!$A:$AE,VLOOKUP($BVL$2,[2]ARBOR_REAJUSTE18!$A:$B,2,0),0))),""))),4)</f>
        <v>#VALUE!</v>
      </c>
      <c r="BWJ4" s="44" t="e">
        <f>ROUNDUP(IF(IFERROR(IF($BVL4="","",IF($BVL4=0,1,1-$BVL4/HLOOKUP(BWJ$3,[2]ARBOR_REAJUSTE18!$A:$AE,VLOOKUP($BVL$2,[2]ARBOR_REAJUSTE18!$A:$B,2,0),0))),"")&lt;0.01%,0.01%,(IFERROR(IF($BVL4="","",IF($BVL4=0,1,1-$BVL4/HLOOKUP(BWJ$3,[2]ARBOR_REAJUSTE18!$A:$AE,VLOOKUP($BVL$2,[2]ARBOR_REAJUSTE18!$A:$B,2,0),0))),""))),4)</f>
        <v>#VALUE!</v>
      </c>
      <c r="BWK4" s="44" t="e">
        <f>ROUNDUP(IF(IFERROR(IF($BVL4="","",IF($BVL4=0,1,1-$BVL4/HLOOKUP(BWK$3,[2]ARBOR_REAJUSTE18!$A:$AE,VLOOKUP($BVL$2,[2]ARBOR_REAJUSTE18!$A:$B,2,0),0))),"")&lt;0.01%,0.01%,(IFERROR(IF($BVL4="","",IF($BVL4=0,1,1-$BVL4/HLOOKUP(BWK$3,[2]ARBOR_REAJUSTE18!$A:$AE,VLOOKUP($BVL$2,[2]ARBOR_REAJUSTE18!$A:$B,2,0),0))),""))),4)</f>
        <v>#VALUE!</v>
      </c>
      <c r="BWL4" s="44" t="e">
        <f>ROUNDUP(IF(IFERROR(IF($BVL4="","",IF($BVL4=0,1,1-$BVL4/HLOOKUP(BWL$3,[2]ARBOR_REAJUSTE18!$A:$AE,VLOOKUP($BVL$2,[2]ARBOR_REAJUSTE18!$A:$B,2,0),0))),"")&lt;0.01%,0.01%,(IFERROR(IF($BVL4="","",IF($BVL4=0,1,1-$BVL4/HLOOKUP(BWL$3,[2]ARBOR_REAJUSTE18!$A:$AE,VLOOKUP($BVL$2,[2]ARBOR_REAJUSTE18!$A:$B,2,0),0))),""))),4)</f>
        <v>#VALUE!</v>
      </c>
      <c r="BWM4" s="44" t="e">
        <f>ROUNDUP(IF(IFERROR(IF($BVL4="","",IF($BVL4=0,1,1-$BVL4/HLOOKUP(BWM$3,[2]ARBOR_REAJUSTE18!$A:$AE,VLOOKUP($BVL$2,[2]ARBOR_REAJUSTE18!$A:$B,2,0),0))),"")&lt;0.01%,0.01%,(IFERROR(IF($BVL4="","",IF($BVL4=0,1,1-$BVL4/HLOOKUP(BWM$3,[2]ARBOR_REAJUSTE18!$A:$AE,VLOOKUP($BVL$2,[2]ARBOR_REAJUSTE18!$A:$B,2,0),0))),""))),4)</f>
        <v>#VALUE!</v>
      </c>
      <c r="BWN4" s="44" t="e">
        <f>ROUNDUP(IF(IFERROR(IF($BVL4="","",IF($BVL4=0,1,1-$BVL4/HLOOKUP(BWN$3,[2]ARBOR_REAJUSTE18!$A:$AE,VLOOKUP($BVL$2,[2]ARBOR_REAJUSTE18!$A:$B,2,0),0))),"")&lt;0.01%,0.01%,(IFERROR(IF($BVL4="","",IF($BVL4=0,1,1-$BVL4/HLOOKUP(BWN$3,[2]ARBOR_REAJUSTE18!$A:$AE,VLOOKUP($BVL$2,[2]ARBOR_REAJUSTE18!$A:$B,2,0),0))),""))),4)</f>
        <v>#VALUE!</v>
      </c>
      <c r="BWO4" s="56"/>
      <c r="BWP4" s="64"/>
      <c r="BWQ4" s="44" t="e">
        <f>ROUNDUP(IF(IFERROR(IF($BWO4="","",IF($BWO4=0,1,1-$BWO4/HLOOKUP(BWQ$3,[2]ARBOR_REAJUSTE18!$A:$AE,VLOOKUP($BWO$2,[2]ARBOR_REAJUSTE18!$A:$B,2,0),0))),"")&lt;0.01%,0.01%,(IFERROR(IF($BWO4="","",IF($BWO4=0,1,1-$BWO4/HLOOKUP(BWQ$3,[2]ARBOR_REAJUSTE18!$A:$AE,VLOOKUP($BWO$2,[2]ARBOR_REAJUSTE18!$A:$B,2,0),0))),""))),4)</f>
        <v>#VALUE!</v>
      </c>
      <c r="BWR4" s="44" t="e">
        <f>ROUNDUP(IF(IFERROR(IF($BWO4="","",IF($BWO4=0,1,1-$BWO4/HLOOKUP(BWR$3,[2]ARBOR_REAJUSTE18!$A:$AE,VLOOKUP($BWO$2,[2]ARBOR_REAJUSTE18!$A:$B,2,0),0))),"")&lt;0.01%,0.01%,(IFERROR(IF($BWO4="","",IF($BWO4=0,1,1-$BWO4/HLOOKUP(BWR$3,[2]ARBOR_REAJUSTE18!$A:$AE,VLOOKUP($BWO$2,[2]ARBOR_REAJUSTE18!$A:$B,2,0),0))),""))),4)</f>
        <v>#VALUE!</v>
      </c>
      <c r="BWS4" s="44" t="e">
        <f>ROUNDUP(IF(IFERROR(IF($BWO4="","",IF($BWO4=0,1,1-$BWO4/HLOOKUP(BWS$3,[2]ARBOR_REAJUSTE18!$A:$AE,VLOOKUP($BWO$2,[2]ARBOR_REAJUSTE18!$A:$B,2,0),0))),"")&lt;0.01%,0.01%,(IFERROR(IF($BWO4="","",IF($BWO4=0,1,1-$BWO4/HLOOKUP(BWS$3,[2]ARBOR_REAJUSTE18!$A:$AE,VLOOKUP($BWO$2,[2]ARBOR_REAJUSTE18!$A:$B,2,0),0))),""))),4)</f>
        <v>#VALUE!</v>
      </c>
      <c r="BWT4" s="44" t="e">
        <f>ROUNDUP(IF(IFERROR(IF($BWO4="","",IF($BWO4=0,1,1-$BWO4/HLOOKUP(BWT$3,[2]ARBOR_REAJUSTE18!$A:$AE,VLOOKUP($BWO$2,[2]ARBOR_REAJUSTE18!$A:$B,2,0),0))),"")&lt;0.01%,0.01%,(IFERROR(IF($BWO4="","",IF($BWO4=0,1,1-$BWO4/HLOOKUP(BWT$3,[2]ARBOR_REAJUSTE18!$A:$AE,VLOOKUP($BWO$2,[2]ARBOR_REAJUSTE18!$A:$B,2,0),0))),""))),4)</f>
        <v>#VALUE!</v>
      </c>
      <c r="BWU4" s="44" t="e">
        <f>ROUNDUP(IF(IFERROR(IF($BWO4="","",IF($BWO4=0,1,1-$BWO4/HLOOKUP(BWU$3,[2]ARBOR_REAJUSTE18!$A:$AE,VLOOKUP($BWO$2,[2]ARBOR_REAJUSTE18!$A:$B,2,0),0))),"")&lt;0.01%,0.01%,(IFERROR(IF($BWO4="","",IF($BWO4=0,1,1-$BWO4/HLOOKUP(BWU$3,[2]ARBOR_REAJUSTE18!$A:$AE,VLOOKUP($BWO$2,[2]ARBOR_REAJUSTE18!$A:$B,2,0),0))),""))),4)</f>
        <v>#VALUE!</v>
      </c>
      <c r="BWV4" s="44" t="e">
        <f>ROUNDUP(IF(IFERROR(IF($BWO4="","",IF($BWO4=0,1,1-$BWO4/HLOOKUP(BWV$3,[2]ARBOR_REAJUSTE18!$A:$AE,VLOOKUP($BWO$2,[2]ARBOR_REAJUSTE18!$A:$B,2,0),0))),"")&lt;0.01%,0.01%,(IFERROR(IF($BWO4="","",IF($BWO4=0,1,1-$BWO4/HLOOKUP(BWV$3,[2]ARBOR_REAJUSTE18!$A:$AE,VLOOKUP($BWO$2,[2]ARBOR_REAJUSTE18!$A:$B,2,0),0))),""))),4)</f>
        <v>#VALUE!</v>
      </c>
      <c r="BWW4" s="44" t="e">
        <f>ROUNDUP(IF(IFERROR(IF($BWO4="","",IF($BWO4=0,1,1-$BWO4/HLOOKUP(BWW$3,[2]ARBOR_REAJUSTE18!$A:$AE,VLOOKUP($BWO$2,[2]ARBOR_REAJUSTE18!$A:$B,2,0),0))),"")&lt;0.01%,0.01%,(IFERROR(IF($BWO4="","",IF($BWO4=0,1,1-$BWO4/HLOOKUP(BWW$3,[2]ARBOR_REAJUSTE18!$A:$AE,VLOOKUP($BWO$2,[2]ARBOR_REAJUSTE18!$A:$B,2,0),0))),""))),4)</f>
        <v>#VALUE!</v>
      </c>
      <c r="BWX4" s="44" t="e">
        <f>ROUNDUP(IF(IFERROR(IF($BWO4="","",IF($BWO4=0,1,1-$BWO4/HLOOKUP(BWX$3,[2]ARBOR_REAJUSTE18!$A:$AE,VLOOKUP($BWO$2,[2]ARBOR_REAJUSTE18!$A:$B,2,0),0))),"")&lt;0.01%,0.01%,(IFERROR(IF($BWO4="","",IF($BWO4=0,1,1-$BWO4/HLOOKUP(BWX$3,[2]ARBOR_REAJUSTE18!$A:$AE,VLOOKUP($BWO$2,[2]ARBOR_REAJUSTE18!$A:$B,2,0),0))),""))),4)</f>
        <v>#VALUE!</v>
      </c>
      <c r="BWY4" s="44" t="e">
        <f>ROUNDUP(IF(IFERROR(IF($BWO4="","",IF($BWO4=0,1,1-$BWO4/HLOOKUP(BWY$3,[2]ARBOR_REAJUSTE18!$A:$AE,VLOOKUP($BWO$2,[2]ARBOR_REAJUSTE18!$A:$B,2,0),0))),"")&lt;0.01%,0.01%,(IFERROR(IF($BWO4="","",IF($BWO4=0,1,1-$BWO4/HLOOKUP(BWY$3,[2]ARBOR_REAJUSTE18!$A:$AE,VLOOKUP($BWO$2,[2]ARBOR_REAJUSTE18!$A:$B,2,0),0))),""))),4)</f>
        <v>#VALUE!</v>
      </c>
      <c r="BWZ4" s="44" t="e">
        <f>ROUNDUP(IF(IFERROR(IF($BWO4="","",IF($BWO4=0,1,1-$BWO4/HLOOKUP(BWZ$3,[2]ARBOR_REAJUSTE18!$A:$AE,VLOOKUP($BWO$2,[2]ARBOR_REAJUSTE18!$A:$B,2,0),0))),"")&lt;0.01%,0.01%,(IFERROR(IF($BWO4="","",IF($BWO4=0,1,1-$BWO4/HLOOKUP(BWZ$3,[2]ARBOR_REAJUSTE18!$A:$AE,VLOOKUP($BWO$2,[2]ARBOR_REAJUSTE18!$A:$B,2,0),0))),""))),4)</f>
        <v>#VALUE!</v>
      </c>
      <c r="BXA4" s="44" t="e">
        <f>ROUNDUP(IF(IFERROR(IF($BWO4="","",IF($BWO4=0,1,1-$BWO4/HLOOKUP(BXA$3,[2]ARBOR_REAJUSTE18!$A:$AE,VLOOKUP($BWO$2,[2]ARBOR_REAJUSTE18!$A:$B,2,0),0))),"")&lt;0.01%,0.01%,(IFERROR(IF($BWO4="","",IF($BWO4=0,1,1-$BWO4/HLOOKUP(BXA$3,[2]ARBOR_REAJUSTE18!$A:$AE,VLOOKUP($BWO$2,[2]ARBOR_REAJUSTE18!$A:$B,2,0),0))),""))),4)</f>
        <v>#VALUE!</v>
      </c>
      <c r="BXB4" s="44" t="e">
        <f>ROUNDUP(IF(IFERROR(IF($BWO4="","",IF($BWO4=0,1,1-$BWO4/HLOOKUP(BXB$3,[2]ARBOR_REAJUSTE18!$A:$AE,VLOOKUP($BWO$2,[2]ARBOR_REAJUSTE18!$A:$B,2,0),0))),"")&lt;0.01%,0.01%,(IFERROR(IF($BWO4="","",IF($BWO4=0,1,1-$BWO4/HLOOKUP(BXB$3,[2]ARBOR_REAJUSTE18!$A:$AE,VLOOKUP($BWO$2,[2]ARBOR_REAJUSTE18!$A:$B,2,0),0))),""))),4)</f>
        <v>#VALUE!</v>
      </c>
      <c r="BXC4" s="44" t="e">
        <f>ROUNDUP(IF(IFERROR(IF($BWO4="","",IF($BWO4=0,1,1-$BWO4/HLOOKUP(BXC$3,[2]ARBOR_REAJUSTE18!$A:$AE,VLOOKUP($BWO$2,[2]ARBOR_REAJUSTE18!$A:$B,2,0),0))),"")&lt;0.01%,0.01%,(IFERROR(IF($BWO4="","",IF($BWO4=0,1,1-$BWO4/HLOOKUP(BXC$3,[2]ARBOR_REAJUSTE18!$A:$AE,VLOOKUP($BWO$2,[2]ARBOR_REAJUSTE18!$A:$B,2,0),0))),""))),4)</f>
        <v>#VALUE!</v>
      </c>
      <c r="BXD4" s="44" t="e">
        <f>ROUNDUP(IF(IFERROR(IF($BWO4="","",IF($BWO4=0,1,1-$BWO4/HLOOKUP(BXD$3,[2]ARBOR_REAJUSTE18!$A:$AE,VLOOKUP($BWO$2,[2]ARBOR_REAJUSTE18!$A:$B,2,0),0))),"")&lt;0.01%,0.01%,(IFERROR(IF($BWO4="","",IF($BWO4=0,1,1-$BWO4/HLOOKUP(BXD$3,[2]ARBOR_REAJUSTE18!$A:$AE,VLOOKUP($BWO$2,[2]ARBOR_REAJUSTE18!$A:$B,2,0),0))),""))),4)</f>
        <v>#VALUE!</v>
      </c>
      <c r="BXE4" s="44" t="e">
        <f>ROUNDUP(IF(IFERROR(IF($BWO4="","",IF($BWO4=0,1,1-$BWO4/HLOOKUP(BXE$3,[2]ARBOR_REAJUSTE18!$A:$AE,VLOOKUP($BWO$2,[2]ARBOR_REAJUSTE18!$A:$B,2,0),0))),"")&lt;0.01%,0.01%,(IFERROR(IF($BWO4="","",IF($BWO4=0,1,1-$BWO4/HLOOKUP(BXE$3,[2]ARBOR_REAJUSTE18!$A:$AE,VLOOKUP($BWO$2,[2]ARBOR_REAJUSTE18!$A:$B,2,0),0))),""))),4)</f>
        <v>#VALUE!</v>
      </c>
      <c r="BXF4" s="44" t="e">
        <f>ROUNDUP(IF(IFERROR(IF($BWO4="","",IF($BWO4=0,1,1-$BWO4/HLOOKUP(BXF$3,[2]ARBOR_REAJUSTE18!$A:$AE,VLOOKUP($BWO$2,[2]ARBOR_REAJUSTE18!$A:$B,2,0),0))),"")&lt;0.01%,0.01%,(IFERROR(IF($BWO4="","",IF($BWO4=0,1,1-$BWO4/HLOOKUP(BXF$3,[2]ARBOR_REAJUSTE18!$A:$AE,VLOOKUP($BWO$2,[2]ARBOR_REAJUSTE18!$A:$B,2,0),0))),""))),4)</f>
        <v>#VALUE!</v>
      </c>
      <c r="BXG4" s="44" t="e">
        <f>ROUNDUP(IF(IFERROR(IF($BWO4="","",IF($BWO4=0,1,1-$BWO4/HLOOKUP(BXG$3,[2]ARBOR_REAJUSTE18!$A:$AE,VLOOKUP($BWO$2,[2]ARBOR_REAJUSTE18!$A:$B,2,0),0))),"")&lt;0.01%,0.01%,(IFERROR(IF($BWO4="","",IF($BWO4=0,1,1-$BWO4/HLOOKUP(BXG$3,[2]ARBOR_REAJUSTE18!$A:$AE,VLOOKUP($BWO$2,[2]ARBOR_REAJUSTE18!$A:$B,2,0),0))),""))),4)</f>
        <v>#VALUE!</v>
      </c>
      <c r="BXH4" s="44" t="e">
        <f>ROUNDUP(IF(IFERROR(IF($BWO4="","",IF($BWO4=0,1,1-$BWO4/HLOOKUP(BXH$3,[2]ARBOR_REAJUSTE18!$A:$AE,VLOOKUP($BWO$2,[2]ARBOR_REAJUSTE18!$A:$B,2,0),0))),"")&lt;0.01%,0.01%,(IFERROR(IF($BWO4="","",IF($BWO4=0,1,1-$BWO4/HLOOKUP(BXH$3,[2]ARBOR_REAJUSTE18!$A:$AE,VLOOKUP($BWO$2,[2]ARBOR_REAJUSTE18!$A:$B,2,0),0))),""))),4)</f>
        <v>#VALUE!</v>
      </c>
      <c r="BXI4" s="44" t="e">
        <f>ROUNDUP(IF(IFERROR(IF($BWO4="","",IF($BWO4=0,1,1-$BWO4/HLOOKUP(BXI$3,[2]ARBOR_REAJUSTE18!$A:$AE,VLOOKUP($BWO$2,[2]ARBOR_REAJUSTE18!$A:$B,2,0),0))),"")&lt;0.01%,0.01%,(IFERROR(IF($BWO4="","",IF($BWO4=0,1,1-$BWO4/HLOOKUP(BXI$3,[2]ARBOR_REAJUSTE18!$A:$AE,VLOOKUP($BWO$2,[2]ARBOR_REAJUSTE18!$A:$B,2,0),0))),""))),4)</f>
        <v>#VALUE!</v>
      </c>
      <c r="BXJ4" s="44" t="e">
        <f>ROUNDUP(IF(IFERROR(IF($BWO4="","",IF($BWO4=0,1,1-$BWO4/HLOOKUP(BXJ$3,[2]ARBOR_REAJUSTE18!$A:$AE,VLOOKUP($BWO$2,[2]ARBOR_REAJUSTE18!$A:$B,2,0),0))),"")&lt;0.01%,0.01%,(IFERROR(IF($BWO4="","",IF($BWO4=0,1,1-$BWO4/HLOOKUP(BXJ$3,[2]ARBOR_REAJUSTE18!$A:$AE,VLOOKUP($BWO$2,[2]ARBOR_REAJUSTE18!$A:$B,2,0),0))),""))),4)</f>
        <v>#VALUE!</v>
      </c>
      <c r="BXK4" s="44" t="e">
        <f>ROUNDUP(IF(IFERROR(IF($BWO4="","",IF($BWO4=0,1,1-$BWO4/HLOOKUP(BXK$3,[2]ARBOR_REAJUSTE18!$A:$AE,VLOOKUP($BWO$2,[2]ARBOR_REAJUSTE18!$A:$B,2,0),0))),"")&lt;0.01%,0.01%,(IFERROR(IF($BWO4="","",IF($BWO4=0,1,1-$BWO4/HLOOKUP(BXK$3,[2]ARBOR_REAJUSTE18!$A:$AE,VLOOKUP($BWO$2,[2]ARBOR_REAJUSTE18!$A:$B,2,0),0))),""))),4)</f>
        <v>#VALUE!</v>
      </c>
      <c r="BXL4" s="44" t="e">
        <f>ROUNDUP(IF(IFERROR(IF($BWO4="","",IF($BWO4=0,1,1-$BWO4/HLOOKUP(BXL$3,[2]ARBOR_REAJUSTE18!$A:$AE,VLOOKUP($BWO$2,[2]ARBOR_REAJUSTE18!$A:$B,2,0),0))),"")&lt;0.01%,0.01%,(IFERROR(IF($BWO4="","",IF($BWO4=0,1,1-$BWO4/HLOOKUP(BXL$3,[2]ARBOR_REAJUSTE18!$A:$AE,VLOOKUP($BWO$2,[2]ARBOR_REAJUSTE18!$A:$B,2,0),0))),""))),4)</f>
        <v>#VALUE!</v>
      </c>
      <c r="BXM4" s="44" t="e">
        <f>ROUNDUP(IF(IFERROR(IF($BWO4="","",IF($BWO4=0,1,1-$BWO4/HLOOKUP(BXM$3,[2]ARBOR_REAJUSTE18!$A:$AE,VLOOKUP($BWO$2,[2]ARBOR_REAJUSTE18!$A:$B,2,0),0))),"")&lt;0.01%,0.01%,(IFERROR(IF($BWO4="","",IF($BWO4=0,1,1-$BWO4/HLOOKUP(BXM$3,[2]ARBOR_REAJUSTE18!$A:$AE,VLOOKUP($BWO$2,[2]ARBOR_REAJUSTE18!$A:$B,2,0),0))),""))),4)</f>
        <v>#VALUE!</v>
      </c>
      <c r="BXN4" s="44" t="e">
        <f>ROUNDUP(IF(IFERROR(IF($BWO4="","",IF($BWO4=0,1,1-$BWO4/HLOOKUP(BXN$3,[2]ARBOR_REAJUSTE18!$A:$AE,VLOOKUP($BWO$2,[2]ARBOR_REAJUSTE18!$A:$B,2,0),0))),"")&lt;0.01%,0.01%,(IFERROR(IF($BWO4="","",IF($BWO4=0,1,1-$BWO4/HLOOKUP(BXN$3,[2]ARBOR_REAJUSTE18!$A:$AE,VLOOKUP($BWO$2,[2]ARBOR_REAJUSTE18!$A:$B,2,0),0))),""))),4)</f>
        <v>#VALUE!</v>
      </c>
      <c r="BXO4" s="44" t="e">
        <f>ROUNDUP(IF(IFERROR(IF($BWO4="","",IF($BWO4=0,1,1-$BWO4/HLOOKUP(BXO$3,[2]ARBOR_REAJUSTE18!$A:$AE,VLOOKUP($BWO$2,[2]ARBOR_REAJUSTE18!$A:$B,2,0),0))),"")&lt;0.01%,0.01%,(IFERROR(IF($BWO4="","",IF($BWO4=0,1,1-$BWO4/HLOOKUP(BXO$3,[2]ARBOR_REAJUSTE18!$A:$AE,VLOOKUP($BWO$2,[2]ARBOR_REAJUSTE18!$A:$B,2,0),0))),""))),4)</f>
        <v>#VALUE!</v>
      </c>
      <c r="BXP4" s="44" t="e">
        <f>ROUNDUP(IF(IFERROR(IF($BWO4="","",IF($BWO4=0,1,1-$BWO4/HLOOKUP(BXP$3,[2]ARBOR_REAJUSTE18!$A:$AE,VLOOKUP($BWO$2,[2]ARBOR_REAJUSTE18!$A:$B,2,0),0))),"")&lt;0.01%,0.01%,(IFERROR(IF($BWO4="","",IF($BWO4=0,1,1-$BWO4/HLOOKUP(BXP$3,[2]ARBOR_REAJUSTE18!$A:$AE,VLOOKUP($BWO$2,[2]ARBOR_REAJUSTE18!$A:$B,2,0),0))),""))),4)</f>
        <v>#VALUE!</v>
      </c>
      <c r="BXQ4" s="44" t="e">
        <f>ROUNDUP(IF(IFERROR(IF($BWO4="","",IF($BWO4=0,1,1-$BWO4/HLOOKUP(BXQ$3,[2]ARBOR_REAJUSTE18!$A:$AE,VLOOKUP($BWO$2,[2]ARBOR_REAJUSTE18!$A:$B,2,0),0))),"")&lt;0.01%,0.01%,(IFERROR(IF($BWO4="","",IF($BWO4=0,1,1-$BWO4/HLOOKUP(BXQ$3,[2]ARBOR_REAJUSTE18!$A:$AE,VLOOKUP($BWO$2,[2]ARBOR_REAJUSTE18!$A:$B,2,0),0))),""))),4)</f>
        <v>#VALUE!</v>
      </c>
      <c r="BXR4" s="56"/>
      <c r="BXS4" s="64"/>
      <c r="BXT4" s="44" t="e">
        <f>ROUNDUP(IF(IFERROR(IF($BXR4="","",IF($BXR4=0,1,1-$BXR4/HLOOKUP(BXT$3,[2]ARBOR_REAJUSTE18!$A:$AE,VLOOKUP($BXR$2,[2]ARBOR_REAJUSTE18!$A:$B,2,0),0))),"")&lt;0.01%,0.01%,(IFERROR(IF($BXR4="","",IF($BXR4=0,1,1-$BXR4/HLOOKUP(BXT$3,[2]ARBOR_REAJUSTE18!$A:$AE,VLOOKUP($BXR$2,[2]ARBOR_REAJUSTE18!$A:$B,2,0),0))),""))),4)</f>
        <v>#VALUE!</v>
      </c>
      <c r="BXU4" s="44" t="e">
        <f>ROUNDUP(IF(IFERROR(IF($BXR4="","",IF($BXR4=0,1,1-$BXR4/HLOOKUP(BXU$3,[2]ARBOR_REAJUSTE18!$A:$AE,VLOOKUP($BXR$2,[2]ARBOR_REAJUSTE18!$A:$B,2,0),0))),"")&lt;0.01%,0.01%,(IFERROR(IF($BXR4="","",IF($BXR4=0,1,1-$BXR4/HLOOKUP(BXU$3,[2]ARBOR_REAJUSTE18!$A:$AE,VLOOKUP($BXR$2,[2]ARBOR_REAJUSTE18!$A:$B,2,0),0))),""))),4)</f>
        <v>#VALUE!</v>
      </c>
      <c r="BXV4" s="44" t="e">
        <f>ROUNDUP(IF(IFERROR(IF($BXR4="","",IF($BXR4=0,1,1-$BXR4/HLOOKUP(BXV$3,[2]ARBOR_REAJUSTE18!$A:$AE,VLOOKUP($BXR$2,[2]ARBOR_REAJUSTE18!$A:$B,2,0),0))),"")&lt;0.01%,0.01%,(IFERROR(IF($BXR4="","",IF($BXR4=0,1,1-$BXR4/HLOOKUP(BXV$3,[2]ARBOR_REAJUSTE18!$A:$AE,VLOOKUP($BXR$2,[2]ARBOR_REAJUSTE18!$A:$B,2,0),0))),""))),4)</f>
        <v>#VALUE!</v>
      </c>
      <c r="BXW4" s="44" t="e">
        <f>ROUNDUP(IF(IFERROR(IF($BXR4="","",IF($BXR4=0,1,1-$BXR4/HLOOKUP(BXW$3,[2]ARBOR_REAJUSTE18!$A:$AE,VLOOKUP($BXR$2,[2]ARBOR_REAJUSTE18!$A:$B,2,0),0))),"")&lt;0.01%,0.01%,(IFERROR(IF($BXR4="","",IF($BXR4=0,1,1-$BXR4/HLOOKUP(BXW$3,[2]ARBOR_REAJUSTE18!$A:$AE,VLOOKUP($BXR$2,[2]ARBOR_REAJUSTE18!$A:$B,2,0),0))),""))),4)</f>
        <v>#VALUE!</v>
      </c>
      <c r="BXX4" s="44" t="e">
        <f>ROUNDUP(IF(IFERROR(IF($BXR4="","",IF($BXR4=0,1,1-$BXR4/HLOOKUP(BXX$3,[2]ARBOR_REAJUSTE18!$A:$AE,VLOOKUP($BXR$2,[2]ARBOR_REAJUSTE18!$A:$B,2,0),0))),"")&lt;0.01%,0.01%,(IFERROR(IF($BXR4="","",IF($BXR4=0,1,1-$BXR4/HLOOKUP(BXX$3,[2]ARBOR_REAJUSTE18!$A:$AE,VLOOKUP($BXR$2,[2]ARBOR_REAJUSTE18!$A:$B,2,0),0))),""))),4)</f>
        <v>#VALUE!</v>
      </c>
      <c r="BXY4" s="44" t="e">
        <f>ROUNDUP(IF(IFERROR(IF($BXR4="","",IF($BXR4=0,1,1-$BXR4/HLOOKUP(BXY$3,[2]ARBOR_REAJUSTE18!$A:$AE,VLOOKUP($BXR$2,[2]ARBOR_REAJUSTE18!$A:$B,2,0),0))),"")&lt;0.01%,0.01%,(IFERROR(IF($BXR4="","",IF($BXR4=0,1,1-$BXR4/HLOOKUP(BXY$3,[2]ARBOR_REAJUSTE18!$A:$AE,VLOOKUP($BXR$2,[2]ARBOR_REAJUSTE18!$A:$B,2,0),0))),""))),4)</f>
        <v>#VALUE!</v>
      </c>
      <c r="BXZ4" s="44" t="e">
        <f>ROUNDUP(IF(IFERROR(IF($BXR4="","",IF($BXR4=0,1,1-$BXR4/HLOOKUP(BXZ$3,[2]ARBOR_REAJUSTE18!$A:$AE,VLOOKUP($BXR$2,[2]ARBOR_REAJUSTE18!$A:$B,2,0),0))),"")&lt;0.01%,0.01%,(IFERROR(IF($BXR4="","",IF($BXR4=0,1,1-$BXR4/HLOOKUP(BXZ$3,[2]ARBOR_REAJUSTE18!$A:$AE,VLOOKUP($BXR$2,[2]ARBOR_REAJUSTE18!$A:$B,2,0),0))),""))),4)</f>
        <v>#VALUE!</v>
      </c>
      <c r="BYA4" s="44" t="e">
        <f>ROUNDUP(IF(IFERROR(IF($BXR4="","",IF($BXR4=0,1,1-$BXR4/HLOOKUP(BYA$3,[2]ARBOR_REAJUSTE18!$A:$AE,VLOOKUP($BXR$2,[2]ARBOR_REAJUSTE18!$A:$B,2,0),0))),"")&lt;0.01%,0.01%,(IFERROR(IF($BXR4="","",IF($BXR4=0,1,1-$BXR4/HLOOKUP(BYA$3,[2]ARBOR_REAJUSTE18!$A:$AE,VLOOKUP($BXR$2,[2]ARBOR_REAJUSTE18!$A:$B,2,0),0))),""))),4)</f>
        <v>#VALUE!</v>
      </c>
      <c r="BYB4" s="44" t="e">
        <f>ROUNDUP(IF(IFERROR(IF($BXR4="","",IF($BXR4=0,1,1-$BXR4/HLOOKUP(BYB$3,[2]ARBOR_REAJUSTE18!$A:$AE,VLOOKUP($BXR$2,[2]ARBOR_REAJUSTE18!$A:$B,2,0),0))),"")&lt;0.01%,0.01%,(IFERROR(IF($BXR4="","",IF($BXR4=0,1,1-$BXR4/HLOOKUP(BYB$3,[2]ARBOR_REAJUSTE18!$A:$AE,VLOOKUP($BXR$2,[2]ARBOR_REAJUSTE18!$A:$B,2,0),0))),""))),4)</f>
        <v>#VALUE!</v>
      </c>
      <c r="BYC4" s="44" t="e">
        <f>ROUNDUP(IF(IFERROR(IF($BXR4="","",IF($BXR4=0,1,1-$BXR4/HLOOKUP(BYC$3,[2]ARBOR_REAJUSTE18!$A:$AE,VLOOKUP($BXR$2,[2]ARBOR_REAJUSTE18!$A:$B,2,0),0))),"")&lt;0.01%,0.01%,(IFERROR(IF($BXR4="","",IF($BXR4=0,1,1-$BXR4/HLOOKUP(BYC$3,[2]ARBOR_REAJUSTE18!$A:$AE,VLOOKUP($BXR$2,[2]ARBOR_REAJUSTE18!$A:$B,2,0),0))),""))),4)</f>
        <v>#VALUE!</v>
      </c>
      <c r="BYD4" s="44" t="e">
        <f>ROUNDUP(IF(IFERROR(IF($BXR4="","",IF($BXR4=0,1,1-$BXR4/HLOOKUP(BYD$3,[2]ARBOR_REAJUSTE18!$A:$AE,VLOOKUP($BXR$2,[2]ARBOR_REAJUSTE18!$A:$B,2,0),0))),"")&lt;0.01%,0.01%,(IFERROR(IF($BXR4="","",IF($BXR4=0,1,1-$BXR4/HLOOKUP(BYD$3,[2]ARBOR_REAJUSTE18!$A:$AE,VLOOKUP($BXR$2,[2]ARBOR_REAJUSTE18!$A:$B,2,0),0))),""))),4)</f>
        <v>#VALUE!</v>
      </c>
      <c r="BYE4" s="44" t="e">
        <f>ROUNDUP(IF(IFERROR(IF($BXR4="","",IF($BXR4=0,1,1-$BXR4/HLOOKUP(BYE$3,[2]ARBOR_REAJUSTE18!$A:$AE,VLOOKUP($BXR$2,[2]ARBOR_REAJUSTE18!$A:$B,2,0),0))),"")&lt;0.01%,0.01%,(IFERROR(IF($BXR4="","",IF($BXR4=0,1,1-$BXR4/HLOOKUP(BYE$3,[2]ARBOR_REAJUSTE18!$A:$AE,VLOOKUP($BXR$2,[2]ARBOR_REAJUSTE18!$A:$B,2,0),0))),""))),4)</f>
        <v>#VALUE!</v>
      </c>
      <c r="BYF4" s="44" t="e">
        <f>ROUNDUP(IF(IFERROR(IF($BXR4="","",IF($BXR4=0,1,1-$BXR4/HLOOKUP(BYF$3,[2]ARBOR_REAJUSTE18!$A:$AE,VLOOKUP($BXR$2,[2]ARBOR_REAJUSTE18!$A:$B,2,0),0))),"")&lt;0.01%,0.01%,(IFERROR(IF($BXR4="","",IF($BXR4=0,1,1-$BXR4/HLOOKUP(BYF$3,[2]ARBOR_REAJUSTE18!$A:$AE,VLOOKUP($BXR$2,[2]ARBOR_REAJUSTE18!$A:$B,2,0),0))),""))),4)</f>
        <v>#VALUE!</v>
      </c>
      <c r="BYG4" s="44" t="e">
        <f>ROUNDUP(IF(IFERROR(IF($BXR4="","",IF($BXR4=0,1,1-$BXR4/HLOOKUP(BYG$3,[2]ARBOR_REAJUSTE18!$A:$AE,VLOOKUP($BXR$2,[2]ARBOR_REAJUSTE18!$A:$B,2,0),0))),"")&lt;0.01%,0.01%,(IFERROR(IF($BXR4="","",IF($BXR4=0,1,1-$BXR4/HLOOKUP(BYG$3,[2]ARBOR_REAJUSTE18!$A:$AE,VLOOKUP($BXR$2,[2]ARBOR_REAJUSTE18!$A:$B,2,0),0))),""))),4)</f>
        <v>#VALUE!</v>
      </c>
      <c r="BYH4" s="44" t="e">
        <f>ROUNDUP(IF(IFERROR(IF($BXR4="","",IF($BXR4=0,1,1-$BXR4/HLOOKUP(BYH$3,[2]ARBOR_REAJUSTE18!$A:$AE,VLOOKUP($BXR$2,[2]ARBOR_REAJUSTE18!$A:$B,2,0),0))),"")&lt;0.01%,0.01%,(IFERROR(IF($BXR4="","",IF($BXR4=0,1,1-$BXR4/HLOOKUP(BYH$3,[2]ARBOR_REAJUSTE18!$A:$AE,VLOOKUP($BXR$2,[2]ARBOR_REAJUSTE18!$A:$B,2,0),0))),""))),4)</f>
        <v>#VALUE!</v>
      </c>
      <c r="BYI4" s="44" t="e">
        <f>ROUNDUP(IF(IFERROR(IF($BXR4="","",IF($BXR4=0,1,1-$BXR4/HLOOKUP(BYI$3,[2]ARBOR_REAJUSTE18!$A:$AE,VLOOKUP($BXR$2,[2]ARBOR_REAJUSTE18!$A:$B,2,0),0))),"")&lt;0.01%,0.01%,(IFERROR(IF($BXR4="","",IF($BXR4=0,1,1-$BXR4/HLOOKUP(BYI$3,[2]ARBOR_REAJUSTE18!$A:$AE,VLOOKUP($BXR$2,[2]ARBOR_REAJUSTE18!$A:$B,2,0),0))),""))),4)</f>
        <v>#VALUE!</v>
      </c>
      <c r="BYJ4" s="44" t="e">
        <f>ROUNDUP(IF(IFERROR(IF($BXR4="","",IF($BXR4=0,1,1-$BXR4/HLOOKUP(BYJ$3,[2]ARBOR_REAJUSTE18!$A:$AE,VLOOKUP($BXR$2,[2]ARBOR_REAJUSTE18!$A:$B,2,0),0))),"")&lt;0.01%,0.01%,(IFERROR(IF($BXR4="","",IF($BXR4=0,1,1-$BXR4/HLOOKUP(BYJ$3,[2]ARBOR_REAJUSTE18!$A:$AE,VLOOKUP($BXR$2,[2]ARBOR_REAJUSTE18!$A:$B,2,0),0))),""))),4)</f>
        <v>#VALUE!</v>
      </c>
      <c r="BYK4" s="44" t="e">
        <f>ROUNDUP(IF(IFERROR(IF($BXR4="","",IF($BXR4=0,1,1-$BXR4/HLOOKUP(BYK$3,[2]ARBOR_REAJUSTE18!$A:$AE,VLOOKUP($BXR$2,[2]ARBOR_REAJUSTE18!$A:$B,2,0),0))),"")&lt;0.01%,0.01%,(IFERROR(IF($BXR4="","",IF($BXR4=0,1,1-$BXR4/HLOOKUP(BYK$3,[2]ARBOR_REAJUSTE18!$A:$AE,VLOOKUP($BXR$2,[2]ARBOR_REAJUSTE18!$A:$B,2,0),0))),""))),4)</f>
        <v>#VALUE!</v>
      </c>
      <c r="BYL4" s="44" t="e">
        <f>ROUNDUP(IF(IFERROR(IF($BXR4="","",IF($BXR4=0,1,1-$BXR4/HLOOKUP(BYL$3,[2]ARBOR_REAJUSTE18!$A:$AE,VLOOKUP($BXR$2,[2]ARBOR_REAJUSTE18!$A:$B,2,0),0))),"")&lt;0.01%,0.01%,(IFERROR(IF($BXR4="","",IF($BXR4=0,1,1-$BXR4/HLOOKUP(BYL$3,[2]ARBOR_REAJUSTE18!$A:$AE,VLOOKUP($BXR$2,[2]ARBOR_REAJUSTE18!$A:$B,2,0),0))),""))),4)</f>
        <v>#VALUE!</v>
      </c>
      <c r="BYM4" s="44" t="e">
        <f>ROUNDUP(IF(IFERROR(IF($BXR4="","",IF($BXR4=0,1,1-$BXR4/HLOOKUP(BYM$3,[2]ARBOR_REAJUSTE18!$A:$AE,VLOOKUP($BXR$2,[2]ARBOR_REAJUSTE18!$A:$B,2,0),0))),"")&lt;0.01%,0.01%,(IFERROR(IF($BXR4="","",IF($BXR4=0,1,1-$BXR4/HLOOKUP(BYM$3,[2]ARBOR_REAJUSTE18!$A:$AE,VLOOKUP($BXR$2,[2]ARBOR_REAJUSTE18!$A:$B,2,0),0))),""))),4)</f>
        <v>#VALUE!</v>
      </c>
      <c r="BYN4" s="44" t="e">
        <f>ROUNDUP(IF(IFERROR(IF($BXR4="","",IF($BXR4=0,1,1-$BXR4/HLOOKUP(BYN$3,[2]ARBOR_REAJUSTE18!$A:$AE,VLOOKUP($BXR$2,[2]ARBOR_REAJUSTE18!$A:$B,2,0),0))),"")&lt;0.01%,0.01%,(IFERROR(IF($BXR4="","",IF($BXR4=0,1,1-$BXR4/HLOOKUP(BYN$3,[2]ARBOR_REAJUSTE18!$A:$AE,VLOOKUP($BXR$2,[2]ARBOR_REAJUSTE18!$A:$B,2,0),0))),""))),4)</f>
        <v>#VALUE!</v>
      </c>
      <c r="BYO4" s="44" t="e">
        <f>ROUNDUP(IF(IFERROR(IF($BXR4="","",IF($BXR4=0,1,1-$BXR4/HLOOKUP(BYO$3,[2]ARBOR_REAJUSTE18!$A:$AE,VLOOKUP($BXR$2,[2]ARBOR_REAJUSTE18!$A:$B,2,0),0))),"")&lt;0.01%,0.01%,(IFERROR(IF($BXR4="","",IF($BXR4=0,1,1-$BXR4/HLOOKUP(BYO$3,[2]ARBOR_REAJUSTE18!$A:$AE,VLOOKUP($BXR$2,[2]ARBOR_REAJUSTE18!$A:$B,2,0),0))),""))),4)</f>
        <v>#VALUE!</v>
      </c>
      <c r="BYP4" s="44" t="e">
        <f>ROUNDUP(IF(IFERROR(IF($BXR4="","",IF($BXR4=0,1,1-$BXR4/HLOOKUP(BYP$3,[2]ARBOR_REAJUSTE18!$A:$AE,VLOOKUP($BXR$2,[2]ARBOR_REAJUSTE18!$A:$B,2,0),0))),"")&lt;0.01%,0.01%,(IFERROR(IF($BXR4="","",IF($BXR4=0,1,1-$BXR4/HLOOKUP(BYP$3,[2]ARBOR_REAJUSTE18!$A:$AE,VLOOKUP($BXR$2,[2]ARBOR_REAJUSTE18!$A:$B,2,0),0))),""))),4)</f>
        <v>#VALUE!</v>
      </c>
      <c r="BYQ4" s="44" t="e">
        <f>ROUNDUP(IF(IFERROR(IF($BXR4="","",IF($BXR4=0,1,1-$BXR4/HLOOKUP(BYQ$3,[2]ARBOR_REAJUSTE18!$A:$AE,VLOOKUP($BXR$2,[2]ARBOR_REAJUSTE18!$A:$B,2,0),0))),"")&lt;0.01%,0.01%,(IFERROR(IF($BXR4="","",IF($BXR4=0,1,1-$BXR4/HLOOKUP(BYQ$3,[2]ARBOR_REAJUSTE18!$A:$AE,VLOOKUP($BXR$2,[2]ARBOR_REAJUSTE18!$A:$B,2,0),0))),""))),4)</f>
        <v>#VALUE!</v>
      </c>
      <c r="BYR4" s="44" t="e">
        <f>ROUNDUP(IF(IFERROR(IF($BXR4="","",IF($BXR4=0,1,1-$BXR4/HLOOKUP(BYR$3,[2]ARBOR_REAJUSTE18!$A:$AE,VLOOKUP($BXR$2,[2]ARBOR_REAJUSTE18!$A:$B,2,0),0))),"")&lt;0.01%,0.01%,(IFERROR(IF($BXR4="","",IF($BXR4=0,1,1-$BXR4/HLOOKUP(BYR$3,[2]ARBOR_REAJUSTE18!$A:$AE,VLOOKUP($BXR$2,[2]ARBOR_REAJUSTE18!$A:$B,2,0),0))),""))),4)</f>
        <v>#VALUE!</v>
      </c>
      <c r="BYS4" s="44" t="e">
        <f>ROUNDUP(IF(IFERROR(IF($BXR4="","",IF($BXR4=0,1,1-$BXR4/HLOOKUP(BYS$3,[2]ARBOR_REAJUSTE18!$A:$AE,VLOOKUP($BXR$2,[2]ARBOR_REAJUSTE18!$A:$B,2,0),0))),"")&lt;0.01%,0.01%,(IFERROR(IF($BXR4="","",IF($BXR4=0,1,1-$BXR4/HLOOKUP(BYS$3,[2]ARBOR_REAJUSTE18!$A:$AE,VLOOKUP($BXR$2,[2]ARBOR_REAJUSTE18!$A:$B,2,0),0))),""))),4)</f>
        <v>#VALUE!</v>
      </c>
      <c r="BYT4" s="44" t="e">
        <f>ROUNDUP(IF(IFERROR(IF($BXR4="","",IF($BXR4=0,1,1-$BXR4/HLOOKUP(BYT$3,[2]ARBOR_REAJUSTE18!$A:$AE,VLOOKUP($BXR$2,[2]ARBOR_REAJUSTE18!$A:$B,2,0),0))),"")&lt;0.01%,0.01%,(IFERROR(IF($BXR4="","",IF($BXR4=0,1,1-$BXR4/HLOOKUP(BYT$3,[2]ARBOR_REAJUSTE18!$A:$AE,VLOOKUP($BXR$2,[2]ARBOR_REAJUSTE18!$A:$B,2,0),0))),""))),4)</f>
        <v>#VALUE!</v>
      </c>
      <c r="BYU4" s="65" t="s">
        <v>297</v>
      </c>
      <c r="BYV4" s="66"/>
      <c r="BYW4" s="66"/>
      <c r="BYX4" s="66"/>
      <c r="BYY4" s="66"/>
      <c r="BYZ4" s="66"/>
      <c r="BZA4" s="66"/>
      <c r="BZB4" s="66"/>
      <c r="BZC4" s="66"/>
      <c r="BZD4" s="66"/>
      <c r="BZE4" s="66"/>
      <c r="BZF4" s="66"/>
      <c r="BZG4" s="66"/>
      <c r="BZH4" s="66"/>
      <c r="BZI4" s="66"/>
      <c r="BZJ4" s="66"/>
      <c r="BZK4" s="66"/>
      <c r="BZL4" s="66"/>
      <c r="BZM4" s="66"/>
      <c r="BZN4" s="66"/>
      <c r="BZO4" s="66"/>
      <c r="BZP4" s="66"/>
      <c r="BZQ4" s="66"/>
      <c r="BZR4" s="66"/>
      <c r="BZS4" s="66"/>
      <c r="BZT4" s="66"/>
      <c r="BZU4" s="66"/>
      <c r="BZV4" s="66"/>
      <c r="BZW4" s="65">
        <v>24.9</v>
      </c>
      <c r="BZX4" s="66"/>
      <c r="BZY4" s="66"/>
      <c r="BZZ4" s="66"/>
      <c r="CAA4" s="66"/>
      <c r="CAB4" s="66"/>
      <c r="CAC4" s="66"/>
      <c r="CAD4" s="66"/>
      <c r="CAE4" s="66"/>
      <c r="CAF4" s="66"/>
      <c r="CAG4" s="66"/>
      <c r="CAH4" s="66"/>
      <c r="CAI4" s="66"/>
      <c r="CAJ4" s="66"/>
      <c r="CAK4" s="66"/>
      <c r="CAL4" s="66"/>
      <c r="CAM4" s="66"/>
      <c r="CAN4" s="66"/>
      <c r="CAO4" s="66"/>
      <c r="CAP4" s="66"/>
      <c r="CAQ4" s="66"/>
      <c r="CAR4" s="66"/>
      <c r="CAS4" s="66"/>
      <c r="CAT4" s="66"/>
      <c r="CAU4" s="66"/>
      <c r="CAV4" s="66"/>
      <c r="CAW4" s="66"/>
      <c r="CAX4" s="66"/>
      <c r="CAY4" s="65">
        <v>24.9</v>
      </c>
      <c r="CAZ4" s="66"/>
      <c r="CBA4" s="66"/>
      <c r="CBB4" s="66"/>
      <c r="CBC4" s="66"/>
      <c r="CBD4" s="66"/>
      <c r="CBE4" s="66"/>
      <c r="CBF4" s="66"/>
      <c r="CBG4" s="66"/>
      <c r="CBH4" s="66"/>
      <c r="CBI4" s="66"/>
      <c r="CBJ4" s="66"/>
      <c r="CBK4" s="66"/>
      <c r="CBL4" s="66"/>
      <c r="CBM4" s="66"/>
      <c r="CBN4" s="66"/>
      <c r="CBO4" s="66"/>
      <c r="CBP4" s="66"/>
      <c r="CBQ4" s="66"/>
      <c r="CBR4" s="66"/>
      <c r="CBS4" s="66"/>
      <c r="CBT4" s="66"/>
      <c r="CBU4" s="66"/>
      <c r="CBV4" s="66"/>
      <c r="CBW4" s="66"/>
      <c r="CBX4" s="66"/>
      <c r="CBY4" s="66"/>
      <c r="CBZ4" s="66"/>
      <c r="CCA4" s="65">
        <v>24.9</v>
      </c>
      <c r="CCB4" s="44">
        <f ca="1">ROUNDUP(IF(IFERROR(IF($CCA4="","",IF($CCA4=0,1,1-$CCA4/HLOOKUP(CCB$3,[2]ARBOR_REAJUSTE18!$A:$AE,VLOOKUP($BYU$2,[2]ARBOR_REAJUSTE18!$A:$B,2,0),0))),"")&lt;0.01%,0.01%,(IFERROR(IF($CCA4="","",IF($CCA4=0,1,1-$CCA4/HLOOKUP(CCB$3,[2]ARBOR_REAJUSTE18!$A:$AE,VLOOKUP($BYU$2,[2]ARBOR_REAJUSTE18!$A:$B,2,0),0))),""))),4)</f>
        <v>0.16729999999999998</v>
      </c>
      <c r="CCC4" s="44">
        <f ca="1">ROUNDUP(IF(IFERROR(IF($CCA4="","",IF($CCA4=0,1,1-$CCA4/HLOOKUP(CCC$3,[2]ARBOR_REAJUSTE18!$A:$AE,VLOOKUP($BYU$2,[2]ARBOR_REAJUSTE18!$A:$B,2,0),0))),"")&lt;0.01%,0.01%,(IFERROR(IF($CCA4="","",IF($CCA4=0,1,1-$CCA4/HLOOKUP(CCC$3,[2]ARBOR_REAJUSTE18!$A:$AE,VLOOKUP($BYU$2,[2]ARBOR_REAJUSTE18!$A:$B,2,0),0))),""))),4)</f>
        <v>0.16729999999999998</v>
      </c>
      <c r="CCD4" s="44">
        <f ca="1">ROUNDUP(IF(IFERROR(IF($CCA4="","",IF($CCA4=0,1,1-$CCA4/HLOOKUP(CCD$3,[2]ARBOR_REAJUSTE18!$A:$AE,VLOOKUP($BYU$2,[2]ARBOR_REAJUSTE18!$A:$B,2,0),0))),"")&lt;0.01%,0.01%,(IFERROR(IF($CCA4="","",IF($CCA4=0,1,1-$CCA4/HLOOKUP(CCD$3,[2]ARBOR_REAJUSTE18!$A:$AE,VLOOKUP($BYU$2,[2]ARBOR_REAJUSTE18!$A:$B,2,0),0))),""))),4)</f>
        <v>0.16729999999999998</v>
      </c>
      <c r="CCE4" s="44">
        <f ca="1">ROUNDUP(IF(IFERROR(IF($CCA4="","",IF($CCA4=0,1,1-$CCA4/HLOOKUP(CCE$3,[2]ARBOR_REAJUSTE18!$A:$AE,VLOOKUP($BYU$2,[2]ARBOR_REAJUSTE18!$A:$B,2,0),0))),"")&lt;0.01%,0.01%,(IFERROR(IF($CCA4="","",IF($CCA4=0,1,1-$CCA4/HLOOKUP(CCE$3,[2]ARBOR_REAJUSTE18!$A:$AE,VLOOKUP($BYU$2,[2]ARBOR_REAJUSTE18!$A:$B,2,0),0))),""))),4)</f>
        <v>0.16729999999999998</v>
      </c>
      <c r="CCF4" s="44">
        <f ca="1">ROUNDUP(IF(IFERROR(IF($CCA4="","",IF($CCA4=0,1,1-$CCA4/HLOOKUP(CCF$3,[2]ARBOR_REAJUSTE18!$A:$AE,VLOOKUP($BYU$2,[2]ARBOR_REAJUSTE18!$A:$B,2,0),0))),"")&lt;0.01%,0.01%,(IFERROR(IF($CCA4="","",IF($CCA4=0,1,1-$CCA4/HLOOKUP(CCF$3,[2]ARBOR_REAJUSTE18!$A:$AE,VLOOKUP($BYU$2,[2]ARBOR_REAJUSTE18!$A:$B,2,0),0))),""))),4)</f>
        <v>0.16729999999999998</v>
      </c>
      <c r="CCG4" s="44">
        <f ca="1">ROUNDUP(IF(IFERROR(IF($CCA4="","",IF($CCA4=0,1,1-$CCA4/HLOOKUP(CCG$3,[2]ARBOR_REAJUSTE18!$A:$AE,VLOOKUP($BYU$2,[2]ARBOR_REAJUSTE18!$A:$B,2,0),0))),"")&lt;0.01%,0.01%,(IFERROR(IF($CCA4="","",IF($CCA4=0,1,1-$CCA4/HLOOKUP(CCG$3,[2]ARBOR_REAJUSTE18!$A:$AE,VLOOKUP($BYU$2,[2]ARBOR_REAJUSTE18!$A:$B,2,0),0))),""))),4)</f>
        <v>0.16729999999999998</v>
      </c>
      <c r="CCH4" s="44">
        <f ca="1">ROUNDUP(IF(IFERROR(IF($CCA4="","",IF($CCA4=0,1,1-$CCA4/HLOOKUP(CCH$3,[2]ARBOR_REAJUSTE18!$A:$AE,VLOOKUP($BYU$2,[2]ARBOR_REAJUSTE18!$A:$B,2,0),0))),"")&lt;0.01%,0.01%,(IFERROR(IF($CCA4="","",IF($CCA4=0,1,1-$CCA4/HLOOKUP(CCH$3,[2]ARBOR_REAJUSTE18!$A:$AE,VLOOKUP($BYU$2,[2]ARBOR_REAJUSTE18!$A:$B,2,0),0))),""))),4)</f>
        <v>0.18469999999999998</v>
      </c>
      <c r="CCI4" s="44">
        <f ca="1">ROUNDUP(IF(IFERROR(IF($CCA4="","",IF($CCA4=0,1,1-$CCA4/HLOOKUP(CCI$3,[2]ARBOR_REAJUSTE18!$A:$AE,VLOOKUP($BYU$2,[2]ARBOR_REAJUSTE18!$A:$B,2,0),0))),"")&lt;0.01%,0.01%,(IFERROR(IF($CCA4="","",IF($CCA4=0,1,1-$CCA4/HLOOKUP(CCI$3,[2]ARBOR_REAJUSTE18!$A:$AE,VLOOKUP($BYU$2,[2]ARBOR_REAJUSTE18!$A:$B,2,0),0))),""))),4)</f>
        <v>0.16729999999999998</v>
      </c>
      <c r="CCJ4" s="44">
        <f ca="1">ROUNDUP(IF(IFERROR(IF($CCA4="","",IF($CCA4=0,1,1-$CCA4/HLOOKUP(CCJ$3,[2]ARBOR_REAJUSTE18!$A:$AE,VLOOKUP($BYU$2,[2]ARBOR_REAJUSTE18!$A:$B,2,0),0))),"")&lt;0.01%,0.01%,(IFERROR(IF($CCA4="","",IF($CCA4=0,1,1-$CCA4/HLOOKUP(CCJ$3,[2]ARBOR_REAJUSTE18!$A:$AE,VLOOKUP($BYU$2,[2]ARBOR_REAJUSTE18!$A:$B,2,0),0))),""))),4)</f>
        <v>0.16729999999999998</v>
      </c>
      <c r="CCK4" s="44">
        <f ca="1">ROUNDUP(IF(IFERROR(IF($CCA4="","",IF($CCA4=0,1,1-$CCA4/HLOOKUP(CCK$3,[2]ARBOR_REAJUSTE18!$A:$AE,VLOOKUP($BYU$2,[2]ARBOR_REAJUSTE18!$A:$B,2,0),0))),"")&lt;0.01%,0.01%,(IFERROR(IF($CCA4="","",IF($CCA4=0,1,1-$CCA4/HLOOKUP(CCK$3,[2]ARBOR_REAJUSTE18!$A:$AE,VLOOKUP($BYU$2,[2]ARBOR_REAJUSTE18!$A:$B,2,0),0))),""))),4)</f>
        <v>0.16729999999999998</v>
      </c>
      <c r="CCL4" s="44">
        <f ca="1">ROUNDUP(IF(IFERROR(IF($CCA4="","",IF($CCA4=0,1,1-$CCA4/HLOOKUP(CCL$3,[2]ARBOR_REAJUSTE18!$A:$AE,VLOOKUP($BYU$2,[2]ARBOR_REAJUSTE18!$A:$B,2,0),0))),"")&lt;0.01%,0.01%,(IFERROR(IF($CCA4="","",IF($CCA4=0,1,1-$CCA4/HLOOKUP(CCL$3,[2]ARBOR_REAJUSTE18!$A:$AE,VLOOKUP($BYU$2,[2]ARBOR_REAJUSTE18!$A:$B,2,0),0))),""))),4)</f>
        <v>0.1968</v>
      </c>
      <c r="CCM4" s="44">
        <f ca="1">ROUNDUP(IF(IFERROR(IF($CCA4="","",IF($CCA4=0,1,1-$CCA4/HLOOKUP(CCM$3,[2]ARBOR_REAJUSTE18!$A:$AE,VLOOKUP($BYU$2,[2]ARBOR_REAJUSTE18!$A:$B,2,0),0))),"")&lt;0.01%,0.01%,(IFERROR(IF($CCA4="","",IF($CCA4=0,1,1-$CCA4/HLOOKUP(CCM$3,[2]ARBOR_REAJUSTE18!$A:$AE,VLOOKUP($BYU$2,[2]ARBOR_REAJUSTE18!$A:$B,2,0),0))),""))),4)</f>
        <v>0.16729999999999998</v>
      </c>
      <c r="CCN4" s="44">
        <f ca="1">ROUNDUP(IF(IFERROR(IF($CCA4="","",IF($CCA4=0,1,1-$CCA4/HLOOKUP(CCN$3,[2]ARBOR_REAJUSTE18!$A:$AE,VLOOKUP($BYU$2,[2]ARBOR_REAJUSTE18!$A:$B,2,0),0))),"")&lt;0.01%,0.01%,(IFERROR(IF($CCA4="","",IF($CCA4=0,1,1-$CCA4/HLOOKUP(CCN$3,[2]ARBOR_REAJUSTE18!$A:$AE,VLOOKUP($BYU$2,[2]ARBOR_REAJUSTE18!$A:$B,2,0),0))),""))),4)</f>
        <v>0.16729999999999998</v>
      </c>
      <c r="CCO4" s="44">
        <f ca="1">ROUNDUP(IF(IFERROR(IF($CCA4="","",IF($CCA4=0,1,1-$CCA4/HLOOKUP(CCO$3,[2]ARBOR_REAJUSTE18!$A:$AE,VLOOKUP($BYU$2,[2]ARBOR_REAJUSTE18!$A:$B,2,0),0))),"")&lt;0.01%,0.01%,(IFERROR(IF($CCA4="","",IF($CCA4=0,1,1-$CCA4/HLOOKUP(CCO$3,[2]ARBOR_REAJUSTE18!$A:$AE,VLOOKUP($BYU$2,[2]ARBOR_REAJUSTE18!$A:$B,2,0),0))),""))),4)</f>
        <v>0.16729999999999998</v>
      </c>
      <c r="CCP4" s="44">
        <f ca="1">ROUNDUP(IF(IFERROR(IF($CCA4="","",IF($CCA4=0,1,1-$CCA4/HLOOKUP(CCP$3,[2]ARBOR_REAJUSTE18!$A:$AE,VLOOKUP($BYU$2,[2]ARBOR_REAJUSTE18!$A:$B,2,0),0))),"")&lt;0.01%,0.01%,(IFERROR(IF($CCA4="","",IF($CCA4=0,1,1-$CCA4/HLOOKUP(CCP$3,[2]ARBOR_REAJUSTE18!$A:$AE,VLOOKUP($BYU$2,[2]ARBOR_REAJUSTE18!$A:$B,2,0),0))),""))),4)</f>
        <v>0.16729999999999998</v>
      </c>
      <c r="CCQ4" s="44">
        <f ca="1">ROUNDUP(IF(IFERROR(IF($CCA4="","",IF($CCA4=0,1,1-$CCA4/HLOOKUP(CCQ$3,[2]ARBOR_REAJUSTE18!$A:$AE,VLOOKUP($BYU$2,[2]ARBOR_REAJUSTE18!$A:$B,2,0),0))),"")&lt;0.01%,0.01%,(IFERROR(IF($CCA4="","",IF($CCA4=0,1,1-$CCA4/HLOOKUP(CCQ$3,[2]ARBOR_REAJUSTE18!$A:$AE,VLOOKUP($BYU$2,[2]ARBOR_REAJUSTE18!$A:$B,2,0),0))),""))),4)</f>
        <v>0.17799999999999999</v>
      </c>
      <c r="CCR4" s="44">
        <f ca="1">ROUNDUP(IF(IFERROR(IF($CCA4="","",IF($CCA4=0,1,1-$CCA4/HLOOKUP(CCR$3,[2]ARBOR_REAJUSTE18!$A:$AE,VLOOKUP($BYU$2,[2]ARBOR_REAJUSTE18!$A:$B,2,0),0))),"")&lt;0.01%,0.01%,(IFERROR(IF($CCA4="","",IF($CCA4=0,1,1-$CCA4/HLOOKUP(CCR$3,[2]ARBOR_REAJUSTE18!$A:$AE,VLOOKUP($BYU$2,[2]ARBOR_REAJUSTE18!$A:$B,2,0),0))),""))),4)</f>
        <v>0.16729999999999998</v>
      </c>
      <c r="CCS4" s="44">
        <f ca="1">ROUNDUP(IF(IFERROR(IF($CCA4="","",IF($CCA4=0,1,1-$CCA4/HLOOKUP(CCS$3,[2]ARBOR_REAJUSTE18!$A:$AE,VLOOKUP($BYU$2,[2]ARBOR_REAJUSTE18!$A:$B,2,0),0))),"")&lt;0.01%,0.01%,(IFERROR(IF($CCA4="","",IF($CCA4=0,1,1-$CCA4/HLOOKUP(CCS$3,[2]ARBOR_REAJUSTE18!$A:$AE,VLOOKUP($BYU$2,[2]ARBOR_REAJUSTE18!$A:$B,2,0),0))),""))),4)</f>
        <v>0.16729999999999998</v>
      </c>
      <c r="CCT4" s="44">
        <f ca="1">ROUNDUP(IF(IFERROR(IF($CCA4="","",IF($CCA4=0,1,1-$CCA4/HLOOKUP(CCT$3,[2]ARBOR_REAJUSTE18!$A:$AE,VLOOKUP($BYU$2,[2]ARBOR_REAJUSTE18!$A:$B,2,0),0))),"")&lt;0.01%,0.01%,(IFERROR(IF($CCA4="","",IF($CCA4=0,1,1-$CCA4/HLOOKUP(CCT$3,[2]ARBOR_REAJUSTE18!$A:$AE,VLOOKUP($BYU$2,[2]ARBOR_REAJUSTE18!$A:$B,2,0),0))),""))),4)</f>
        <v>0.16729999999999998</v>
      </c>
      <c r="CCU4" s="44">
        <f ca="1">ROUNDUP(IF(IFERROR(IF($CCA4="","",IF($CCA4=0,1,1-$CCA4/HLOOKUP(CCU$3,[2]ARBOR_REAJUSTE18!$A:$AE,VLOOKUP($BYU$2,[2]ARBOR_REAJUSTE18!$A:$B,2,0),0))),"")&lt;0.01%,0.01%,(IFERROR(IF($CCA4="","",IF($CCA4=0,1,1-$CCA4/HLOOKUP(CCU$3,[2]ARBOR_REAJUSTE18!$A:$AE,VLOOKUP($BYU$2,[2]ARBOR_REAJUSTE18!$A:$B,2,0),0))),""))),4)</f>
        <v>0.1968</v>
      </c>
      <c r="CCV4" s="44">
        <f ca="1">ROUNDUP(IF(IFERROR(IF($CCA4="","",IF($CCA4=0,1,1-$CCA4/HLOOKUP(CCV$3,[2]ARBOR_REAJUSTE18!$A:$AE,VLOOKUP($BYU$2,[2]ARBOR_REAJUSTE18!$A:$B,2,0),0))),"")&lt;0.01%,0.01%,(IFERROR(IF($CCA4="","",IF($CCA4=0,1,1-$CCA4/HLOOKUP(CCV$3,[2]ARBOR_REAJUSTE18!$A:$AE,VLOOKUP($BYU$2,[2]ARBOR_REAJUSTE18!$A:$B,2,0),0))),""))),4)</f>
        <v>0.16729999999999998</v>
      </c>
      <c r="CCW4" s="44">
        <f ca="1">ROUNDUP(IF(IFERROR(IF($CCA4="","",IF($CCA4=0,1,1-$CCA4/HLOOKUP(CCW$3,[2]ARBOR_REAJUSTE18!$A:$AE,VLOOKUP($BYU$2,[2]ARBOR_REAJUSTE18!$A:$B,2,0),0))),"")&lt;0.01%,0.01%,(IFERROR(IF($CCA4="","",IF($CCA4=0,1,1-$CCA4/HLOOKUP(CCW$3,[2]ARBOR_REAJUSTE18!$A:$AE,VLOOKUP($BYU$2,[2]ARBOR_REAJUSTE18!$A:$B,2,0),0))),""))),4)</f>
        <v>0.16729999999999998</v>
      </c>
      <c r="CCX4" s="44">
        <f ca="1">ROUNDUP(IF(IFERROR(IF($CCA4="","",IF($CCA4=0,1,1-$CCA4/HLOOKUP(CCX$3,[2]ARBOR_REAJUSTE18!$A:$AE,VLOOKUP($BYU$2,[2]ARBOR_REAJUSTE18!$A:$B,2,0),0))),"")&lt;0.01%,0.01%,(IFERROR(IF($CCA4="","",IF($CCA4=0,1,1-$CCA4/HLOOKUP(CCX$3,[2]ARBOR_REAJUSTE18!$A:$AE,VLOOKUP($BYU$2,[2]ARBOR_REAJUSTE18!$A:$B,2,0),0))),""))),4)</f>
        <v>0.16729999999999998</v>
      </c>
      <c r="CCY4" s="44">
        <f ca="1">ROUNDUP(IF(IFERROR(IF($CCA4="","",IF($CCA4=0,1,1-$CCA4/HLOOKUP(CCY$3,[2]ARBOR_REAJUSTE18!$A:$AE,VLOOKUP($BYU$2,[2]ARBOR_REAJUSTE18!$A:$B,2,0),0))),"")&lt;0.01%,0.01%,(IFERROR(IF($CCA4="","",IF($CCA4=0,1,1-$CCA4/HLOOKUP(CCY$3,[2]ARBOR_REAJUSTE18!$A:$AE,VLOOKUP($BYU$2,[2]ARBOR_REAJUSTE18!$A:$B,2,0),0))),""))),4)</f>
        <v>0.16729999999999998</v>
      </c>
      <c r="CCZ4" s="44">
        <f ca="1">ROUNDUP(IF(IFERROR(IF($CCA4="","",IF($CCA4=0,1,1-$CCA4/HLOOKUP(CCZ$3,[2]ARBOR_REAJUSTE18!$A:$AE,VLOOKUP($BYU$2,[2]ARBOR_REAJUSTE18!$A:$B,2,0),0))),"")&lt;0.01%,0.01%,(IFERROR(IF($CCA4="","",IF($CCA4=0,1,1-$CCA4/HLOOKUP(CCZ$3,[2]ARBOR_REAJUSTE18!$A:$AE,VLOOKUP($BYU$2,[2]ARBOR_REAJUSTE18!$A:$B,2,0),0))),""))),4)</f>
        <v>0.16729999999999998</v>
      </c>
      <c r="CDA4" s="44">
        <f ca="1">ROUNDUP(IF(IFERROR(IF($CCA4="","",IF($CCA4=0,1,1-$CCA4/HLOOKUP(CDA$3,[2]ARBOR_REAJUSTE18!$A:$AE,VLOOKUP($BYU$2,[2]ARBOR_REAJUSTE18!$A:$B,2,0),0))),"")&lt;0.01%,0.01%,(IFERROR(IF($CCA4="","",IF($CCA4=0,1,1-$CCA4/HLOOKUP(CDA$3,[2]ARBOR_REAJUSTE18!$A:$AE,VLOOKUP($BYU$2,[2]ARBOR_REAJUSTE18!$A:$B,2,0),0))),""))),4)</f>
        <v>0.18629999999999999</v>
      </c>
      <c r="CDB4" s="44">
        <f ca="1">ROUNDUP(IF(IFERROR(IF($CCA4="","",IF($CCA4=0,1,1-$CCA4/HLOOKUP(CDB$3,[2]ARBOR_REAJUSTE18!$A:$AE,VLOOKUP($BYU$2,[2]ARBOR_REAJUSTE18!$A:$B,2,0),0))),"")&lt;0.01%,0.01%,(IFERROR(IF($CCA4="","",IF($CCA4=0,1,1-$CCA4/HLOOKUP(CDB$3,[2]ARBOR_REAJUSTE18!$A:$AE,VLOOKUP($BYU$2,[2]ARBOR_REAJUSTE18!$A:$B,2,0),0))),""))),4)</f>
        <v>0.16729999999999998</v>
      </c>
      <c r="CDC4" s="64" t="str">
        <f ca="1">VLOOKUP($AV4&amp;CCB4&amp;"Template desconto % Ponto adicional nível conta",[2]BENEFICIOS!$A:$G,5,0)</f>
        <v>MKT-1-10624277011</v>
      </c>
      <c r="CDD4" s="65"/>
      <c r="CDE4" s="67"/>
      <c r="CDF4" s="44"/>
      <c r="CDG4" s="44"/>
      <c r="CDH4" s="44"/>
      <c r="CDI4" s="44"/>
      <c r="CDJ4" s="44"/>
      <c r="CDK4" s="44"/>
      <c r="CDL4" s="44"/>
      <c r="CDM4" s="44"/>
      <c r="CDN4" s="44"/>
      <c r="CDO4" s="44"/>
      <c r="CDP4" s="44"/>
      <c r="CDQ4" s="44"/>
      <c r="CDR4" s="44"/>
      <c r="CDS4" s="44"/>
      <c r="CDT4" s="44"/>
      <c r="CDU4" s="44"/>
      <c r="CDV4" s="44"/>
      <c r="CDW4" s="44"/>
      <c r="CDX4" s="44"/>
      <c r="CDY4" s="44"/>
      <c r="CDZ4" s="44"/>
      <c r="CEA4" s="44"/>
      <c r="CEB4" s="44"/>
      <c r="CEC4" s="44"/>
      <c r="CED4" s="44"/>
      <c r="CEE4" s="44"/>
      <c r="CEF4" s="44"/>
      <c r="CEG4" s="44"/>
      <c r="CEH4" s="68"/>
      <c r="CEI4" s="44"/>
      <c r="CEJ4" s="44"/>
      <c r="CEK4" s="44"/>
      <c r="CEL4" s="44"/>
      <c r="CEM4" s="44"/>
      <c r="CEN4" s="44"/>
      <c r="CEO4" s="44"/>
      <c r="CEP4" s="44"/>
      <c r="CEQ4" s="44"/>
      <c r="CER4" s="44"/>
      <c r="CES4" s="44"/>
      <c r="CET4" s="44"/>
      <c r="CEU4" s="44"/>
      <c r="CEV4" s="44"/>
      <c r="CEW4" s="44"/>
      <c r="CEX4" s="44"/>
      <c r="CEY4" s="44"/>
      <c r="CEZ4" s="44"/>
      <c r="CFA4" s="44"/>
      <c r="CFB4" s="44"/>
      <c r="CFC4" s="44"/>
      <c r="CFD4" s="44"/>
      <c r="CFE4" s="44"/>
      <c r="CFF4" s="44"/>
      <c r="CFG4" s="44"/>
      <c r="CFH4" s="44"/>
      <c r="CFI4" s="44"/>
      <c r="CFJ4" s="44"/>
      <c r="CFK4" s="67"/>
      <c r="CFL4" s="44"/>
      <c r="CFM4" s="44"/>
      <c r="CFN4" s="44"/>
      <c r="CFO4" s="44"/>
      <c r="CFP4" s="44"/>
      <c r="CFQ4" s="44"/>
      <c r="CFR4" s="44"/>
      <c r="CFS4" s="44"/>
      <c r="CFT4" s="44"/>
      <c r="CFU4" s="44"/>
      <c r="CFV4" s="44"/>
      <c r="CFW4" s="44"/>
      <c r="CFX4" s="44"/>
      <c r="CFY4" s="44"/>
      <c r="CFZ4" s="44"/>
      <c r="CGA4" s="44"/>
      <c r="CGB4" s="44"/>
      <c r="CGC4" s="44"/>
      <c r="CGD4" s="44"/>
      <c r="CGE4" s="44"/>
      <c r="CGF4" s="44"/>
      <c r="CGG4" s="44"/>
      <c r="CGH4" s="44"/>
      <c r="CGI4" s="44"/>
      <c r="CGJ4" s="44"/>
      <c r="CGK4" s="44"/>
      <c r="CGL4" s="44"/>
      <c r="CGM4" s="44"/>
      <c r="CGN4" s="67"/>
      <c r="CGO4" s="67"/>
      <c r="CGP4" s="44"/>
      <c r="CGQ4" s="44"/>
      <c r="CGR4" s="44"/>
      <c r="CGS4" s="44"/>
      <c r="CGT4" s="44"/>
      <c r="CGU4" s="44"/>
      <c r="CGV4" s="44"/>
      <c r="CGW4" s="44"/>
      <c r="CGX4" s="44"/>
      <c r="CGY4" s="44"/>
      <c r="CGZ4" s="44"/>
      <c r="CHA4" s="44"/>
      <c r="CHB4" s="44"/>
      <c r="CHC4" s="44"/>
      <c r="CHD4" s="44"/>
      <c r="CHE4" s="44"/>
      <c r="CHF4" s="44"/>
      <c r="CHG4" s="44"/>
      <c r="CHH4" s="44"/>
      <c r="CHI4" s="44"/>
      <c r="CHJ4" s="44"/>
      <c r="CHK4" s="44"/>
      <c r="CHL4" s="44"/>
      <c r="CHM4" s="44"/>
      <c r="CHN4" s="44"/>
      <c r="CHO4" s="44"/>
      <c r="CHP4" s="44"/>
      <c r="CHQ4" s="44"/>
      <c r="CHR4" s="67"/>
      <c r="CHS4" s="69"/>
      <c r="CHT4" s="70"/>
      <c r="CHU4" s="70"/>
      <c r="CHV4" s="70"/>
      <c r="CHW4" s="70"/>
      <c r="CHX4" s="65"/>
      <c r="CHY4" s="67"/>
      <c r="CHZ4" s="71"/>
      <c r="CIA4" s="71"/>
      <c r="CIB4" s="71"/>
      <c r="CIC4" s="71"/>
      <c r="CID4" s="71"/>
      <c r="CIE4" s="71"/>
      <c r="CIF4" s="71"/>
      <c r="CIG4" s="71"/>
      <c r="CIH4" s="71"/>
      <c r="CII4" s="71"/>
      <c r="CIJ4" s="71"/>
      <c r="CIK4" s="71"/>
      <c r="CIL4" s="71"/>
      <c r="CIM4" s="71"/>
      <c r="CIN4" s="71"/>
      <c r="CIO4" s="71"/>
      <c r="CIP4" s="71"/>
      <c r="CIQ4" s="71"/>
      <c r="CIR4" s="71"/>
      <c r="CIS4" s="71"/>
      <c r="CIT4" s="71"/>
      <c r="CIU4" s="71"/>
      <c r="CIV4" s="71"/>
      <c r="CIW4" s="71"/>
      <c r="CIX4" s="71"/>
      <c r="CIY4" s="71"/>
      <c r="CIZ4" s="71"/>
      <c r="CJA4" s="72"/>
      <c r="CJB4" s="68"/>
      <c r="CJC4" s="44"/>
      <c r="CJD4" s="44"/>
      <c r="CJE4" s="44"/>
      <c r="CJF4" s="44"/>
      <c r="CJG4" s="44"/>
      <c r="CJH4" s="44"/>
      <c r="CJI4" s="44"/>
      <c r="CJJ4" s="44"/>
      <c r="CJK4" s="44"/>
      <c r="CJL4" s="44"/>
      <c r="CJM4" s="44"/>
      <c r="CJN4" s="44"/>
      <c r="CJO4" s="44"/>
      <c r="CJP4" s="44"/>
      <c r="CJQ4" s="44"/>
      <c r="CJR4" s="44"/>
      <c r="CJS4" s="44"/>
      <c r="CJT4" s="44"/>
      <c r="CJU4" s="44"/>
      <c r="CJV4" s="44"/>
      <c r="CJW4" s="44"/>
      <c r="CJX4" s="44"/>
      <c r="CJY4" s="44"/>
      <c r="CJZ4" s="44"/>
      <c r="CKA4" s="44"/>
      <c r="CKB4" s="44"/>
      <c r="CKC4" s="44"/>
      <c r="CKD4" s="73"/>
      <c r="CKE4" s="67"/>
      <c r="CKF4" s="44"/>
      <c r="CKG4" s="44"/>
      <c r="CKH4" s="44"/>
      <c r="CKI4" s="44"/>
      <c r="CKJ4" s="44"/>
      <c r="CKK4" s="44"/>
      <c r="CKL4" s="44"/>
      <c r="CKM4" s="44"/>
      <c r="CKN4" s="44"/>
      <c r="CKO4" s="44"/>
      <c r="CKP4" s="44"/>
      <c r="CKQ4" s="44"/>
      <c r="CKR4" s="44"/>
      <c r="CKS4" s="44"/>
      <c r="CKT4" s="44"/>
      <c r="CKU4" s="44"/>
      <c r="CKV4" s="44"/>
      <c r="CKW4" s="44"/>
      <c r="CKX4" s="44"/>
      <c r="CKY4" s="44"/>
      <c r="CKZ4" s="44"/>
      <c r="CLA4" s="44"/>
      <c r="CLB4" s="44"/>
      <c r="CLC4" s="44"/>
      <c r="CLD4" s="44"/>
      <c r="CLE4" s="44"/>
      <c r="CLF4" s="44"/>
      <c r="CLG4" s="73"/>
      <c r="CLH4" s="67"/>
      <c r="CLI4" s="67"/>
      <c r="CLJ4" s="44" t="s">
        <v>306</v>
      </c>
      <c r="CLK4" s="44" t="s">
        <v>302</v>
      </c>
      <c r="CLL4" s="44"/>
      <c r="CLM4" s="44"/>
      <c r="CLN4" s="44"/>
      <c r="CLO4" s="44"/>
      <c r="CLP4" s="44"/>
      <c r="CLQ4" s="44"/>
      <c r="CLR4" s="44"/>
      <c r="CLS4" s="44"/>
      <c r="CLT4" s="44"/>
      <c r="CLU4" s="44"/>
      <c r="CLV4" s="44"/>
      <c r="CLW4" s="44"/>
      <c r="CLX4" s="44"/>
      <c r="CLY4" s="44"/>
      <c r="CLZ4" s="44"/>
      <c r="CMA4" s="44"/>
      <c r="CMB4" s="44"/>
      <c r="CMC4" s="44"/>
      <c r="CMD4" s="44"/>
      <c r="CME4" s="44"/>
      <c r="CMF4" s="44"/>
      <c r="CMG4" s="44"/>
      <c r="CMH4" s="44"/>
      <c r="CMI4" s="44"/>
      <c r="CMJ4" s="44"/>
      <c r="CMK4" s="73"/>
      <c r="CML4" s="67"/>
      <c r="CMM4" s="74"/>
      <c r="CMN4" s="75"/>
      <c r="CMO4" s="76"/>
      <c r="CMP4" s="65"/>
      <c r="CMQ4" s="65"/>
      <c r="CMR4" s="65"/>
      <c r="CMS4" s="77"/>
      <c r="CMT4" s="77"/>
      <c r="CMU4" s="44"/>
      <c r="CMV4" s="44"/>
      <c r="CMW4" s="44"/>
      <c r="CMX4" s="44"/>
      <c r="CMY4" s="44"/>
      <c r="CMZ4" s="44"/>
      <c r="CNA4" s="44"/>
      <c r="CNB4" s="44"/>
      <c r="CNC4" s="44"/>
      <c r="CND4" s="44"/>
      <c r="CNE4" s="44"/>
      <c r="CNF4" s="44"/>
      <c r="CNG4" s="44"/>
      <c r="CNH4" s="44"/>
      <c r="CNI4" s="44"/>
      <c r="CNJ4" s="44"/>
      <c r="CNK4" s="44"/>
      <c r="CNL4" s="44"/>
      <c r="CNM4" s="44"/>
      <c r="CNN4" s="44"/>
      <c r="CNO4" s="44"/>
      <c r="CNP4" s="44"/>
      <c r="CNQ4" s="44"/>
      <c r="CNR4" s="44"/>
      <c r="CNS4" s="44"/>
      <c r="CNT4" s="44"/>
      <c r="CNU4" s="44"/>
      <c r="CNV4" s="44"/>
      <c r="CNW4" s="67"/>
      <c r="CNX4" s="44"/>
      <c r="CNY4" s="44"/>
      <c r="CNZ4" s="44"/>
      <c r="COA4" s="44"/>
      <c r="COB4" s="44"/>
      <c r="COC4" s="44"/>
      <c r="COD4" s="44"/>
      <c r="COE4" s="44"/>
      <c r="COF4" s="44"/>
      <c r="COG4" s="44"/>
      <c r="COH4" s="44"/>
      <c r="COI4" s="44"/>
      <c r="COJ4" s="44"/>
      <c r="COK4" s="44"/>
      <c r="COL4" s="44"/>
      <c r="COM4" s="44"/>
      <c r="CON4" s="44"/>
      <c r="COO4" s="44"/>
      <c r="COP4" s="44"/>
      <c r="COQ4" s="44"/>
      <c r="COR4" s="44"/>
      <c r="COS4" s="44"/>
      <c r="COT4" s="44"/>
      <c r="COU4" s="44"/>
      <c r="COV4" s="44"/>
      <c r="COW4" s="44"/>
      <c r="COX4" s="44"/>
      <c r="COY4" s="44"/>
      <c r="COZ4" s="67"/>
      <c r="CPA4" s="44"/>
      <c r="CPB4" s="44"/>
      <c r="CPC4" s="44"/>
      <c r="CPD4" s="44"/>
      <c r="CPE4" s="44"/>
      <c r="CPF4" s="44"/>
      <c r="CPG4" s="44"/>
      <c r="CPH4" s="44"/>
      <c r="CPI4" s="44"/>
      <c r="CPJ4" s="44"/>
      <c r="CPK4" s="44"/>
      <c r="CPL4" s="44"/>
      <c r="CPM4" s="44"/>
      <c r="CPN4" s="44"/>
      <c r="CPO4" s="44"/>
      <c r="CPP4" s="44"/>
      <c r="CPQ4" s="44"/>
      <c r="CPR4" s="44"/>
      <c r="CPS4" s="44"/>
      <c r="CPT4" s="44"/>
      <c r="CPU4" s="44"/>
      <c r="CPV4" s="44"/>
      <c r="CPW4" s="44"/>
      <c r="CPX4" s="44"/>
      <c r="CPY4" s="44"/>
      <c r="CPZ4" s="44"/>
      <c r="CQA4" s="44"/>
      <c r="CQB4" s="44"/>
      <c r="CQC4" s="67"/>
      <c r="CQD4" s="44"/>
      <c r="CQE4" s="44"/>
      <c r="CQF4" s="44"/>
      <c r="CQG4" s="44"/>
      <c r="CQH4" s="44"/>
      <c r="CQI4" s="44"/>
      <c r="CQJ4" s="44"/>
      <c r="CQK4" s="44"/>
      <c r="CQL4" s="44"/>
      <c r="CQM4" s="44"/>
      <c r="CQN4" s="44"/>
      <c r="CQO4" s="44"/>
      <c r="CQP4" s="44"/>
      <c r="CQQ4" s="44"/>
      <c r="CQR4" s="44"/>
      <c r="CQS4" s="44"/>
      <c r="CQT4" s="44"/>
      <c r="CQU4" s="44"/>
      <c r="CQV4" s="44"/>
      <c r="CQW4" s="44"/>
      <c r="CQX4" s="44"/>
      <c r="CQY4" s="44"/>
      <c r="CQZ4" s="44"/>
      <c r="CRA4" s="44"/>
      <c r="CRB4" s="44"/>
      <c r="CRC4" s="44"/>
      <c r="CRD4" s="44"/>
      <c r="CRE4" s="44"/>
      <c r="CRF4" s="67"/>
      <c r="CRG4" s="67"/>
      <c r="CRH4" s="67"/>
      <c r="CRI4" s="67"/>
      <c r="CRJ4" s="75" t="s">
        <v>281</v>
      </c>
      <c r="CRK4" s="74">
        <v>399</v>
      </c>
      <c r="CRL4" s="75">
        <v>12</v>
      </c>
      <c r="CRM4" s="75" t="s">
        <v>298</v>
      </c>
      <c r="CRN4" s="48" t="str">
        <f t="shared" si="6"/>
        <v>Oi benefício fidelização Multiprodutos</v>
      </c>
      <c r="CRO4" s="78" t="str">
        <f t="shared" si="7"/>
        <v>PCS-Fk83324</v>
      </c>
      <c r="CRP4" s="78" t="str">
        <f t="shared" si="8"/>
        <v>PCS-SBL553142</v>
      </c>
      <c r="CRQ4" s="75" t="s">
        <v>299</v>
      </c>
      <c r="CRR4" s="79"/>
      <c r="CRS4" s="80">
        <f t="shared" si="9"/>
        <v>35</v>
      </c>
      <c r="CRT4" s="81">
        <f t="shared" si="10"/>
        <v>89.800000000000011</v>
      </c>
      <c r="CRU4" s="81">
        <f t="shared" si="11"/>
        <v>35</v>
      </c>
      <c r="CRV4" s="81">
        <f t="shared" si="12"/>
        <v>35</v>
      </c>
      <c r="CRW4" s="81">
        <f t="shared" si="13"/>
        <v>35</v>
      </c>
      <c r="CRX4" s="81">
        <f t="shared" si="14"/>
        <v>35</v>
      </c>
      <c r="CRY4" s="81">
        <f t="shared" si="15"/>
        <v>35</v>
      </c>
      <c r="CRZ4" s="81">
        <f t="shared" si="16"/>
        <v>35</v>
      </c>
      <c r="CSA4" s="81">
        <f t="shared" si="17"/>
        <v>35</v>
      </c>
      <c r="CSB4" s="81">
        <f t="shared" si="18"/>
        <v>35</v>
      </c>
      <c r="CSC4" s="81">
        <f t="shared" si="19"/>
        <v>35</v>
      </c>
      <c r="CSD4" s="81">
        <f t="shared" si="20"/>
        <v>35</v>
      </c>
      <c r="CSE4" s="81">
        <f t="shared" si="21"/>
        <v>35</v>
      </c>
      <c r="CSF4" s="81">
        <f t="shared" si="22"/>
        <v>109.80000000000001</v>
      </c>
      <c r="CSG4" s="81">
        <f t="shared" si="23"/>
        <v>35</v>
      </c>
      <c r="CSH4" s="81">
        <f t="shared" si="24"/>
        <v>35</v>
      </c>
      <c r="CSI4" s="81">
        <f t="shared" si="25"/>
        <v>35</v>
      </c>
      <c r="CSJ4" s="81">
        <f t="shared" si="26"/>
        <v>35</v>
      </c>
      <c r="CSK4" s="81">
        <f t="shared" si="27"/>
        <v>35</v>
      </c>
      <c r="CSL4" s="81">
        <f t="shared" si="28"/>
        <v>129.80000000000001</v>
      </c>
      <c r="CSM4" s="81">
        <f t="shared" si="29"/>
        <v>35</v>
      </c>
      <c r="CSN4" s="81">
        <f t="shared" si="30"/>
        <v>35</v>
      </c>
      <c r="CSO4" s="81">
        <f t="shared" si="31"/>
        <v>35</v>
      </c>
      <c r="CSP4" s="81">
        <f t="shared" si="32"/>
        <v>35</v>
      </c>
      <c r="CSQ4" s="81">
        <f t="shared" si="33"/>
        <v>35</v>
      </c>
      <c r="CSR4" s="82"/>
      <c r="CSS4" s="14" t="s">
        <v>300</v>
      </c>
    </row>
    <row r="5" spans="1:2541" x14ac:dyDescent="0.25">
      <c r="A5" s="25" t="s">
        <v>280</v>
      </c>
      <c r="B5" s="25" t="s">
        <v>281</v>
      </c>
      <c r="C5" s="26" t="s">
        <v>282</v>
      </c>
      <c r="D5" s="26" t="s">
        <v>283</v>
      </c>
      <c r="E5" s="26" t="s">
        <v>284</v>
      </c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8"/>
      <c r="AE5" s="27" t="s">
        <v>285</v>
      </c>
      <c r="AF5" s="29" t="s">
        <v>307</v>
      </c>
      <c r="AG5" s="30" t="s">
        <v>287</v>
      </c>
      <c r="AH5" s="31" t="s">
        <v>308</v>
      </c>
      <c r="AI5" s="32">
        <v>43238</v>
      </c>
      <c r="AJ5" s="32">
        <v>43281</v>
      </c>
      <c r="AK5" s="33" t="s">
        <v>289</v>
      </c>
      <c r="AL5" s="33" t="s">
        <v>289</v>
      </c>
      <c r="AM5" s="34"/>
      <c r="AN5" s="34" t="s">
        <v>290</v>
      </c>
      <c r="AO5" s="34">
        <v>20</v>
      </c>
      <c r="AP5" s="34">
        <v>10000</v>
      </c>
      <c r="AQ5" s="35" t="s">
        <v>291</v>
      </c>
      <c r="AR5" s="35" t="s">
        <v>281</v>
      </c>
      <c r="AS5" s="35" t="s">
        <v>284</v>
      </c>
      <c r="AT5" s="35" t="s">
        <v>284</v>
      </c>
      <c r="AU5" s="29" t="s">
        <v>307</v>
      </c>
      <c r="AV5" s="36" t="s">
        <v>309</v>
      </c>
      <c r="AW5" s="37" t="str">
        <f>IF(AV5="","",VLOOKUP(AV5,[2]PickList!A:B,2,0))</f>
        <v>PCS-2PHipi</v>
      </c>
      <c r="AX5" s="38" t="s">
        <v>284</v>
      </c>
      <c r="AY5" s="37" t="str">
        <f t="shared" si="0"/>
        <v/>
      </c>
      <c r="AZ5" s="39"/>
      <c r="BA5" s="40"/>
      <c r="BB5" s="41">
        <v>35</v>
      </c>
      <c r="BC5" s="42">
        <f t="shared" si="1"/>
        <v>19.57</v>
      </c>
      <c r="BD5" s="42">
        <v>15.43</v>
      </c>
      <c r="BE5" s="43" t="e">
        <f ca="1">VLOOKUP($AV5&amp;BF5&amp;"Template de desconto FLAT bundle - Fixo - Varejo - Ganho Tributário",[2]BENEFICIOS!$A:$G,5,0)</f>
        <v>#N/A</v>
      </c>
      <c r="BF5" s="44">
        <f ca="1">ROUNDUP(IF(IFERROR(IF($BC5="","",IF($BC5=0,1,1-$BC5/HLOOKUP(BF$3,[2]ARBOR_REAJUSTE18!$1:$2,VLOOKUP($BB$2,[2]ARBOR_REAJUSTE18!$A:$B,2,0),0))),"")&lt;0.01%,0.01%,IFERROR(IF($BC5="","",IF($BC5=0,1,1-$BC5/HLOOKUP(BF$3,[2]ARBOR_REAJUSTE18!$1:$2,VLOOKUP($BB$2,[2]ARBOR_REAJUSTE18!$A:$B,2,0),0))),"")),4)</f>
        <v>0.72909999999999997</v>
      </c>
      <c r="BG5" s="44">
        <f ca="1">ROUNDUP(IF(IFERROR(IF($BC5="","",IF($BC5=0,1,1-$BC5/HLOOKUP(BG$3,[2]ARBOR_REAJUSTE18!$1:$2,VLOOKUP($BB$2,[2]ARBOR_REAJUSTE18!$A:$B,2,0),0))),"")&lt;0.01%,0.01%,IFERROR(IF($BC5="","",IF($BC5=0,1,1-$BC5/HLOOKUP(BG$3,[2]ARBOR_REAJUSTE18!$1:$2,VLOOKUP($BB$2,[2]ARBOR_REAJUSTE18!$A:$B,2,0),0))),"")),4)</f>
        <v>0.73270000000000002</v>
      </c>
      <c r="BH5" s="44">
        <f ca="1">ROUNDUP(IF(IFERROR(IF($BC5="","",IF($BC5=0,1,1-$BC5/HLOOKUP(BH$3,[2]ARBOR_REAJUSTE18!$1:$2,VLOOKUP($BB$2,[2]ARBOR_REAJUSTE18!$A:$B,2,0),0))),"")&lt;0.01%,0.01%,IFERROR(IF($BC5="","",IF($BC5=0,1,1-$BC5/HLOOKUP(BH$3,[2]ARBOR_REAJUSTE18!$1:$2,VLOOKUP($BB$2,[2]ARBOR_REAJUSTE18!$A:$B,2,0),0))),"")),4)</f>
        <v>0.73270000000000002</v>
      </c>
      <c r="BI5" s="44">
        <f ca="1">ROUNDUP(IF(IFERROR(IF($BC5="","",IF($BC5=0,1,1-$BC5/HLOOKUP(BI$3,[2]ARBOR_REAJUSTE18!$1:$2,VLOOKUP($BB$2,[2]ARBOR_REAJUSTE18!$A:$B,2,0),0))),"")&lt;0.01%,0.01%,IFERROR(IF($BC5="","",IF($BC5=0,1,1-$BC5/HLOOKUP(BI$3,[2]ARBOR_REAJUSTE18!$1:$2,VLOOKUP($BB$2,[2]ARBOR_REAJUSTE18!$A:$B,2,0),0))),"")),4)</f>
        <v>0.73080000000000001</v>
      </c>
      <c r="BJ5" s="44">
        <f ca="1">ROUNDUP(IF(IFERROR(IF($BC5="","",IF($BC5=0,1,1-$BC5/HLOOKUP(BJ$3,[2]ARBOR_REAJUSTE18!$1:$2,VLOOKUP($BB$2,[2]ARBOR_REAJUSTE18!$A:$B,2,0),0))),"")&lt;0.01%,0.01%,IFERROR(IF($BC5="","",IF($BC5=0,1,1-$BC5/HLOOKUP(BJ$3,[2]ARBOR_REAJUSTE18!$1:$2,VLOOKUP($BB$2,[2]ARBOR_REAJUSTE18!$A:$B,2,0),0))),"")),4)</f>
        <v>0.72899999999999998</v>
      </c>
      <c r="BK5" s="44">
        <f ca="1">ROUNDUP(IF(IFERROR(IF($BC5="","",IF($BC5=0,1,1-$BC5/HLOOKUP(BK$3,[2]ARBOR_REAJUSTE18!$1:$2,VLOOKUP($BB$2,[2]ARBOR_REAJUSTE18!$A:$B,2,0),0))),"")&lt;0.01%,0.01%,IFERROR(IF($BC5="","",IF($BC5=0,1,1-$BC5/HLOOKUP(BK$3,[2]ARBOR_REAJUSTE18!$1:$2,VLOOKUP($BB$2,[2]ARBOR_REAJUSTE18!$A:$B,2,0),0))),"")),4)</f>
        <v>0.68740000000000001</v>
      </c>
      <c r="BL5" s="44">
        <f ca="1">ROUNDUP(IF(IFERROR(IF($BC5="","",IF($BC5=0,1,1-$BC5/HLOOKUP(BL$3,[2]ARBOR_REAJUSTE18!$1:$2,VLOOKUP($BB$2,[2]ARBOR_REAJUSTE18!$A:$B,2,0),0))),"")&lt;0.01%,0.01%,IFERROR(IF($BC5="","",IF($BC5=0,1,1-$BC5/HLOOKUP(BL$3,[2]ARBOR_REAJUSTE18!$1:$2,VLOOKUP($BB$2,[2]ARBOR_REAJUSTE18!$A:$B,2,0),0))),"")),4)</f>
        <v>0.73429999999999995</v>
      </c>
      <c r="BM5" s="44">
        <f ca="1">ROUNDUP(IF(IFERROR(IF($BC5="","",IF($BC5=0,1,1-$BC5/HLOOKUP(BM$3,[2]ARBOR_REAJUSTE18!$1:$2,VLOOKUP($BB$2,[2]ARBOR_REAJUSTE18!$A:$B,2,0),0))),"")&lt;0.01%,0.01%,IFERROR(IF($BC5="","",IF($BC5=0,1,1-$BC5/HLOOKUP(BM$3,[2]ARBOR_REAJUSTE18!$1:$2,VLOOKUP($BB$2,[2]ARBOR_REAJUSTE18!$A:$B,2,0),0))),"")),4)</f>
        <v>0.72360000000000002</v>
      </c>
      <c r="BN5" s="44">
        <f ca="1">ROUNDUP(IF(IFERROR(IF($BC5="","",IF($BC5=0,1,1-$BC5/HLOOKUP(BN$3,[2]ARBOR_REAJUSTE18!$1:$2,VLOOKUP($BB$2,[2]ARBOR_REAJUSTE18!$A:$B,2,0),0))),"")&lt;0.01%,0.01%,IFERROR(IF($BC5="","",IF($BC5=0,1,1-$BC5/HLOOKUP(BN$3,[2]ARBOR_REAJUSTE18!$1:$2,VLOOKUP($BB$2,[2]ARBOR_REAJUSTE18!$A:$B,2,0),0))),"")),4)</f>
        <v>0.73609999999999998</v>
      </c>
      <c r="BO5" s="44">
        <f ca="1">ROUNDUP(IF(IFERROR(IF($BC5="","",IF($BC5=0,1,1-$BC5/HLOOKUP(BO$3,[2]ARBOR_REAJUSTE18!$1:$2,VLOOKUP($BB$2,[2]ARBOR_REAJUSTE18!$A:$B,2,0),0))),"")&lt;0.01%,0.01%,IFERROR(IF($BC5="","",IF($BC5=0,1,1-$BC5/HLOOKUP(BO$3,[2]ARBOR_REAJUSTE18!$1:$2,VLOOKUP($BB$2,[2]ARBOR_REAJUSTE18!$A:$B,2,0),0))),"")),4)</f>
        <v>0.6986</v>
      </c>
      <c r="BP5" s="44">
        <f ca="1">ROUNDUP(IF(IFERROR(IF($BC5="","",IF($BC5=0,1,1-$BC5/HLOOKUP(BP$3,[2]ARBOR_REAJUSTE18!$1:$2,VLOOKUP($BB$2,[2]ARBOR_REAJUSTE18!$A:$B,2,0),0))),"")&lt;0.01%,0.01%,IFERROR(IF($BC5="","",IF($BC5=0,1,1-$BC5/HLOOKUP(BP$3,[2]ARBOR_REAJUSTE18!$1:$2,VLOOKUP($BB$2,[2]ARBOR_REAJUSTE18!$A:$B,2,0),0))),"")),4)</f>
        <v>0.72709999999999997</v>
      </c>
      <c r="BQ5" s="44">
        <f ca="1">ROUNDUP(IF(IFERROR(IF($BC5="","",IF($BC5=0,1,1-$BC5/HLOOKUP(BQ$3,[2]ARBOR_REAJUSTE18!$1:$2,VLOOKUP($BB$2,[2]ARBOR_REAJUSTE18!$A:$B,2,0),0))),"")&lt;0.01%,0.01%,IFERROR(IF($BC5="","",IF($BC5=0,1,1-$BC5/HLOOKUP(BQ$3,[2]ARBOR_REAJUSTE18!$1:$2,VLOOKUP($BB$2,[2]ARBOR_REAJUSTE18!$A:$B,2,0),0))),"")),4)</f>
        <v>0.73609999999999998</v>
      </c>
      <c r="BR5" s="44">
        <f ca="1">ROUNDUP(IF(IFERROR(IF($BC5="","",IF($BC5=0,1,1-$BC5/HLOOKUP(BR$3,[2]ARBOR_REAJUSTE18!$1:$2,VLOOKUP($BB$2,[2]ARBOR_REAJUSTE18!$A:$B,2,0),0))),"")&lt;0.01%,0.01%,IFERROR(IF($BC5="","",IF($BC5=0,1,1-$BC5/HLOOKUP(BR$3,[2]ARBOR_REAJUSTE18!$1:$2,VLOOKUP($BB$2,[2]ARBOR_REAJUSTE18!$A:$B,2,0),0))),"")),4)</f>
        <v>0.73250000000000004</v>
      </c>
      <c r="BS5" s="44">
        <f ca="1">ROUNDUP(IF(IFERROR(IF($BC5="","",IF($BC5=0,1,1-$BC5/HLOOKUP(BS$3,[2]ARBOR_REAJUSTE18!$1:$2,VLOOKUP($BB$2,[2]ARBOR_REAJUSTE18!$A:$B,2,0),0))),"")&lt;0.01%,0.01%,IFERROR(IF($BC5="","",IF($BC5=0,1,1-$BC5/HLOOKUP(BS$3,[2]ARBOR_REAJUSTE18!$1:$2,VLOOKUP($BB$2,[2]ARBOR_REAJUSTE18!$A:$B,2,0),0))),"")),4)</f>
        <v>0.73270000000000002</v>
      </c>
      <c r="BT5" s="44">
        <f ca="1">ROUNDUP(IF(IFERROR(IF($BC5="","",IF($BC5=0,1,1-$BC5/HLOOKUP(BT$3,[2]ARBOR_REAJUSTE18!$1:$2,VLOOKUP($BB$2,[2]ARBOR_REAJUSTE18!$A:$B,2,0),0))),"")&lt;0.01%,0.01%,IFERROR(IF($BC5="","",IF($BC5=0,1,1-$BC5/HLOOKUP(BT$3,[2]ARBOR_REAJUSTE18!$1:$2,VLOOKUP($BB$2,[2]ARBOR_REAJUSTE18!$A:$B,2,0),0))),"")),4)</f>
        <v>0.68740000000000001</v>
      </c>
      <c r="BU5" s="44">
        <f ca="1">ROUNDUP(IF(IFERROR(IF($BC5="","",IF($BC5=0,1,1-$BC5/HLOOKUP(BU$3,[2]ARBOR_REAJUSTE18!$1:$2,VLOOKUP($BB$2,[2]ARBOR_REAJUSTE18!$A:$B,2,0),0))),"")&lt;0.01%,0.01%,IFERROR(IF($BC5="","",IF($BC5=0,1,1-$BC5/HLOOKUP(BU$3,[2]ARBOR_REAJUSTE18!$1:$2,VLOOKUP($BB$2,[2]ARBOR_REAJUSTE18!$A:$B,2,0),0))),"")),4)</f>
        <v>0.73270000000000002</v>
      </c>
      <c r="BV5" s="44">
        <f ca="1">ROUNDUP(IF(IFERROR(IF($BC5="","",IF($BC5=0,1,1-$BC5/HLOOKUP(BV$3,[2]ARBOR_REAJUSTE18!$1:$2,VLOOKUP($BB$2,[2]ARBOR_REAJUSTE18!$A:$B,2,0),0))),"")&lt;0.01%,0.01%,IFERROR(IF($BC5="","",IF($BC5=0,1,1-$BC5/HLOOKUP(BV$3,[2]ARBOR_REAJUSTE18!$1:$2,VLOOKUP($BB$2,[2]ARBOR_REAJUSTE18!$A:$B,2,0),0))),"")),4)</f>
        <v>0.71</v>
      </c>
      <c r="BW5" s="44">
        <f ca="1">ROUNDUP(IF(IFERROR(IF($BC5="","",IF($BC5=0,1,1-$BC5/HLOOKUP(BW$3,[2]ARBOR_REAJUSTE18!$1:$2,VLOOKUP($BB$2,[2]ARBOR_REAJUSTE18!$A:$B,2,0),0))),"")&lt;0.01%,0.01%,IFERROR(IF($BC5="","",IF($BC5=0,1,1-$BC5/HLOOKUP(BW$3,[2]ARBOR_REAJUSTE18!$1:$2,VLOOKUP($BB$2,[2]ARBOR_REAJUSTE18!$A:$B,2,0),0))),"")),4)</f>
        <v>0.73609999999999998</v>
      </c>
      <c r="BX5" s="44">
        <f ca="1">ROUNDUP(IF(IFERROR(IF($BC5="","",IF($BC5=0,1,1-$BC5/HLOOKUP(BX$3,[2]ARBOR_REAJUSTE18!$1:$2,VLOOKUP($BB$2,[2]ARBOR_REAJUSTE18!$A:$B,2,0),0))),"")&lt;0.01%,0.01%,IFERROR(IF($BC5="","",IF($BC5=0,1,1-$BC5/HLOOKUP(BX$3,[2]ARBOR_REAJUSTE18!$1:$2,VLOOKUP($BB$2,[2]ARBOR_REAJUSTE18!$A:$B,2,0),0))),"")),4)</f>
        <v>0.74109999999999998</v>
      </c>
      <c r="BY5" s="44">
        <f ca="1">ROUNDUP(IF(IFERROR(IF($BC5="","",IF($BC5=0,1,1-$BC5/HLOOKUP(BY$3,[2]ARBOR_REAJUSTE18!$1:$2,VLOOKUP($BB$2,[2]ARBOR_REAJUSTE18!$A:$B,2,0),0))),"")&lt;0.01%,0.01%,IFERROR(IF($BC5="","",IF($BC5=0,1,1-$BC5/HLOOKUP(BY$3,[2]ARBOR_REAJUSTE18!$1:$2,VLOOKUP($BB$2,[2]ARBOR_REAJUSTE18!$A:$B,2,0),0))),"")),4)</f>
        <v>0.73270000000000002</v>
      </c>
      <c r="BZ5" s="44">
        <f ca="1">ROUNDUP(IF(IFERROR(IF($BC5="","",IF($BC5=0,1,1-$BC5/HLOOKUP(BZ$3,[2]ARBOR_REAJUSTE18!$1:$2,VLOOKUP($BB$2,[2]ARBOR_REAJUSTE18!$A:$B,2,0),0))),"")&lt;0.01%,0.01%,IFERROR(IF($BC5="","",IF($BC5=0,1,1-$BC5/HLOOKUP(BZ$3,[2]ARBOR_REAJUSTE18!$1:$2,VLOOKUP($BB$2,[2]ARBOR_REAJUSTE18!$A:$B,2,0),0))),"")),4)</f>
        <v>0.7379</v>
      </c>
      <c r="CA5" s="44">
        <f ca="1">ROUNDUP(IF(IFERROR(IF($BC5="","",IF($BC5=0,1,1-$BC5/HLOOKUP(CA$3,[2]ARBOR_REAJUSTE18!$1:$2,VLOOKUP($BB$2,[2]ARBOR_REAJUSTE18!$A:$B,2,0),0))),"")&lt;0.01%,0.01%,IFERROR(IF($BC5="","",IF($BC5=0,1,1-$BC5/HLOOKUP(CA$3,[2]ARBOR_REAJUSTE18!$1:$2,VLOOKUP($BB$2,[2]ARBOR_REAJUSTE18!$A:$B,2,0),0))),"")),4)</f>
        <v>0.72360000000000002</v>
      </c>
      <c r="CB5" s="44">
        <f ca="1">ROUNDUP(IF(IFERROR(IF($BC5="","",IF($BC5=0,1,1-$BC5/HLOOKUP(CB$3,[2]ARBOR_REAJUSTE18!$1:$2,VLOOKUP($BB$2,[2]ARBOR_REAJUSTE18!$A:$B,2,0),0))),"")&lt;0.01%,0.01%,IFERROR(IF($BC5="","",IF($BC5=0,1,1-$BC5/HLOOKUP(CB$3,[2]ARBOR_REAJUSTE18!$1:$2,VLOOKUP($BB$2,[2]ARBOR_REAJUSTE18!$A:$B,2,0),0))),"")),4)</f>
        <v>0.7379</v>
      </c>
      <c r="CC5" s="44">
        <f ca="1">ROUNDUP(IF(IFERROR(IF($BC5="","",IF($BC5=0,1,1-$BC5/HLOOKUP(CC$3,[2]ARBOR_REAJUSTE18!$1:$2,VLOOKUP($BB$2,[2]ARBOR_REAJUSTE18!$A:$B,2,0),0))),"")&lt;0.01%,0.01%,IFERROR(IF($BC5="","",IF($BC5=0,1,1-$BC5/HLOOKUP(CC$3,[2]ARBOR_REAJUSTE18!$1:$2,VLOOKUP($BB$2,[2]ARBOR_REAJUSTE18!$A:$B,2,0),0))),"")),4)</f>
        <v>0.72909999999999997</v>
      </c>
      <c r="CD5" s="44">
        <f ca="1">ROUNDUP(IF(IFERROR(IF($BC5="","",IF($BC5=0,1,1-$BC5/HLOOKUP(CD$3,[2]ARBOR_REAJUSTE18!$1:$2,VLOOKUP($BB$2,[2]ARBOR_REAJUSTE18!$A:$B,2,0),0))),"")&lt;0.01%,0.01%,IFERROR(IF($BC5="","",IF($BC5=0,1,1-$BC5/HLOOKUP(CD$3,[2]ARBOR_REAJUSTE18!$1:$2,VLOOKUP($BB$2,[2]ARBOR_REAJUSTE18!$A:$B,2,0),0))),"")),4)</f>
        <v>0.73270000000000002</v>
      </c>
      <c r="CE5" s="44" t="e">
        <f ca="1">ROUNDUP(IF(IFERROR(IF($BC5="","",IF($BC5=0,1,1-$BC5/HLOOKUP(CE$3,[2]ARBOR_REAJUSTE18!$1:$2,VLOOKUP($BB$2,[2]ARBOR_REAJUSTE18!$A:$B,2,0),0))),"")&lt;0.01%,0.01%,IFERROR(IF($BC5="","",IF($BC5=0,1,1-$BC5/HLOOKUP(CE$3,[2]ARBOR_REAJUSTE18!$1:$2,VLOOKUP($BB$2,[2]ARBOR_REAJUSTE18!$A:$B,2,0),0))),"")),4)</f>
        <v>#VALUE!</v>
      </c>
      <c r="CF5" s="44">
        <f ca="1">ROUNDUP(IF(IFERROR(IF($BC5="","",IF($BC5=0,1,1-$BC5/HLOOKUP(CF$3,[2]ARBOR_REAJUSTE18!$1:$2,VLOOKUP($BB$2,[2]ARBOR_REAJUSTE18!$A:$B,2,0),0))),"")&lt;0.01%,0.01%,IFERROR(IF($BC5="","",IF($BC5=0,1,1-$BC5/HLOOKUP(CF$3,[2]ARBOR_REAJUSTE18!$1:$2,VLOOKUP($BB$2,[2]ARBOR_REAJUSTE18!$A:$B,2,0),0))),"")),4)</f>
        <v>0.73609999999999998</v>
      </c>
      <c r="CG5" s="45">
        <v>5</v>
      </c>
      <c r="CH5" s="46">
        <v>4</v>
      </c>
      <c r="CI5" s="42">
        <f t="shared" si="2"/>
        <v>30</v>
      </c>
      <c r="CJ5" s="42">
        <f t="shared" si="3"/>
        <v>14.57</v>
      </c>
      <c r="CK5" s="43" t="e">
        <f ca="1">VLOOKUP($AV5&amp;CL5&amp;"Template de desconto percentual Bundle - Fixo - Varejo - Ganho Tributário Cross",[2]BENEFICIOS!$A:$G,5,0)</f>
        <v>#N/A</v>
      </c>
      <c r="CL5" s="44">
        <f ca="1">ROUNDUP(IF(IFERROR(IF($CJ5="","",IF($CJ5=0,1,1-$CJ5/HLOOKUP(CL$3,[2]ARBOR_REAJUSTE18!$1:$2,VLOOKUP($BB$2,[2]ARBOR_REAJUSTE18!$A:$B,2,0),0))),"")&lt;0.01%,0.01%,(IFERROR(IF($CJ5="","",IF($CJ5=0,1,1-$CJ5/HLOOKUP(CL$3,[2]ARBOR_REAJUSTE18!$1:$2,VLOOKUP($BB$2,[2]ARBOR_REAJUSTE18!$A:$B,2,0),0))),""))),4)-BF5</f>
        <v>6.9200000000000039E-2</v>
      </c>
      <c r="CM5" s="44">
        <f ca="1">ROUNDUP(IF(IFERROR(IF($CJ5="","",IF($CJ5=0,1,1-$CJ5/HLOOKUP(CM$3,[2]ARBOR_REAJUSTE18!$1:$2,VLOOKUP($BB$2,[2]ARBOR_REAJUSTE18!$A:$B,2,0),0))),"")&lt;0.01%,0.01%,(IFERROR(IF($CJ5="","",IF($CJ5=0,1,1-$CJ5/HLOOKUP(CM$3,[2]ARBOR_REAJUSTE18!$1:$2,VLOOKUP($BB$2,[2]ARBOR_REAJUSTE18!$A:$B,2,0),0))),""))),4)-BG5</f>
        <v>6.8299999999999916E-2</v>
      </c>
      <c r="CN5" s="44">
        <f ca="1">ROUNDUP(IF(IFERROR(IF($CJ5="","",IF($CJ5=0,1,1-$CJ5/HLOOKUP(CN$3,[2]ARBOR_REAJUSTE18!$1:$2,VLOOKUP($BB$2,[2]ARBOR_REAJUSTE18!$A:$B,2,0),0))),"")&lt;0.01%,0.01%,(IFERROR(IF($CJ5="","",IF($CJ5=0,1,1-$CJ5/HLOOKUP(CN$3,[2]ARBOR_REAJUSTE18!$1:$2,VLOOKUP($BB$2,[2]ARBOR_REAJUSTE18!$A:$B,2,0),0))),""))),4)-BH5</f>
        <v>6.8299999999999916E-2</v>
      </c>
      <c r="CO5" s="44">
        <f ca="1">ROUNDUP(IF(IFERROR(IF($CJ5="","",IF($CJ5=0,1,1-$CJ5/HLOOKUP(CO$3,[2]ARBOR_REAJUSTE18!$1:$2,VLOOKUP($BB$2,[2]ARBOR_REAJUSTE18!$A:$B,2,0),0))),"")&lt;0.01%,0.01%,(IFERROR(IF($CJ5="","",IF($CJ5=0,1,1-$CJ5/HLOOKUP(CO$3,[2]ARBOR_REAJUSTE18!$1:$2,VLOOKUP($BB$2,[2]ARBOR_REAJUSTE18!$A:$B,2,0),0))),""))),4)-BI5</f>
        <v>6.8799999999999972E-2</v>
      </c>
      <c r="CP5" s="44">
        <f ca="1">ROUNDUP(IF(IFERROR(IF($CJ5="","",IF($CJ5=0,1,1-$CJ5/HLOOKUP(CP$3,[2]ARBOR_REAJUSTE18!$1:$2,VLOOKUP($BB$2,[2]ARBOR_REAJUSTE18!$A:$B,2,0),0))),"")&lt;0.01%,0.01%,(IFERROR(IF($CJ5="","",IF($CJ5=0,1,1-$CJ5/HLOOKUP(CP$3,[2]ARBOR_REAJUSTE18!$1:$2,VLOOKUP($BB$2,[2]ARBOR_REAJUSTE18!$A:$B,2,0),0))),""))),4)-BJ5</f>
        <v>6.9200000000000039E-2</v>
      </c>
      <c r="CQ5" s="44">
        <f ca="1">ROUNDUP(IF(IFERROR(IF($CJ5="","",IF($CJ5=0,1,1-$CJ5/HLOOKUP(CQ$3,[2]ARBOR_REAJUSTE18!$1:$2,VLOOKUP($BB$2,[2]ARBOR_REAJUSTE18!$A:$B,2,0),0))),"")&lt;0.01%,0.01%,(IFERROR(IF($CJ5="","",IF($CJ5=0,1,1-$CJ5/HLOOKUP(CQ$3,[2]ARBOR_REAJUSTE18!$1:$2,VLOOKUP($BB$2,[2]ARBOR_REAJUSTE18!$A:$B,2,0),0))),""))),4)-BK5</f>
        <v>7.9899999999999971E-2</v>
      </c>
      <c r="CR5" s="44">
        <f ca="1">ROUNDUP(IF(IFERROR(IF($CJ5="","",IF($CJ5=0,1,1-$CJ5/HLOOKUP(CR$3,[2]ARBOR_REAJUSTE18!$1:$2,VLOOKUP($BB$2,[2]ARBOR_REAJUSTE18!$A:$B,2,0),0))),"")&lt;0.01%,0.01%,(IFERROR(IF($CJ5="","",IF($CJ5=0,1,1-$CJ5/HLOOKUP(CR$3,[2]ARBOR_REAJUSTE18!$1:$2,VLOOKUP($BB$2,[2]ARBOR_REAJUSTE18!$A:$B,2,0),0))),""))),4)-BL5</f>
        <v>6.7900000000000071E-2</v>
      </c>
      <c r="CS5" s="44">
        <f ca="1">ROUNDUP(IF(IFERROR(IF($CJ5="","",IF($CJ5=0,1,1-$CJ5/HLOOKUP(CS$3,[2]ARBOR_REAJUSTE18!$1:$2,VLOOKUP($BB$2,[2]ARBOR_REAJUSTE18!$A:$B,2,0),0))),"")&lt;0.01%,0.01%,(IFERROR(IF($CJ5="","",IF($CJ5=0,1,1-$CJ5/HLOOKUP(CS$3,[2]ARBOR_REAJUSTE18!$1:$2,VLOOKUP($BB$2,[2]ARBOR_REAJUSTE18!$A:$B,2,0),0))),""))),4)-BM5</f>
        <v>7.0699999999999985E-2</v>
      </c>
      <c r="CT5" s="44">
        <f ca="1">ROUNDUP(IF(IFERROR(IF($CJ5="","",IF($CJ5=0,1,1-$CJ5/HLOOKUP(CT$3,[2]ARBOR_REAJUSTE18!$1:$2,VLOOKUP($BB$2,[2]ARBOR_REAJUSTE18!$A:$B,2,0),0))),"")&lt;0.01%,0.01%,(IFERROR(IF($CJ5="","",IF($CJ5=0,1,1-$CJ5/HLOOKUP(CT$3,[2]ARBOR_REAJUSTE18!$1:$2,VLOOKUP($BB$2,[2]ARBOR_REAJUSTE18!$A:$B,2,0),0))),""))),4)-BN5</f>
        <v>6.7400000000000015E-2</v>
      </c>
      <c r="CU5" s="44">
        <f ca="1">ROUNDUP(IF(IFERROR(IF($CJ5="","",IF($CJ5=0,1,1-$CJ5/HLOOKUP(CU$3,[2]ARBOR_REAJUSTE18!$1:$2,VLOOKUP($BB$2,[2]ARBOR_REAJUSTE18!$A:$B,2,0),0))),"")&lt;0.01%,0.01%,(IFERROR(IF($CJ5="","",IF($CJ5=0,1,1-$CJ5/HLOOKUP(CU$3,[2]ARBOR_REAJUSTE18!$1:$2,VLOOKUP($BB$2,[2]ARBOR_REAJUSTE18!$A:$B,2,0),0))),""))),4)-BO5</f>
        <v>7.6999999999999957E-2</v>
      </c>
      <c r="CV5" s="44">
        <f ca="1">ROUNDUP(IF(IFERROR(IF($CJ5="","",IF($CJ5=0,1,1-$CJ5/HLOOKUP(CV$3,[2]ARBOR_REAJUSTE18!$1:$2,VLOOKUP($BB$2,[2]ARBOR_REAJUSTE18!$A:$B,2,0),0))),"")&lt;0.01%,0.01%,(IFERROR(IF($CJ5="","",IF($CJ5=0,1,1-$CJ5/HLOOKUP(CV$3,[2]ARBOR_REAJUSTE18!$1:$2,VLOOKUP($BB$2,[2]ARBOR_REAJUSTE18!$A:$B,2,0),0))),""))),4)-BP5</f>
        <v>6.9799999999999973E-2</v>
      </c>
      <c r="CW5" s="44">
        <f ca="1">ROUNDUP(IF(IFERROR(IF($CJ5="","",IF($CJ5=0,1,1-$CJ5/HLOOKUP(CW$3,[2]ARBOR_REAJUSTE18!$1:$2,VLOOKUP($BB$2,[2]ARBOR_REAJUSTE18!$A:$B,2,0),0))),"")&lt;0.01%,0.01%,(IFERROR(IF($CJ5="","",IF($CJ5=0,1,1-$CJ5/HLOOKUP(CW$3,[2]ARBOR_REAJUSTE18!$1:$2,VLOOKUP($BB$2,[2]ARBOR_REAJUSTE18!$A:$B,2,0),0))),""))),4)-BQ5</f>
        <v>6.7400000000000015E-2</v>
      </c>
      <c r="CX5" s="44">
        <f ca="1">ROUNDUP(IF(IFERROR(IF($CJ5="","",IF($CJ5=0,1,1-$CJ5/HLOOKUP(CX$3,[2]ARBOR_REAJUSTE18!$1:$2,VLOOKUP($BB$2,[2]ARBOR_REAJUSTE18!$A:$B,2,0),0))),"")&lt;0.01%,0.01%,(IFERROR(IF($CJ5="","",IF($CJ5=0,1,1-$CJ5/HLOOKUP(CX$3,[2]ARBOR_REAJUSTE18!$1:$2,VLOOKUP($BB$2,[2]ARBOR_REAJUSTE18!$A:$B,2,0),0))),""))),4)-BR5</f>
        <v>6.8399999999999905E-2</v>
      </c>
      <c r="CY5" s="44">
        <f ca="1">ROUNDUP(IF(IFERROR(IF($CJ5="","",IF($CJ5=0,1,1-$CJ5/HLOOKUP(CY$3,[2]ARBOR_REAJUSTE18!$1:$2,VLOOKUP($BB$2,[2]ARBOR_REAJUSTE18!$A:$B,2,0),0))),"")&lt;0.01%,0.01%,(IFERROR(IF($CJ5="","",IF($CJ5=0,1,1-$CJ5/HLOOKUP(CY$3,[2]ARBOR_REAJUSTE18!$1:$2,VLOOKUP($BB$2,[2]ARBOR_REAJUSTE18!$A:$B,2,0),0))),""))),4)-BS5</f>
        <v>6.8299999999999916E-2</v>
      </c>
      <c r="CZ5" s="44">
        <f ca="1">ROUNDUP(IF(IFERROR(IF($CJ5="","",IF($CJ5=0,1,1-$CJ5/HLOOKUP(CZ$3,[2]ARBOR_REAJUSTE18!$1:$2,VLOOKUP($BB$2,[2]ARBOR_REAJUSTE18!$A:$B,2,0),0))),"")&lt;0.01%,0.01%,(IFERROR(IF($CJ5="","",IF($CJ5=0,1,1-$CJ5/HLOOKUP(CZ$3,[2]ARBOR_REAJUSTE18!$1:$2,VLOOKUP($BB$2,[2]ARBOR_REAJUSTE18!$A:$B,2,0),0))),""))),4)-BT5</f>
        <v>7.9899999999999971E-2</v>
      </c>
      <c r="DA5" s="44">
        <f ca="1">ROUNDUP(IF(IFERROR(IF($CJ5="","",IF($CJ5=0,1,1-$CJ5/HLOOKUP(DA$3,[2]ARBOR_REAJUSTE18!$1:$2,VLOOKUP($BB$2,[2]ARBOR_REAJUSTE18!$A:$B,2,0),0))),"")&lt;0.01%,0.01%,(IFERROR(IF($CJ5="","",IF($CJ5=0,1,1-$CJ5/HLOOKUP(DA$3,[2]ARBOR_REAJUSTE18!$1:$2,VLOOKUP($BB$2,[2]ARBOR_REAJUSTE18!$A:$B,2,0),0))),""))),4)-BU5</f>
        <v>6.8299999999999916E-2</v>
      </c>
      <c r="DB5" s="44">
        <f ca="1">ROUNDUP(IF(IFERROR(IF($CJ5="","",IF($CJ5=0,1,1-$CJ5/HLOOKUP(DB$3,[2]ARBOR_REAJUSTE18!$1:$2,VLOOKUP($BB$2,[2]ARBOR_REAJUSTE18!$A:$B,2,0),0))),"")&lt;0.01%,0.01%,(IFERROR(IF($CJ5="","",IF($CJ5=0,1,1-$CJ5/HLOOKUP(DB$3,[2]ARBOR_REAJUSTE18!$1:$2,VLOOKUP($BB$2,[2]ARBOR_REAJUSTE18!$A:$B,2,0),0))),""))),4)-BV5</f>
        <v>7.4100000000000055E-2</v>
      </c>
      <c r="DC5" s="44">
        <f ca="1">ROUNDUP(IF(IFERROR(IF($CJ5="","",IF($CJ5=0,1,1-$CJ5/HLOOKUP(DC$3,[2]ARBOR_REAJUSTE18!$1:$2,VLOOKUP($BB$2,[2]ARBOR_REAJUSTE18!$A:$B,2,0),0))),"")&lt;0.01%,0.01%,(IFERROR(IF($CJ5="","",IF($CJ5=0,1,1-$CJ5/HLOOKUP(DC$3,[2]ARBOR_REAJUSTE18!$1:$2,VLOOKUP($BB$2,[2]ARBOR_REAJUSTE18!$A:$B,2,0),0))),""))),4)-BW5</f>
        <v>6.7400000000000015E-2</v>
      </c>
      <c r="DD5" s="44">
        <f ca="1">ROUNDUP(IF(IFERROR(IF($CJ5="","",IF($CJ5=0,1,1-$CJ5/HLOOKUP(DD$3,[2]ARBOR_REAJUSTE18!$1:$2,VLOOKUP($BB$2,[2]ARBOR_REAJUSTE18!$A:$B,2,0),0))),"")&lt;0.01%,0.01%,(IFERROR(IF($CJ5="","",IF($CJ5=0,1,1-$CJ5/HLOOKUP(DD$3,[2]ARBOR_REAJUSTE18!$1:$2,VLOOKUP($BB$2,[2]ARBOR_REAJUSTE18!$A:$B,2,0),0))),""))),4)-BX5</f>
        <v>6.6100000000000048E-2</v>
      </c>
      <c r="DE5" s="44">
        <f ca="1">ROUNDUP(IF(IFERROR(IF($CJ5="","",IF($CJ5=0,1,1-$CJ5/HLOOKUP(DE$3,[2]ARBOR_REAJUSTE18!$1:$2,VLOOKUP($BB$2,[2]ARBOR_REAJUSTE18!$A:$B,2,0),0))),"")&lt;0.01%,0.01%,(IFERROR(IF($CJ5="","",IF($CJ5=0,1,1-$CJ5/HLOOKUP(DE$3,[2]ARBOR_REAJUSTE18!$1:$2,VLOOKUP($BB$2,[2]ARBOR_REAJUSTE18!$A:$B,2,0),0))),""))),4)-BY5</f>
        <v>6.8299999999999916E-2</v>
      </c>
      <c r="DF5" s="44">
        <f ca="1">ROUNDUP(IF(IFERROR(IF($CJ5="","",IF($CJ5=0,1,1-$CJ5/HLOOKUP(DF$3,[2]ARBOR_REAJUSTE18!$1:$2,VLOOKUP($BB$2,[2]ARBOR_REAJUSTE18!$A:$B,2,0),0))),"")&lt;0.01%,0.01%,(IFERROR(IF($CJ5="","",IF($CJ5=0,1,1-$CJ5/HLOOKUP(DF$3,[2]ARBOR_REAJUSTE18!$1:$2,VLOOKUP($BB$2,[2]ARBOR_REAJUSTE18!$A:$B,2,0),0))),""))),4)-BZ5</f>
        <v>6.6999999999999948E-2</v>
      </c>
      <c r="DG5" s="44">
        <f ca="1">ROUNDUP(IF(IFERROR(IF($CJ5="","",IF($CJ5=0,1,1-$CJ5/HLOOKUP(DG$3,[2]ARBOR_REAJUSTE18!$1:$2,VLOOKUP($BB$2,[2]ARBOR_REAJUSTE18!$A:$B,2,0),0))),"")&lt;0.01%,0.01%,(IFERROR(IF($CJ5="","",IF($CJ5=0,1,1-$CJ5/HLOOKUP(DG$3,[2]ARBOR_REAJUSTE18!$1:$2,VLOOKUP($BB$2,[2]ARBOR_REAJUSTE18!$A:$B,2,0),0))),""))),4)-CA5</f>
        <v>7.0699999999999985E-2</v>
      </c>
      <c r="DH5" s="44">
        <f ca="1">ROUNDUP(IF(IFERROR(IF($CJ5="","",IF($CJ5=0,1,1-$CJ5/HLOOKUP(DH$3,[2]ARBOR_REAJUSTE18!$1:$2,VLOOKUP($BB$2,[2]ARBOR_REAJUSTE18!$A:$B,2,0),0))),"")&lt;0.01%,0.01%,(IFERROR(IF($CJ5="","",IF($CJ5=0,1,1-$CJ5/HLOOKUP(DH$3,[2]ARBOR_REAJUSTE18!$1:$2,VLOOKUP($BB$2,[2]ARBOR_REAJUSTE18!$A:$B,2,0),0))),""))),4)-CB5</f>
        <v>6.6999999999999948E-2</v>
      </c>
      <c r="DI5" s="44">
        <f ca="1">ROUNDUP(IF(IFERROR(IF($CJ5="","",IF($CJ5=0,1,1-$CJ5/HLOOKUP(DI$3,[2]ARBOR_REAJUSTE18!$1:$2,VLOOKUP($BB$2,[2]ARBOR_REAJUSTE18!$A:$B,2,0),0))),"")&lt;0.01%,0.01%,(IFERROR(IF($CJ5="","",IF($CJ5=0,1,1-$CJ5/HLOOKUP(DI$3,[2]ARBOR_REAJUSTE18!$1:$2,VLOOKUP($BB$2,[2]ARBOR_REAJUSTE18!$A:$B,2,0),0))),""))),4)-CC5</f>
        <v>6.9200000000000039E-2</v>
      </c>
      <c r="DJ5" s="44">
        <f ca="1">ROUNDUP(IF(IFERROR(IF($CJ5="","",IF($CJ5=0,1,1-$CJ5/HLOOKUP(DJ$3,[2]ARBOR_REAJUSTE18!$1:$2,VLOOKUP($BB$2,[2]ARBOR_REAJUSTE18!$A:$B,2,0),0))),"")&lt;0.01%,0.01%,(IFERROR(IF($CJ5="","",IF($CJ5=0,1,1-$CJ5/HLOOKUP(DJ$3,[2]ARBOR_REAJUSTE18!$1:$2,VLOOKUP($BB$2,[2]ARBOR_REAJUSTE18!$A:$B,2,0),0))),""))),4)-CD5</f>
        <v>6.8299999999999916E-2</v>
      </c>
      <c r="DK5" s="44" t="e">
        <f ca="1">ROUNDUP(IF(IFERROR(IF($CJ5="","",IF($CJ5=0,1,1-$CJ5/HLOOKUP(DK$3,[2]ARBOR_REAJUSTE18!$1:$2,VLOOKUP($BB$2,[2]ARBOR_REAJUSTE18!$A:$B,2,0),0))),"")&lt;0.01%,0.01%,(IFERROR(IF($CJ5="","",IF($CJ5=0,1,1-$CJ5/HLOOKUP(DK$3,[2]ARBOR_REAJUSTE18!$1:$2,VLOOKUP($BB$2,[2]ARBOR_REAJUSTE18!$A:$B,2,0),0))),""))),4)-CE5</f>
        <v>#VALUE!</v>
      </c>
      <c r="DL5" s="44">
        <f ca="1">ROUNDUP(IF(IFERROR(IF($CJ5="","",IF($CJ5=0,1,1-$CJ5/HLOOKUP(DL$3,[2]ARBOR_REAJUSTE18!$1:$2,VLOOKUP($BB$2,[2]ARBOR_REAJUSTE18!$A:$B,2,0),0))),"")&lt;0.01%,0.01%,(IFERROR(IF($CJ5="","",IF($CJ5=0,1,1-$CJ5/HLOOKUP(DL$3,[2]ARBOR_REAJUSTE18!$1:$2,VLOOKUP($BB$2,[2]ARBOR_REAJUSTE18!$A:$B,2,0),0))),""))),4)-CF5</f>
        <v>6.7400000000000015E-2</v>
      </c>
      <c r="DM5" s="47" t="s">
        <v>293</v>
      </c>
      <c r="DN5" s="48" t="s">
        <v>294</v>
      </c>
      <c r="DO5" s="48" t="s">
        <v>295</v>
      </c>
      <c r="DP5" s="49"/>
      <c r="DQ5" s="50"/>
      <c r="DR5" s="51"/>
      <c r="DS5" s="51"/>
      <c r="DT5" s="50"/>
      <c r="DU5" s="52"/>
      <c r="DV5" s="52"/>
      <c r="DW5" s="52"/>
      <c r="DX5" s="52"/>
      <c r="DY5" s="52"/>
      <c r="DZ5" s="53"/>
      <c r="EA5" s="54"/>
      <c r="EB5" s="37" t="str">
        <f t="shared" si="4"/>
        <v/>
      </c>
      <c r="EC5" s="39"/>
      <c r="ED5" s="40"/>
      <c r="EE5" s="55"/>
      <c r="EF5" s="56"/>
      <c r="EG5" s="43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55"/>
      <c r="FJ5" s="57"/>
      <c r="FK5" s="43"/>
      <c r="FL5" s="44"/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44"/>
      <c r="GD5" s="44"/>
      <c r="GE5" s="44"/>
      <c r="GF5" s="44"/>
      <c r="GG5" s="44"/>
      <c r="GH5" s="44"/>
      <c r="GI5" s="44"/>
      <c r="GJ5" s="44"/>
      <c r="GK5" s="44"/>
      <c r="GL5" s="44"/>
      <c r="GM5" s="55"/>
      <c r="GN5" s="57"/>
      <c r="GO5" s="43"/>
      <c r="GP5" s="44"/>
      <c r="GQ5" s="44"/>
      <c r="GR5" s="44"/>
      <c r="GS5" s="44"/>
      <c r="GT5" s="44"/>
      <c r="GU5" s="44"/>
      <c r="GV5" s="44"/>
      <c r="GW5" s="44"/>
      <c r="GX5" s="44"/>
      <c r="GY5" s="44"/>
      <c r="GZ5" s="44"/>
      <c r="HA5" s="44"/>
      <c r="HB5" s="44"/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55"/>
      <c r="HR5" s="57"/>
      <c r="HS5" s="43"/>
      <c r="HT5" s="44"/>
      <c r="HU5" s="44"/>
      <c r="HV5" s="44"/>
      <c r="HW5" s="44"/>
      <c r="HX5" s="44"/>
      <c r="HY5" s="44"/>
      <c r="HZ5" s="44"/>
      <c r="IA5" s="44"/>
      <c r="IB5" s="44"/>
      <c r="IC5" s="44"/>
      <c r="ID5" s="44"/>
      <c r="IE5" s="44"/>
      <c r="IF5" s="44"/>
      <c r="IG5" s="44"/>
      <c r="IH5" s="44"/>
      <c r="II5" s="44"/>
      <c r="IJ5" s="44"/>
      <c r="IK5" s="44"/>
      <c r="IL5" s="44"/>
      <c r="IM5" s="44"/>
      <c r="IN5" s="44"/>
      <c r="IO5" s="44"/>
      <c r="IP5" s="44"/>
      <c r="IQ5" s="44"/>
      <c r="IR5" s="44"/>
      <c r="IS5" s="44"/>
      <c r="IT5" s="44"/>
      <c r="IU5" s="55"/>
      <c r="IV5" s="58"/>
      <c r="IW5" s="43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44"/>
      <c r="JJ5" s="44"/>
      <c r="JK5" s="44"/>
      <c r="JL5" s="44"/>
      <c r="JM5" s="44"/>
      <c r="JN5" s="44"/>
      <c r="JO5" s="44"/>
      <c r="JP5" s="44"/>
      <c r="JQ5" s="44"/>
      <c r="JR5" s="44"/>
      <c r="JS5" s="44"/>
      <c r="JT5" s="44"/>
      <c r="JU5" s="44"/>
      <c r="JV5" s="44"/>
      <c r="JW5" s="44"/>
      <c r="JX5" s="44"/>
      <c r="JY5" s="55"/>
      <c r="JZ5" s="58"/>
      <c r="KA5" s="43"/>
      <c r="KB5" s="44"/>
      <c r="KC5" s="44"/>
      <c r="KD5" s="44"/>
      <c r="KE5" s="44"/>
      <c r="KF5" s="44"/>
      <c r="KG5" s="44"/>
      <c r="KH5" s="44"/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44"/>
      <c r="KZ5" s="44"/>
      <c r="LA5" s="44"/>
      <c r="LB5" s="44"/>
      <c r="LC5" s="55"/>
      <c r="LD5" s="58"/>
      <c r="LE5" s="43"/>
      <c r="LF5" s="44"/>
      <c r="LG5" s="44"/>
      <c r="LH5" s="44"/>
      <c r="LI5" s="44"/>
      <c r="LJ5" s="44"/>
      <c r="LK5" s="44"/>
      <c r="LL5" s="44"/>
      <c r="LM5" s="44"/>
      <c r="LN5" s="44"/>
      <c r="LO5" s="44"/>
      <c r="LP5" s="44"/>
      <c r="LQ5" s="44"/>
      <c r="LR5" s="44"/>
      <c r="LS5" s="44"/>
      <c r="LT5" s="44"/>
      <c r="LU5" s="44"/>
      <c r="LV5" s="44"/>
      <c r="LW5" s="44"/>
      <c r="LX5" s="44"/>
      <c r="LY5" s="44"/>
      <c r="LZ5" s="44"/>
      <c r="MA5" s="44"/>
      <c r="MB5" s="44"/>
      <c r="MC5" s="44"/>
      <c r="MD5" s="44"/>
      <c r="ME5" s="44"/>
      <c r="MF5" s="44"/>
      <c r="MG5" s="55"/>
      <c r="MH5" s="56"/>
      <c r="MI5" s="43"/>
      <c r="MJ5" s="44"/>
      <c r="MK5" s="44"/>
      <c r="ML5" s="44"/>
      <c r="MM5" s="44"/>
      <c r="MN5" s="44"/>
      <c r="MO5" s="44"/>
      <c r="MP5" s="44"/>
      <c r="MQ5" s="44"/>
      <c r="MR5" s="44"/>
      <c r="MS5" s="44"/>
      <c r="MT5" s="44"/>
      <c r="MU5" s="44"/>
      <c r="MV5" s="44"/>
      <c r="MW5" s="44"/>
      <c r="MX5" s="44"/>
      <c r="MY5" s="44"/>
      <c r="MZ5" s="44"/>
      <c r="NA5" s="44"/>
      <c r="NB5" s="44"/>
      <c r="NC5" s="44"/>
      <c r="ND5" s="44"/>
      <c r="NE5" s="44"/>
      <c r="NF5" s="44"/>
      <c r="NG5" s="44"/>
      <c r="NH5" s="44"/>
      <c r="NI5" s="44"/>
      <c r="NJ5" s="44"/>
      <c r="NK5" s="56"/>
      <c r="NL5" s="51"/>
      <c r="NM5" s="59"/>
      <c r="NN5" s="43"/>
      <c r="NO5" s="44"/>
      <c r="NP5" s="44"/>
      <c r="NQ5" s="44"/>
      <c r="NR5" s="44"/>
      <c r="NS5" s="44"/>
      <c r="NT5" s="44"/>
      <c r="NU5" s="44"/>
      <c r="NV5" s="44"/>
      <c r="NW5" s="44"/>
      <c r="NX5" s="44"/>
      <c r="NY5" s="44"/>
      <c r="NZ5" s="44"/>
      <c r="OA5" s="44"/>
      <c r="OB5" s="44"/>
      <c r="OC5" s="44"/>
      <c r="OD5" s="44"/>
      <c r="OE5" s="44"/>
      <c r="OF5" s="44"/>
      <c r="OG5" s="44"/>
      <c r="OH5" s="44"/>
      <c r="OI5" s="44"/>
      <c r="OJ5" s="44"/>
      <c r="OK5" s="44"/>
      <c r="OL5" s="44"/>
      <c r="OM5" s="44"/>
      <c r="ON5" s="44"/>
      <c r="OO5" s="44"/>
      <c r="OP5" s="55"/>
      <c r="OQ5" s="57"/>
      <c r="OR5" s="43"/>
      <c r="OS5" s="44"/>
      <c r="OT5" s="44"/>
      <c r="OU5" s="44"/>
      <c r="OV5" s="44"/>
      <c r="OW5" s="44"/>
      <c r="OX5" s="44"/>
      <c r="OY5" s="44"/>
      <c r="OZ5" s="44"/>
      <c r="PA5" s="44"/>
      <c r="PB5" s="44"/>
      <c r="PC5" s="44"/>
      <c r="PD5" s="44"/>
      <c r="PE5" s="44"/>
      <c r="PF5" s="44"/>
      <c r="PG5" s="44"/>
      <c r="PH5" s="44"/>
      <c r="PI5" s="44"/>
      <c r="PJ5" s="44"/>
      <c r="PK5" s="44"/>
      <c r="PL5" s="44"/>
      <c r="PM5" s="44"/>
      <c r="PN5" s="44"/>
      <c r="PO5" s="44"/>
      <c r="PP5" s="44"/>
      <c r="PQ5" s="44"/>
      <c r="PR5" s="44"/>
      <c r="PS5" s="44"/>
      <c r="PT5" s="57"/>
      <c r="PU5" s="60"/>
      <c r="PV5" s="59"/>
      <c r="PW5" s="43"/>
      <c r="PX5" s="44"/>
      <c r="PY5" s="44"/>
      <c r="PZ5" s="44"/>
      <c r="QA5" s="44"/>
      <c r="QB5" s="44"/>
      <c r="QC5" s="44"/>
      <c r="QD5" s="44"/>
      <c r="QE5" s="44"/>
      <c r="QF5" s="44"/>
      <c r="QG5" s="44"/>
      <c r="QH5" s="44"/>
      <c r="QI5" s="44"/>
      <c r="QJ5" s="44"/>
      <c r="QK5" s="44"/>
      <c r="QL5" s="44"/>
      <c r="QM5" s="44"/>
      <c r="QN5" s="44"/>
      <c r="QO5" s="44"/>
      <c r="QP5" s="44"/>
      <c r="QQ5" s="44"/>
      <c r="QR5" s="44"/>
      <c r="QS5" s="44"/>
      <c r="QT5" s="44"/>
      <c r="QU5" s="44"/>
      <c r="QV5" s="44"/>
      <c r="QW5" s="44"/>
      <c r="QX5" s="44"/>
      <c r="QY5" s="55"/>
      <c r="QZ5" s="56"/>
      <c r="RA5" s="43"/>
      <c r="RB5" s="44"/>
      <c r="RC5" s="44"/>
      <c r="RD5" s="44"/>
      <c r="RE5" s="44"/>
      <c r="RF5" s="44"/>
      <c r="RG5" s="44"/>
      <c r="RH5" s="44"/>
      <c r="RI5" s="44"/>
      <c r="RJ5" s="44"/>
      <c r="RK5" s="44"/>
      <c r="RL5" s="44"/>
      <c r="RM5" s="44"/>
      <c r="RN5" s="44"/>
      <c r="RO5" s="44"/>
      <c r="RP5" s="44"/>
      <c r="RQ5" s="44"/>
      <c r="RR5" s="44"/>
      <c r="RS5" s="44"/>
      <c r="RT5" s="44"/>
      <c r="RU5" s="44"/>
      <c r="RV5" s="44"/>
      <c r="RW5" s="44"/>
      <c r="RX5" s="44"/>
      <c r="RY5" s="44"/>
      <c r="RZ5" s="44"/>
      <c r="SA5" s="44"/>
      <c r="SB5" s="44"/>
      <c r="SC5" s="56"/>
      <c r="SD5" s="61"/>
      <c r="SE5" s="59"/>
      <c r="SF5" s="43"/>
      <c r="SG5" s="44"/>
      <c r="SH5" s="44"/>
      <c r="SI5" s="44"/>
      <c r="SJ5" s="44"/>
      <c r="SK5" s="44"/>
      <c r="SL5" s="44"/>
      <c r="SM5" s="44"/>
      <c r="SN5" s="44"/>
      <c r="SO5" s="44"/>
      <c r="SP5" s="44"/>
      <c r="SQ5" s="44"/>
      <c r="SR5" s="44"/>
      <c r="SS5" s="44"/>
      <c r="ST5" s="44"/>
      <c r="SU5" s="44"/>
      <c r="SV5" s="44"/>
      <c r="SW5" s="44"/>
      <c r="SX5" s="44"/>
      <c r="SY5" s="44"/>
      <c r="SZ5" s="44"/>
      <c r="TA5" s="44"/>
      <c r="TB5" s="44"/>
      <c r="TC5" s="44"/>
      <c r="TD5" s="44"/>
      <c r="TE5" s="44"/>
      <c r="TF5" s="44"/>
      <c r="TG5" s="44"/>
      <c r="TH5" s="55"/>
      <c r="TI5" s="58"/>
      <c r="TJ5" s="43"/>
      <c r="TK5" s="44"/>
      <c r="TL5" s="44"/>
      <c r="TM5" s="44"/>
      <c r="TN5" s="44"/>
      <c r="TO5" s="44"/>
      <c r="TP5" s="44"/>
      <c r="TQ5" s="44"/>
      <c r="TR5" s="44"/>
      <c r="TS5" s="44"/>
      <c r="TT5" s="44"/>
      <c r="TU5" s="44"/>
      <c r="TV5" s="44"/>
      <c r="TW5" s="44"/>
      <c r="TX5" s="44"/>
      <c r="TY5" s="44"/>
      <c r="TZ5" s="44"/>
      <c r="UA5" s="44"/>
      <c r="UB5" s="44"/>
      <c r="UC5" s="44"/>
      <c r="UD5" s="44"/>
      <c r="UE5" s="44"/>
      <c r="UF5" s="44"/>
      <c r="UG5" s="44"/>
      <c r="UH5" s="44"/>
      <c r="UI5" s="44"/>
      <c r="UJ5" s="44"/>
      <c r="UK5" s="44"/>
      <c r="UL5" s="57"/>
      <c r="UM5" s="61"/>
      <c r="UN5" s="59"/>
      <c r="UO5" s="43"/>
      <c r="UP5" s="44"/>
      <c r="UQ5" s="44"/>
      <c r="UR5" s="44"/>
      <c r="US5" s="44"/>
      <c r="UT5" s="44"/>
      <c r="UU5" s="44"/>
      <c r="UV5" s="44"/>
      <c r="UW5" s="44"/>
      <c r="UX5" s="44"/>
      <c r="UY5" s="44"/>
      <c r="UZ5" s="44"/>
      <c r="VA5" s="44"/>
      <c r="VB5" s="44"/>
      <c r="VC5" s="44"/>
      <c r="VD5" s="44"/>
      <c r="VE5" s="44"/>
      <c r="VF5" s="44"/>
      <c r="VG5" s="44"/>
      <c r="VH5" s="44"/>
      <c r="VI5" s="44"/>
      <c r="VJ5" s="44"/>
      <c r="VK5" s="44"/>
      <c r="VL5" s="44"/>
      <c r="VM5" s="44"/>
      <c r="VN5" s="44"/>
      <c r="VO5" s="44"/>
      <c r="VP5" s="44"/>
      <c r="VQ5" s="55"/>
      <c r="VR5" s="58"/>
      <c r="VS5" s="43"/>
      <c r="VT5" s="44"/>
      <c r="VU5" s="44"/>
      <c r="VV5" s="44"/>
      <c r="VW5" s="44"/>
      <c r="VX5" s="44"/>
      <c r="VY5" s="44"/>
      <c r="VZ5" s="44"/>
      <c r="WA5" s="44"/>
      <c r="WB5" s="44"/>
      <c r="WC5" s="44"/>
      <c r="WD5" s="44"/>
      <c r="WE5" s="44"/>
      <c r="WF5" s="44"/>
      <c r="WG5" s="44"/>
      <c r="WH5" s="44"/>
      <c r="WI5" s="44"/>
      <c r="WJ5" s="44"/>
      <c r="WK5" s="44"/>
      <c r="WL5" s="44"/>
      <c r="WM5" s="44"/>
      <c r="WN5" s="44"/>
      <c r="WO5" s="44"/>
      <c r="WP5" s="44"/>
      <c r="WQ5" s="44"/>
      <c r="WR5" s="44"/>
      <c r="WS5" s="44"/>
      <c r="WT5" s="44"/>
      <c r="WU5" s="57"/>
      <c r="WV5" s="61"/>
      <c r="WW5" s="59"/>
      <c r="WX5" s="43"/>
      <c r="WY5" s="44"/>
      <c r="WZ5" s="44"/>
      <c r="XA5" s="44"/>
      <c r="XB5" s="44"/>
      <c r="XC5" s="44"/>
      <c r="XD5" s="44"/>
      <c r="XE5" s="44"/>
      <c r="XF5" s="44"/>
      <c r="XG5" s="44"/>
      <c r="XH5" s="44"/>
      <c r="XI5" s="44"/>
      <c r="XJ5" s="44"/>
      <c r="XK5" s="44"/>
      <c r="XL5" s="44"/>
      <c r="XM5" s="44"/>
      <c r="XN5" s="44"/>
      <c r="XO5" s="44"/>
      <c r="XP5" s="44"/>
      <c r="XQ5" s="44"/>
      <c r="XR5" s="44"/>
      <c r="XS5" s="44"/>
      <c r="XT5" s="44"/>
      <c r="XU5" s="44"/>
      <c r="XV5" s="44"/>
      <c r="XW5" s="44"/>
      <c r="XX5" s="44"/>
      <c r="XY5" s="44"/>
      <c r="XZ5" s="55"/>
      <c r="YA5" s="58"/>
      <c r="YB5" s="43"/>
      <c r="YC5" s="44"/>
      <c r="YD5" s="44"/>
      <c r="YE5" s="44"/>
      <c r="YF5" s="44"/>
      <c r="YG5" s="44"/>
      <c r="YH5" s="44"/>
      <c r="YI5" s="44"/>
      <c r="YJ5" s="44"/>
      <c r="YK5" s="44"/>
      <c r="YL5" s="44"/>
      <c r="YM5" s="44"/>
      <c r="YN5" s="44"/>
      <c r="YO5" s="44"/>
      <c r="YP5" s="44"/>
      <c r="YQ5" s="44"/>
      <c r="YR5" s="44"/>
      <c r="YS5" s="44"/>
      <c r="YT5" s="44"/>
      <c r="YU5" s="44"/>
      <c r="YV5" s="44"/>
      <c r="YW5" s="44"/>
      <c r="YX5" s="44"/>
      <c r="YY5" s="44"/>
      <c r="YZ5" s="44"/>
      <c r="ZA5" s="44"/>
      <c r="ZB5" s="44"/>
      <c r="ZC5" s="44"/>
      <c r="ZD5" s="57"/>
      <c r="ZE5" s="61"/>
      <c r="ZF5" s="59"/>
      <c r="ZG5" s="43"/>
      <c r="ZH5" s="44"/>
      <c r="ZI5" s="44"/>
      <c r="ZJ5" s="44"/>
      <c r="ZK5" s="44"/>
      <c r="ZL5" s="44"/>
      <c r="ZM5" s="44"/>
      <c r="ZN5" s="44"/>
      <c r="ZO5" s="44"/>
      <c r="ZP5" s="44"/>
      <c r="ZQ5" s="44"/>
      <c r="ZR5" s="44"/>
      <c r="ZS5" s="44"/>
      <c r="ZT5" s="44"/>
      <c r="ZU5" s="44"/>
      <c r="ZV5" s="44"/>
      <c r="ZW5" s="44"/>
      <c r="ZX5" s="44"/>
      <c r="ZY5" s="44"/>
      <c r="ZZ5" s="44"/>
      <c r="AAA5" s="44"/>
      <c r="AAB5" s="44"/>
      <c r="AAC5" s="44"/>
      <c r="AAD5" s="44"/>
      <c r="AAE5" s="44"/>
      <c r="AAF5" s="44"/>
      <c r="AAG5" s="44"/>
      <c r="AAH5" s="44"/>
      <c r="AAI5" s="55"/>
      <c r="AAJ5" s="58"/>
      <c r="AAK5" s="43"/>
      <c r="AAL5" s="44"/>
      <c r="AAM5" s="44"/>
      <c r="AAN5" s="44"/>
      <c r="AAO5" s="44"/>
      <c r="AAP5" s="44"/>
      <c r="AAQ5" s="44"/>
      <c r="AAR5" s="44"/>
      <c r="AAS5" s="44"/>
      <c r="AAT5" s="44"/>
      <c r="AAU5" s="44"/>
      <c r="AAV5" s="44"/>
      <c r="AAW5" s="44"/>
      <c r="AAX5" s="44"/>
      <c r="AAY5" s="44"/>
      <c r="AAZ5" s="44"/>
      <c r="ABA5" s="44"/>
      <c r="ABB5" s="44"/>
      <c r="ABC5" s="44"/>
      <c r="ABD5" s="44"/>
      <c r="ABE5" s="44"/>
      <c r="ABF5" s="44"/>
      <c r="ABG5" s="44"/>
      <c r="ABH5" s="44"/>
      <c r="ABI5" s="44"/>
      <c r="ABJ5" s="44"/>
      <c r="ABK5" s="44"/>
      <c r="ABL5" s="44"/>
      <c r="ABM5" s="57"/>
      <c r="ABN5" s="61"/>
      <c r="ABO5" s="59"/>
      <c r="ABP5" s="43"/>
      <c r="ABQ5" s="44"/>
      <c r="ABR5" s="44"/>
      <c r="ABS5" s="44"/>
      <c r="ABT5" s="44"/>
      <c r="ABU5" s="44"/>
      <c r="ABV5" s="44"/>
      <c r="ABW5" s="44"/>
      <c r="ABX5" s="44"/>
      <c r="ABY5" s="44"/>
      <c r="ABZ5" s="44"/>
      <c r="ACA5" s="44"/>
      <c r="ACB5" s="44"/>
      <c r="ACC5" s="44"/>
      <c r="ACD5" s="44"/>
      <c r="ACE5" s="44"/>
      <c r="ACF5" s="44"/>
      <c r="ACG5" s="44"/>
      <c r="ACH5" s="44"/>
      <c r="ACI5" s="44"/>
      <c r="ACJ5" s="44"/>
      <c r="ACK5" s="44"/>
      <c r="ACL5" s="44"/>
      <c r="ACM5" s="44"/>
      <c r="ACN5" s="44"/>
      <c r="ACO5" s="44"/>
      <c r="ACP5" s="44"/>
      <c r="ACQ5" s="44"/>
      <c r="ACR5" s="58"/>
      <c r="ACS5" s="43"/>
      <c r="ACT5" s="44" t="e">
        <f>ROUNDUP(IF(IFERROR(IF($ACR5="","",IF($ACR5=0,1,1-$ACR5/HLOOKUP(ACT$3,[2]ARBOR_REAJUSTE18!$A:$AE,VLOOKUP($ACR$2,[2]ARBOR_REAJUSTE18!$A:$B,2,0),0))),"")&lt;0.01%,0.01%,(IFERROR(IF($ACR5="","",IF($ACR5=0,1,1-$ACR5/HLOOKUP(ACT$3,[2]ARBOR_REAJUSTE18!$A:$AE,VLOOKUP($ACR$2,[2]ARBOR_REAJUSTE18!$A:$B,2,0),0))),""))),4)</f>
        <v>#VALUE!</v>
      </c>
      <c r="ACU5" s="44" t="e">
        <f>ROUNDUP(IF(IFERROR(IF($ACR5="","",IF($ACR5=0,1,1-$ACR5/HLOOKUP(ACU$3,[2]ARBOR_REAJUSTE18!$A:$AE,VLOOKUP($ACR$2,[2]ARBOR_REAJUSTE18!$A:$B,2,0),0))),"")&lt;0.01%,0.01%,(IFERROR(IF($ACR5="","",IF($ACR5=0,1,1-$ACR5/HLOOKUP(ACU$3,[2]ARBOR_REAJUSTE18!$A:$AE,VLOOKUP($ACR$2,[2]ARBOR_REAJUSTE18!$A:$B,2,0),0))),""))),4)</f>
        <v>#VALUE!</v>
      </c>
      <c r="ACV5" s="44" t="e">
        <f>ROUNDUP(IF(IFERROR(IF($ACR5="","",IF($ACR5=0,1,1-$ACR5/HLOOKUP(ACV$3,[2]ARBOR_REAJUSTE18!$A:$AE,VLOOKUP($ACR$2,[2]ARBOR_REAJUSTE18!$A:$B,2,0),0))),"")&lt;0.01%,0.01%,(IFERROR(IF($ACR5="","",IF($ACR5=0,1,1-$ACR5/HLOOKUP(ACV$3,[2]ARBOR_REAJUSTE18!$A:$AE,VLOOKUP($ACR$2,[2]ARBOR_REAJUSTE18!$A:$B,2,0),0))),""))),4)</f>
        <v>#VALUE!</v>
      </c>
      <c r="ACW5" s="44" t="e">
        <f>ROUNDUP(IF(IFERROR(IF($ACR5="","",IF($ACR5=0,1,1-$ACR5/HLOOKUP(ACW$3,[2]ARBOR_REAJUSTE18!$A:$AE,VLOOKUP($ACR$2,[2]ARBOR_REAJUSTE18!$A:$B,2,0),0))),"")&lt;0.01%,0.01%,(IFERROR(IF($ACR5="","",IF($ACR5=0,1,1-$ACR5/HLOOKUP(ACW$3,[2]ARBOR_REAJUSTE18!$A:$AE,VLOOKUP($ACR$2,[2]ARBOR_REAJUSTE18!$A:$B,2,0),0))),""))),4)</f>
        <v>#VALUE!</v>
      </c>
      <c r="ACX5" s="44" t="e">
        <f>ROUNDUP(IF(IFERROR(IF($ACR5="","",IF($ACR5=0,1,1-$ACR5/HLOOKUP(ACX$3,[2]ARBOR_REAJUSTE18!$A:$AE,VLOOKUP($ACR$2,[2]ARBOR_REAJUSTE18!$A:$B,2,0),0))),"")&lt;0.01%,0.01%,(IFERROR(IF($ACR5="","",IF($ACR5=0,1,1-$ACR5/HLOOKUP(ACX$3,[2]ARBOR_REAJUSTE18!$A:$AE,VLOOKUP($ACR$2,[2]ARBOR_REAJUSTE18!$A:$B,2,0),0))),""))),4)</f>
        <v>#VALUE!</v>
      </c>
      <c r="ACY5" s="44" t="e">
        <f>ROUNDUP(IF(IFERROR(IF($ACR5="","",IF($ACR5=0,1,1-$ACR5/HLOOKUP(ACY$3,[2]ARBOR_REAJUSTE18!$A:$AE,VLOOKUP($ACR$2,[2]ARBOR_REAJUSTE18!$A:$B,2,0),0))),"")&lt;0.01%,0.01%,(IFERROR(IF($ACR5="","",IF($ACR5=0,1,1-$ACR5/HLOOKUP(ACY$3,[2]ARBOR_REAJUSTE18!$A:$AE,VLOOKUP($ACR$2,[2]ARBOR_REAJUSTE18!$A:$B,2,0),0))),""))),4)</f>
        <v>#VALUE!</v>
      </c>
      <c r="ACZ5" s="44" t="e">
        <f>ROUNDUP(IF(IFERROR(IF($ACR5="","",IF($ACR5=0,1,1-$ACR5/HLOOKUP(ACZ$3,[2]ARBOR_REAJUSTE18!$A:$AE,VLOOKUP($ACR$2,[2]ARBOR_REAJUSTE18!$A:$B,2,0),0))),"")&lt;0.01%,0.01%,(IFERROR(IF($ACR5="","",IF($ACR5=0,1,1-$ACR5/HLOOKUP(ACZ$3,[2]ARBOR_REAJUSTE18!$A:$AE,VLOOKUP($ACR$2,[2]ARBOR_REAJUSTE18!$A:$B,2,0),0))),""))),4)</f>
        <v>#VALUE!</v>
      </c>
      <c r="ADA5" s="44" t="e">
        <f>ROUNDUP(IF(IFERROR(IF($ACR5="","",IF($ACR5=0,1,1-$ACR5/HLOOKUP(ADA$3,[2]ARBOR_REAJUSTE18!$A:$AE,VLOOKUP($ACR$2,[2]ARBOR_REAJUSTE18!$A:$B,2,0),0))),"")&lt;0.01%,0.01%,(IFERROR(IF($ACR5="","",IF($ACR5=0,1,1-$ACR5/HLOOKUP(ADA$3,[2]ARBOR_REAJUSTE18!$A:$AE,VLOOKUP($ACR$2,[2]ARBOR_REAJUSTE18!$A:$B,2,0),0))),""))),4)</f>
        <v>#VALUE!</v>
      </c>
      <c r="ADB5" s="44" t="e">
        <f>ROUNDUP(IF(IFERROR(IF($ACR5="","",IF($ACR5=0,1,1-$ACR5/HLOOKUP(ADB$3,[2]ARBOR_REAJUSTE18!$A:$AE,VLOOKUP($ACR$2,[2]ARBOR_REAJUSTE18!$A:$B,2,0),0))),"")&lt;0.01%,0.01%,(IFERROR(IF($ACR5="","",IF($ACR5=0,1,1-$ACR5/HLOOKUP(ADB$3,[2]ARBOR_REAJUSTE18!$A:$AE,VLOOKUP($ACR$2,[2]ARBOR_REAJUSTE18!$A:$B,2,0),0))),""))),4)</f>
        <v>#VALUE!</v>
      </c>
      <c r="ADC5" s="44" t="e">
        <f>ROUNDUP(IF(IFERROR(IF($ACR5="","",IF($ACR5=0,1,1-$ACR5/HLOOKUP(ADC$3,[2]ARBOR_REAJUSTE18!$A:$AE,VLOOKUP($ACR$2,[2]ARBOR_REAJUSTE18!$A:$B,2,0),0))),"")&lt;0.01%,0.01%,(IFERROR(IF($ACR5="","",IF($ACR5=0,1,1-$ACR5/HLOOKUP(ADC$3,[2]ARBOR_REAJUSTE18!$A:$AE,VLOOKUP($ACR$2,[2]ARBOR_REAJUSTE18!$A:$B,2,0),0))),""))),4)</f>
        <v>#VALUE!</v>
      </c>
      <c r="ADD5" s="44" t="e">
        <f>ROUNDUP(IF(IFERROR(IF($ACR5="","",IF($ACR5=0,1,1-$ACR5/HLOOKUP(ADD$3,[2]ARBOR_REAJUSTE18!$A:$AE,VLOOKUP($ACR$2,[2]ARBOR_REAJUSTE18!$A:$B,2,0),0))),"")&lt;0.01%,0.01%,(IFERROR(IF($ACR5="","",IF($ACR5=0,1,1-$ACR5/HLOOKUP(ADD$3,[2]ARBOR_REAJUSTE18!$A:$AE,VLOOKUP($ACR$2,[2]ARBOR_REAJUSTE18!$A:$B,2,0),0))),""))),4)</f>
        <v>#VALUE!</v>
      </c>
      <c r="ADE5" s="44" t="e">
        <f>ROUNDUP(IF(IFERROR(IF($ACR5="","",IF($ACR5=0,1,1-$ACR5/HLOOKUP(ADE$3,[2]ARBOR_REAJUSTE18!$A:$AE,VLOOKUP($ACR$2,[2]ARBOR_REAJUSTE18!$A:$B,2,0),0))),"")&lt;0.01%,0.01%,(IFERROR(IF($ACR5="","",IF($ACR5=0,1,1-$ACR5/HLOOKUP(ADE$3,[2]ARBOR_REAJUSTE18!$A:$AE,VLOOKUP($ACR$2,[2]ARBOR_REAJUSTE18!$A:$B,2,0),0))),""))),4)</f>
        <v>#VALUE!</v>
      </c>
      <c r="ADF5" s="44" t="e">
        <f>ROUNDUP(IF(IFERROR(IF($ACR5="","",IF($ACR5=0,1,1-$ACR5/HLOOKUP(ADF$3,[2]ARBOR_REAJUSTE18!$A:$AE,VLOOKUP($ACR$2,[2]ARBOR_REAJUSTE18!$A:$B,2,0),0))),"")&lt;0.01%,0.01%,(IFERROR(IF($ACR5="","",IF($ACR5=0,1,1-$ACR5/HLOOKUP(ADF$3,[2]ARBOR_REAJUSTE18!$A:$AE,VLOOKUP($ACR$2,[2]ARBOR_REAJUSTE18!$A:$B,2,0),0))),""))),4)</f>
        <v>#VALUE!</v>
      </c>
      <c r="ADG5" s="44" t="e">
        <f>ROUNDUP(IF(IFERROR(IF($ACR5="","",IF($ACR5=0,1,1-$ACR5/HLOOKUP(ADG$3,[2]ARBOR_REAJUSTE18!$A:$AE,VLOOKUP($ACR$2,[2]ARBOR_REAJUSTE18!$A:$B,2,0),0))),"")&lt;0.01%,0.01%,(IFERROR(IF($ACR5="","",IF($ACR5=0,1,1-$ACR5/HLOOKUP(ADG$3,[2]ARBOR_REAJUSTE18!$A:$AE,VLOOKUP($ACR$2,[2]ARBOR_REAJUSTE18!$A:$B,2,0),0))),""))),4)</f>
        <v>#VALUE!</v>
      </c>
      <c r="ADH5" s="44" t="e">
        <f>ROUNDUP(IF(IFERROR(IF($ACR5="","",IF($ACR5=0,1,1-$ACR5/HLOOKUP(ADH$3,[2]ARBOR_REAJUSTE18!$A:$AE,VLOOKUP($ACR$2,[2]ARBOR_REAJUSTE18!$A:$B,2,0),0))),"")&lt;0.01%,0.01%,(IFERROR(IF($ACR5="","",IF($ACR5=0,1,1-$ACR5/HLOOKUP(ADH$3,[2]ARBOR_REAJUSTE18!$A:$AE,VLOOKUP($ACR$2,[2]ARBOR_REAJUSTE18!$A:$B,2,0),0))),""))),4)</f>
        <v>#VALUE!</v>
      </c>
      <c r="ADI5" s="44" t="e">
        <f>ROUNDUP(IF(IFERROR(IF($ACR5="","",IF($ACR5=0,1,1-$ACR5/HLOOKUP(ADI$3,[2]ARBOR_REAJUSTE18!$A:$AE,VLOOKUP($ACR$2,[2]ARBOR_REAJUSTE18!$A:$B,2,0),0))),"")&lt;0.01%,0.01%,(IFERROR(IF($ACR5="","",IF($ACR5=0,1,1-$ACR5/HLOOKUP(ADI$3,[2]ARBOR_REAJUSTE18!$A:$AE,VLOOKUP($ACR$2,[2]ARBOR_REAJUSTE18!$A:$B,2,0),0))),""))),4)</f>
        <v>#VALUE!</v>
      </c>
      <c r="ADJ5" s="44" t="e">
        <f>ROUNDUP(IF(IFERROR(IF($ACR5="","",IF($ACR5=0,1,1-$ACR5/HLOOKUP(ADJ$3,[2]ARBOR_REAJUSTE18!$A:$AE,VLOOKUP($ACR$2,[2]ARBOR_REAJUSTE18!$A:$B,2,0),0))),"")&lt;0.01%,0.01%,(IFERROR(IF($ACR5="","",IF($ACR5=0,1,1-$ACR5/HLOOKUP(ADJ$3,[2]ARBOR_REAJUSTE18!$A:$AE,VLOOKUP($ACR$2,[2]ARBOR_REAJUSTE18!$A:$B,2,0),0))),""))),4)</f>
        <v>#VALUE!</v>
      </c>
      <c r="ADK5" s="44" t="e">
        <f>ROUNDUP(IF(IFERROR(IF($ACR5="","",IF($ACR5=0,1,1-$ACR5/HLOOKUP(ADK$3,[2]ARBOR_REAJUSTE18!$A:$AE,VLOOKUP($ACR$2,[2]ARBOR_REAJUSTE18!$A:$B,2,0),0))),"")&lt;0.01%,0.01%,(IFERROR(IF($ACR5="","",IF($ACR5=0,1,1-$ACR5/HLOOKUP(ADK$3,[2]ARBOR_REAJUSTE18!$A:$AE,VLOOKUP($ACR$2,[2]ARBOR_REAJUSTE18!$A:$B,2,0),0))),""))),4)</f>
        <v>#VALUE!</v>
      </c>
      <c r="ADL5" s="44" t="e">
        <f>ROUNDUP(IF(IFERROR(IF($ACR5="","",IF($ACR5=0,1,1-$ACR5/HLOOKUP(ADL$3,[2]ARBOR_REAJUSTE18!$A:$AE,VLOOKUP($ACR$2,[2]ARBOR_REAJUSTE18!$A:$B,2,0),0))),"")&lt;0.01%,0.01%,(IFERROR(IF($ACR5="","",IF($ACR5=0,1,1-$ACR5/HLOOKUP(ADL$3,[2]ARBOR_REAJUSTE18!$A:$AE,VLOOKUP($ACR$2,[2]ARBOR_REAJUSTE18!$A:$B,2,0),0))),""))),4)</f>
        <v>#VALUE!</v>
      </c>
      <c r="ADM5" s="44" t="e">
        <f>ROUNDUP(IF(IFERROR(IF($ACR5="","",IF($ACR5=0,1,1-$ACR5/HLOOKUP(ADM$3,[2]ARBOR_REAJUSTE18!$A:$AE,VLOOKUP($ACR$2,[2]ARBOR_REAJUSTE18!$A:$B,2,0),0))),"")&lt;0.01%,0.01%,(IFERROR(IF($ACR5="","",IF($ACR5=0,1,1-$ACR5/HLOOKUP(ADM$3,[2]ARBOR_REAJUSTE18!$A:$AE,VLOOKUP($ACR$2,[2]ARBOR_REAJUSTE18!$A:$B,2,0),0))),""))),4)</f>
        <v>#VALUE!</v>
      </c>
      <c r="ADN5" s="44" t="e">
        <f>ROUNDUP(IF(IFERROR(IF($ACR5="","",IF($ACR5=0,1,1-$ACR5/HLOOKUP(ADN$3,[2]ARBOR_REAJUSTE18!$A:$AE,VLOOKUP($ACR$2,[2]ARBOR_REAJUSTE18!$A:$B,2,0),0))),"")&lt;0.01%,0.01%,(IFERROR(IF($ACR5="","",IF($ACR5=0,1,1-$ACR5/HLOOKUP(ADN$3,[2]ARBOR_REAJUSTE18!$A:$AE,VLOOKUP($ACR$2,[2]ARBOR_REAJUSTE18!$A:$B,2,0),0))),""))),4)</f>
        <v>#VALUE!</v>
      </c>
      <c r="ADO5" s="44" t="e">
        <f>ROUNDUP(IF(IFERROR(IF($ACR5="","",IF($ACR5=0,1,1-$ACR5/HLOOKUP(ADO$3,[2]ARBOR_REAJUSTE18!$A:$AE,VLOOKUP($ACR$2,[2]ARBOR_REAJUSTE18!$A:$B,2,0),0))),"")&lt;0.01%,0.01%,(IFERROR(IF($ACR5="","",IF($ACR5=0,1,1-$ACR5/HLOOKUP(ADO$3,[2]ARBOR_REAJUSTE18!$A:$AE,VLOOKUP($ACR$2,[2]ARBOR_REAJUSTE18!$A:$B,2,0),0))),""))),4)</f>
        <v>#VALUE!</v>
      </c>
      <c r="ADP5" s="44" t="e">
        <f>ROUNDUP(IF(IFERROR(IF($ACR5="","",IF($ACR5=0,1,1-$ACR5/HLOOKUP(ADP$3,[2]ARBOR_REAJUSTE18!$A:$AE,VLOOKUP($ACR$2,[2]ARBOR_REAJUSTE18!$A:$B,2,0),0))),"")&lt;0.01%,0.01%,(IFERROR(IF($ACR5="","",IF($ACR5=0,1,1-$ACR5/HLOOKUP(ADP$3,[2]ARBOR_REAJUSTE18!$A:$AE,VLOOKUP($ACR$2,[2]ARBOR_REAJUSTE18!$A:$B,2,0),0))),""))),4)</f>
        <v>#VALUE!</v>
      </c>
      <c r="ADQ5" s="44" t="e">
        <f>ROUNDUP(IF(IFERROR(IF($ACR5="","",IF($ACR5=0,1,1-$ACR5/HLOOKUP(ADQ$3,[2]ARBOR_REAJUSTE18!$A:$AE,VLOOKUP($ACR$2,[2]ARBOR_REAJUSTE18!$A:$B,2,0),0))),"")&lt;0.01%,0.01%,(IFERROR(IF($ACR5="","",IF($ACR5=0,1,1-$ACR5/HLOOKUP(ADQ$3,[2]ARBOR_REAJUSTE18!$A:$AE,VLOOKUP($ACR$2,[2]ARBOR_REAJUSTE18!$A:$B,2,0),0))),""))),4)</f>
        <v>#VALUE!</v>
      </c>
      <c r="ADR5" s="44" t="e">
        <f>ROUNDUP(IF(IFERROR(IF($ACR5="","",IF($ACR5=0,1,1-$ACR5/HLOOKUP(ADR$3,[2]ARBOR_REAJUSTE18!$A:$AE,VLOOKUP($ACR$2,[2]ARBOR_REAJUSTE18!$A:$B,2,0),0))),"")&lt;0.01%,0.01%,(IFERROR(IF($ACR5="","",IF($ACR5=0,1,1-$ACR5/HLOOKUP(ADR$3,[2]ARBOR_REAJUSTE18!$A:$AE,VLOOKUP($ACR$2,[2]ARBOR_REAJUSTE18!$A:$B,2,0),0))),""))),4)</f>
        <v>#VALUE!</v>
      </c>
      <c r="ADS5" s="44" t="e">
        <f>ROUNDUP(IF(IFERROR(IF($ACR5="","",IF($ACR5=0,1,1-$ACR5/HLOOKUP(ADS$3,[2]ARBOR_REAJUSTE18!$A:$AE,VLOOKUP($ACR$2,[2]ARBOR_REAJUSTE18!$A:$B,2,0),0))),"")&lt;0.01%,0.01%,(IFERROR(IF($ACR5="","",IF($ACR5=0,1,1-$ACR5/HLOOKUP(ADS$3,[2]ARBOR_REAJUSTE18!$A:$AE,VLOOKUP($ACR$2,[2]ARBOR_REAJUSTE18!$A:$B,2,0),0))),""))),4)</f>
        <v>#VALUE!</v>
      </c>
      <c r="ADT5" s="44" t="e">
        <f>ROUNDUP(IF(IFERROR(IF($ACR5="","",IF($ACR5=0,1,1-$ACR5/HLOOKUP(ADT$3,[2]ARBOR_REAJUSTE18!$A:$AE,VLOOKUP($ACR$2,[2]ARBOR_REAJUSTE18!$A:$B,2,0),0))),"")&lt;0.01%,0.01%,(IFERROR(IF($ACR5="","",IF($ACR5=0,1,1-$ACR5/HLOOKUP(ADT$3,[2]ARBOR_REAJUSTE18!$A:$AE,VLOOKUP($ACR$2,[2]ARBOR_REAJUSTE18!$A:$B,2,0),0))),""))),4)</f>
        <v>#VALUE!</v>
      </c>
      <c r="ADU5" s="57"/>
      <c r="ADV5" s="62"/>
      <c r="ADW5" s="44"/>
      <c r="ADX5" s="44"/>
      <c r="ADY5" s="44"/>
      <c r="ADZ5" s="44"/>
      <c r="AEA5" s="44"/>
      <c r="AEB5" s="44"/>
      <c r="AEC5" s="44"/>
      <c r="AED5" s="44"/>
      <c r="AEE5" s="44"/>
      <c r="AEF5" s="44"/>
      <c r="AEG5" s="44"/>
      <c r="AEH5" s="44"/>
      <c r="AEI5" s="44"/>
      <c r="AEJ5" s="44"/>
      <c r="AEK5" s="44"/>
      <c r="AEL5" s="44"/>
      <c r="AEM5" s="44"/>
      <c r="AEN5" s="44"/>
      <c r="AEO5" s="44"/>
      <c r="AEP5" s="44"/>
      <c r="AEQ5" s="44"/>
      <c r="AER5" s="44"/>
      <c r="AES5" s="44"/>
      <c r="AET5" s="44"/>
      <c r="AEU5" s="44"/>
      <c r="AEV5" s="44"/>
      <c r="AEW5" s="44"/>
      <c r="AEX5" s="58"/>
      <c r="AEY5" s="63"/>
      <c r="AEZ5" s="62"/>
      <c r="AFA5" s="44" t="str">
        <f t="shared" si="5"/>
        <v/>
      </c>
      <c r="AFB5" s="44" t="str">
        <f t="shared" si="5"/>
        <v/>
      </c>
      <c r="AFC5" s="44" t="str">
        <f t="shared" si="5"/>
        <v/>
      </c>
      <c r="AFD5" s="44" t="str">
        <f t="shared" si="5"/>
        <v/>
      </c>
      <c r="AFE5" s="44" t="str">
        <f t="shared" si="5"/>
        <v/>
      </c>
      <c r="AFF5" s="44" t="str">
        <f t="shared" si="5"/>
        <v/>
      </c>
      <c r="AFG5" s="44" t="str">
        <f t="shared" si="5"/>
        <v/>
      </c>
      <c r="AFH5" s="44" t="str">
        <f t="shared" si="5"/>
        <v/>
      </c>
      <c r="AFI5" s="44" t="str">
        <f t="shared" si="5"/>
        <v/>
      </c>
      <c r="AFJ5" s="44" t="str">
        <f t="shared" si="5"/>
        <v/>
      </c>
      <c r="AFK5" s="44" t="str">
        <f t="shared" si="5"/>
        <v/>
      </c>
      <c r="AFL5" s="44" t="str">
        <f t="shared" si="5"/>
        <v/>
      </c>
      <c r="AFM5" s="44" t="str">
        <f t="shared" si="5"/>
        <v/>
      </c>
      <c r="AFN5" s="44" t="str">
        <f t="shared" si="5"/>
        <v/>
      </c>
      <c r="AFO5" s="44" t="str">
        <f t="shared" si="5"/>
        <v/>
      </c>
      <c r="AFP5" s="44" t="str">
        <f t="shared" si="5"/>
        <v/>
      </c>
      <c r="AFQ5" s="44" t="str">
        <f t="shared" si="5"/>
        <v/>
      </c>
      <c r="AFR5" s="44" t="str">
        <f t="shared" si="5"/>
        <v/>
      </c>
      <c r="AFS5" s="44" t="str">
        <f t="shared" si="5"/>
        <v/>
      </c>
      <c r="AFT5" s="44" t="str">
        <f t="shared" si="5"/>
        <v/>
      </c>
      <c r="AFU5" s="44" t="str">
        <f t="shared" si="5"/>
        <v/>
      </c>
      <c r="AFV5" s="44" t="str">
        <f t="shared" si="5"/>
        <v/>
      </c>
      <c r="AFW5" s="44" t="str">
        <f t="shared" si="5"/>
        <v/>
      </c>
      <c r="AFX5" s="44" t="str">
        <f t="shared" si="5"/>
        <v/>
      </c>
      <c r="AFY5" s="44" t="str">
        <f t="shared" si="5"/>
        <v/>
      </c>
      <c r="AFZ5" s="44" t="str">
        <f t="shared" si="5"/>
        <v/>
      </c>
      <c r="AGA5" s="44" t="str">
        <f t="shared" si="5"/>
        <v/>
      </c>
      <c r="AGB5" s="25"/>
      <c r="AGC5" s="25"/>
      <c r="AGD5" s="43"/>
      <c r="AGE5" s="56"/>
      <c r="AGF5" s="43"/>
      <c r="AGG5" s="44" t="e">
        <f>ROUNDUP(IF(IFERROR(IF($AGE5="","",IF($AGE5=0,1,1-$AGE5/HLOOKUP(AGG$3,[2]ARBOR_REAJUSTE18!$A:$AE,VLOOKUP($AGE$2,[2]ARBOR_REAJUSTE18!$A:$B,2,0),0))),"")&lt;0.01%,0.01%,(IFERROR(IF($AGE5="","",IF($AGE5=0,1,1-$AGE5/HLOOKUP(AGG$3,[2]ARBOR_REAJUSTE18!$A:$AE,VLOOKUP($AGE$2,[2]ARBOR_REAJUSTE18!$A:$B,2,0),0))),""))),4)</f>
        <v>#VALUE!</v>
      </c>
      <c r="AGH5" s="44" t="e">
        <f>ROUNDUP(IF(IFERROR(IF($AGE5="","",IF($AGE5=0,1,1-$AGE5/HLOOKUP(AGH$3,[2]ARBOR_REAJUSTE18!$A:$AE,VLOOKUP($AGE$2,[2]ARBOR_REAJUSTE18!$A:$B,2,0),0))),"")&lt;0.01%,0.01%,(IFERROR(IF($AGE5="","",IF($AGE5=0,1,1-$AGE5/HLOOKUP(AGH$3,[2]ARBOR_REAJUSTE18!$A:$AE,VLOOKUP($AGE$2,[2]ARBOR_REAJUSTE18!$A:$B,2,0),0))),""))),4)</f>
        <v>#VALUE!</v>
      </c>
      <c r="AGI5" s="44" t="e">
        <f>ROUNDUP(IF(IFERROR(IF($AGE5="","",IF($AGE5=0,1,1-$AGE5/HLOOKUP(AGI$3,[2]ARBOR_REAJUSTE18!$A:$AE,VLOOKUP($AGE$2,[2]ARBOR_REAJUSTE18!$A:$B,2,0),0))),"")&lt;0.01%,0.01%,(IFERROR(IF($AGE5="","",IF($AGE5=0,1,1-$AGE5/HLOOKUP(AGI$3,[2]ARBOR_REAJUSTE18!$A:$AE,VLOOKUP($AGE$2,[2]ARBOR_REAJUSTE18!$A:$B,2,0),0))),""))),4)</f>
        <v>#VALUE!</v>
      </c>
      <c r="AGJ5" s="44" t="e">
        <f>ROUNDUP(IF(IFERROR(IF($AGE5="","",IF($AGE5=0,1,1-$AGE5/HLOOKUP(AGJ$3,[2]ARBOR_REAJUSTE18!$A:$AE,VLOOKUP($AGE$2,[2]ARBOR_REAJUSTE18!$A:$B,2,0),0))),"")&lt;0.01%,0.01%,(IFERROR(IF($AGE5="","",IF($AGE5=0,1,1-$AGE5/HLOOKUP(AGJ$3,[2]ARBOR_REAJUSTE18!$A:$AE,VLOOKUP($AGE$2,[2]ARBOR_REAJUSTE18!$A:$B,2,0),0))),""))),4)</f>
        <v>#VALUE!</v>
      </c>
      <c r="AGK5" s="44" t="e">
        <f>ROUNDUP(IF(IFERROR(IF($AGE5="","",IF($AGE5=0,1,1-$AGE5/HLOOKUP(AGK$3,[2]ARBOR_REAJUSTE18!$A:$AE,VLOOKUP($AGE$2,[2]ARBOR_REAJUSTE18!$A:$B,2,0),0))),"")&lt;0.01%,0.01%,(IFERROR(IF($AGE5="","",IF($AGE5=0,1,1-$AGE5/HLOOKUP(AGK$3,[2]ARBOR_REAJUSTE18!$A:$AE,VLOOKUP($AGE$2,[2]ARBOR_REAJUSTE18!$A:$B,2,0),0))),""))),4)</f>
        <v>#VALUE!</v>
      </c>
      <c r="AGL5" s="44" t="e">
        <f>ROUNDUP(IF(IFERROR(IF($AGE5="","",IF($AGE5=0,1,1-$AGE5/HLOOKUP(AGL$3,[2]ARBOR_REAJUSTE18!$A:$AE,VLOOKUP($AGE$2,[2]ARBOR_REAJUSTE18!$A:$B,2,0),0))),"")&lt;0.01%,0.01%,(IFERROR(IF($AGE5="","",IF($AGE5=0,1,1-$AGE5/HLOOKUP(AGL$3,[2]ARBOR_REAJUSTE18!$A:$AE,VLOOKUP($AGE$2,[2]ARBOR_REAJUSTE18!$A:$B,2,0),0))),""))),4)</f>
        <v>#VALUE!</v>
      </c>
      <c r="AGM5" s="44" t="e">
        <f>ROUNDUP(IF(IFERROR(IF($AGE5="","",IF($AGE5=0,1,1-$AGE5/HLOOKUP(AGM$3,[2]ARBOR_REAJUSTE18!$A:$AE,VLOOKUP($AGE$2,[2]ARBOR_REAJUSTE18!$A:$B,2,0),0))),"")&lt;0.01%,0.01%,(IFERROR(IF($AGE5="","",IF($AGE5=0,1,1-$AGE5/HLOOKUP(AGM$3,[2]ARBOR_REAJUSTE18!$A:$AE,VLOOKUP($AGE$2,[2]ARBOR_REAJUSTE18!$A:$B,2,0),0))),""))),4)</f>
        <v>#VALUE!</v>
      </c>
      <c r="AGN5" s="44" t="e">
        <f>ROUNDUP(IF(IFERROR(IF($AGE5="","",IF($AGE5=0,1,1-$AGE5/HLOOKUP(AGN$3,[2]ARBOR_REAJUSTE18!$A:$AE,VLOOKUP($AGE$2,[2]ARBOR_REAJUSTE18!$A:$B,2,0),0))),"")&lt;0.01%,0.01%,(IFERROR(IF($AGE5="","",IF($AGE5=0,1,1-$AGE5/HLOOKUP(AGN$3,[2]ARBOR_REAJUSTE18!$A:$AE,VLOOKUP($AGE$2,[2]ARBOR_REAJUSTE18!$A:$B,2,0),0))),""))),4)</f>
        <v>#VALUE!</v>
      </c>
      <c r="AGO5" s="44" t="e">
        <f>ROUNDUP(IF(IFERROR(IF($AGE5="","",IF($AGE5=0,1,1-$AGE5/HLOOKUP(AGO$3,[2]ARBOR_REAJUSTE18!$A:$AE,VLOOKUP($AGE$2,[2]ARBOR_REAJUSTE18!$A:$B,2,0),0))),"")&lt;0.01%,0.01%,(IFERROR(IF($AGE5="","",IF($AGE5=0,1,1-$AGE5/HLOOKUP(AGO$3,[2]ARBOR_REAJUSTE18!$A:$AE,VLOOKUP($AGE$2,[2]ARBOR_REAJUSTE18!$A:$B,2,0),0))),""))),4)</f>
        <v>#VALUE!</v>
      </c>
      <c r="AGP5" s="44" t="e">
        <f>ROUNDUP(IF(IFERROR(IF($AGE5="","",IF($AGE5=0,1,1-$AGE5/HLOOKUP(AGP$3,[2]ARBOR_REAJUSTE18!$A:$AE,VLOOKUP($AGE$2,[2]ARBOR_REAJUSTE18!$A:$B,2,0),0))),"")&lt;0.01%,0.01%,(IFERROR(IF($AGE5="","",IF($AGE5=0,1,1-$AGE5/HLOOKUP(AGP$3,[2]ARBOR_REAJUSTE18!$A:$AE,VLOOKUP($AGE$2,[2]ARBOR_REAJUSTE18!$A:$B,2,0),0))),""))),4)</f>
        <v>#VALUE!</v>
      </c>
      <c r="AGQ5" s="44" t="e">
        <f>ROUNDUP(IF(IFERROR(IF($AGE5="","",IF($AGE5=0,1,1-$AGE5/HLOOKUP(AGQ$3,[2]ARBOR_REAJUSTE18!$A:$AE,VLOOKUP($AGE$2,[2]ARBOR_REAJUSTE18!$A:$B,2,0),0))),"")&lt;0.01%,0.01%,(IFERROR(IF($AGE5="","",IF($AGE5=0,1,1-$AGE5/HLOOKUP(AGQ$3,[2]ARBOR_REAJUSTE18!$A:$AE,VLOOKUP($AGE$2,[2]ARBOR_REAJUSTE18!$A:$B,2,0),0))),""))),4)</f>
        <v>#VALUE!</v>
      </c>
      <c r="AGR5" s="44" t="e">
        <f>ROUNDUP(IF(IFERROR(IF($AGE5="","",IF($AGE5=0,1,1-$AGE5/HLOOKUP(AGR$3,[2]ARBOR_REAJUSTE18!$A:$AE,VLOOKUP($AGE$2,[2]ARBOR_REAJUSTE18!$A:$B,2,0),0))),"")&lt;0.01%,0.01%,(IFERROR(IF($AGE5="","",IF($AGE5=0,1,1-$AGE5/HLOOKUP(AGR$3,[2]ARBOR_REAJUSTE18!$A:$AE,VLOOKUP($AGE$2,[2]ARBOR_REAJUSTE18!$A:$B,2,0),0))),""))),4)</f>
        <v>#VALUE!</v>
      </c>
      <c r="AGS5" s="44" t="e">
        <f>ROUNDUP(IF(IFERROR(IF($AGE5="","",IF($AGE5=0,1,1-$AGE5/HLOOKUP(AGS$3,[2]ARBOR_REAJUSTE18!$A:$AE,VLOOKUP($AGE$2,[2]ARBOR_REAJUSTE18!$A:$B,2,0),0))),"")&lt;0.01%,0.01%,(IFERROR(IF($AGE5="","",IF($AGE5=0,1,1-$AGE5/HLOOKUP(AGS$3,[2]ARBOR_REAJUSTE18!$A:$AE,VLOOKUP($AGE$2,[2]ARBOR_REAJUSTE18!$A:$B,2,0),0))),""))),4)</f>
        <v>#VALUE!</v>
      </c>
      <c r="AGT5" s="44" t="e">
        <f>ROUNDUP(IF(IFERROR(IF($AGE5="","",IF($AGE5=0,1,1-$AGE5/HLOOKUP(AGT$3,[2]ARBOR_REAJUSTE18!$A:$AE,VLOOKUP($AGE$2,[2]ARBOR_REAJUSTE18!$A:$B,2,0),0))),"")&lt;0.01%,0.01%,(IFERROR(IF($AGE5="","",IF($AGE5=0,1,1-$AGE5/HLOOKUP(AGT$3,[2]ARBOR_REAJUSTE18!$A:$AE,VLOOKUP($AGE$2,[2]ARBOR_REAJUSTE18!$A:$B,2,0),0))),""))),4)</f>
        <v>#VALUE!</v>
      </c>
      <c r="AGU5" s="44" t="e">
        <f>ROUNDUP(IF(IFERROR(IF($AGE5="","",IF($AGE5=0,1,1-$AGE5/HLOOKUP(AGU$3,[2]ARBOR_REAJUSTE18!$A:$AE,VLOOKUP($AGE$2,[2]ARBOR_REAJUSTE18!$A:$B,2,0),0))),"")&lt;0.01%,0.01%,(IFERROR(IF($AGE5="","",IF($AGE5=0,1,1-$AGE5/HLOOKUP(AGU$3,[2]ARBOR_REAJUSTE18!$A:$AE,VLOOKUP($AGE$2,[2]ARBOR_REAJUSTE18!$A:$B,2,0),0))),""))),4)</f>
        <v>#VALUE!</v>
      </c>
      <c r="AGV5" s="44" t="e">
        <f>ROUNDUP(IF(IFERROR(IF($AGE5="","",IF($AGE5=0,1,1-$AGE5/HLOOKUP(AGV$3,[2]ARBOR_REAJUSTE18!$A:$AE,VLOOKUP($AGE$2,[2]ARBOR_REAJUSTE18!$A:$B,2,0),0))),"")&lt;0.01%,0.01%,(IFERROR(IF($AGE5="","",IF($AGE5=0,1,1-$AGE5/HLOOKUP(AGV$3,[2]ARBOR_REAJUSTE18!$A:$AE,VLOOKUP($AGE$2,[2]ARBOR_REAJUSTE18!$A:$B,2,0),0))),""))),4)</f>
        <v>#VALUE!</v>
      </c>
      <c r="AGW5" s="44" t="e">
        <f>ROUNDUP(IF(IFERROR(IF($AGE5="","",IF($AGE5=0,1,1-$AGE5/HLOOKUP(AGW$3,[2]ARBOR_REAJUSTE18!$A:$AE,VLOOKUP($AGE$2,[2]ARBOR_REAJUSTE18!$A:$B,2,0),0))),"")&lt;0.01%,0.01%,(IFERROR(IF($AGE5="","",IF($AGE5=0,1,1-$AGE5/HLOOKUP(AGW$3,[2]ARBOR_REAJUSTE18!$A:$AE,VLOOKUP($AGE$2,[2]ARBOR_REAJUSTE18!$A:$B,2,0),0))),""))),4)</f>
        <v>#VALUE!</v>
      </c>
      <c r="AGX5" s="44" t="e">
        <f>ROUNDUP(IF(IFERROR(IF($AGE5="","",IF($AGE5=0,1,1-$AGE5/HLOOKUP(AGX$3,[2]ARBOR_REAJUSTE18!$A:$AE,VLOOKUP($AGE$2,[2]ARBOR_REAJUSTE18!$A:$B,2,0),0))),"")&lt;0.01%,0.01%,(IFERROR(IF($AGE5="","",IF($AGE5=0,1,1-$AGE5/HLOOKUP(AGX$3,[2]ARBOR_REAJUSTE18!$A:$AE,VLOOKUP($AGE$2,[2]ARBOR_REAJUSTE18!$A:$B,2,0),0))),""))),4)</f>
        <v>#VALUE!</v>
      </c>
      <c r="AGY5" s="44" t="e">
        <f>ROUNDUP(IF(IFERROR(IF($AGE5="","",IF($AGE5=0,1,1-$AGE5/HLOOKUP(AGY$3,[2]ARBOR_REAJUSTE18!$A:$AE,VLOOKUP($AGE$2,[2]ARBOR_REAJUSTE18!$A:$B,2,0),0))),"")&lt;0.01%,0.01%,(IFERROR(IF($AGE5="","",IF($AGE5=0,1,1-$AGE5/HLOOKUP(AGY$3,[2]ARBOR_REAJUSTE18!$A:$AE,VLOOKUP($AGE$2,[2]ARBOR_REAJUSTE18!$A:$B,2,0),0))),""))),4)</f>
        <v>#VALUE!</v>
      </c>
      <c r="AGZ5" s="44" t="e">
        <f>ROUNDUP(IF(IFERROR(IF($AGE5="","",IF($AGE5=0,1,1-$AGE5/HLOOKUP(AGZ$3,[2]ARBOR_REAJUSTE18!$A:$AE,VLOOKUP($AGE$2,[2]ARBOR_REAJUSTE18!$A:$B,2,0),0))),"")&lt;0.01%,0.01%,(IFERROR(IF($AGE5="","",IF($AGE5=0,1,1-$AGE5/HLOOKUP(AGZ$3,[2]ARBOR_REAJUSTE18!$A:$AE,VLOOKUP($AGE$2,[2]ARBOR_REAJUSTE18!$A:$B,2,0),0))),""))),4)</f>
        <v>#VALUE!</v>
      </c>
      <c r="AHA5" s="44" t="e">
        <f>ROUNDUP(IF(IFERROR(IF($AGE5="","",IF($AGE5=0,1,1-$AGE5/HLOOKUP(AHA$3,[2]ARBOR_REAJUSTE18!$A:$AE,VLOOKUP($AGE$2,[2]ARBOR_REAJUSTE18!$A:$B,2,0),0))),"")&lt;0.01%,0.01%,(IFERROR(IF($AGE5="","",IF($AGE5=0,1,1-$AGE5/HLOOKUP(AHA$3,[2]ARBOR_REAJUSTE18!$A:$AE,VLOOKUP($AGE$2,[2]ARBOR_REAJUSTE18!$A:$B,2,0),0))),""))),4)</f>
        <v>#VALUE!</v>
      </c>
      <c r="AHB5" s="44" t="e">
        <f>ROUNDUP(IF(IFERROR(IF($AGE5="","",IF($AGE5=0,1,1-$AGE5/HLOOKUP(AHB$3,[2]ARBOR_REAJUSTE18!$A:$AE,VLOOKUP($AGE$2,[2]ARBOR_REAJUSTE18!$A:$B,2,0),0))),"")&lt;0.01%,0.01%,(IFERROR(IF($AGE5="","",IF($AGE5=0,1,1-$AGE5/HLOOKUP(AHB$3,[2]ARBOR_REAJUSTE18!$A:$AE,VLOOKUP($AGE$2,[2]ARBOR_REAJUSTE18!$A:$B,2,0),0))),""))),4)</f>
        <v>#VALUE!</v>
      </c>
      <c r="AHC5" s="44" t="e">
        <f>ROUNDUP(IF(IFERROR(IF($AGE5="","",IF($AGE5=0,1,1-$AGE5/HLOOKUP(AHC$3,[2]ARBOR_REAJUSTE18!$A:$AE,VLOOKUP($AGE$2,[2]ARBOR_REAJUSTE18!$A:$B,2,0),0))),"")&lt;0.01%,0.01%,(IFERROR(IF($AGE5="","",IF($AGE5=0,1,1-$AGE5/HLOOKUP(AHC$3,[2]ARBOR_REAJUSTE18!$A:$AE,VLOOKUP($AGE$2,[2]ARBOR_REAJUSTE18!$A:$B,2,0),0))),""))),4)</f>
        <v>#VALUE!</v>
      </c>
      <c r="AHD5" s="44" t="e">
        <f>ROUNDUP(IF(IFERROR(IF($AGE5="","",IF($AGE5=0,1,1-$AGE5/HLOOKUP(AHD$3,[2]ARBOR_REAJUSTE18!$A:$AE,VLOOKUP($AGE$2,[2]ARBOR_REAJUSTE18!$A:$B,2,0),0))),"")&lt;0.01%,0.01%,(IFERROR(IF($AGE5="","",IF($AGE5=0,1,1-$AGE5/HLOOKUP(AHD$3,[2]ARBOR_REAJUSTE18!$A:$AE,VLOOKUP($AGE$2,[2]ARBOR_REAJUSTE18!$A:$B,2,0),0))),""))),4)</f>
        <v>#VALUE!</v>
      </c>
      <c r="AHE5" s="44" t="e">
        <f>ROUNDUP(IF(IFERROR(IF($AGE5="","",IF($AGE5=0,1,1-$AGE5/HLOOKUP(AHE$3,[2]ARBOR_REAJUSTE18!$A:$AE,VLOOKUP($AGE$2,[2]ARBOR_REAJUSTE18!$A:$B,2,0),0))),"")&lt;0.01%,0.01%,(IFERROR(IF($AGE5="","",IF($AGE5=0,1,1-$AGE5/HLOOKUP(AHE$3,[2]ARBOR_REAJUSTE18!$A:$AE,VLOOKUP($AGE$2,[2]ARBOR_REAJUSTE18!$A:$B,2,0),0))),""))),4)</f>
        <v>#VALUE!</v>
      </c>
      <c r="AHF5" s="44" t="e">
        <f>ROUNDUP(IF(IFERROR(IF($AGE5="","",IF($AGE5=0,1,1-$AGE5/HLOOKUP(AHF$3,[2]ARBOR_REAJUSTE18!$A:$AE,VLOOKUP($AGE$2,[2]ARBOR_REAJUSTE18!$A:$B,2,0),0))),"")&lt;0.01%,0.01%,(IFERROR(IF($AGE5="","",IF($AGE5=0,1,1-$AGE5/HLOOKUP(AHF$3,[2]ARBOR_REAJUSTE18!$A:$AE,VLOOKUP($AGE$2,[2]ARBOR_REAJUSTE18!$A:$B,2,0),0))),""))),4)</f>
        <v>#VALUE!</v>
      </c>
      <c r="AHG5" s="44" t="e">
        <f>ROUNDUP(IF(IFERROR(IF($AGE5="","",IF($AGE5=0,1,1-$AGE5/HLOOKUP(AHG$3,[2]ARBOR_REAJUSTE18!$A:$AE,VLOOKUP($AGE$2,[2]ARBOR_REAJUSTE18!$A:$B,2,0),0))),"")&lt;0.01%,0.01%,(IFERROR(IF($AGE5="","",IF($AGE5=0,1,1-$AGE5/HLOOKUP(AHG$3,[2]ARBOR_REAJUSTE18!$A:$AE,VLOOKUP($AGE$2,[2]ARBOR_REAJUSTE18!$A:$B,2,0),0))),""))),4)</f>
        <v>#VALUE!</v>
      </c>
      <c r="AHH5" s="56"/>
      <c r="AHI5" s="64"/>
      <c r="AHJ5" s="44" t="e">
        <f>ROUNDUP(IF(IFERROR(IF($AHH5="","",IF($AHH5=0,1,1-$AHH5/HLOOKUP(AHJ$3,[2]ARBOR_REAJUSTE18!$A:$AE,VLOOKUP($AHH$2,[2]ARBOR_REAJUSTE18!$A:$B,2,0),0))),"")&lt;0.01%,0.01%,(IFERROR(IF($AHH5="","",IF($AHH5=0,1,1-$AHH5/HLOOKUP(AHJ$3,[2]ARBOR_REAJUSTE18!$A:$AE,VLOOKUP($AHH$2,[2]ARBOR_REAJUSTE18!$A:$B,2,0),0))),""))),4)</f>
        <v>#VALUE!</v>
      </c>
      <c r="AHK5" s="44" t="e">
        <f>ROUNDUP(IF(IFERROR(IF($AHH5="","",IF($AHH5=0,1,1-$AHH5/HLOOKUP(AHK$3,[2]ARBOR_REAJUSTE18!$A:$AE,VLOOKUP($AHH$2,[2]ARBOR_REAJUSTE18!$A:$B,2,0),0))),"")&lt;0.01%,0.01%,(IFERROR(IF($AHH5="","",IF($AHH5=0,1,1-$AHH5/HLOOKUP(AHK$3,[2]ARBOR_REAJUSTE18!$A:$AE,VLOOKUP($AHH$2,[2]ARBOR_REAJUSTE18!$A:$B,2,0),0))),""))),4)</f>
        <v>#VALUE!</v>
      </c>
      <c r="AHL5" s="44" t="e">
        <f>ROUNDUP(IF(IFERROR(IF($AHH5="","",IF($AHH5=0,1,1-$AHH5/HLOOKUP(AHL$3,[2]ARBOR_REAJUSTE18!$A:$AE,VLOOKUP($AHH$2,[2]ARBOR_REAJUSTE18!$A:$B,2,0),0))),"")&lt;0.01%,0.01%,(IFERROR(IF($AHH5="","",IF($AHH5=0,1,1-$AHH5/HLOOKUP(AHL$3,[2]ARBOR_REAJUSTE18!$A:$AE,VLOOKUP($AHH$2,[2]ARBOR_REAJUSTE18!$A:$B,2,0),0))),""))),4)</f>
        <v>#VALUE!</v>
      </c>
      <c r="AHM5" s="44" t="e">
        <f>ROUNDUP(IF(IFERROR(IF($AHH5="","",IF($AHH5=0,1,1-$AHH5/HLOOKUP(AHM$3,[2]ARBOR_REAJUSTE18!$A:$AE,VLOOKUP($AHH$2,[2]ARBOR_REAJUSTE18!$A:$B,2,0),0))),"")&lt;0.01%,0.01%,(IFERROR(IF($AHH5="","",IF($AHH5=0,1,1-$AHH5/HLOOKUP(AHM$3,[2]ARBOR_REAJUSTE18!$A:$AE,VLOOKUP($AHH$2,[2]ARBOR_REAJUSTE18!$A:$B,2,0),0))),""))),4)</f>
        <v>#VALUE!</v>
      </c>
      <c r="AHN5" s="44" t="e">
        <f>ROUNDUP(IF(IFERROR(IF($AHH5="","",IF($AHH5=0,1,1-$AHH5/HLOOKUP(AHN$3,[2]ARBOR_REAJUSTE18!$A:$AE,VLOOKUP($AHH$2,[2]ARBOR_REAJUSTE18!$A:$B,2,0),0))),"")&lt;0.01%,0.01%,(IFERROR(IF($AHH5="","",IF($AHH5=0,1,1-$AHH5/HLOOKUP(AHN$3,[2]ARBOR_REAJUSTE18!$A:$AE,VLOOKUP($AHH$2,[2]ARBOR_REAJUSTE18!$A:$B,2,0),0))),""))),4)</f>
        <v>#VALUE!</v>
      </c>
      <c r="AHO5" s="44" t="e">
        <f>ROUNDUP(IF(IFERROR(IF($AHH5="","",IF($AHH5=0,1,1-$AHH5/HLOOKUP(AHO$3,[2]ARBOR_REAJUSTE18!$A:$AE,VLOOKUP($AHH$2,[2]ARBOR_REAJUSTE18!$A:$B,2,0),0))),"")&lt;0.01%,0.01%,(IFERROR(IF($AHH5="","",IF($AHH5=0,1,1-$AHH5/HLOOKUP(AHO$3,[2]ARBOR_REAJUSTE18!$A:$AE,VLOOKUP($AHH$2,[2]ARBOR_REAJUSTE18!$A:$B,2,0),0))),""))),4)</f>
        <v>#VALUE!</v>
      </c>
      <c r="AHP5" s="44" t="e">
        <f>ROUNDUP(IF(IFERROR(IF($AHH5="","",IF($AHH5=0,1,1-$AHH5/HLOOKUP(AHP$3,[2]ARBOR_REAJUSTE18!$A:$AE,VLOOKUP($AHH$2,[2]ARBOR_REAJUSTE18!$A:$B,2,0),0))),"")&lt;0.01%,0.01%,(IFERROR(IF($AHH5="","",IF($AHH5=0,1,1-$AHH5/HLOOKUP(AHP$3,[2]ARBOR_REAJUSTE18!$A:$AE,VLOOKUP($AHH$2,[2]ARBOR_REAJUSTE18!$A:$B,2,0),0))),""))),4)</f>
        <v>#VALUE!</v>
      </c>
      <c r="AHQ5" s="44" t="e">
        <f>ROUNDUP(IF(IFERROR(IF($AHH5="","",IF($AHH5=0,1,1-$AHH5/HLOOKUP(AHQ$3,[2]ARBOR_REAJUSTE18!$A:$AE,VLOOKUP($AHH$2,[2]ARBOR_REAJUSTE18!$A:$B,2,0),0))),"")&lt;0.01%,0.01%,(IFERROR(IF($AHH5="","",IF($AHH5=0,1,1-$AHH5/HLOOKUP(AHQ$3,[2]ARBOR_REAJUSTE18!$A:$AE,VLOOKUP($AHH$2,[2]ARBOR_REAJUSTE18!$A:$B,2,0),0))),""))),4)</f>
        <v>#VALUE!</v>
      </c>
      <c r="AHR5" s="44" t="e">
        <f>ROUNDUP(IF(IFERROR(IF($AHH5="","",IF($AHH5=0,1,1-$AHH5/HLOOKUP(AHR$3,[2]ARBOR_REAJUSTE18!$A:$AE,VLOOKUP($AHH$2,[2]ARBOR_REAJUSTE18!$A:$B,2,0),0))),"")&lt;0.01%,0.01%,(IFERROR(IF($AHH5="","",IF($AHH5=0,1,1-$AHH5/HLOOKUP(AHR$3,[2]ARBOR_REAJUSTE18!$A:$AE,VLOOKUP($AHH$2,[2]ARBOR_REAJUSTE18!$A:$B,2,0),0))),""))),4)</f>
        <v>#VALUE!</v>
      </c>
      <c r="AHS5" s="44" t="e">
        <f>ROUNDUP(IF(IFERROR(IF($AHH5="","",IF($AHH5=0,1,1-$AHH5/HLOOKUP(AHS$3,[2]ARBOR_REAJUSTE18!$A:$AE,VLOOKUP($AHH$2,[2]ARBOR_REAJUSTE18!$A:$B,2,0),0))),"")&lt;0.01%,0.01%,(IFERROR(IF($AHH5="","",IF($AHH5=0,1,1-$AHH5/HLOOKUP(AHS$3,[2]ARBOR_REAJUSTE18!$A:$AE,VLOOKUP($AHH$2,[2]ARBOR_REAJUSTE18!$A:$B,2,0),0))),""))),4)</f>
        <v>#VALUE!</v>
      </c>
      <c r="AHT5" s="44" t="e">
        <f>ROUNDUP(IF(IFERROR(IF($AHH5="","",IF($AHH5=0,1,1-$AHH5/HLOOKUP(AHT$3,[2]ARBOR_REAJUSTE18!$A:$AE,VLOOKUP($AHH$2,[2]ARBOR_REAJUSTE18!$A:$B,2,0),0))),"")&lt;0.01%,0.01%,(IFERROR(IF($AHH5="","",IF($AHH5=0,1,1-$AHH5/HLOOKUP(AHT$3,[2]ARBOR_REAJUSTE18!$A:$AE,VLOOKUP($AHH$2,[2]ARBOR_REAJUSTE18!$A:$B,2,0),0))),""))),4)</f>
        <v>#VALUE!</v>
      </c>
      <c r="AHU5" s="44" t="e">
        <f>ROUNDUP(IF(IFERROR(IF($AHH5="","",IF($AHH5=0,1,1-$AHH5/HLOOKUP(AHU$3,[2]ARBOR_REAJUSTE18!$A:$AE,VLOOKUP($AHH$2,[2]ARBOR_REAJUSTE18!$A:$B,2,0),0))),"")&lt;0.01%,0.01%,(IFERROR(IF($AHH5="","",IF($AHH5=0,1,1-$AHH5/HLOOKUP(AHU$3,[2]ARBOR_REAJUSTE18!$A:$AE,VLOOKUP($AHH$2,[2]ARBOR_REAJUSTE18!$A:$B,2,0),0))),""))),4)</f>
        <v>#VALUE!</v>
      </c>
      <c r="AHV5" s="44" t="e">
        <f>ROUNDUP(IF(IFERROR(IF($AHH5="","",IF($AHH5=0,1,1-$AHH5/HLOOKUP(AHV$3,[2]ARBOR_REAJUSTE18!$A:$AE,VLOOKUP($AHH$2,[2]ARBOR_REAJUSTE18!$A:$B,2,0),0))),"")&lt;0.01%,0.01%,(IFERROR(IF($AHH5="","",IF($AHH5=0,1,1-$AHH5/HLOOKUP(AHV$3,[2]ARBOR_REAJUSTE18!$A:$AE,VLOOKUP($AHH$2,[2]ARBOR_REAJUSTE18!$A:$B,2,0),0))),""))),4)</f>
        <v>#VALUE!</v>
      </c>
      <c r="AHW5" s="44" t="e">
        <f>ROUNDUP(IF(IFERROR(IF($AHH5="","",IF($AHH5=0,1,1-$AHH5/HLOOKUP(AHW$3,[2]ARBOR_REAJUSTE18!$A:$AE,VLOOKUP($AHH$2,[2]ARBOR_REAJUSTE18!$A:$B,2,0),0))),"")&lt;0.01%,0.01%,(IFERROR(IF($AHH5="","",IF($AHH5=0,1,1-$AHH5/HLOOKUP(AHW$3,[2]ARBOR_REAJUSTE18!$A:$AE,VLOOKUP($AHH$2,[2]ARBOR_REAJUSTE18!$A:$B,2,0),0))),""))),4)</f>
        <v>#VALUE!</v>
      </c>
      <c r="AHX5" s="44" t="e">
        <f>ROUNDUP(IF(IFERROR(IF($AHH5="","",IF($AHH5=0,1,1-$AHH5/HLOOKUP(AHX$3,[2]ARBOR_REAJUSTE18!$A:$AE,VLOOKUP($AHH$2,[2]ARBOR_REAJUSTE18!$A:$B,2,0),0))),"")&lt;0.01%,0.01%,(IFERROR(IF($AHH5="","",IF($AHH5=0,1,1-$AHH5/HLOOKUP(AHX$3,[2]ARBOR_REAJUSTE18!$A:$AE,VLOOKUP($AHH$2,[2]ARBOR_REAJUSTE18!$A:$B,2,0),0))),""))),4)</f>
        <v>#VALUE!</v>
      </c>
      <c r="AHY5" s="44" t="e">
        <f>ROUNDUP(IF(IFERROR(IF($AHH5="","",IF($AHH5=0,1,1-$AHH5/HLOOKUP(AHY$3,[2]ARBOR_REAJUSTE18!$A:$AE,VLOOKUP($AHH$2,[2]ARBOR_REAJUSTE18!$A:$B,2,0),0))),"")&lt;0.01%,0.01%,(IFERROR(IF($AHH5="","",IF($AHH5=0,1,1-$AHH5/HLOOKUP(AHY$3,[2]ARBOR_REAJUSTE18!$A:$AE,VLOOKUP($AHH$2,[2]ARBOR_REAJUSTE18!$A:$B,2,0),0))),""))),4)</f>
        <v>#VALUE!</v>
      </c>
      <c r="AHZ5" s="44" t="e">
        <f>ROUNDUP(IF(IFERROR(IF($AHH5="","",IF($AHH5=0,1,1-$AHH5/HLOOKUP(AHZ$3,[2]ARBOR_REAJUSTE18!$A:$AE,VLOOKUP($AHH$2,[2]ARBOR_REAJUSTE18!$A:$B,2,0),0))),"")&lt;0.01%,0.01%,(IFERROR(IF($AHH5="","",IF($AHH5=0,1,1-$AHH5/HLOOKUP(AHZ$3,[2]ARBOR_REAJUSTE18!$A:$AE,VLOOKUP($AHH$2,[2]ARBOR_REAJUSTE18!$A:$B,2,0),0))),""))),4)</f>
        <v>#VALUE!</v>
      </c>
      <c r="AIA5" s="44" t="e">
        <f>ROUNDUP(IF(IFERROR(IF($AHH5="","",IF($AHH5=0,1,1-$AHH5/HLOOKUP(AIA$3,[2]ARBOR_REAJUSTE18!$A:$AE,VLOOKUP($AHH$2,[2]ARBOR_REAJUSTE18!$A:$B,2,0),0))),"")&lt;0.01%,0.01%,(IFERROR(IF($AHH5="","",IF($AHH5=0,1,1-$AHH5/HLOOKUP(AIA$3,[2]ARBOR_REAJUSTE18!$A:$AE,VLOOKUP($AHH$2,[2]ARBOR_REAJUSTE18!$A:$B,2,0),0))),""))),4)</f>
        <v>#VALUE!</v>
      </c>
      <c r="AIB5" s="44" t="e">
        <f>ROUNDUP(IF(IFERROR(IF($AHH5="","",IF($AHH5=0,1,1-$AHH5/HLOOKUP(AIB$3,[2]ARBOR_REAJUSTE18!$A:$AE,VLOOKUP($AHH$2,[2]ARBOR_REAJUSTE18!$A:$B,2,0),0))),"")&lt;0.01%,0.01%,(IFERROR(IF($AHH5="","",IF($AHH5=0,1,1-$AHH5/HLOOKUP(AIB$3,[2]ARBOR_REAJUSTE18!$A:$AE,VLOOKUP($AHH$2,[2]ARBOR_REAJUSTE18!$A:$B,2,0),0))),""))),4)</f>
        <v>#VALUE!</v>
      </c>
      <c r="AIC5" s="44" t="e">
        <f>ROUNDUP(IF(IFERROR(IF($AHH5="","",IF($AHH5=0,1,1-$AHH5/HLOOKUP(AIC$3,[2]ARBOR_REAJUSTE18!$A:$AE,VLOOKUP($AHH$2,[2]ARBOR_REAJUSTE18!$A:$B,2,0),0))),"")&lt;0.01%,0.01%,(IFERROR(IF($AHH5="","",IF($AHH5=0,1,1-$AHH5/HLOOKUP(AIC$3,[2]ARBOR_REAJUSTE18!$A:$AE,VLOOKUP($AHH$2,[2]ARBOR_REAJUSTE18!$A:$B,2,0),0))),""))),4)</f>
        <v>#VALUE!</v>
      </c>
      <c r="AID5" s="44" t="e">
        <f>ROUNDUP(IF(IFERROR(IF($AHH5="","",IF($AHH5=0,1,1-$AHH5/HLOOKUP(AID$3,[2]ARBOR_REAJUSTE18!$A:$AE,VLOOKUP($AHH$2,[2]ARBOR_REAJUSTE18!$A:$B,2,0),0))),"")&lt;0.01%,0.01%,(IFERROR(IF($AHH5="","",IF($AHH5=0,1,1-$AHH5/HLOOKUP(AID$3,[2]ARBOR_REAJUSTE18!$A:$AE,VLOOKUP($AHH$2,[2]ARBOR_REAJUSTE18!$A:$B,2,0),0))),""))),4)</f>
        <v>#VALUE!</v>
      </c>
      <c r="AIE5" s="44" t="e">
        <f>ROUNDUP(IF(IFERROR(IF($AHH5="","",IF($AHH5=0,1,1-$AHH5/HLOOKUP(AIE$3,[2]ARBOR_REAJUSTE18!$A:$AE,VLOOKUP($AHH$2,[2]ARBOR_REAJUSTE18!$A:$B,2,0),0))),"")&lt;0.01%,0.01%,(IFERROR(IF($AHH5="","",IF($AHH5=0,1,1-$AHH5/HLOOKUP(AIE$3,[2]ARBOR_REAJUSTE18!$A:$AE,VLOOKUP($AHH$2,[2]ARBOR_REAJUSTE18!$A:$B,2,0),0))),""))),4)</f>
        <v>#VALUE!</v>
      </c>
      <c r="AIF5" s="44" t="e">
        <f>ROUNDUP(IF(IFERROR(IF($AHH5="","",IF($AHH5=0,1,1-$AHH5/HLOOKUP(AIF$3,[2]ARBOR_REAJUSTE18!$A:$AE,VLOOKUP($AHH$2,[2]ARBOR_REAJUSTE18!$A:$B,2,0),0))),"")&lt;0.01%,0.01%,(IFERROR(IF($AHH5="","",IF($AHH5=0,1,1-$AHH5/HLOOKUP(AIF$3,[2]ARBOR_REAJUSTE18!$A:$AE,VLOOKUP($AHH$2,[2]ARBOR_REAJUSTE18!$A:$B,2,0),0))),""))),4)</f>
        <v>#VALUE!</v>
      </c>
      <c r="AIG5" s="44" t="e">
        <f>ROUNDUP(IF(IFERROR(IF($AHH5="","",IF($AHH5=0,1,1-$AHH5/HLOOKUP(AIG$3,[2]ARBOR_REAJUSTE18!$A:$AE,VLOOKUP($AHH$2,[2]ARBOR_REAJUSTE18!$A:$B,2,0),0))),"")&lt;0.01%,0.01%,(IFERROR(IF($AHH5="","",IF($AHH5=0,1,1-$AHH5/HLOOKUP(AIG$3,[2]ARBOR_REAJUSTE18!$A:$AE,VLOOKUP($AHH$2,[2]ARBOR_REAJUSTE18!$A:$B,2,0),0))),""))),4)</f>
        <v>#VALUE!</v>
      </c>
      <c r="AIH5" s="44" t="e">
        <f>ROUNDUP(IF(IFERROR(IF($AHH5="","",IF($AHH5=0,1,1-$AHH5/HLOOKUP(AIH$3,[2]ARBOR_REAJUSTE18!$A:$AE,VLOOKUP($AHH$2,[2]ARBOR_REAJUSTE18!$A:$B,2,0),0))),"")&lt;0.01%,0.01%,(IFERROR(IF($AHH5="","",IF($AHH5=0,1,1-$AHH5/HLOOKUP(AIH$3,[2]ARBOR_REAJUSTE18!$A:$AE,VLOOKUP($AHH$2,[2]ARBOR_REAJUSTE18!$A:$B,2,0),0))),""))),4)</f>
        <v>#VALUE!</v>
      </c>
      <c r="AII5" s="44" t="e">
        <f>ROUNDUP(IF(IFERROR(IF($AHH5="","",IF($AHH5=0,1,1-$AHH5/HLOOKUP(AII$3,[2]ARBOR_REAJUSTE18!$A:$AE,VLOOKUP($AHH$2,[2]ARBOR_REAJUSTE18!$A:$B,2,0),0))),"")&lt;0.01%,0.01%,(IFERROR(IF($AHH5="","",IF($AHH5=0,1,1-$AHH5/HLOOKUP(AII$3,[2]ARBOR_REAJUSTE18!$A:$AE,VLOOKUP($AHH$2,[2]ARBOR_REAJUSTE18!$A:$B,2,0),0))),""))),4)</f>
        <v>#VALUE!</v>
      </c>
      <c r="AIJ5" s="44" t="e">
        <f>ROUNDUP(IF(IFERROR(IF($AHH5="","",IF($AHH5=0,1,1-$AHH5/HLOOKUP(AIJ$3,[2]ARBOR_REAJUSTE18!$A:$AE,VLOOKUP($AHH$2,[2]ARBOR_REAJUSTE18!$A:$B,2,0),0))),"")&lt;0.01%,0.01%,(IFERROR(IF($AHH5="","",IF($AHH5=0,1,1-$AHH5/HLOOKUP(AIJ$3,[2]ARBOR_REAJUSTE18!$A:$AE,VLOOKUP($AHH$2,[2]ARBOR_REAJUSTE18!$A:$B,2,0),0))),""))),4)</f>
        <v>#VALUE!</v>
      </c>
      <c r="AIK5" s="56">
        <v>89.800000000000011</v>
      </c>
      <c r="AIL5" s="64" t="e">
        <f>VLOOKUP($AV5&amp;AIM5&amp;"Template desconto FLAT Plano Principal Oi TV nível conta",[2]BENEFICIOS!$A:$G,5,0)</f>
        <v>#VALUE!</v>
      </c>
      <c r="AIM5" s="44" t="e">
        <f>ROUNDUP(IF(IFERROR(IF($AIK5="","",IF($AIK5=0,1,1-$AIK5/HLOOKUP(AIM$3,[2]ARBOR_REAJUSTE18!$A:$AE,VLOOKUP($AIK$2,[2]ARBOR_REAJUSTE18!$A:$B,2,0),0))),"")&lt;0.01%,0.01%,(IFERROR(IF($AIK5="","",IF($AIK5=0,1,1-$AIK5/HLOOKUP(AIM$3,[2]ARBOR_REAJUSTE18!$A:$AE,VLOOKUP($AIK$2,[2]ARBOR_REAJUSTE18!$A:$B,2,0),0))),""))),4)</f>
        <v>#VALUE!</v>
      </c>
      <c r="AIN5" s="44" t="e">
        <f>ROUNDUP(IF(IFERROR(IF($AIK5="","",IF($AIK5=0,1,1-$AIK5/HLOOKUP(AIN$3,[2]ARBOR_REAJUSTE18!$A:$AE,VLOOKUP($AIK$2,[2]ARBOR_REAJUSTE18!$A:$B,2,0),0))),"")&lt;0.01%,0.01%,(IFERROR(IF($AIK5="","",IF($AIK5=0,1,1-$AIK5/HLOOKUP(AIN$3,[2]ARBOR_REAJUSTE18!$A:$AE,VLOOKUP($AIK$2,[2]ARBOR_REAJUSTE18!$A:$B,2,0),0))),""))),4)</f>
        <v>#VALUE!</v>
      </c>
      <c r="AIO5" s="44" t="e">
        <f>ROUNDUP(IF(IFERROR(IF($AIK5="","",IF($AIK5=0,1,1-$AIK5/HLOOKUP(AIO$3,[2]ARBOR_REAJUSTE18!$A:$AE,VLOOKUP($AIK$2,[2]ARBOR_REAJUSTE18!$A:$B,2,0),0))),"")&lt;0.01%,0.01%,(IFERROR(IF($AIK5="","",IF($AIK5=0,1,1-$AIK5/HLOOKUP(AIO$3,[2]ARBOR_REAJUSTE18!$A:$AE,VLOOKUP($AIK$2,[2]ARBOR_REAJUSTE18!$A:$B,2,0),0))),""))),4)</f>
        <v>#VALUE!</v>
      </c>
      <c r="AIP5" s="44" t="e">
        <f>ROUNDUP(IF(IFERROR(IF($AIK5="","",IF($AIK5=0,1,1-$AIK5/HLOOKUP(AIP$3,[2]ARBOR_REAJUSTE18!$A:$AE,VLOOKUP($AIK$2,[2]ARBOR_REAJUSTE18!$A:$B,2,0),0))),"")&lt;0.01%,0.01%,(IFERROR(IF($AIK5="","",IF($AIK5=0,1,1-$AIK5/HLOOKUP(AIP$3,[2]ARBOR_REAJUSTE18!$A:$AE,VLOOKUP($AIK$2,[2]ARBOR_REAJUSTE18!$A:$B,2,0),0))),""))),4)</f>
        <v>#VALUE!</v>
      </c>
      <c r="AIQ5" s="44" t="e">
        <f>ROUNDUP(IF(IFERROR(IF($AIK5="","",IF($AIK5=0,1,1-$AIK5/HLOOKUP(AIQ$3,[2]ARBOR_REAJUSTE18!$A:$AE,VLOOKUP($AIK$2,[2]ARBOR_REAJUSTE18!$A:$B,2,0),0))),"")&lt;0.01%,0.01%,(IFERROR(IF($AIK5="","",IF($AIK5=0,1,1-$AIK5/HLOOKUP(AIQ$3,[2]ARBOR_REAJUSTE18!$A:$AE,VLOOKUP($AIK$2,[2]ARBOR_REAJUSTE18!$A:$B,2,0),0))),""))),4)</f>
        <v>#VALUE!</v>
      </c>
      <c r="AIR5" s="44" t="e">
        <f>ROUNDUP(IF(IFERROR(IF($AIK5="","",IF($AIK5=0,1,1-$AIK5/HLOOKUP(AIR$3,[2]ARBOR_REAJUSTE18!$A:$AE,VLOOKUP($AIK$2,[2]ARBOR_REAJUSTE18!$A:$B,2,0),0))),"")&lt;0.01%,0.01%,(IFERROR(IF($AIK5="","",IF($AIK5=0,1,1-$AIK5/HLOOKUP(AIR$3,[2]ARBOR_REAJUSTE18!$A:$AE,VLOOKUP($AIK$2,[2]ARBOR_REAJUSTE18!$A:$B,2,0),0))),""))),4)</f>
        <v>#VALUE!</v>
      </c>
      <c r="AIS5" s="44" t="e">
        <f>ROUNDUP(IF(IFERROR(IF($AIK5="","",IF($AIK5=0,1,1-$AIK5/HLOOKUP(AIS$3,[2]ARBOR_REAJUSTE18!$A:$AE,VLOOKUP($AIK$2,[2]ARBOR_REAJUSTE18!$A:$B,2,0),0))),"")&lt;0.01%,0.01%,(IFERROR(IF($AIK5="","",IF($AIK5=0,1,1-$AIK5/HLOOKUP(AIS$3,[2]ARBOR_REAJUSTE18!$A:$AE,VLOOKUP($AIK$2,[2]ARBOR_REAJUSTE18!$A:$B,2,0),0))),""))),4)</f>
        <v>#VALUE!</v>
      </c>
      <c r="AIT5" s="44" t="e">
        <f>ROUNDUP(IF(IFERROR(IF($AIK5="","",IF($AIK5=0,1,1-$AIK5/HLOOKUP(AIT$3,[2]ARBOR_REAJUSTE18!$A:$AE,VLOOKUP($AIK$2,[2]ARBOR_REAJUSTE18!$A:$B,2,0),0))),"")&lt;0.01%,0.01%,(IFERROR(IF($AIK5="","",IF($AIK5=0,1,1-$AIK5/HLOOKUP(AIT$3,[2]ARBOR_REAJUSTE18!$A:$AE,VLOOKUP($AIK$2,[2]ARBOR_REAJUSTE18!$A:$B,2,0),0))),""))),4)</f>
        <v>#VALUE!</v>
      </c>
      <c r="AIU5" s="44" t="e">
        <f>ROUNDUP(IF(IFERROR(IF($AIK5="","",IF($AIK5=0,1,1-$AIK5/HLOOKUP(AIU$3,[2]ARBOR_REAJUSTE18!$A:$AE,VLOOKUP($AIK$2,[2]ARBOR_REAJUSTE18!$A:$B,2,0),0))),"")&lt;0.01%,0.01%,(IFERROR(IF($AIK5="","",IF($AIK5=0,1,1-$AIK5/HLOOKUP(AIU$3,[2]ARBOR_REAJUSTE18!$A:$AE,VLOOKUP($AIK$2,[2]ARBOR_REAJUSTE18!$A:$B,2,0),0))),""))),4)</f>
        <v>#VALUE!</v>
      </c>
      <c r="AIV5" s="44" t="e">
        <f>ROUNDUP(IF(IFERROR(IF($AIK5="","",IF($AIK5=0,1,1-$AIK5/HLOOKUP(AIV$3,[2]ARBOR_REAJUSTE18!$A:$AE,VLOOKUP($AIK$2,[2]ARBOR_REAJUSTE18!$A:$B,2,0),0))),"")&lt;0.01%,0.01%,(IFERROR(IF($AIK5="","",IF($AIK5=0,1,1-$AIK5/HLOOKUP(AIV$3,[2]ARBOR_REAJUSTE18!$A:$AE,VLOOKUP($AIK$2,[2]ARBOR_REAJUSTE18!$A:$B,2,0),0))),""))),4)</f>
        <v>#VALUE!</v>
      </c>
      <c r="AIW5" s="44" t="e">
        <f>ROUNDUP(IF(IFERROR(IF($AIK5="","",IF($AIK5=0,1,1-$AIK5/HLOOKUP(AIW$3,[2]ARBOR_REAJUSTE18!$A:$AE,VLOOKUP($AIK$2,[2]ARBOR_REAJUSTE18!$A:$B,2,0),0))),"")&lt;0.01%,0.01%,(IFERROR(IF($AIK5="","",IF($AIK5=0,1,1-$AIK5/HLOOKUP(AIW$3,[2]ARBOR_REAJUSTE18!$A:$AE,VLOOKUP($AIK$2,[2]ARBOR_REAJUSTE18!$A:$B,2,0),0))),""))),4)</f>
        <v>#VALUE!</v>
      </c>
      <c r="AIX5" s="44" t="e">
        <f>ROUNDUP(IF(IFERROR(IF($AIK5="","",IF($AIK5=0,1,1-$AIK5/HLOOKUP(AIX$3,[2]ARBOR_REAJUSTE18!$A:$AE,VLOOKUP($AIK$2,[2]ARBOR_REAJUSTE18!$A:$B,2,0),0))),"")&lt;0.01%,0.01%,(IFERROR(IF($AIK5="","",IF($AIK5=0,1,1-$AIK5/HLOOKUP(AIX$3,[2]ARBOR_REAJUSTE18!$A:$AE,VLOOKUP($AIK$2,[2]ARBOR_REAJUSTE18!$A:$B,2,0),0))),""))),4)</f>
        <v>#VALUE!</v>
      </c>
      <c r="AIY5" s="44" t="e">
        <f>ROUNDUP(IF(IFERROR(IF($AIK5="","",IF($AIK5=0,1,1-$AIK5/HLOOKUP(AIY$3,[2]ARBOR_REAJUSTE18!$A:$AE,VLOOKUP($AIK$2,[2]ARBOR_REAJUSTE18!$A:$B,2,0),0))),"")&lt;0.01%,0.01%,(IFERROR(IF($AIK5="","",IF($AIK5=0,1,1-$AIK5/HLOOKUP(AIY$3,[2]ARBOR_REAJUSTE18!$A:$AE,VLOOKUP($AIK$2,[2]ARBOR_REAJUSTE18!$A:$B,2,0),0))),""))),4)</f>
        <v>#VALUE!</v>
      </c>
      <c r="AIZ5" s="44" t="e">
        <f>ROUNDUP(IF(IFERROR(IF($AIK5="","",IF($AIK5=0,1,1-$AIK5/HLOOKUP(AIZ$3,[2]ARBOR_REAJUSTE18!$A:$AE,VLOOKUP($AIK$2,[2]ARBOR_REAJUSTE18!$A:$B,2,0),0))),"")&lt;0.01%,0.01%,(IFERROR(IF($AIK5="","",IF($AIK5=0,1,1-$AIK5/HLOOKUP(AIZ$3,[2]ARBOR_REAJUSTE18!$A:$AE,VLOOKUP($AIK$2,[2]ARBOR_REAJUSTE18!$A:$B,2,0),0))),""))),4)</f>
        <v>#VALUE!</v>
      </c>
      <c r="AJA5" s="44" t="e">
        <f>ROUNDUP(IF(IFERROR(IF($AIK5="","",IF($AIK5=0,1,1-$AIK5/HLOOKUP(AJA$3,[2]ARBOR_REAJUSTE18!$A:$AE,VLOOKUP($AIK$2,[2]ARBOR_REAJUSTE18!$A:$B,2,0),0))),"")&lt;0.01%,0.01%,(IFERROR(IF($AIK5="","",IF($AIK5=0,1,1-$AIK5/HLOOKUP(AJA$3,[2]ARBOR_REAJUSTE18!$A:$AE,VLOOKUP($AIK$2,[2]ARBOR_REAJUSTE18!$A:$B,2,0),0))),""))),4)</f>
        <v>#VALUE!</v>
      </c>
      <c r="AJB5" s="44" t="e">
        <f>ROUNDUP(IF(IFERROR(IF($AIK5="","",IF($AIK5=0,1,1-$AIK5/HLOOKUP(AJB$3,[2]ARBOR_REAJUSTE18!$A:$AE,VLOOKUP($AIK$2,[2]ARBOR_REAJUSTE18!$A:$B,2,0),0))),"")&lt;0.01%,0.01%,(IFERROR(IF($AIK5="","",IF($AIK5=0,1,1-$AIK5/HLOOKUP(AJB$3,[2]ARBOR_REAJUSTE18!$A:$AE,VLOOKUP($AIK$2,[2]ARBOR_REAJUSTE18!$A:$B,2,0),0))),""))),4)</f>
        <v>#VALUE!</v>
      </c>
      <c r="AJC5" s="44" t="e">
        <f>ROUNDUP(IF(IFERROR(IF($AIK5="","",IF($AIK5=0,1,1-$AIK5/HLOOKUP(AJC$3,[2]ARBOR_REAJUSTE18!$A:$AE,VLOOKUP($AIK$2,[2]ARBOR_REAJUSTE18!$A:$B,2,0),0))),"")&lt;0.01%,0.01%,(IFERROR(IF($AIK5="","",IF($AIK5=0,1,1-$AIK5/HLOOKUP(AJC$3,[2]ARBOR_REAJUSTE18!$A:$AE,VLOOKUP($AIK$2,[2]ARBOR_REAJUSTE18!$A:$B,2,0),0))),""))),4)</f>
        <v>#VALUE!</v>
      </c>
      <c r="AJD5" s="44" t="e">
        <f>ROUNDUP(IF(IFERROR(IF($AIK5="","",IF($AIK5=0,1,1-$AIK5/HLOOKUP(AJD$3,[2]ARBOR_REAJUSTE18!$A:$AE,VLOOKUP($AIK$2,[2]ARBOR_REAJUSTE18!$A:$B,2,0),0))),"")&lt;0.01%,0.01%,(IFERROR(IF($AIK5="","",IF($AIK5=0,1,1-$AIK5/HLOOKUP(AJD$3,[2]ARBOR_REAJUSTE18!$A:$AE,VLOOKUP($AIK$2,[2]ARBOR_REAJUSTE18!$A:$B,2,0),0))),""))),4)</f>
        <v>#VALUE!</v>
      </c>
      <c r="AJE5" s="44" t="e">
        <f>ROUNDUP(IF(IFERROR(IF($AIK5="","",IF($AIK5=0,1,1-$AIK5/HLOOKUP(AJE$3,[2]ARBOR_REAJUSTE18!$A:$AE,VLOOKUP($AIK$2,[2]ARBOR_REAJUSTE18!$A:$B,2,0),0))),"")&lt;0.01%,0.01%,(IFERROR(IF($AIK5="","",IF($AIK5=0,1,1-$AIK5/HLOOKUP(AJE$3,[2]ARBOR_REAJUSTE18!$A:$AE,VLOOKUP($AIK$2,[2]ARBOR_REAJUSTE18!$A:$B,2,0),0))),""))),4)</f>
        <v>#VALUE!</v>
      </c>
      <c r="AJF5" s="44" t="e">
        <f>ROUNDUP(IF(IFERROR(IF($AIK5="","",IF($AIK5=0,1,1-$AIK5/HLOOKUP(AJF$3,[2]ARBOR_REAJUSTE18!$A:$AE,VLOOKUP($AIK$2,[2]ARBOR_REAJUSTE18!$A:$B,2,0),0))),"")&lt;0.01%,0.01%,(IFERROR(IF($AIK5="","",IF($AIK5=0,1,1-$AIK5/HLOOKUP(AJF$3,[2]ARBOR_REAJUSTE18!$A:$AE,VLOOKUP($AIK$2,[2]ARBOR_REAJUSTE18!$A:$B,2,0),0))),""))),4)</f>
        <v>#VALUE!</v>
      </c>
      <c r="AJG5" s="44" t="e">
        <f>ROUNDUP(IF(IFERROR(IF($AIK5="","",IF($AIK5=0,1,1-$AIK5/HLOOKUP(AJG$3,[2]ARBOR_REAJUSTE18!$A:$AE,VLOOKUP($AIK$2,[2]ARBOR_REAJUSTE18!$A:$B,2,0),0))),"")&lt;0.01%,0.01%,(IFERROR(IF($AIK5="","",IF($AIK5=0,1,1-$AIK5/HLOOKUP(AJG$3,[2]ARBOR_REAJUSTE18!$A:$AE,VLOOKUP($AIK$2,[2]ARBOR_REAJUSTE18!$A:$B,2,0),0))),""))),4)</f>
        <v>#VALUE!</v>
      </c>
      <c r="AJH5" s="44" t="e">
        <f>ROUNDUP(IF(IFERROR(IF($AIK5="","",IF($AIK5=0,1,1-$AIK5/HLOOKUP(AJH$3,[2]ARBOR_REAJUSTE18!$A:$AE,VLOOKUP($AIK$2,[2]ARBOR_REAJUSTE18!$A:$B,2,0),0))),"")&lt;0.01%,0.01%,(IFERROR(IF($AIK5="","",IF($AIK5=0,1,1-$AIK5/HLOOKUP(AJH$3,[2]ARBOR_REAJUSTE18!$A:$AE,VLOOKUP($AIK$2,[2]ARBOR_REAJUSTE18!$A:$B,2,0),0))),""))),4)</f>
        <v>#VALUE!</v>
      </c>
      <c r="AJI5" s="44" t="e">
        <f>ROUNDUP(IF(IFERROR(IF($AIK5="","",IF($AIK5=0,1,1-$AIK5/HLOOKUP(AJI$3,[2]ARBOR_REAJUSTE18!$A:$AE,VLOOKUP($AIK$2,[2]ARBOR_REAJUSTE18!$A:$B,2,0),0))),"")&lt;0.01%,0.01%,(IFERROR(IF($AIK5="","",IF($AIK5=0,1,1-$AIK5/HLOOKUP(AJI$3,[2]ARBOR_REAJUSTE18!$A:$AE,VLOOKUP($AIK$2,[2]ARBOR_REAJUSTE18!$A:$B,2,0),0))),""))),4)</f>
        <v>#VALUE!</v>
      </c>
      <c r="AJJ5" s="44" t="e">
        <f>ROUNDUP(IF(IFERROR(IF($AIK5="","",IF($AIK5=0,1,1-$AIK5/HLOOKUP(AJJ$3,[2]ARBOR_REAJUSTE18!$A:$AE,VLOOKUP($AIK$2,[2]ARBOR_REAJUSTE18!$A:$B,2,0),0))),"")&lt;0.01%,0.01%,(IFERROR(IF($AIK5="","",IF($AIK5=0,1,1-$AIK5/HLOOKUP(AJJ$3,[2]ARBOR_REAJUSTE18!$A:$AE,VLOOKUP($AIK$2,[2]ARBOR_REAJUSTE18!$A:$B,2,0),0))),""))),4)</f>
        <v>#VALUE!</v>
      </c>
      <c r="AJK5" s="44" t="e">
        <f>ROUNDUP(IF(IFERROR(IF($AIK5="","",IF($AIK5=0,1,1-$AIK5/HLOOKUP(AJK$3,[2]ARBOR_REAJUSTE18!$A:$AE,VLOOKUP($AIK$2,[2]ARBOR_REAJUSTE18!$A:$B,2,0),0))),"")&lt;0.01%,0.01%,(IFERROR(IF($AIK5="","",IF($AIK5=0,1,1-$AIK5/HLOOKUP(AJK$3,[2]ARBOR_REAJUSTE18!$A:$AE,VLOOKUP($AIK$2,[2]ARBOR_REAJUSTE18!$A:$B,2,0),0))),""))),4)</f>
        <v>#VALUE!</v>
      </c>
      <c r="AJL5" s="44" t="e">
        <f>ROUNDUP(IF(IFERROR(IF($AIK5="","",IF($AIK5=0,1,1-$AIK5/HLOOKUP(AJL$3,[2]ARBOR_REAJUSTE18!$A:$AE,VLOOKUP($AIK$2,[2]ARBOR_REAJUSTE18!$A:$B,2,0),0))),"")&lt;0.01%,0.01%,(IFERROR(IF($AIK5="","",IF($AIK5=0,1,1-$AIK5/HLOOKUP(AJL$3,[2]ARBOR_REAJUSTE18!$A:$AE,VLOOKUP($AIK$2,[2]ARBOR_REAJUSTE18!$A:$B,2,0),0))),""))),4)</f>
        <v>#VALUE!</v>
      </c>
      <c r="AJM5" s="44" t="e">
        <f>ROUNDUP(IF(IFERROR(IF($AIK5="","",IF($AIK5=0,1,1-$AIK5/HLOOKUP(AJM$3,[2]ARBOR_REAJUSTE18!$A:$AE,VLOOKUP($AIK$2,[2]ARBOR_REAJUSTE18!$A:$B,2,0),0))),"")&lt;0.01%,0.01%,(IFERROR(IF($AIK5="","",IF($AIK5=0,1,1-$AIK5/HLOOKUP(AJM$3,[2]ARBOR_REAJUSTE18!$A:$AE,VLOOKUP($AIK$2,[2]ARBOR_REAJUSTE18!$A:$B,2,0),0))),""))),4)</f>
        <v>#VALUE!</v>
      </c>
      <c r="AJN5" s="56">
        <v>99.800000000000011</v>
      </c>
      <c r="AJO5" s="64" t="e">
        <f>VLOOKUP($AV5&amp;AJP5&amp;"Template desconto FLAT Plano Principal Oi TV nível conta",[2]BENEFICIOS!$A:$G,5,0)</f>
        <v>#VALUE!</v>
      </c>
      <c r="AJP5" s="44" t="e">
        <f>ROUNDUP(IF(IFERROR(IF($AJN5="","",IF($AJN5=0,1,1-$AJN5/HLOOKUP(AJP$3,[2]ARBOR_REAJUSTE18!$A:$AE,VLOOKUP($AJN$2,[2]ARBOR_REAJUSTE18!$A:$B,2,0),0))),"")&lt;0.01%,0.01%,(IFERROR(IF($AJN5="","",IF($AJN5=0,1,1-$AJN5/HLOOKUP(AJP$3,[2]ARBOR_REAJUSTE18!$A:$AE,VLOOKUP($AJN$2,[2]ARBOR_REAJUSTE18!$A:$B,2,0),0))),""))),4)</f>
        <v>#VALUE!</v>
      </c>
      <c r="AJQ5" s="44" t="e">
        <f>ROUNDUP(IF(IFERROR(IF($AJN5="","",IF($AJN5=0,1,1-$AJN5/HLOOKUP(AJQ$3,[2]ARBOR_REAJUSTE18!$A:$AE,VLOOKUP($AJN$2,[2]ARBOR_REAJUSTE18!$A:$B,2,0),0))),"")&lt;0.01%,0.01%,(IFERROR(IF($AJN5="","",IF($AJN5=0,1,1-$AJN5/HLOOKUP(AJQ$3,[2]ARBOR_REAJUSTE18!$A:$AE,VLOOKUP($AJN$2,[2]ARBOR_REAJUSTE18!$A:$B,2,0),0))),""))),4)</f>
        <v>#VALUE!</v>
      </c>
      <c r="AJR5" s="44" t="e">
        <f>ROUNDUP(IF(IFERROR(IF($AJN5="","",IF($AJN5=0,1,1-$AJN5/HLOOKUP(AJR$3,[2]ARBOR_REAJUSTE18!$A:$AE,VLOOKUP($AJN$2,[2]ARBOR_REAJUSTE18!$A:$B,2,0),0))),"")&lt;0.01%,0.01%,(IFERROR(IF($AJN5="","",IF($AJN5=0,1,1-$AJN5/HLOOKUP(AJR$3,[2]ARBOR_REAJUSTE18!$A:$AE,VLOOKUP($AJN$2,[2]ARBOR_REAJUSTE18!$A:$B,2,0),0))),""))),4)</f>
        <v>#VALUE!</v>
      </c>
      <c r="AJS5" s="44" t="e">
        <f>ROUNDUP(IF(IFERROR(IF($AJN5="","",IF($AJN5=0,1,1-$AJN5/HLOOKUP(AJS$3,[2]ARBOR_REAJUSTE18!$A:$AE,VLOOKUP($AJN$2,[2]ARBOR_REAJUSTE18!$A:$B,2,0),0))),"")&lt;0.01%,0.01%,(IFERROR(IF($AJN5="","",IF($AJN5=0,1,1-$AJN5/HLOOKUP(AJS$3,[2]ARBOR_REAJUSTE18!$A:$AE,VLOOKUP($AJN$2,[2]ARBOR_REAJUSTE18!$A:$B,2,0),0))),""))),4)</f>
        <v>#VALUE!</v>
      </c>
      <c r="AJT5" s="44" t="e">
        <f>ROUNDUP(IF(IFERROR(IF($AJN5="","",IF($AJN5=0,1,1-$AJN5/HLOOKUP(AJT$3,[2]ARBOR_REAJUSTE18!$A:$AE,VLOOKUP($AJN$2,[2]ARBOR_REAJUSTE18!$A:$B,2,0),0))),"")&lt;0.01%,0.01%,(IFERROR(IF($AJN5="","",IF($AJN5=0,1,1-$AJN5/HLOOKUP(AJT$3,[2]ARBOR_REAJUSTE18!$A:$AE,VLOOKUP($AJN$2,[2]ARBOR_REAJUSTE18!$A:$B,2,0),0))),""))),4)</f>
        <v>#VALUE!</v>
      </c>
      <c r="AJU5" s="44" t="e">
        <f>ROUNDUP(IF(IFERROR(IF($AJN5="","",IF($AJN5=0,1,1-$AJN5/HLOOKUP(AJU$3,[2]ARBOR_REAJUSTE18!$A:$AE,VLOOKUP($AJN$2,[2]ARBOR_REAJUSTE18!$A:$B,2,0),0))),"")&lt;0.01%,0.01%,(IFERROR(IF($AJN5="","",IF($AJN5=0,1,1-$AJN5/HLOOKUP(AJU$3,[2]ARBOR_REAJUSTE18!$A:$AE,VLOOKUP($AJN$2,[2]ARBOR_REAJUSTE18!$A:$B,2,0),0))),""))),4)</f>
        <v>#VALUE!</v>
      </c>
      <c r="AJV5" s="44" t="e">
        <f>ROUNDUP(IF(IFERROR(IF($AJN5="","",IF($AJN5=0,1,1-$AJN5/HLOOKUP(AJV$3,[2]ARBOR_REAJUSTE18!$A:$AE,VLOOKUP($AJN$2,[2]ARBOR_REAJUSTE18!$A:$B,2,0),0))),"")&lt;0.01%,0.01%,(IFERROR(IF($AJN5="","",IF($AJN5=0,1,1-$AJN5/HLOOKUP(AJV$3,[2]ARBOR_REAJUSTE18!$A:$AE,VLOOKUP($AJN$2,[2]ARBOR_REAJUSTE18!$A:$B,2,0),0))),""))),4)</f>
        <v>#VALUE!</v>
      </c>
      <c r="AJW5" s="44" t="e">
        <f>ROUNDUP(IF(IFERROR(IF($AJN5="","",IF($AJN5=0,1,1-$AJN5/HLOOKUP(AJW$3,[2]ARBOR_REAJUSTE18!$A:$AE,VLOOKUP($AJN$2,[2]ARBOR_REAJUSTE18!$A:$B,2,0),0))),"")&lt;0.01%,0.01%,(IFERROR(IF($AJN5="","",IF($AJN5=0,1,1-$AJN5/HLOOKUP(AJW$3,[2]ARBOR_REAJUSTE18!$A:$AE,VLOOKUP($AJN$2,[2]ARBOR_REAJUSTE18!$A:$B,2,0),0))),""))),4)</f>
        <v>#VALUE!</v>
      </c>
      <c r="AJX5" s="44" t="e">
        <f>ROUNDUP(IF(IFERROR(IF($AJN5="","",IF($AJN5=0,1,1-$AJN5/HLOOKUP(AJX$3,[2]ARBOR_REAJUSTE18!$A:$AE,VLOOKUP($AJN$2,[2]ARBOR_REAJUSTE18!$A:$B,2,0),0))),"")&lt;0.01%,0.01%,(IFERROR(IF($AJN5="","",IF($AJN5=0,1,1-$AJN5/HLOOKUP(AJX$3,[2]ARBOR_REAJUSTE18!$A:$AE,VLOOKUP($AJN$2,[2]ARBOR_REAJUSTE18!$A:$B,2,0),0))),""))),4)</f>
        <v>#VALUE!</v>
      </c>
      <c r="AJY5" s="44" t="e">
        <f>ROUNDUP(IF(IFERROR(IF($AJN5="","",IF($AJN5=0,1,1-$AJN5/HLOOKUP(AJY$3,[2]ARBOR_REAJUSTE18!$A:$AE,VLOOKUP($AJN$2,[2]ARBOR_REAJUSTE18!$A:$B,2,0),0))),"")&lt;0.01%,0.01%,(IFERROR(IF($AJN5="","",IF($AJN5=0,1,1-$AJN5/HLOOKUP(AJY$3,[2]ARBOR_REAJUSTE18!$A:$AE,VLOOKUP($AJN$2,[2]ARBOR_REAJUSTE18!$A:$B,2,0),0))),""))),4)</f>
        <v>#VALUE!</v>
      </c>
      <c r="AJZ5" s="44" t="e">
        <f>ROUNDUP(IF(IFERROR(IF($AJN5="","",IF($AJN5=0,1,1-$AJN5/HLOOKUP(AJZ$3,[2]ARBOR_REAJUSTE18!$A:$AE,VLOOKUP($AJN$2,[2]ARBOR_REAJUSTE18!$A:$B,2,0),0))),"")&lt;0.01%,0.01%,(IFERROR(IF($AJN5="","",IF($AJN5=0,1,1-$AJN5/HLOOKUP(AJZ$3,[2]ARBOR_REAJUSTE18!$A:$AE,VLOOKUP($AJN$2,[2]ARBOR_REAJUSTE18!$A:$B,2,0),0))),""))),4)</f>
        <v>#VALUE!</v>
      </c>
      <c r="AKA5" s="44" t="e">
        <f>ROUNDUP(IF(IFERROR(IF($AJN5="","",IF($AJN5=0,1,1-$AJN5/HLOOKUP(AKA$3,[2]ARBOR_REAJUSTE18!$A:$AE,VLOOKUP($AJN$2,[2]ARBOR_REAJUSTE18!$A:$B,2,0),0))),"")&lt;0.01%,0.01%,(IFERROR(IF($AJN5="","",IF($AJN5=0,1,1-$AJN5/HLOOKUP(AKA$3,[2]ARBOR_REAJUSTE18!$A:$AE,VLOOKUP($AJN$2,[2]ARBOR_REAJUSTE18!$A:$B,2,0),0))),""))),4)</f>
        <v>#VALUE!</v>
      </c>
      <c r="AKB5" s="44" t="e">
        <f>ROUNDUP(IF(IFERROR(IF($AJN5="","",IF($AJN5=0,1,1-$AJN5/HLOOKUP(AKB$3,[2]ARBOR_REAJUSTE18!$A:$AE,VLOOKUP($AJN$2,[2]ARBOR_REAJUSTE18!$A:$B,2,0),0))),"")&lt;0.01%,0.01%,(IFERROR(IF($AJN5="","",IF($AJN5=0,1,1-$AJN5/HLOOKUP(AKB$3,[2]ARBOR_REAJUSTE18!$A:$AE,VLOOKUP($AJN$2,[2]ARBOR_REAJUSTE18!$A:$B,2,0),0))),""))),4)</f>
        <v>#VALUE!</v>
      </c>
      <c r="AKC5" s="44" t="e">
        <f>ROUNDUP(IF(IFERROR(IF($AJN5="","",IF($AJN5=0,1,1-$AJN5/HLOOKUP(AKC$3,[2]ARBOR_REAJUSTE18!$A:$AE,VLOOKUP($AJN$2,[2]ARBOR_REAJUSTE18!$A:$B,2,0),0))),"")&lt;0.01%,0.01%,(IFERROR(IF($AJN5="","",IF($AJN5=0,1,1-$AJN5/HLOOKUP(AKC$3,[2]ARBOR_REAJUSTE18!$A:$AE,VLOOKUP($AJN$2,[2]ARBOR_REAJUSTE18!$A:$B,2,0),0))),""))),4)</f>
        <v>#VALUE!</v>
      </c>
      <c r="AKD5" s="44" t="e">
        <f>ROUNDUP(IF(IFERROR(IF($AJN5="","",IF($AJN5=0,1,1-$AJN5/HLOOKUP(AKD$3,[2]ARBOR_REAJUSTE18!$A:$AE,VLOOKUP($AJN$2,[2]ARBOR_REAJUSTE18!$A:$B,2,0),0))),"")&lt;0.01%,0.01%,(IFERROR(IF($AJN5="","",IF($AJN5=0,1,1-$AJN5/HLOOKUP(AKD$3,[2]ARBOR_REAJUSTE18!$A:$AE,VLOOKUP($AJN$2,[2]ARBOR_REAJUSTE18!$A:$B,2,0),0))),""))),4)</f>
        <v>#VALUE!</v>
      </c>
      <c r="AKE5" s="44" t="e">
        <f>ROUNDUP(IF(IFERROR(IF($AJN5="","",IF($AJN5=0,1,1-$AJN5/HLOOKUP(AKE$3,[2]ARBOR_REAJUSTE18!$A:$AE,VLOOKUP($AJN$2,[2]ARBOR_REAJUSTE18!$A:$B,2,0),0))),"")&lt;0.01%,0.01%,(IFERROR(IF($AJN5="","",IF($AJN5=0,1,1-$AJN5/HLOOKUP(AKE$3,[2]ARBOR_REAJUSTE18!$A:$AE,VLOOKUP($AJN$2,[2]ARBOR_REAJUSTE18!$A:$B,2,0),0))),""))),4)</f>
        <v>#VALUE!</v>
      </c>
      <c r="AKF5" s="44" t="e">
        <f>ROUNDUP(IF(IFERROR(IF($AJN5="","",IF($AJN5=0,1,1-$AJN5/HLOOKUP(AKF$3,[2]ARBOR_REAJUSTE18!$A:$AE,VLOOKUP($AJN$2,[2]ARBOR_REAJUSTE18!$A:$B,2,0),0))),"")&lt;0.01%,0.01%,(IFERROR(IF($AJN5="","",IF($AJN5=0,1,1-$AJN5/HLOOKUP(AKF$3,[2]ARBOR_REAJUSTE18!$A:$AE,VLOOKUP($AJN$2,[2]ARBOR_REAJUSTE18!$A:$B,2,0),0))),""))),4)</f>
        <v>#VALUE!</v>
      </c>
      <c r="AKG5" s="44" t="e">
        <f>ROUNDUP(IF(IFERROR(IF($AJN5="","",IF($AJN5=0,1,1-$AJN5/HLOOKUP(AKG$3,[2]ARBOR_REAJUSTE18!$A:$AE,VLOOKUP($AJN$2,[2]ARBOR_REAJUSTE18!$A:$B,2,0),0))),"")&lt;0.01%,0.01%,(IFERROR(IF($AJN5="","",IF($AJN5=0,1,1-$AJN5/HLOOKUP(AKG$3,[2]ARBOR_REAJUSTE18!$A:$AE,VLOOKUP($AJN$2,[2]ARBOR_REAJUSTE18!$A:$B,2,0),0))),""))),4)</f>
        <v>#VALUE!</v>
      </c>
      <c r="AKH5" s="44" t="e">
        <f>ROUNDUP(IF(IFERROR(IF($AJN5="","",IF($AJN5=0,1,1-$AJN5/HLOOKUP(AKH$3,[2]ARBOR_REAJUSTE18!$A:$AE,VLOOKUP($AJN$2,[2]ARBOR_REAJUSTE18!$A:$B,2,0),0))),"")&lt;0.01%,0.01%,(IFERROR(IF($AJN5="","",IF($AJN5=0,1,1-$AJN5/HLOOKUP(AKH$3,[2]ARBOR_REAJUSTE18!$A:$AE,VLOOKUP($AJN$2,[2]ARBOR_REAJUSTE18!$A:$B,2,0),0))),""))),4)</f>
        <v>#VALUE!</v>
      </c>
      <c r="AKI5" s="44" t="e">
        <f>ROUNDUP(IF(IFERROR(IF($AJN5="","",IF($AJN5=0,1,1-$AJN5/HLOOKUP(AKI$3,[2]ARBOR_REAJUSTE18!$A:$AE,VLOOKUP($AJN$2,[2]ARBOR_REAJUSTE18!$A:$B,2,0),0))),"")&lt;0.01%,0.01%,(IFERROR(IF($AJN5="","",IF($AJN5=0,1,1-$AJN5/HLOOKUP(AKI$3,[2]ARBOR_REAJUSTE18!$A:$AE,VLOOKUP($AJN$2,[2]ARBOR_REAJUSTE18!$A:$B,2,0),0))),""))),4)</f>
        <v>#VALUE!</v>
      </c>
      <c r="AKJ5" s="44" t="e">
        <f>ROUNDUP(IF(IFERROR(IF($AJN5="","",IF($AJN5=0,1,1-$AJN5/HLOOKUP(AKJ$3,[2]ARBOR_REAJUSTE18!$A:$AE,VLOOKUP($AJN$2,[2]ARBOR_REAJUSTE18!$A:$B,2,0),0))),"")&lt;0.01%,0.01%,(IFERROR(IF($AJN5="","",IF($AJN5=0,1,1-$AJN5/HLOOKUP(AKJ$3,[2]ARBOR_REAJUSTE18!$A:$AE,VLOOKUP($AJN$2,[2]ARBOR_REAJUSTE18!$A:$B,2,0),0))),""))),4)</f>
        <v>#VALUE!</v>
      </c>
      <c r="AKK5" s="44" t="e">
        <f>ROUNDUP(IF(IFERROR(IF($AJN5="","",IF($AJN5=0,1,1-$AJN5/HLOOKUP(AKK$3,[2]ARBOR_REAJUSTE18!$A:$AE,VLOOKUP($AJN$2,[2]ARBOR_REAJUSTE18!$A:$B,2,0),0))),"")&lt;0.01%,0.01%,(IFERROR(IF($AJN5="","",IF($AJN5=0,1,1-$AJN5/HLOOKUP(AKK$3,[2]ARBOR_REAJUSTE18!$A:$AE,VLOOKUP($AJN$2,[2]ARBOR_REAJUSTE18!$A:$B,2,0),0))),""))),4)</f>
        <v>#VALUE!</v>
      </c>
      <c r="AKL5" s="44" t="e">
        <f>ROUNDUP(IF(IFERROR(IF($AJN5="","",IF($AJN5=0,1,1-$AJN5/HLOOKUP(AKL$3,[2]ARBOR_REAJUSTE18!$A:$AE,VLOOKUP($AJN$2,[2]ARBOR_REAJUSTE18!$A:$B,2,0),0))),"")&lt;0.01%,0.01%,(IFERROR(IF($AJN5="","",IF($AJN5=0,1,1-$AJN5/HLOOKUP(AKL$3,[2]ARBOR_REAJUSTE18!$A:$AE,VLOOKUP($AJN$2,[2]ARBOR_REAJUSTE18!$A:$B,2,0),0))),""))),4)</f>
        <v>#VALUE!</v>
      </c>
      <c r="AKM5" s="44" t="e">
        <f>ROUNDUP(IF(IFERROR(IF($AJN5="","",IF($AJN5=0,1,1-$AJN5/HLOOKUP(AKM$3,[2]ARBOR_REAJUSTE18!$A:$AE,VLOOKUP($AJN$2,[2]ARBOR_REAJUSTE18!$A:$B,2,0),0))),"")&lt;0.01%,0.01%,(IFERROR(IF($AJN5="","",IF($AJN5=0,1,1-$AJN5/HLOOKUP(AKM$3,[2]ARBOR_REAJUSTE18!$A:$AE,VLOOKUP($AJN$2,[2]ARBOR_REAJUSTE18!$A:$B,2,0),0))),""))),4)</f>
        <v>#VALUE!</v>
      </c>
      <c r="AKN5" s="44" t="e">
        <f>ROUNDUP(IF(IFERROR(IF($AJN5="","",IF($AJN5=0,1,1-$AJN5/HLOOKUP(AKN$3,[2]ARBOR_REAJUSTE18!$A:$AE,VLOOKUP($AJN$2,[2]ARBOR_REAJUSTE18!$A:$B,2,0),0))),"")&lt;0.01%,0.01%,(IFERROR(IF($AJN5="","",IF($AJN5=0,1,1-$AJN5/HLOOKUP(AKN$3,[2]ARBOR_REAJUSTE18!$A:$AE,VLOOKUP($AJN$2,[2]ARBOR_REAJUSTE18!$A:$B,2,0),0))),""))),4)</f>
        <v>#VALUE!</v>
      </c>
      <c r="AKO5" s="44" t="e">
        <f>ROUNDUP(IF(IFERROR(IF($AJN5="","",IF($AJN5=0,1,1-$AJN5/HLOOKUP(AKO$3,[2]ARBOR_REAJUSTE18!$A:$AE,VLOOKUP($AJN$2,[2]ARBOR_REAJUSTE18!$A:$B,2,0),0))),"")&lt;0.01%,0.01%,(IFERROR(IF($AJN5="","",IF($AJN5=0,1,1-$AJN5/HLOOKUP(AKO$3,[2]ARBOR_REAJUSTE18!$A:$AE,VLOOKUP($AJN$2,[2]ARBOR_REAJUSTE18!$A:$B,2,0),0))),""))),4)</f>
        <v>#VALUE!</v>
      </c>
      <c r="AKP5" s="44" t="e">
        <f>ROUNDUP(IF(IFERROR(IF($AJN5="","",IF($AJN5=0,1,1-$AJN5/HLOOKUP(AKP$3,[2]ARBOR_REAJUSTE18!$A:$AE,VLOOKUP($AJN$2,[2]ARBOR_REAJUSTE18!$A:$B,2,0),0))),"")&lt;0.01%,0.01%,(IFERROR(IF($AJN5="","",IF($AJN5=0,1,1-$AJN5/HLOOKUP(AKP$3,[2]ARBOR_REAJUSTE18!$A:$AE,VLOOKUP($AJN$2,[2]ARBOR_REAJUSTE18!$A:$B,2,0),0))),""))),4)</f>
        <v>#VALUE!</v>
      </c>
      <c r="AKQ5" s="56">
        <v>134.79999999999998</v>
      </c>
      <c r="AKR5" s="64" t="e">
        <f>VLOOKUP($AV5&amp;AKS5&amp;"Template desconto FLAT Plano Principal Oi TV nível conta",[2]BENEFICIOS!$A:$G,5,0)</f>
        <v>#VALUE!</v>
      </c>
      <c r="AKS5" s="44" t="e">
        <f>ROUNDUP(IF(IFERROR(IF($AKQ5="","",IF($AKQ5=0,1,1-$AKQ5/HLOOKUP(AKS$3,[2]ARBOR_REAJUSTE18!$A:$AE,VLOOKUP($AKQ$2,[2]ARBOR_REAJUSTE18!$A:$B,2,0),0))),"")&lt;0.01%,0.01%,(IFERROR(IF($AKQ5="","",IF($AKQ5=0,1,1-$AKQ5/HLOOKUP(AKS$3,[2]ARBOR_REAJUSTE18!$A:$AE,VLOOKUP($AKQ$2,[2]ARBOR_REAJUSTE18!$A:$B,2,0),0))),""))),4)</f>
        <v>#VALUE!</v>
      </c>
      <c r="AKT5" s="44" t="e">
        <f>ROUNDUP(IF(IFERROR(IF($AKQ5="","",IF($AKQ5=0,1,1-$AKQ5/HLOOKUP(AKT$3,[2]ARBOR_REAJUSTE18!$A:$AE,VLOOKUP($AKQ$2,[2]ARBOR_REAJUSTE18!$A:$B,2,0),0))),"")&lt;0.01%,0.01%,(IFERROR(IF($AKQ5="","",IF($AKQ5=0,1,1-$AKQ5/HLOOKUP(AKT$3,[2]ARBOR_REAJUSTE18!$A:$AE,VLOOKUP($AKQ$2,[2]ARBOR_REAJUSTE18!$A:$B,2,0),0))),""))),4)</f>
        <v>#VALUE!</v>
      </c>
      <c r="AKU5" s="44" t="e">
        <f>ROUNDUP(IF(IFERROR(IF($AKQ5="","",IF($AKQ5=0,1,1-$AKQ5/HLOOKUP(AKU$3,[2]ARBOR_REAJUSTE18!$A:$AE,VLOOKUP($AKQ$2,[2]ARBOR_REAJUSTE18!$A:$B,2,0),0))),"")&lt;0.01%,0.01%,(IFERROR(IF($AKQ5="","",IF($AKQ5=0,1,1-$AKQ5/HLOOKUP(AKU$3,[2]ARBOR_REAJUSTE18!$A:$AE,VLOOKUP($AKQ$2,[2]ARBOR_REAJUSTE18!$A:$B,2,0),0))),""))),4)</f>
        <v>#VALUE!</v>
      </c>
      <c r="AKV5" s="44" t="e">
        <f>ROUNDUP(IF(IFERROR(IF($AKQ5="","",IF($AKQ5=0,1,1-$AKQ5/HLOOKUP(AKV$3,[2]ARBOR_REAJUSTE18!$A:$AE,VLOOKUP($AKQ$2,[2]ARBOR_REAJUSTE18!$A:$B,2,0),0))),"")&lt;0.01%,0.01%,(IFERROR(IF($AKQ5="","",IF($AKQ5=0,1,1-$AKQ5/HLOOKUP(AKV$3,[2]ARBOR_REAJUSTE18!$A:$AE,VLOOKUP($AKQ$2,[2]ARBOR_REAJUSTE18!$A:$B,2,0),0))),""))),4)</f>
        <v>#VALUE!</v>
      </c>
      <c r="AKW5" s="44" t="e">
        <f>ROUNDUP(IF(IFERROR(IF($AKQ5="","",IF($AKQ5=0,1,1-$AKQ5/HLOOKUP(AKW$3,[2]ARBOR_REAJUSTE18!$A:$AE,VLOOKUP($AKQ$2,[2]ARBOR_REAJUSTE18!$A:$B,2,0),0))),"")&lt;0.01%,0.01%,(IFERROR(IF($AKQ5="","",IF($AKQ5=0,1,1-$AKQ5/HLOOKUP(AKW$3,[2]ARBOR_REAJUSTE18!$A:$AE,VLOOKUP($AKQ$2,[2]ARBOR_REAJUSTE18!$A:$B,2,0),0))),""))),4)</f>
        <v>#VALUE!</v>
      </c>
      <c r="AKX5" s="44" t="e">
        <f>ROUNDUP(IF(IFERROR(IF($AKQ5="","",IF($AKQ5=0,1,1-$AKQ5/HLOOKUP(AKX$3,[2]ARBOR_REAJUSTE18!$A:$AE,VLOOKUP($AKQ$2,[2]ARBOR_REAJUSTE18!$A:$B,2,0),0))),"")&lt;0.01%,0.01%,(IFERROR(IF($AKQ5="","",IF($AKQ5=0,1,1-$AKQ5/HLOOKUP(AKX$3,[2]ARBOR_REAJUSTE18!$A:$AE,VLOOKUP($AKQ$2,[2]ARBOR_REAJUSTE18!$A:$B,2,0),0))),""))),4)</f>
        <v>#VALUE!</v>
      </c>
      <c r="AKY5" s="44" t="e">
        <f>ROUNDUP(IF(IFERROR(IF($AKQ5="","",IF($AKQ5=0,1,1-$AKQ5/HLOOKUP(AKY$3,[2]ARBOR_REAJUSTE18!$A:$AE,VLOOKUP($AKQ$2,[2]ARBOR_REAJUSTE18!$A:$B,2,0),0))),"")&lt;0.01%,0.01%,(IFERROR(IF($AKQ5="","",IF($AKQ5=0,1,1-$AKQ5/HLOOKUP(AKY$3,[2]ARBOR_REAJUSTE18!$A:$AE,VLOOKUP($AKQ$2,[2]ARBOR_REAJUSTE18!$A:$B,2,0),0))),""))),4)</f>
        <v>#VALUE!</v>
      </c>
      <c r="AKZ5" s="44" t="e">
        <f>ROUNDUP(IF(IFERROR(IF($AKQ5="","",IF($AKQ5=0,1,1-$AKQ5/HLOOKUP(AKZ$3,[2]ARBOR_REAJUSTE18!$A:$AE,VLOOKUP($AKQ$2,[2]ARBOR_REAJUSTE18!$A:$B,2,0),0))),"")&lt;0.01%,0.01%,(IFERROR(IF($AKQ5="","",IF($AKQ5=0,1,1-$AKQ5/HLOOKUP(AKZ$3,[2]ARBOR_REAJUSTE18!$A:$AE,VLOOKUP($AKQ$2,[2]ARBOR_REAJUSTE18!$A:$B,2,0),0))),""))),4)</f>
        <v>#VALUE!</v>
      </c>
      <c r="ALA5" s="44" t="e">
        <f>ROUNDUP(IF(IFERROR(IF($AKQ5="","",IF($AKQ5=0,1,1-$AKQ5/HLOOKUP(ALA$3,[2]ARBOR_REAJUSTE18!$A:$AE,VLOOKUP($AKQ$2,[2]ARBOR_REAJUSTE18!$A:$B,2,0),0))),"")&lt;0.01%,0.01%,(IFERROR(IF($AKQ5="","",IF($AKQ5=0,1,1-$AKQ5/HLOOKUP(ALA$3,[2]ARBOR_REAJUSTE18!$A:$AE,VLOOKUP($AKQ$2,[2]ARBOR_REAJUSTE18!$A:$B,2,0),0))),""))),4)</f>
        <v>#VALUE!</v>
      </c>
      <c r="ALB5" s="44" t="e">
        <f>ROUNDUP(IF(IFERROR(IF($AKQ5="","",IF($AKQ5=0,1,1-$AKQ5/HLOOKUP(ALB$3,[2]ARBOR_REAJUSTE18!$A:$AE,VLOOKUP($AKQ$2,[2]ARBOR_REAJUSTE18!$A:$B,2,0),0))),"")&lt;0.01%,0.01%,(IFERROR(IF($AKQ5="","",IF($AKQ5=0,1,1-$AKQ5/HLOOKUP(ALB$3,[2]ARBOR_REAJUSTE18!$A:$AE,VLOOKUP($AKQ$2,[2]ARBOR_REAJUSTE18!$A:$B,2,0),0))),""))),4)</f>
        <v>#VALUE!</v>
      </c>
      <c r="ALC5" s="44" t="e">
        <f>ROUNDUP(IF(IFERROR(IF($AKQ5="","",IF($AKQ5=0,1,1-$AKQ5/HLOOKUP(ALC$3,[2]ARBOR_REAJUSTE18!$A:$AE,VLOOKUP($AKQ$2,[2]ARBOR_REAJUSTE18!$A:$B,2,0),0))),"")&lt;0.01%,0.01%,(IFERROR(IF($AKQ5="","",IF($AKQ5=0,1,1-$AKQ5/HLOOKUP(ALC$3,[2]ARBOR_REAJUSTE18!$A:$AE,VLOOKUP($AKQ$2,[2]ARBOR_REAJUSTE18!$A:$B,2,0),0))),""))),4)</f>
        <v>#VALUE!</v>
      </c>
      <c r="ALD5" s="44" t="e">
        <f>ROUNDUP(IF(IFERROR(IF($AKQ5="","",IF($AKQ5=0,1,1-$AKQ5/HLOOKUP(ALD$3,[2]ARBOR_REAJUSTE18!$A:$AE,VLOOKUP($AKQ$2,[2]ARBOR_REAJUSTE18!$A:$B,2,0),0))),"")&lt;0.01%,0.01%,(IFERROR(IF($AKQ5="","",IF($AKQ5=0,1,1-$AKQ5/HLOOKUP(ALD$3,[2]ARBOR_REAJUSTE18!$A:$AE,VLOOKUP($AKQ$2,[2]ARBOR_REAJUSTE18!$A:$B,2,0),0))),""))),4)</f>
        <v>#VALUE!</v>
      </c>
      <c r="ALE5" s="44" t="e">
        <f>ROUNDUP(IF(IFERROR(IF($AKQ5="","",IF($AKQ5=0,1,1-$AKQ5/HLOOKUP(ALE$3,[2]ARBOR_REAJUSTE18!$A:$AE,VLOOKUP($AKQ$2,[2]ARBOR_REAJUSTE18!$A:$B,2,0),0))),"")&lt;0.01%,0.01%,(IFERROR(IF($AKQ5="","",IF($AKQ5=0,1,1-$AKQ5/HLOOKUP(ALE$3,[2]ARBOR_REAJUSTE18!$A:$AE,VLOOKUP($AKQ$2,[2]ARBOR_REAJUSTE18!$A:$B,2,0),0))),""))),4)</f>
        <v>#VALUE!</v>
      </c>
      <c r="ALF5" s="44" t="e">
        <f>ROUNDUP(IF(IFERROR(IF($AKQ5="","",IF($AKQ5=0,1,1-$AKQ5/HLOOKUP(ALF$3,[2]ARBOR_REAJUSTE18!$A:$AE,VLOOKUP($AKQ$2,[2]ARBOR_REAJUSTE18!$A:$B,2,0),0))),"")&lt;0.01%,0.01%,(IFERROR(IF($AKQ5="","",IF($AKQ5=0,1,1-$AKQ5/HLOOKUP(ALF$3,[2]ARBOR_REAJUSTE18!$A:$AE,VLOOKUP($AKQ$2,[2]ARBOR_REAJUSTE18!$A:$B,2,0),0))),""))),4)</f>
        <v>#VALUE!</v>
      </c>
      <c r="ALG5" s="44" t="e">
        <f>ROUNDUP(IF(IFERROR(IF($AKQ5="","",IF($AKQ5=0,1,1-$AKQ5/HLOOKUP(ALG$3,[2]ARBOR_REAJUSTE18!$A:$AE,VLOOKUP($AKQ$2,[2]ARBOR_REAJUSTE18!$A:$B,2,0),0))),"")&lt;0.01%,0.01%,(IFERROR(IF($AKQ5="","",IF($AKQ5=0,1,1-$AKQ5/HLOOKUP(ALG$3,[2]ARBOR_REAJUSTE18!$A:$AE,VLOOKUP($AKQ$2,[2]ARBOR_REAJUSTE18!$A:$B,2,0),0))),""))),4)</f>
        <v>#VALUE!</v>
      </c>
      <c r="ALH5" s="44" t="e">
        <f>ROUNDUP(IF(IFERROR(IF($AKQ5="","",IF($AKQ5=0,1,1-$AKQ5/HLOOKUP(ALH$3,[2]ARBOR_REAJUSTE18!$A:$AE,VLOOKUP($AKQ$2,[2]ARBOR_REAJUSTE18!$A:$B,2,0),0))),"")&lt;0.01%,0.01%,(IFERROR(IF($AKQ5="","",IF($AKQ5=0,1,1-$AKQ5/HLOOKUP(ALH$3,[2]ARBOR_REAJUSTE18!$A:$AE,VLOOKUP($AKQ$2,[2]ARBOR_REAJUSTE18!$A:$B,2,0),0))),""))),4)</f>
        <v>#VALUE!</v>
      </c>
      <c r="ALI5" s="44" t="e">
        <f>ROUNDUP(IF(IFERROR(IF($AKQ5="","",IF($AKQ5=0,1,1-$AKQ5/HLOOKUP(ALI$3,[2]ARBOR_REAJUSTE18!$A:$AE,VLOOKUP($AKQ$2,[2]ARBOR_REAJUSTE18!$A:$B,2,0),0))),"")&lt;0.01%,0.01%,(IFERROR(IF($AKQ5="","",IF($AKQ5=0,1,1-$AKQ5/HLOOKUP(ALI$3,[2]ARBOR_REAJUSTE18!$A:$AE,VLOOKUP($AKQ$2,[2]ARBOR_REAJUSTE18!$A:$B,2,0),0))),""))),4)</f>
        <v>#VALUE!</v>
      </c>
      <c r="ALJ5" s="44" t="e">
        <f>ROUNDUP(IF(IFERROR(IF($AKQ5="","",IF($AKQ5=0,1,1-$AKQ5/HLOOKUP(ALJ$3,[2]ARBOR_REAJUSTE18!$A:$AE,VLOOKUP($AKQ$2,[2]ARBOR_REAJUSTE18!$A:$B,2,0),0))),"")&lt;0.01%,0.01%,(IFERROR(IF($AKQ5="","",IF($AKQ5=0,1,1-$AKQ5/HLOOKUP(ALJ$3,[2]ARBOR_REAJUSTE18!$A:$AE,VLOOKUP($AKQ$2,[2]ARBOR_REAJUSTE18!$A:$B,2,0),0))),""))),4)</f>
        <v>#VALUE!</v>
      </c>
      <c r="ALK5" s="44" t="e">
        <f>ROUNDUP(IF(IFERROR(IF($AKQ5="","",IF($AKQ5=0,1,1-$AKQ5/HLOOKUP(ALK$3,[2]ARBOR_REAJUSTE18!$A:$AE,VLOOKUP($AKQ$2,[2]ARBOR_REAJUSTE18!$A:$B,2,0),0))),"")&lt;0.01%,0.01%,(IFERROR(IF($AKQ5="","",IF($AKQ5=0,1,1-$AKQ5/HLOOKUP(ALK$3,[2]ARBOR_REAJUSTE18!$A:$AE,VLOOKUP($AKQ$2,[2]ARBOR_REAJUSTE18!$A:$B,2,0),0))),""))),4)</f>
        <v>#VALUE!</v>
      </c>
      <c r="ALL5" s="44" t="e">
        <f>ROUNDUP(IF(IFERROR(IF($AKQ5="","",IF($AKQ5=0,1,1-$AKQ5/HLOOKUP(ALL$3,[2]ARBOR_REAJUSTE18!$A:$AE,VLOOKUP($AKQ$2,[2]ARBOR_REAJUSTE18!$A:$B,2,0),0))),"")&lt;0.01%,0.01%,(IFERROR(IF($AKQ5="","",IF($AKQ5=0,1,1-$AKQ5/HLOOKUP(ALL$3,[2]ARBOR_REAJUSTE18!$A:$AE,VLOOKUP($AKQ$2,[2]ARBOR_REAJUSTE18!$A:$B,2,0),0))),""))),4)</f>
        <v>#VALUE!</v>
      </c>
      <c r="ALM5" s="44" t="e">
        <f>ROUNDUP(IF(IFERROR(IF($AKQ5="","",IF($AKQ5=0,1,1-$AKQ5/HLOOKUP(ALM$3,[2]ARBOR_REAJUSTE18!$A:$AE,VLOOKUP($AKQ$2,[2]ARBOR_REAJUSTE18!$A:$B,2,0),0))),"")&lt;0.01%,0.01%,(IFERROR(IF($AKQ5="","",IF($AKQ5=0,1,1-$AKQ5/HLOOKUP(ALM$3,[2]ARBOR_REAJUSTE18!$A:$AE,VLOOKUP($AKQ$2,[2]ARBOR_REAJUSTE18!$A:$B,2,0),0))),""))),4)</f>
        <v>#VALUE!</v>
      </c>
      <c r="ALN5" s="44" t="e">
        <f>ROUNDUP(IF(IFERROR(IF($AKQ5="","",IF($AKQ5=0,1,1-$AKQ5/HLOOKUP(ALN$3,[2]ARBOR_REAJUSTE18!$A:$AE,VLOOKUP($AKQ$2,[2]ARBOR_REAJUSTE18!$A:$B,2,0),0))),"")&lt;0.01%,0.01%,(IFERROR(IF($AKQ5="","",IF($AKQ5=0,1,1-$AKQ5/HLOOKUP(ALN$3,[2]ARBOR_REAJUSTE18!$A:$AE,VLOOKUP($AKQ$2,[2]ARBOR_REAJUSTE18!$A:$B,2,0),0))),""))),4)</f>
        <v>#VALUE!</v>
      </c>
      <c r="ALO5" s="44" t="e">
        <f>ROUNDUP(IF(IFERROR(IF($AKQ5="","",IF($AKQ5=0,1,1-$AKQ5/HLOOKUP(ALO$3,[2]ARBOR_REAJUSTE18!$A:$AE,VLOOKUP($AKQ$2,[2]ARBOR_REAJUSTE18!$A:$B,2,0),0))),"")&lt;0.01%,0.01%,(IFERROR(IF($AKQ5="","",IF($AKQ5=0,1,1-$AKQ5/HLOOKUP(ALO$3,[2]ARBOR_REAJUSTE18!$A:$AE,VLOOKUP($AKQ$2,[2]ARBOR_REAJUSTE18!$A:$B,2,0),0))),""))),4)</f>
        <v>#VALUE!</v>
      </c>
      <c r="ALP5" s="44" t="e">
        <f>ROUNDUP(IF(IFERROR(IF($AKQ5="","",IF($AKQ5=0,1,1-$AKQ5/HLOOKUP(ALP$3,[2]ARBOR_REAJUSTE18!$A:$AE,VLOOKUP($AKQ$2,[2]ARBOR_REAJUSTE18!$A:$B,2,0),0))),"")&lt;0.01%,0.01%,(IFERROR(IF($AKQ5="","",IF($AKQ5=0,1,1-$AKQ5/HLOOKUP(ALP$3,[2]ARBOR_REAJUSTE18!$A:$AE,VLOOKUP($AKQ$2,[2]ARBOR_REAJUSTE18!$A:$B,2,0),0))),""))),4)</f>
        <v>#VALUE!</v>
      </c>
      <c r="ALQ5" s="44" t="e">
        <f>ROUNDUP(IF(IFERROR(IF($AKQ5="","",IF($AKQ5=0,1,1-$AKQ5/HLOOKUP(ALQ$3,[2]ARBOR_REAJUSTE18!$A:$AE,VLOOKUP($AKQ$2,[2]ARBOR_REAJUSTE18!$A:$B,2,0),0))),"")&lt;0.01%,0.01%,(IFERROR(IF($AKQ5="","",IF($AKQ5=0,1,1-$AKQ5/HLOOKUP(ALQ$3,[2]ARBOR_REAJUSTE18!$A:$AE,VLOOKUP($AKQ$2,[2]ARBOR_REAJUSTE18!$A:$B,2,0),0))),""))),4)</f>
        <v>#VALUE!</v>
      </c>
      <c r="ALR5" s="44" t="e">
        <f>ROUNDUP(IF(IFERROR(IF($AKQ5="","",IF($AKQ5=0,1,1-$AKQ5/HLOOKUP(ALR$3,[2]ARBOR_REAJUSTE18!$A:$AE,VLOOKUP($AKQ$2,[2]ARBOR_REAJUSTE18!$A:$B,2,0),0))),"")&lt;0.01%,0.01%,(IFERROR(IF($AKQ5="","",IF($AKQ5=0,1,1-$AKQ5/HLOOKUP(ALR$3,[2]ARBOR_REAJUSTE18!$A:$AE,VLOOKUP($AKQ$2,[2]ARBOR_REAJUSTE18!$A:$B,2,0),0))),""))),4)</f>
        <v>#VALUE!</v>
      </c>
      <c r="ALS5" s="44" t="e">
        <f>ROUNDUP(IF(IFERROR(IF($AKQ5="","",IF($AKQ5=0,1,1-$AKQ5/HLOOKUP(ALS$3,[2]ARBOR_REAJUSTE18!$A:$AE,VLOOKUP($AKQ$2,[2]ARBOR_REAJUSTE18!$A:$B,2,0),0))),"")&lt;0.01%,0.01%,(IFERROR(IF($AKQ5="","",IF($AKQ5=0,1,1-$AKQ5/HLOOKUP(ALS$3,[2]ARBOR_REAJUSTE18!$A:$AE,VLOOKUP($AKQ$2,[2]ARBOR_REAJUSTE18!$A:$B,2,0),0))),""))),4)</f>
        <v>#VALUE!</v>
      </c>
      <c r="ALT5" s="56">
        <v>149.80000000000001</v>
      </c>
      <c r="ALU5" s="64" t="e">
        <f>VLOOKUP($AV5&amp;ALV5&amp;"Template desconto FLAT Plano Principal Oi TV nível conta",[2]BENEFICIOS!$A:$G,5,0)</f>
        <v>#VALUE!</v>
      </c>
      <c r="ALV5" s="44" t="e">
        <f>ROUNDUP(IF(IFERROR(IF($ALT5="","",IF($ALT5=0,1,1-$ALT5/HLOOKUP(ALV$3,[2]ARBOR_REAJUSTE18!$A:$AE,VLOOKUP($ALT$2,[2]ARBOR_REAJUSTE18!$A:$B,2,0),0))),"")&lt;0.01%,0.01%,(IFERROR(IF($ALT5="","",IF($ALT5=0,1,1-$ALT5/HLOOKUP(ALV$3,[2]ARBOR_REAJUSTE18!$A:$AE,VLOOKUP($ALT$2,[2]ARBOR_REAJUSTE18!$A:$B,2,0),0))),""))),4)</f>
        <v>#VALUE!</v>
      </c>
      <c r="ALW5" s="44" t="e">
        <f>ROUNDUP(IF(IFERROR(IF($ALT5="","",IF($ALT5=0,1,1-$ALT5/HLOOKUP(ALW$3,[2]ARBOR_REAJUSTE18!$A:$AE,VLOOKUP($ALT$2,[2]ARBOR_REAJUSTE18!$A:$B,2,0),0))),"")&lt;0.01%,0.01%,(IFERROR(IF($ALT5="","",IF($ALT5=0,1,1-$ALT5/HLOOKUP(ALW$3,[2]ARBOR_REAJUSTE18!$A:$AE,VLOOKUP($ALT$2,[2]ARBOR_REAJUSTE18!$A:$B,2,0),0))),""))),4)</f>
        <v>#VALUE!</v>
      </c>
      <c r="ALX5" s="44" t="e">
        <f>ROUNDUP(IF(IFERROR(IF($ALT5="","",IF($ALT5=0,1,1-$ALT5/HLOOKUP(ALX$3,[2]ARBOR_REAJUSTE18!$A:$AE,VLOOKUP($ALT$2,[2]ARBOR_REAJUSTE18!$A:$B,2,0),0))),"")&lt;0.01%,0.01%,(IFERROR(IF($ALT5="","",IF($ALT5=0,1,1-$ALT5/HLOOKUP(ALX$3,[2]ARBOR_REAJUSTE18!$A:$AE,VLOOKUP($ALT$2,[2]ARBOR_REAJUSTE18!$A:$B,2,0),0))),""))),4)</f>
        <v>#VALUE!</v>
      </c>
      <c r="ALY5" s="44" t="e">
        <f>ROUNDUP(IF(IFERROR(IF($ALT5="","",IF($ALT5=0,1,1-$ALT5/HLOOKUP(ALY$3,[2]ARBOR_REAJUSTE18!$A:$AE,VLOOKUP($ALT$2,[2]ARBOR_REAJUSTE18!$A:$B,2,0),0))),"")&lt;0.01%,0.01%,(IFERROR(IF($ALT5="","",IF($ALT5=0,1,1-$ALT5/HLOOKUP(ALY$3,[2]ARBOR_REAJUSTE18!$A:$AE,VLOOKUP($ALT$2,[2]ARBOR_REAJUSTE18!$A:$B,2,0),0))),""))),4)</f>
        <v>#VALUE!</v>
      </c>
      <c r="ALZ5" s="44" t="e">
        <f>ROUNDUP(IF(IFERROR(IF($ALT5="","",IF($ALT5=0,1,1-$ALT5/HLOOKUP(ALZ$3,[2]ARBOR_REAJUSTE18!$A:$AE,VLOOKUP($ALT$2,[2]ARBOR_REAJUSTE18!$A:$B,2,0),0))),"")&lt;0.01%,0.01%,(IFERROR(IF($ALT5="","",IF($ALT5=0,1,1-$ALT5/HLOOKUP(ALZ$3,[2]ARBOR_REAJUSTE18!$A:$AE,VLOOKUP($ALT$2,[2]ARBOR_REAJUSTE18!$A:$B,2,0),0))),""))),4)</f>
        <v>#VALUE!</v>
      </c>
      <c r="AMA5" s="44" t="e">
        <f>ROUNDUP(IF(IFERROR(IF($ALT5="","",IF($ALT5=0,1,1-$ALT5/HLOOKUP(AMA$3,[2]ARBOR_REAJUSTE18!$A:$AE,VLOOKUP($ALT$2,[2]ARBOR_REAJUSTE18!$A:$B,2,0),0))),"")&lt;0.01%,0.01%,(IFERROR(IF($ALT5="","",IF($ALT5=0,1,1-$ALT5/HLOOKUP(AMA$3,[2]ARBOR_REAJUSTE18!$A:$AE,VLOOKUP($ALT$2,[2]ARBOR_REAJUSTE18!$A:$B,2,0),0))),""))),4)</f>
        <v>#VALUE!</v>
      </c>
      <c r="AMB5" s="44" t="e">
        <f>ROUNDUP(IF(IFERROR(IF($ALT5="","",IF($ALT5=0,1,1-$ALT5/HLOOKUP(AMB$3,[2]ARBOR_REAJUSTE18!$A:$AE,VLOOKUP($ALT$2,[2]ARBOR_REAJUSTE18!$A:$B,2,0),0))),"")&lt;0.01%,0.01%,(IFERROR(IF($ALT5="","",IF($ALT5=0,1,1-$ALT5/HLOOKUP(AMB$3,[2]ARBOR_REAJUSTE18!$A:$AE,VLOOKUP($ALT$2,[2]ARBOR_REAJUSTE18!$A:$B,2,0),0))),""))),4)</f>
        <v>#VALUE!</v>
      </c>
      <c r="AMC5" s="44" t="e">
        <f>ROUNDUP(IF(IFERROR(IF($ALT5="","",IF($ALT5=0,1,1-$ALT5/HLOOKUP(AMC$3,[2]ARBOR_REAJUSTE18!$A:$AE,VLOOKUP($ALT$2,[2]ARBOR_REAJUSTE18!$A:$B,2,0),0))),"")&lt;0.01%,0.01%,(IFERROR(IF($ALT5="","",IF($ALT5=0,1,1-$ALT5/HLOOKUP(AMC$3,[2]ARBOR_REAJUSTE18!$A:$AE,VLOOKUP($ALT$2,[2]ARBOR_REAJUSTE18!$A:$B,2,0),0))),""))),4)</f>
        <v>#VALUE!</v>
      </c>
      <c r="AMD5" s="44" t="e">
        <f>ROUNDUP(IF(IFERROR(IF($ALT5="","",IF($ALT5=0,1,1-$ALT5/HLOOKUP(AMD$3,[2]ARBOR_REAJUSTE18!$A:$AE,VLOOKUP($ALT$2,[2]ARBOR_REAJUSTE18!$A:$B,2,0),0))),"")&lt;0.01%,0.01%,(IFERROR(IF($ALT5="","",IF($ALT5=0,1,1-$ALT5/HLOOKUP(AMD$3,[2]ARBOR_REAJUSTE18!$A:$AE,VLOOKUP($ALT$2,[2]ARBOR_REAJUSTE18!$A:$B,2,0),0))),""))),4)</f>
        <v>#VALUE!</v>
      </c>
      <c r="AME5" s="44" t="e">
        <f>ROUNDUP(IF(IFERROR(IF($ALT5="","",IF($ALT5=0,1,1-$ALT5/HLOOKUP(AME$3,[2]ARBOR_REAJUSTE18!$A:$AE,VLOOKUP($ALT$2,[2]ARBOR_REAJUSTE18!$A:$B,2,0),0))),"")&lt;0.01%,0.01%,(IFERROR(IF($ALT5="","",IF($ALT5=0,1,1-$ALT5/HLOOKUP(AME$3,[2]ARBOR_REAJUSTE18!$A:$AE,VLOOKUP($ALT$2,[2]ARBOR_REAJUSTE18!$A:$B,2,0),0))),""))),4)</f>
        <v>#VALUE!</v>
      </c>
      <c r="AMF5" s="44" t="e">
        <f>ROUNDUP(IF(IFERROR(IF($ALT5="","",IF($ALT5=0,1,1-$ALT5/HLOOKUP(AMF$3,[2]ARBOR_REAJUSTE18!$A:$AE,VLOOKUP($ALT$2,[2]ARBOR_REAJUSTE18!$A:$B,2,0),0))),"")&lt;0.01%,0.01%,(IFERROR(IF($ALT5="","",IF($ALT5=0,1,1-$ALT5/HLOOKUP(AMF$3,[2]ARBOR_REAJUSTE18!$A:$AE,VLOOKUP($ALT$2,[2]ARBOR_REAJUSTE18!$A:$B,2,0),0))),""))),4)</f>
        <v>#VALUE!</v>
      </c>
      <c r="AMG5" s="44" t="e">
        <f>ROUNDUP(IF(IFERROR(IF($ALT5="","",IF($ALT5=0,1,1-$ALT5/HLOOKUP(AMG$3,[2]ARBOR_REAJUSTE18!$A:$AE,VLOOKUP($ALT$2,[2]ARBOR_REAJUSTE18!$A:$B,2,0),0))),"")&lt;0.01%,0.01%,(IFERROR(IF($ALT5="","",IF($ALT5=0,1,1-$ALT5/HLOOKUP(AMG$3,[2]ARBOR_REAJUSTE18!$A:$AE,VLOOKUP($ALT$2,[2]ARBOR_REAJUSTE18!$A:$B,2,0),0))),""))),4)</f>
        <v>#VALUE!</v>
      </c>
      <c r="AMH5" s="44" t="e">
        <f>ROUNDUP(IF(IFERROR(IF($ALT5="","",IF($ALT5=0,1,1-$ALT5/HLOOKUP(AMH$3,[2]ARBOR_REAJUSTE18!$A:$AE,VLOOKUP($ALT$2,[2]ARBOR_REAJUSTE18!$A:$B,2,0),0))),"")&lt;0.01%,0.01%,(IFERROR(IF($ALT5="","",IF($ALT5=0,1,1-$ALT5/HLOOKUP(AMH$3,[2]ARBOR_REAJUSTE18!$A:$AE,VLOOKUP($ALT$2,[2]ARBOR_REAJUSTE18!$A:$B,2,0),0))),""))),4)</f>
        <v>#VALUE!</v>
      </c>
      <c r="AMI5" s="44" t="e">
        <f>ROUNDUP(IF(IFERROR(IF($ALT5="","",IF($ALT5=0,1,1-$ALT5/HLOOKUP(AMI$3,[2]ARBOR_REAJUSTE18!$A:$AE,VLOOKUP($ALT$2,[2]ARBOR_REAJUSTE18!$A:$B,2,0),0))),"")&lt;0.01%,0.01%,(IFERROR(IF($ALT5="","",IF($ALT5=0,1,1-$ALT5/HLOOKUP(AMI$3,[2]ARBOR_REAJUSTE18!$A:$AE,VLOOKUP($ALT$2,[2]ARBOR_REAJUSTE18!$A:$B,2,0),0))),""))),4)</f>
        <v>#VALUE!</v>
      </c>
      <c r="AMJ5" s="44" t="e">
        <f>ROUNDUP(IF(IFERROR(IF($ALT5="","",IF($ALT5=0,1,1-$ALT5/HLOOKUP(AMJ$3,[2]ARBOR_REAJUSTE18!$A:$AE,VLOOKUP($ALT$2,[2]ARBOR_REAJUSTE18!$A:$B,2,0),0))),"")&lt;0.01%,0.01%,(IFERROR(IF($ALT5="","",IF($ALT5=0,1,1-$ALT5/HLOOKUP(AMJ$3,[2]ARBOR_REAJUSTE18!$A:$AE,VLOOKUP($ALT$2,[2]ARBOR_REAJUSTE18!$A:$B,2,0),0))),""))),4)</f>
        <v>#VALUE!</v>
      </c>
      <c r="AMK5" s="44" t="e">
        <f>ROUNDUP(IF(IFERROR(IF($ALT5="","",IF($ALT5=0,1,1-$ALT5/HLOOKUP(AMK$3,[2]ARBOR_REAJUSTE18!$A:$AE,VLOOKUP($ALT$2,[2]ARBOR_REAJUSTE18!$A:$B,2,0),0))),"")&lt;0.01%,0.01%,(IFERROR(IF($ALT5="","",IF($ALT5=0,1,1-$ALT5/HLOOKUP(AMK$3,[2]ARBOR_REAJUSTE18!$A:$AE,VLOOKUP($ALT$2,[2]ARBOR_REAJUSTE18!$A:$B,2,0),0))),""))),4)</f>
        <v>#VALUE!</v>
      </c>
      <c r="AML5" s="44" t="e">
        <f>ROUNDUP(IF(IFERROR(IF($ALT5="","",IF($ALT5=0,1,1-$ALT5/HLOOKUP(AML$3,[2]ARBOR_REAJUSTE18!$A:$AE,VLOOKUP($ALT$2,[2]ARBOR_REAJUSTE18!$A:$B,2,0),0))),"")&lt;0.01%,0.01%,(IFERROR(IF($ALT5="","",IF($ALT5=0,1,1-$ALT5/HLOOKUP(AML$3,[2]ARBOR_REAJUSTE18!$A:$AE,VLOOKUP($ALT$2,[2]ARBOR_REAJUSTE18!$A:$B,2,0),0))),""))),4)</f>
        <v>#VALUE!</v>
      </c>
      <c r="AMM5" s="44" t="e">
        <f>ROUNDUP(IF(IFERROR(IF($ALT5="","",IF($ALT5=0,1,1-$ALT5/HLOOKUP(AMM$3,[2]ARBOR_REAJUSTE18!$A:$AE,VLOOKUP($ALT$2,[2]ARBOR_REAJUSTE18!$A:$B,2,0),0))),"")&lt;0.01%,0.01%,(IFERROR(IF($ALT5="","",IF($ALT5=0,1,1-$ALT5/HLOOKUP(AMM$3,[2]ARBOR_REAJUSTE18!$A:$AE,VLOOKUP($ALT$2,[2]ARBOR_REAJUSTE18!$A:$B,2,0),0))),""))),4)</f>
        <v>#VALUE!</v>
      </c>
      <c r="AMN5" s="44" t="e">
        <f>ROUNDUP(IF(IFERROR(IF($ALT5="","",IF($ALT5=0,1,1-$ALT5/HLOOKUP(AMN$3,[2]ARBOR_REAJUSTE18!$A:$AE,VLOOKUP($ALT$2,[2]ARBOR_REAJUSTE18!$A:$B,2,0),0))),"")&lt;0.01%,0.01%,(IFERROR(IF($ALT5="","",IF($ALT5=0,1,1-$ALT5/HLOOKUP(AMN$3,[2]ARBOR_REAJUSTE18!$A:$AE,VLOOKUP($ALT$2,[2]ARBOR_REAJUSTE18!$A:$B,2,0),0))),""))),4)</f>
        <v>#VALUE!</v>
      </c>
      <c r="AMO5" s="44" t="e">
        <f>ROUNDUP(IF(IFERROR(IF($ALT5="","",IF($ALT5=0,1,1-$ALT5/HLOOKUP(AMO$3,[2]ARBOR_REAJUSTE18!$A:$AE,VLOOKUP($ALT$2,[2]ARBOR_REAJUSTE18!$A:$B,2,0),0))),"")&lt;0.01%,0.01%,(IFERROR(IF($ALT5="","",IF($ALT5=0,1,1-$ALT5/HLOOKUP(AMO$3,[2]ARBOR_REAJUSTE18!$A:$AE,VLOOKUP($ALT$2,[2]ARBOR_REAJUSTE18!$A:$B,2,0),0))),""))),4)</f>
        <v>#VALUE!</v>
      </c>
      <c r="AMP5" s="44" t="e">
        <f>ROUNDUP(IF(IFERROR(IF($ALT5="","",IF($ALT5=0,1,1-$ALT5/HLOOKUP(AMP$3,[2]ARBOR_REAJUSTE18!$A:$AE,VLOOKUP($ALT$2,[2]ARBOR_REAJUSTE18!$A:$B,2,0),0))),"")&lt;0.01%,0.01%,(IFERROR(IF($ALT5="","",IF($ALT5=0,1,1-$ALT5/HLOOKUP(AMP$3,[2]ARBOR_REAJUSTE18!$A:$AE,VLOOKUP($ALT$2,[2]ARBOR_REAJUSTE18!$A:$B,2,0),0))),""))),4)</f>
        <v>#VALUE!</v>
      </c>
      <c r="AMQ5" s="44" t="e">
        <f>ROUNDUP(IF(IFERROR(IF($ALT5="","",IF($ALT5=0,1,1-$ALT5/HLOOKUP(AMQ$3,[2]ARBOR_REAJUSTE18!$A:$AE,VLOOKUP($ALT$2,[2]ARBOR_REAJUSTE18!$A:$B,2,0),0))),"")&lt;0.01%,0.01%,(IFERROR(IF($ALT5="","",IF($ALT5=0,1,1-$ALT5/HLOOKUP(AMQ$3,[2]ARBOR_REAJUSTE18!$A:$AE,VLOOKUP($ALT$2,[2]ARBOR_REAJUSTE18!$A:$B,2,0),0))),""))),4)</f>
        <v>#VALUE!</v>
      </c>
      <c r="AMR5" s="44" t="e">
        <f>ROUNDUP(IF(IFERROR(IF($ALT5="","",IF($ALT5=0,1,1-$ALT5/HLOOKUP(AMR$3,[2]ARBOR_REAJUSTE18!$A:$AE,VLOOKUP($ALT$2,[2]ARBOR_REAJUSTE18!$A:$B,2,0),0))),"")&lt;0.01%,0.01%,(IFERROR(IF($ALT5="","",IF($ALT5=0,1,1-$ALT5/HLOOKUP(AMR$3,[2]ARBOR_REAJUSTE18!$A:$AE,VLOOKUP($ALT$2,[2]ARBOR_REAJUSTE18!$A:$B,2,0),0))),""))),4)</f>
        <v>#VALUE!</v>
      </c>
      <c r="AMS5" s="44" t="e">
        <f>ROUNDUP(IF(IFERROR(IF($ALT5="","",IF($ALT5=0,1,1-$ALT5/HLOOKUP(AMS$3,[2]ARBOR_REAJUSTE18!$A:$AE,VLOOKUP($ALT$2,[2]ARBOR_REAJUSTE18!$A:$B,2,0),0))),"")&lt;0.01%,0.01%,(IFERROR(IF($ALT5="","",IF($ALT5=0,1,1-$ALT5/HLOOKUP(AMS$3,[2]ARBOR_REAJUSTE18!$A:$AE,VLOOKUP($ALT$2,[2]ARBOR_REAJUSTE18!$A:$B,2,0),0))),""))),4)</f>
        <v>#VALUE!</v>
      </c>
      <c r="AMT5" s="44" t="e">
        <f>ROUNDUP(IF(IFERROR(IF($ALT5="","",IF($ALT5=0,1,1-$ALT5/HLOOKUP(AMT$3,[2]ARBOR_REAJUSTE18!$A:$AE,VLOOKUP($ALT$2,[2]ARBOR_REAJUSTE18!$A:$B,2,0),0))),"")&lt;0.01%,0.01%,(IFERROR(IF($ALT5="","",IF($ALT5=0,1,1-$ALT5/HLOOKUP(AMT$3,[2]ARBOR_REAJUSTE18!$A:$AE,VLOOKUP($ALT$2,[2]ARBOR_REAJUSTE18!$A:$B,2,0),0))),""))),4)</f>
        <v>#VALUE!</v>
      </c>
      <c r="AMU5" s="44" t="e">
        <f>ROUNDUP(IF(IFERROR(IF($ALT5="","",IF($ALT5=0,1,1-$ALT5/HLOOKUP(AMU$3,[2]ARBOR_REAJUSTE18!$A:$AE,VLOOKUP($ALT$2,[2]ARBOR_REAJUSTE18!$A:$B,2,0),0))),"")&lt;0.01%,0.01%,(IFERROR(IF($ALT5="","",IF($ALT5=0,1,1-$ALT5/HLOOKUP(AMU$3,[2]ARBOR_REAJUSTE18!$A:$AE,VLOOKUP($ALT$2,[2]ARBOR_REAJUSTE18!$A:$B,2,0),0))),""))),4)</f>
        <v>#VALUE!</v>
      </c>
      <c r="AMV5" s="44" t="e">
        <f>ROUNDUP(IF(IFERROR(IF($ALT5="","",IF($ALT5=0,1,1-$ALT5/HLOOKUP(AMV$3,[2]ARBOR_REAJUSTE18!$A:$AE,VLOOKUP($ALT$2,[2]ARBOR_REAJUSTE18!$A:$B,2,0),0))),"")&lt;0.01%,0.01%,(IFERROR(IF($ALT5="","",IF($ALT5=0,1,1-$ALT5/HLOOKUP(AMV$3,[2]ARBOR_REAJUSTE18!$A:$AE,VLOOKUP($ALT$2,[2]ARBOR_REAJUSTE18!$A:$B,2,0),0))),""))),4)</f>
        <v>#VALUE!</v>
      </c>
      <c r="AMW5" s="56">
        <v>229.79999999999998</v>
      </c>
      <c r="AMX5" s="64" t="e">
        <f>VLOOKUP($AV5&amp;AMY5&amp;"Template desconto FLAT Plano Principal Oi TV nível conta",[2]BENEFICIOS!$A:$G,5,0)</f>
        <v>#VALUE!</v>
      </c>
      <c r="AMY5" s="44" t="e">
        <f>ROUNDUP(IF(IFERROR(IF($AMW5="","",IF($AMW5=0,1,1-$AMW5/HLOOKUP(AMY$3,[2]ARBOR_REAJUSTE18!$A:$AE,VLOOKUP($AMW$2,[2]ARBOR_REAJUSTE18!$A:$B,2,0),0))),"")&lt;0.01%,0.01%,(IFERROR(IF($AMW5="","",IF($AMW5=0,1,1-$AMW5/HLOOKUP(AMY$3,[2]ARBOR_REAJUSTE18!$A:$AE,VLOOKUP($AMW$2,[2]ARBOR_REAJUSTE18!$A:$B,2,0),0))),""))),4)</f>
        <v>#VALUE!</v>
      </c>
      <c r="AMZ5" s="44" t="e">
        <f>ROUNDUP(IF(IFERROR(IF($AMW5="","",IF($AMW5=0,1,1-$AMW5/HLOOKUP(AMZ$3,[2]ARBOR_REAJUSTE18!$A:$AE,VLOOKUP($AMW$2,[2]ARBOR_REAJUSTE18!$A:$B,2,0),0))),"")&lt;0.01%,0.01%,(IFERROR(IF($AMW5="","",IF($AMW5=0,1,1-$AMW5/HLOOKUP(AMZ$3,[2]ARBOR_REAJUSTE18!$A:$AE,VLOOKUP($AMW$2,[2]ARBOR_REAJUSTE18!$A:$B,2,0),0))),""))),4)</f>
        <v>#VALUE!</v>
      </c>
      <c r="ANA5" s="44" t="e">
        <f>ROUNDUP(IF(IFERROR(IF($AMW5="","",IF($AMW5=0,1,1-$AMW5/HLOOKUP(ANA$3,[2]ARBOR_REAJUSTE18!$A:$AE,VLOOKUP($AMW$2,[2]ARBOR_REAJUSTE18!$A:$B,2,0),0))),"")&lt;0.01%,0.01%,(IFERROR(IF($AMW5="","",IF($AMW5=0,1,1-$AMW5/HLOOKUP(ANA$3,[2]ARBOR_REAJUSTE18!$A:$AE,VLOOKUP($AMW$2,[2]ARBOR_REAJUSTE18!$A:$B,2,0),0))),""))),4)</f>
        <v>#VALUE!</v>
      </c>
      <c r="ANB5" s="44" t="e">
        <f>ROUNDUP(IF(IFERROR(IF($AMW5="","",IF($AMW5=0,1,1-$AMW5/HLOOKUP(ANB$3,[2]ARBOR_REAJUSTE18!$A:$AE,VLOOKUP($AMW$2,[2]ARBOR_REAJUSTE18!$A:$B,2,0),0))),"")&lt;0.01%,0.01%,(IFERROR(IF($AMW5="","",IF($AMW5=0,1,1-$AMW5/HLOOKUP(ANB$3,[2]ARBOR_REAJUSTE18!$A:$AE,VLOOKUP($AMW$2,[2]ARBOR_REAJUSTE18!$A:$B,2,0),0))),""))),4)</f>
        <v>#VALUE!</v>
      </c>
      <c r="ANC5" s="44" t="e">
        <f>ROUNDUP(IF(IFERROR(IF($AMW5="","",IF($AMW5=0,1,1-$AMW5/HLOOKUP(ANC$3,[2]ARBOR_REAJUSTE18!$A:$AE,VLOOKUP($AMW$2,[2]ARBOR_REAJUSTE18!$A:$B,2,0),0))),"")&lt;0.01%,0.01%,(IFERROR(IF($AMW5="","",IF($AMW5=0,1,1-$AMW5/HLOOKUP(ANC$3,[2]ARBOR_REAJUSTE18!$A:$AE,VLOOKUP($AMW$2,[2]ARBOR_REAJUSTE18!$A:$B,2,0),0))),""))),4)</f>
        <v>#VALUE!</v>
      </c>
      <c r="AND5" s="44" t="e">
        <f>ROUNDUP(IF(IFERROR(IF($AMW5="","",IF($AMW5=0,1,1-$AMW5/HLOOKUP(AND$3,[2]ARBOR_REAJUSTE18!$A:$AE,VLOOKUP($AMW$2,[2]ARBOR_REAJUSTE18!$A:$B,2,0),0))),"")&lt;0.01%,0.01%,(IFERROR(IF($AMW5="","",IF($AMW5=0,1,1-$AMW5/HLOOKUP(AND$3,[2]ARBOR_REAJUSTE18!$A:$AE,VLOOKUP($AMW$2,[2]ARBOR_REAJUSTE18!$A:$B,2,0),0))),""))),4)</f>
        <v>#VALUE!</v>
      </c>
      <c r="ANE5" s="44" t="e">
        <f>ROUNDUP(IF(IFERROR(IF($AMW5="","",IF($AMW5=0,1,1-$AMW5/HLOOKUP(ANE$3,[2]ARBOR_REAJUSTE18!$A:$AE,VLOOKUP($AMW$2,[2]ARBOR_REAJUSTE18!$A:$B,2,0),0))),"")&lt;0.01%,0.01%,(IFERROR(IF($AMW5="","",IF($AMW5=0,1,1-$AMW5/HLOOKUP(ANE$3,[2]ARBOR_REAJUSTE18!$A:$AE,VLOOKUP($AMW$2,[2]ARBOR_REAJUSTE18!$A:$B,2,0),0))),""))),4)</f>
        <v>#VALUE!</v>
      </c>
      <c r="ANF5" s="44" t="e">
        <f>ROUNDUP(IF(IFERROR(IF($AMW5="","",IF($AMW5=0,1,1-$AMW5/HLOOKUP(ANF$3,[2]ARBOR_REAJUSTE18!$A:$AE,VLOOKUP($AMW$2,[2]ARBOR_REAJUSTE18!$A:$B,2,0),0))),"")&lt;0.01%,0.01%,(IFERROR(IF($AMW5="","",IF($AMW5=0,1,1-$AMW5/HLOOKUP(ANF$3,[2]ARBOR_REAJUSTE18!$A:$AE,VLOOKUP($AMW$2,[2]ARBOR_REAJUSTE18!$A:$B,2,0),0))),""))),4)</f>
        <v>#VALUE!</v>
      </c>
      <c r="ANG5" s="44" t="e">
        <f>ROUNDUP(IF(IFERROR(IF($AMW5="","",IF($AMW5=0,1,1-$AMW5/HLOOKUP(ANG$3,[2]ARBOR_REAJUSTE18!$A:$AE,VLOOKUP($AMW$2,[2]ARBOR_REAJUSTE18!$A:$B,2,0),0))),"")&lt;0.01%,0.01%,(IFERROR(IF($AMW5="","",IF($AMW5=0,1,1-$AMW5/HLOOKUP(ANG$3,[2]ARBOR_REAJUSTE18!$A:$AE,VLOOKUP($AMW$2,[2]ARBOR_REAJUSTE18!$A:$B,2,0),0))),""))),4)</f>
        <v>#VALUE!</v>
      </c>
      <c r="ANH5" s="44" t="e">
        <f>ROUNDUP(IF(IFERROR(IF($AMW5="","",IF($AMW5=0,1,1-$AMW5/HLOOKUP(ANH$3,[2]ARBOR_REAJUSTE18!$A:$AE,VLOOKUP($AMW$2,[2]ARBOR_REAJUSTE18!$A:$B,2,0),0))),"")&lt;0.01%,0.01%,(IFERROR(IF($AMW5="","",IF($AMW5=0,1,1-$AMW5/HLOOKUP(ANH$3,[2]ARBOR_REAJUSTE18!$A:$AE,VLOOKUP($AMW$2,[2]ARBOR_REAJUSTE18!$A:$B,2,0),0))),""))),4)</f>
        <v>#VALUE!</v>
      </c>
      <c r="ANI5" s="44" t="e">
        <f>ROUNDUP(IF(IFERROR(IF($AMW5="","",IF($AMW5=0,1,1-$AMW5/HLOOKUP(ANI$3,[2]ARBOR_REAJUSTE18!$A:$AE,VLOOKUP($AMW$2,[2]ARBOR_REAJUSTE18!$A:$B,2,0),0))),"")&lt;0.01%,0.01%,(IFERROR(IF($AMW5="","",IF($AMW5=0,1,1-$AMW5/HLOOKUP(ANI$3,[2]ARBOR_REAJUSTE18!$A:$AE,VLOOKUP($AMW$2,[2]ARBOR_REAJUSTE18!$A:$B,2,0),0))),""))),4)</f>
        <v>#VALUE!</v>
      </c>
      <c r="ANJ5" s="44" t="e">
        <f>ROUNDUP(IF(IFERROR(IF($AMW5="","",IF($AMW5=0,1,1-$AMW5/HLOOKUP(ANJ$3,[2]ARBOR_REAJUSTE18!$A:$AE,VLOOKUP($AMW$2,[2]ARBOR_REAJUSTE18!$A:$B,2,0),0))),"")&lt;0.01%,0.01%,(IFERROR(IF($AMW5="","",IF($AMW5=0,1,1-$AMW5/HLOOKUP(ANJ$3,[2]ARBOR_REAJUSTE18!$A:$AE,VLOOKUP($AMW$2,[2]ARBOR_REAJUSTE18!$A:$B,2,0),0))),""))),4)</f>
        <v>#VALUE!</v>
      </c>
      <c r="ANK5" s="44" t="e">
        <f>ROUNDUP(IF(IFERROR(IF($AMW5="","",IF($AMW5=0,1,1-$AMW5/HLOOKUP(ANK$3,[2]ARBOR_REAJUSTE18!$A:$AE,VLOOKUP($AMW$2,[2]ARBOR_REAJUSTE18!$A:$B,2,0),0))),"")&lt;0.01%,0.01%,(IFERROR(IF($AMW5="","",IF($AMW5=0,1,1-$AMW5/HLOOKUP(ANK$3,[2]ARBOR_REAJUSTE18!$A:$AE,VLOOKUP($AMW$2,[2]ARBOR_REAJUSTE18!$A:$B,2,0),0))),""))),4)</f>
        <v>#VALUE!</v>
      </c>
      <c r="ANL5" s="44" t="e">
        <f>ROUNDUP(IF(IFERROR(IF($AMW5="","",IF($AMW5=0,1,1-$AMW5/HLOOKUP(ANL$3,[2]ARBOR_REAJUSTE18!$A:$AE,VLOOKUP($AMW$2,[2]ARBOR_REAJUSTE18!$A:$B,2,0),0))),"")&lt;0.01%,0.01%,(IFERROR(IF($AMW5="","",IF($AMW5=0,1,1-$AMW5/HLOOKUP(ANL$3,[2]ARBOR_REAJUSTE18!$A:$AE,VLOOKUP($AMW$2,[2]ARBOR_REAJUSTE18!$A:$B,2,0),0))),""))),4)</f>
        <v>#VALUE!</v>
      </c>
      <c r="ANM5" s="44" t="e">
        <f>ROUNDUP(IF(IFERROR(IF($AMW5="","",IF($AMW5=0,1,1-$AMW5/HLOOKUP(ANM$3,[2]ARBOR_REAJUSTE18!$A:$AE,VLOOKUP($AMW$2,[2]ARBOR_REAJUSTE18!$A:$B,2,0),0))),"")&lt;0.01%,0.01%,(IFERROR(IF($AMW5="","",IF($AMW5=0,1,1-$AMW5/HLOOKUP(ANM$3,[2]ARBOR_REAJUSTE18!$A:$AE,VLOOKUP($AMW$2,[2]ARBOR_REAJUSTE18!$A:$B,2,0),0))),""))),4)</f>
        <v>#VALUE!</v>
      </c>
      <c r="ANN5" s="44" t="e">
        <f>ROUNDUP(IF(IFERROR(IF($AMW5="","",IF($AMW5=0,1,1-$AMW5/HLOOKUP(ANN$3,[2]ARBOR_REAJUSTE18!$A:$AE,VLOOKUP($AMW$2,[2]ARBOR_REAJUSTE18!$A:$B,2,0),0))),"")&lt;0.01%,0.01%,(IFERROR(IF($AMW5="","",IF($AMW5=0,1,1-$AMW5/HLOOKUP(ANN$3,[2]ARBOR_REAJUSTE18!$A:$AE,VLOOKUP($AMW$2,[2]ARBOR_REAJUSTE18!$A:$B,2,0),0))),""))),4)</f>
        <v>#VALUE!</v>
      </c>
      <c r="ANO5" s="44" t="e">
        <f>ROUNDUP(IF(IFERROR(IF($AMW5="","",IF($AMW5=0,1,1-$AMW5/HLOOKUP(ANO$3,[2]ARBOR_REAJUSTE18!$A:$AE,VLOOKUP($AMW$2,[2]ARBOR_REAJUSTE18!$A:$B,2,0),0))),"")&lt;0.01%,0.01%,(IFERROR(IF($AMW5="","",IF($AMW5=0,1,1-$AMW5/HLOOKUP(ANO$3,[2]ARBOR_REAJUSTE18!$A:$AE,VLOOKUP($AMW$2,[2]ARBOR_REAJUSTE18!$A:$B,2,0),0))),""))),4)</f>
        <v>#VALUE!</v>
      </c>
      <c r="ANP5" s="44" t="e">
        <f>ROUNDUP(IF(IFERROR(IF($AMW5="","",IF($AMW5=0,1,1-$AMW5/HLOOKUP(ANP$3,[2]ARBOR_REAJUSTE18!$A:$AE,VLOOKUP($AMW$2,[2]ARBOR_REAJUSTE18!$A:$B,2,0),0))),"")&lt;0.01%,0.01%,(IFERROR(IF($AMW5="","",IF($AMW5=0,1,1-$AMW5/HLOOKUP(ANP$3,[2]ARBOR_REAJUSTE18!$A:$AE,VLOOKUP($AMW$2,[2]ARBOR_REAJUSTE18!$A:$B,2,0),0))),""))),4)</f>
        <v>#VALUE!</v>
      </c>
      <c r="ANQ5" s="44" t="e">
        <f>ROUNDUP(IF(IFERROR(IF($AMW5="","",IF($AMW5=0,1,1-$AMW5/HLOOKUP(ANQ$3,[2]ARBOR_REAJUSTE18!$A:$AE,VLOOKUP($AMW$2,[2]ARBOR_REAJUSTE18!$A:$B,2,0),0))),"")&lt;0.01%,0.01%,(IFERROR(IF($AMW5="","",IF($AMW5=0,1,1-$AMW5/HLOOKUP(ANQ$3,[2]ARBOR_REAJUSTE18!$A:$AE,VLOOKUP($AMW$2,[2]ARBOR_REAJUSTE18!$A:$B,2,0),0))),""))),4)</f>
        <v>#VALUE!</v>
      </c>
      <c r="ANR5" s="44" t="e">
        <f>ROUNDUP(IF(IFERROR(IF($AMW5="","",IF($AMW5=0,1,1-$AMW5/HLOOKUP(ANR$3,[2]ARBOR_REAJUSTE18!$A:$AE,VLOOKUP($AMW$2,[2]ARBOR_REAJUSTE18!$A:$B,2,0),0))),"")&lt;0.01%,0.01%,(IFERROR(IF($AMW5="","",IF($AMW5=0,1,1-$AMW5/HLOOKUP(ANR$3,[2]ARBOR_REAJUSTE18!$A:$AE,VLOOKUP($AMW$2,[2]ARBOR_REAJUSTE18!$A:$B,2,0),0))),""))),4)</f>
        <v>#VALUE!</v>
      </c>
      <c r="ANS5" s="44" t="e">
        <f>ROUNDUP(IF(IFERROR(IF($AMW5="","",IF($AMW5=0,1,1-$AMW5/HLOOKUP(ANS$3,[2]ARBOR_REAJUSTE18!$A:$AE,VLOOKUP($AMW$2,[2]ARBOR_REAJUSTE18!$A:$B,2,0),0))),"")&lt;0.01%,0.01%,(IFERROR(IF($AMW5="","",IF($AMW5=0,1,1-$AMW5/HLOOKUP(ANS$3,[2]ARBOR_REAJUSTE18!$A:$AE,VLOOKUP($AMW$2,[2]ARBOR_REAJUSTE18!$A:$B,2,0),0))),""))),4)</f>
        <v>#VALUE!</v>
      </c>
      <c r="ANT5" s="44" t="e">
        <f>ROUNDUP(IF(IFERROR(IF($AMW5="","",IF($AMW5=0,1,1-$AMW5/HLOOKUP(ANT$3,[2]ARBOR_REAJUSTE18!$A:$AE,VLOOKUP($AMW$2,[2]ARBOR_REAJUSTE18!$A:$B,2,0),0))),"")&lt;0.01%,0.01%,(IFERROR(IF($AMW5="","",IF($AMW5=0,1,1-$AMW5/HLOOKUP(ANT$3,[2]ARBOR_REAJUSTE18!$A:$AE,VLOOKUP($AMW$2,[2]ARBOR_REAJUSTE18!$A:$B,2,0),0))),""))),4)</f>
        <v>#VALUE!</v>
      </c>
      <c r="ANU5" s="44" t="e">
        <f>ROUNDUP(IF(IFERROR(IF($AMW5="","",IF($AMW5=0,1,1-$AMW5/HLOOKUP(ANU$3,[2]ARBOR_REAJUSTE18!$A:$AE,VLOOKUP($AMW$2,[2]ARBOR_REAJUSTE18!$A:$B,2,0),0))),"")&lt;0.01%,0.01%,(IFERROR(IF($AMW5="","",IF($AMW5=0,1,1-$AMW5/HLOOKUP(ANU$3,[2]ARBOR_REAJUSTE18!$A:$AE,VLOOKUP($AMW$2,[2]ARBOR_REAJUSTE18!$A:$B,2,0),0))),""))),4)</f>
        <v>#VALUE!</v>
      </c>
      <c r="ANV5" s="44" t="e">
        <f>ROUNDUP(IF(IFERROR(IF($AMW5="","",IF($AMW5=0,1,1-$AMW5/HLOOKUP(ANV$3,[2]ARBOR_REAJUSTE18!$A:$AE,VLOOKUP($AMW$2,[2]ARBOR_REAJUSTE18!$A:$B,2,0),0))),"")&lt;0.01%,0.01%,(IFERROR(IF($AMW5="","",IF($AMW5=0,1,1-$AMW5/HLOOKUP(ANV$3,[2]ARBOR_REAJUSTE18!$A:$AE,VLOOKUP($AMW$2,[2]ARBOR_REAJUSTE18!$A:$B,2,0),0))),""))),4)</f>
        <v>#VALUE!</v>
      </c>
      <c r="ANW5" s="44" t="e">
        <f>ROUNDUP(IF(IFERROR(IF($AMW5="","",IF($AMW5=0,1,1-$AMW5/HLOOKUP(ANW$3,[2]ARBOR_REAJUSTE18!$A:$AE,VLOOKUP($AMW$2,[2]ARBOR_REAJUSTE18!$A:$B,2,0),0))),"")&lt;0.01%,0.01%,(IFERROR(IF($AMW5="","",IF($AMW5=0,1,1-$AMW5/HLOOKUP(ANW$3,[2]ARBOR_REAJUSTE18!$A:$AE,VLOOKUP($AMW$2,[2]ARBOR_REAJUSTE18!$A:$B,2,0),0))),""))),4)</f>
        <v>#VALUE!</v>
      </c>
      <c r="ANX5" s="44" t="e">
        <f>ROUNDUP(IF(IFERROR(IF($AMW5="","",IF($AMW5=0,1,1-$AMW5/HLOOKUP(ANX$3,[2]ARBOR_REAJUSTE18!$A:$AE,VLOOKUP($AMW$2,[2]ARBOR_REAJUSTE18!$A:$B,2,0),0))),"")&lt;0.01%,0.01%,(IFERROR(IF($AMW5="","",IF($AMW5=0,1,1-$AMW5/HLOOKUP(ANX$3,[2]ARBOR_REAJUSTE18!$A:$AE,VLOOKUP($AMW$2,[2]ARBOR_REAJUSTE18!$A:$B,2,0),0))),""))),4)</f>
        <v>#VALUE!</v>
      </c>
      <c r="ANY5" s="44" t="e">
        <f>ROUNDUP(IF(IFERROR(IF($AMW5="","",IF($AMW5=0,1,1-$AMW5/HLOOKUP(ANY$3,[2]ARBOR_REAJUSTE18!$A:$AE,VLOOKUP($AMW$2,[2]ARBOR_REAJUSTE18!$A:$B,2,0),0))),"")&lt;0.01%,0.01%,(IFERROR(IF($AMW5="","",IF($AMW5=0,1,1-$AMW5/HLOOKUP(ANY$3,[2]ARBOR_REAJUSTE18!$A:$AE,VLOOKUP($AMW$2,[2]ARBOR_REAJUSTE18!$A:$B,2,0),0))),""))),4)</f>
        <v>#VALUE!</v>
      </c>
      <c r="ANZ5" s="56"/>
      <c r="AOA5" s="64"/>
      <c r="AOB5" s="44" t="e">
        <f>ROUNDUP(IF(IFERROR(IF($ANZ5="","",IF($ANZ5=0,1,1-$ANZ5/HLOOKUP(AOB$3,[2]ARBOR_REAJUSTE18!$A:$AE,VLOOKUP($ANZ$2,[2]ARBOR_REAJUSTE18!$A:$B,2,0),0))),"")&lt;0.01%,0.01%,(IFERROR(IF($ANZ5="","",IF($ANZ5=0,1,1-$ANZ5/HLOOKUP(AOB$3,[2]ARBOR_REAJUSTE18!$A:$AE,VLOOKUP($ANZ$2,[2]ARBOR_REAJUSTE18!$A:$B,2,0),0))),""))),4)</f>
        <v>#VALUE!</v>
      </c>
      <c r="AOC5" s="44" t="e">
        <f>ROUNDUP(IF(IFERROR(IF($ANZ5="","",IF($ANZ5=0,1,1-$ANZ5/HLOOKUP(AOC$3,[2]ARBOR_REAJUSTE18!$A:$AE,VLOOKUP($ANZ$2,[2]ARBOR_REAJUSTE18!$A:$B,2,0),0))),"")&lt;0.01%,0.01%,(IFERROR(IF($ANZ5="","",IF($ANZ5=0,1,1-$ANZ5/HLOOKUP(AOC$3,[2]ARBOR_REAJUSTE18!$A:$AE,VLOOKUP($ANZ$2,[2]ARBOR_REAJUSTE18!$A:$B,2,0),0))),""))),4)</f>
        <v>#VALUE!</v>
      </c>
      <c r="AOD5" s="44" t="e">
        <f>ROUNDUP(IF(IFERROR(IF($ANZ5="","",IF($ANZ5=0,1,1-$ANZ5/HLOOKUP(AOD$3,[2]ARBOR_REAJUSTE18!$A:$AE,VLOOKUP($ANZ$2,[2]ARBOR_REAJUSTE18!$A:$B,2,0),0))),"")&lt;0.01%,0.01%,(IFERROR(IF($ANZ5="","",IF($ANZ5=0,1,1-$ANZ5/HLOOKUP(AOD$3,[2]ARBOR_REAJUSTE18!$A:$AE,VLOOKUP($ANZ$2,[2]ARBOR_REAJUSTE18!$A:$B,2,0),0))),""))),4)</f>
        <v>#VALUE!</v>
      </c>
      <c r="AOE5" s="44" t="e">
        <f>ROUNDUP(IF(IFERROR(IF($ANZ5="","",IF($ANZ5=0,1,1-$ANZ5/HLOOKUP(AOE$3,[2]ARBOR_REAJUSTE18!$A:$AE,VLOOKUP($ANZ$2,[2]ARBOR_REAJUSTE18!$A:$B,2,0),0))),"")&lt;0.01%,0.01%,(IFERROR(IF($ANZ5="","",IF($ANZ5=0,1,1-$ANZ5/HLOOKUP(AOE$3,[2]ARBOR_REAJUSTE18!$A:$AE,VLOOKUP($ANZ$2,[2]ARBOR_REAJUSTE18!$A:$B,2,0),0))),""))),4)</f>
        <v>#VALUE!</v>
      </c>
      <c r="AOF5" s="44" t="e">
        <f>ROUNDUP(IF(IFERROR(IF($ANZ5="","",IF($ANZ5=0,1,1-$ANZ5/HLOOKUP(AOF$3,[2]ARBOR_REAJUSTE18!$A:$AE,VLOOKUP($ANZ$2,[2]ARBOR_REAJUSTE18!$A:$B,2,0),0))),"")&lt;0.01%,0.01%,(IFERROR(IF($ANZ5="","",IF($ANZ5=0,1,1-$ANZ5/HLOOKUP(AOF$3,[2]ARBOR_REAJUSTE18!$A:$AE,VLOOKUP($ANZ$2,[2]ARBOR_REAJUSTE18!$A:$B,2,0),0))),""))),4)</f>
        <v>#VALUE!</v>
      </c>
      <c r="AOG5" s="44" t="e">
        <f>ROUNDUP(IF(IFERROR(IF($ANZ5="","",IF($ANZ5=0,1,1-$ANZ5/HLOOKUP(AOG$3,[2]ARBOR_REAJUSTE18!$A:$AE,VLOOKUP($ANZ$2,[2]ARBOR_REAJUSTE18!$A:$B,2,0),0))),"")&lt;0.01%,0.01%,(IFERROR(IF($ANZ5="","",IF($ANZ5=0,1,1-$ANZ5/HLOOKUP(AOG$3,[2]ARBOR_REAJUSTE18!$A:$AE,VLOOKUP($ANZ$2,[2]ARBOR_REAJUSTE18!$A:$B,2,0),0))),""))),4)</f>
        <v>#VALUE!</v>
      </c>
      <c r="AOH5" s="44" t="e">
        <f>ROUNDUP(IF(IFERROR(IF($ANZ5="","",IF($ANZ5=0,1,1-$ANZ5/HLOOKUP(AOH$3,[2]ARBOR_REAJUSTE18!$A:$AE,VLOOKUP($ANZ$2,[2]ARBOR_REAJUSTE18!$A:$B,2,0),0))),"")&lt;0.01%,0.01%,(IFERROR(IF($ANZ5="","",IF($ANZ5=0,1,1-$ANZ5/HLOOKUP(AOH$3,[2]ARBOR_REAJUSTE18!$A:$AE,VLOOKUP($ANZ$2,[2]ARBOR_REAJUSTE18!$A:$B,2,0),0))),""))),4)</f>
        <v>#VALUE!</v>
      </c>
      <c r="AOI5" s="44" t="e">
        <f>ROUNDUP(IF(IFERROR(IF($ANZ5="","",IF($ANZ5=0,1,1-$ANZ5/HLOOKUP(AOI$3,[2]ARBOR_REAJUSTE18!$A:$AE,VLOOKUP($ANZ$2,[2]ARBOR_REAJUSTE18!$A:$B,2,0),0))),"")&lt;0.01%,0.01%,(IFERROR(IF($ANZ5="","",IF($ANZ5=0,1,1-$ANZ5/HLOOKUP(AOI$3,[2]ARBOR_REAJUSTE18!$A:$AE,VLOOKUP($ANZ$2,[2]ARBOR_REAJUSTE18!$A:$B,2,0),0))),""))),4)</f>
        <v>#VALUE!</v>
      </c>
      <c r="AOJ5" s="44" t="e">
        <f>ROUNDUP(IF(IFERROR(IF($ANZ5="","",IF($ANZ5=0,1,1-$ANZ5/HLOOKUP(AOJ$3,[2]ARBOR_REAJUSTE18!$A:$AE,VLOOKUP($ANZ$2,[2]ARBOR_REAJUSTE18!$A:$B,2,0),0))),"")&lt;0.01%,0.01%,(IFERROR(IF($ANZ5="","",IF($ANZ5=0,1,1-$ANZ5/HLOOKUP(AOJ$3,[2]ARBOR_REAJUSTE18!$A:$AE,VLOOKUP($ANZ$2,[2]ARBOR_REAJUSTE18!$A:$B,2,0),0))),""))),4)</f>
        <v>#VALUE!</v>
      </c>
      <c r="AOK5" s="44" t="e">
        <f>ROUNDUP(IF(IFERROR(IF($ANZ5="","",IF($ANZ5=0,1,1-$ANZ5/HLOOKUP(AOK$3,[2]ARBOR_REAJUSTE18!$A:$AE,VLOOKUP($ANZ$2,[2]ARBOR_REAJUSTE18!$A:$B,2,0),0))),"")&lt;0.01%,0.01%,(IFERROR(IF($ANZ5="","",IF($ANZ5=0,1,1-$ANZ5/HLOOKUP(AOK$3,[2]ARBOR_REAJUSTE18!$A:$AE,VLOOKUP($ANZ$2,[2]ARBOR_REAJUSTE18!$A:$B,2,0),0))),""))),4)</f>
        <v>#VALUE!</v>
      </c>
      <c r="AOL5" s="44" t="e">
        <f>ROUNDUP(IF(IFERROR(IF($ANZ5="","",IF($ANZ5=0,1,1-$ANZ5/HLOOKUP(AOL$3,[2]ARBOR_REAJUSTE18!$A:$AE,VLOOKUP($ANZ$2,[2]ARBOR_REAJUSTE18!$A:$B,2,0),0))),"")&lt;0.01%,0.01%,(IFERROR(IF($ANZ5="","",IF($ANZ5=0,1,1-$ANZ5/HLOOKUP(AOL$3,[2]ARBOR_REAJUSTE18!$A:$AE,VLOOKUP($ANZ$2,[2]ARBOR_REAJUSTE18!$A:$B,2,0),0))),""))),4)</f>
        <v>#VALUE!</v>
      </c>
      <c r="AOM5" s="44" t="e">
        <f>ROUNDUP(IF(IFERROR(IF($ANZ5="","",IF($ANZ5=0,1,1-$ANZ5/HLOOKUP(AOM$3,[2]ARBOR_REAJUSTE18!$A:$AE,VLOOKUP($ANZ$2,[2]ARBOR_REAJUSTE18!$A:$B,2,0),0))),"")&lt;0.01%,0.01%,(IFERROR(IF($ANZ5="","",IF($ANZ5=0,1,1-$ANZ5/HLOOKUP(AOM$3,[2]ARBOR_REAJUSTE18!$A:$AE,VLOOKUP($ANZ$2,[2]ARBOR_REAJUSTE18!$A:$B,2,0),0))),""))),4)</f>
        <v>#VALUE!</v>
      </c>
      <c r="AON5" s="44" t="e">
        <f>ROUNDUP(IF(IFERROR(IF($ANZ5="","",IF($ANZ5=0,1,1-$ANZ5/HLOOKUP(AON$3,[2]ARBOR_REAJUSTE18!$A:$AE,VLOOKUP($ANZ$2,[2]ARBOR_REAJUSTE18!$A:$B,2,0),0))),"")&lt;0.01%,0.01%,(IFERROR(IF($ANZ5="","",IF($ANZ5=0,1,1-$ANZ5/HLOOKUP(AON$3,[2]ARBOR_REAJUSTE18!$A:$AE,VLOOKUP($ANZ$2,[2]ARBOR_REAJUSTE18!$A:$B,2,0),0))),""))),4)</f>
        <v>#VALUE!</v>
      </c>
      <c r="AOO5" s="44" t="e">
        <f>ROUNDUP(IF(IFERROR(IF($ANZ5="","",IF($ANZ5=0,1,1-$ANZ5/HLOOKUP(AOO$3,[2]ARBOR_REAJUSTE18!$A:$AE,VLOOKUP($ANZ$2,[2]ARBOR_REAJUSTE18!$A:$B,2,0),0))),"")&lt;0.01%,0.01%,(IFERROR(IF($ANZ5="","",IF($ANZ5=0,1,1-$ANZ5/HLOOKUP(AOO$3,[2]ARBOR_REAJUSTE18!$A:$AE,VLOOKUP($ANZ$2,[2]ARBOR_REAJUSTE18!$A:$B,2,0),0))),""))),4)</f>
        <v>#VALUE!</v>
      </c>
      <c r="AOP5" s="44" t="e">
        <f>ROUNDUP(IF(IFERROR(IF($ANZ5="","",IF($ANZ5=0,1,1-$ANZ5/HLOOKUP(AOP$3,[2]ARBOR_REAJUSTE18!$A:$AE,VLOOKUP($ANZ$2,[2]ARBOR_REAJUSTE18!$A:$B,2,0),0))),"")&lt;0.01%,0.01%,(IFERROR(IF($ANZ5="","",IF($ANZ5=0,1,1-$ANZ5/HLOOKUP(AOP$3,[2]ARBOR_REAJUSTE18!$A:$AE,VLOOKUP($ANZ$2,[2]ARBOR_REAJUSTE18!$A:$B,2,0),0))),""))),4)</f>
        <v>#VALUE!</v>
      </c>
      <c r="AOQ5" s="44" t="e">
        <f>ROUNDUP(IF(IFERROR(IF($ANZ5="","",IF($ANZ5=0,1,1-$ANZ5/HLOOKUP(AOQ$3,[2]ARBOR_REAJUSTE18!$A:$AE,VLOOKUP($ANZ$2,[2]ARBOR_REAJUSTE18!$A:$B,2,0),0))),"")&lt;0.01%,0.01%,(IFERROR(IF($ANZ5="","",IF($ANZ5=0,1,1-$ANZ5/HLOOKUP(AOQ$3,[2]ARBOR_REAJUSTE18!$A:$AE,VLOOKUP($ANZ$2,[2]ARBOR_REAJUSTE18!$A:$B,2,0),0))),""))),4)</f>
        <v>#VALUE!</v>
      </c>
      <c r="AOR5" s="44" t="e">
        <f>ROUNDUP(IF(IFERROR(IF($ANZ5="","",IF($ANZ5=0,1,1-$ANZ5/HLOOKUP(AOR$3,[2]ARBOR_REAJUSTE18!$A:$AE,VLOOKUP($ANZ$2,[2]ARBOR_REAJUSTE18!$A:$B,2,0),0))),"")&lt;0.01%,0.01%,(IFERROR(IF($ANZ5="","",IF($ANZ5=0,1,1-$ANZ5/HLOOKUP(AOR$3,[2]ARBOR_REAJUSTE18!$A:$AE,VLOOKUP($ANZ$2,[2]ARBOR_REAJUSTE18!$A:$B,2,0),0))),""))),4)</f>
        <v>#VALUE!</v>
      </c>
      <c r="AOS5" s="44" t="e">
        <f>ROUNDUP(IF(IFERROR(IF($ANZ5="","",IF($ANZ5=0,1,1-$ANZ5/HLOOKUP(AOS$3,[2]ARBOR_REAJUSTE18!$A:$AE,VLOOKUP($ANZ$2,[2]ARBOR_REAJUSTE18!$A:$B,2,0),0))),"")&lt;0.01%,0.01%,(IFERROR(IF($ANZ5="","",IF($ANZ5=0,1,1-$ANZ5/HLOOKUP(AOS$3,[2]ARBOR_REAJUSTE18!$A:$AE,VLOOKUP($ANZ$2,[2]ARBOR_REAJUSTE18!$A:$B,2,0),0))),""))),4)</f>
        <v>#VALUE!</v>
      </c>
      <c r="AOT5" s="44" t="e">
        <f>ROUNDUP(IF(IFERROR(IF($ANZ5="","",IF($ANZ5=0,1,1-$ANZ5/HLOOKUP(AOT$3,[2]ARBOR_REAJUSTE18!$A:$AE,VLOOKUP($ANZ$2,[2]ARBOR_REAJUSTE18!$A:$B,2,0),0))),"")&lt;0.01%,0.01%,(IFERROR(IF($ANZ5="","",IF($ANZ5=0,1,1-$ANZ5/HLOOKUP(AOT$3,[2]ARBOR_REAJUSTE18!$A:$AE,VLOOKUP($ANZ$2,[2]ARBOR_REAJUSTE18!$A:$B,2,0),0))),""))),4)</f>
        <v>#VALUE!</v>
      </c>
      <c r="AOU5" s="44" t="e">
        <f>ROUNDUP(IF(IFERROR(IF($ANZ5="","",IF($ANZ5=0,1,1-$ANZ5/HLOOKUP(AOU$3,[2]ARBOR_REAJUSTE18!$A:$AE,VLOOKUP($ANZ$2,[2]ARBOR_REAJUSTE18!$A:$B,2,0),0))),"")&lt;0.01%,0.01%,(IFERROR(IF($ANZ5="","",IF($ANZ5=0,1,1-$ANZ5/HLOOKUP(AOU$3,[2]ARBOR_REAJUSTE18!$A:$AE,VLOOKUP($ANZ$2,[2]ARBOR_REAJUSTE18!$A:$B,2,0),0))),""))),4)</f>
        <v>#VALUE!</v>
      </c>
      <c r="AOV5" s="44" t="e">
        <f>ROUNDUP(IF(IFERROR(IF($ANZ5="","",IF($ANZ5=0,1,1-$ANZ5/HLOOKUP(AOV$3,[2]ARBOR_REAJUSTE18!$A:$AE,VLOOKUP($ANZ$2,[2]ARBOR_REAJUSTE18!$A:$B,2,0),0))),"")&lt;0.01%,0.01%,(IFERROR(IF($ANZ5="","",IF($ANZ5=0,1,1-$ANZ5/HLOOKUP(AOV$3,[2]ARBOR_REAJUSTE18!$A:$AE,VLOOKUP($ANZ$2,[2]ARBOR_REAJUSTE18!$A:$B,2,0),0))),""))),4)</f>
        <v>#VALUE!</v>
      </c>
      <c r="AOW5" s="44" t="e">
        <f>ROUNDUP(IF(IFERROR(IF($ANZ5="","",IF($ANZ5=0,1,1-$ANZ5/HLOOKUP(AOW$3,[2]ARBOR_REAJUSTE18!$A:$AE,VLOOKUP($ANZ$2,[2]ARBOR_REAJUSTE18!$A:$B,2,0),0))),"")&lt;0.01%,0.01%,(IFERROR(IF($ANZ5="","",IF($ANZ5=0,1,1-$ANZ5/HLOOKUP(AOW$3,[2]ARBOR_REAJUSTE18!$A:$AE,VLOOKUP($ANZ$2,[2]ARBOR_REAJUSTE18!$A:$B,2,0),0))),""))),4)</f>
        <v>#VALUE!</v>
      </c>
      <c r="AOX5" s="44" t="e">
        <f>ROUNDUP(IF(IFERROR(IF($ANZ5="","",IF($ANZ5=0,1,1-$ANZ5/HLOOKUP(AOX$3,[2]ARBOR_REAJUSTE18!$A:$AE,VLOOKUP($ANZ$2,[2]ARBOR_REAJUSTE18!$A:$B,2,0),0))),"")&lt;0.01%,0.01%,(IFERROR(IF($ANZ5="","",IF($ANZ5=0,1,1-$ANZ5/HLOOKUP(AOX$3,[2]ARBOR_REAJUSTE18!$A:$AE,VLOOKUP($ANZ$2,[2]ARBOR_REAJUSTE18!$A:$B,2,0),0))),""))),4)</f>
        <v>#VALUE!</v>
      </c>
      <c r="AOY5" s="44" t="e">
        <f>ROUNDUP(IF(IFERROR(IF($ANZ5="","",IF($ANZ5=0,1,1-$ANZ5/HLOOKUP(AOY$3,[2]ARBOR_REAJUSTE18!$A:$AE,VLOOKUP($ANZ$2,[2]ARBOR_REAJUSTE18!$A:$B,2,0),0))),"")&lt;0.01%,0.01%,(IFERROR(IF($ANZ5="","",IF($ANZ5=0,1,1-$ANZ5/HLOOKUP(AOY$3,[2]ARBOR_REAJUSTE18!$A:$AE,VLOOKUP($ANZ$2,[2]ARBOR_REAJUSTE18!$A:$B,2,0),0))),""))),4)</f>
        <v>#VALUE!</v>
      </c>
      <c r="AOZ5" s="44" t="e">
        <f>ROUNDUP(IF(IFERROR(IF($ANZ5="","",IF($ANZ5=0,1,1-$ANZ5/HLOOKUP(AOZ$3,[2]ARBOR_REAJUSTE18!$A:$AE,VLOOKUP($ANZ$2,[2]ARBOR_REAJUSTE18!$A:$B,2,0),0))),"")&lt;0.01%,0.01%,(IFERROR(IF($ANZ5="","",IF($ANZ5=0,1,1-$ANZ5/HLOOKUP(AOZ$3,[2]ARBOR_REAJUSTE18!$A:$AE,VLOOKUP($ANZ$2,[2]ARBOR_REAJUSTE18!$A:$B,2,0),0))),""))),4)</f>
        <v>#VALUE!</v>
      </c>
      <c r="APA5" s="44" t="e">
        <f>ROUNDUP(IF(IFERROR(IF($ANZ5="","",IF($ANZ5=0,1,1-$ANZ5/HLOOKUP(APA$3,[2]ARBOR_REAJUSTE18!$A:$AE,VLOOKUP($ANZ$2,[2]ARBOR_REAJUSTE18!$A:$B,2,0),0))),"")&lt;0.01%,0.01%,(IFERROR(IF($ANZ5="","",IF($ANZ5=0,1,1-$ANZ5/HLOOKUP(APA$3,[2]ARBOR_REAJUSTE18!$A:$AE,VLOOKUP($ANZ$2,[2]ARBOR_REAJUSTE18!$A:$B,2,0),0))),""))),4)</f>
        <v>#VALUE!</v>
      </c>
      <c r="APB5" s="44" t="e">
        <f>ROUNDUP(IF(IFERROR(IF($ANZ5="","",IF($ANZ5=0,1,1-$ANZ5/HLOOKUP(APB$3,[2]ARBOR_REAJUSTE18!$A:$AE,VLOOKUP($ANZ$2,[2]ARBOR_REAJUSTE18!$A:$B,2,0),0))),"")&lt;0.01%,0.01%,(IFERROR(IF($ANZ5="","",IF($ANZ5=0,1,1-$ANZ5/HLOOKUP(APB$3,[2]ARBOR_REAJUSTE18!$A:$AE,VLOOKUP($ANZ$2,[2]ARBOR_REAJUSTE18!$A:$B,2,0),0))),""))),4)</f>
        <v>#VALUE!</v>
      </c>
      <c r="APC5" s="56"/>
      <c r="APD5" s="64"/>
      <c r="APE5" s="44" t="e">
        <f>ROUNDUP(IF(IFERROR(IF($APC5="","",IF($APC5=0,1,1-$APC5/HLOOKUP(APE$3,[2]ARBOR_REAJUSTE18!$A:$AE,VLOOKUP($APC$2,[2]ARBOR_REAJUSTE18!$A:$B,2,0),0))),"")&lt;0.01%,0.01%,(IFERROR(IF($APC5="","",IF($APC5=0,1,1-$APC5/HLOOKUP(APE$3,[2]ARBOR_REAJUSTE18!$A:$AE,VLOOKUP($APC$2,[2]ARBOR_REAJUSTE18!$A:$B,2,0),0))),""))),4)</f>
        <v>#VALUE!</v>
      </c>
      <c r="APF5" s="44" t="e">
        <f>ROUNDUP(IF(IFERROR(IF($APC5="","",IF($APC5=0,1,1-$APC5/HLOOKUP(APF$3,[2]ARBOR_REAJUSTE18!$A:$AE,VLOOKUP($APC$2,[2]ARBOR_REAJUSTE18!$A:$B,2,0),0))),"")&lt;0.01%,0.01%,(IFERROR(IF($APC5="","",IF($APC5=0,1,1-$APC5/HLOOKUP(APF$3,[2]ARBOR_REAJUSTE18!$A:$AE,VLOOKUP($APC$2,[2]ARBOR_REAJUSTE18!$A:$B,2,0),0))),""))),4)</f>
        <v>#VALUE!</v>
      </c>
      <c r="APG5" s="44" t="e">
        <f>ROUNDUP(IF(IFERROR(IF($APC5="","",IF($APC5=0,1,1-$APC5/HLOOKUP(APG$3,[2]ARBOR_REAJUSTE18!$A:$AE,VLOOKUP($APC$2,[2]ARBOR_REAJUSTE18!$A:$B,2,0),0))),"")&lt;0.01%,0.01%,(IFERROR(IF($APC5="","",IF($APC5=0,1,1-$APC5/HLOOKUP(APG$3,[2]ARBOR_REAJUSTE18!$A:$AE,VLOOKUP($APC$2,[2]ARBOR_REAJUSTE18!$A:$B,2,0),0))),""))),4)</f>
        <v>#VALUE!</v>
      </c>
      <c r="APH5" s="44" t="e">
        <f>ROUNDUP(IF(IFERROR(IF($APC5="","",IF($APC5=0,1,1-$APC5/HLOOKUP(APH$3,[2]ARBOR_REAJUSTE18!$A:$AE,VLOOKUP($APC$2,[2]ARBOR_REAJUSTE18!$A:$B,2,0),0))),"")&lt;0.01%,0.01%,(IFERROR(IF($APC5="","",IF($APC5=0,1,1-$APC5/HLOOKUP(APH$3,[2]ARBOR_REAJUSTE18!$A:$AE,VLOOKUP($APC$2,[2]ARBOR_REAJUSTE18!$A:$B,2,0),0))),""))),4)</f>
        <v>#VALUE!</v>
      </c>
      <c r="API5" s="44" t="e">
        <f>ROUNDUP(IF(IFERROR(IF($APC5="","",IF($APC5=0,1,1-$APC5/HLOOKUP(API$3,[2]ARBOR_REAJUSTE18!$A:$AE,VLOOKUP($APC$2,[2]ARBOR_REAJUSTE18!$A:$B,2,0),0))),"")&lt;0.01%,0.01%,(IFERROR(IF($APC5="","",IF($APC5=0,1,1-$APC5/HLOOKUP(API$3,[2]ARBOR_REAJUSTE18!$A:$AE,VLOOKUP($APC$2,[2]ARBOR_REAJUSTE18!$A:$B,2,0),0))),""))),4)</f>
        <v>#VALUE!</v>
      </c>
      <c r="APJ5" s="44" t="e">
        <f>ROUNDUP(IF(IFERROR(IF($APC5="","",IF($APC5=0,1,1-$APC5/HLOOKUP(APJ$3,[2]ARBOR_REAJUSTE18!$A:$AE,VLOOKUP($APC$2,[2]ARBOR_REAJUSTE18!$A:$B,2,0),0))),"")&lt;0.01%,0.01%,(IFERROR(IF($APC5="","",IF($APC5=0,1,1-$APC5/HLOOKUP(APJ$3,[2]ARBOR_REAJUSTE18!$A:$AE,VLOOKUP($APC$2,[2]ARBOR_REAJUSTE18!$A:$B,2,0),0))),""))),4)</f>
        <v>#VALUE!</v>
      </c>
      <c r="APK5" s="44" t="e">
        <f>ROUNDUP(IF(IFERROR(IF($APC5="","",IF($APC5=0,1,1-$APC5/HLOOKUP(APK$3,[2]ARBOR_REAJUSTE18!$A:$AE,VLOOKUP($APC$2,[2]ARBOR_REAJUSTE18!$A:$B,2,0),0))),"")&lt;0.01%,0.01%,(IFERROR(IF($APC5="","",IF($APC5=0,1,1-$APC5/HLOOKUP(APK$3,[2]ARBOR_REAJUSTE18!$A:$AE,VLOOKUP($APC$2,[2]ARBOR_REAJUSTE18!$A:$B,2,0),0))),""))),4)</f>
        <v>#VALUE!</v>
      </c>
      <c r="APL5" s="44" t="e">
        <f>ROUNDUP(IF(IFERROR(IF($APC5="","",IF($APC5=0,1,1-$APC5/HLOOKUP(APL$3,[2]ARBOR_REAJUSTE18!$A:$AE,VLOOKUP($APC$2,[2]ARBOR_REAJUSTE18!$A:$B,2,0),0))),"")&lt;0.01%,0.01%,(IFERROR(IF($APC5="","",IF($APC5=0,1,1-$APC5/HLOOKUP(APL$3,[2]ARBOR_REAJUSTE18!$A:$AE,VLOOKUP($APC$2,[2]ARBOR_REAJUSTE18!$A:$B,2,0),0))),""))),4)</f>
        <v>#VALUE!</v>
      </c>
      <c r="APM5" s="44" t="e">
        <f>ROUNDUP(IF(IFERROR(IF($APC5="","",IF($APC5=0,1,1-$APC5/HLOOKUP(APM$3,[2]ARBOR_REAJUSTE18!$A:$AE,VLOOKUP($APC$2,[2]ARBOR_REAJUSTE18!$A:$B,2,0),0))),"")&lt;0.01%,0.01%,(IFERROR(IF($APC5="","",IF($APC5=0,1,1-$APC5/HLOOKUP(APM$3,[2]ARBOR_REAJUSTE18!$A:$AE,VLOOKUP($APC$2,[2]ARBOR_REAJUSTE18!$A:$B,2,0),0))),""))),4)</f>
        <v>#VALUE!</v>
      </c>
      <c r="APN5" s="44" t="e">
        <f>ROUNDUP(IF(IFERROR(IF($APC5="","",IF($APC5=0,1,1-$APC5/HLOOKUP(APN$3,[2]ARBOR_REAJUSTE18!$A:$AE,VLOOKUP($APC$2,[2]ARBOR_REAJUSTE18!$A:$B,2,0),0))),"")&lt;0.01%,0.01%,(IFERROR(IF($APC5="","",IF($APC5=0,1,1-$APC5/HLOOKUP(APN$3,[2]ARBOR_REAJUSTE18!$A:$AE,VLOOKUP($APC$2,[2]ARBOR_REAJUSTE18!$A:$B,2,0),0))),""))),4)</f>
        <v>#VALUE!</v>
      </c>
      <c r="APO5" s="44" t="e">
        <f>ROUNDUP(IF(IFERROR(IF($APC5="","",IF($APC5=0,1,1-$APC5/HLOOKUP(APO$3,[2]ARBOR_REAJUSTE18!$A:$AE,VLOOKUP($APC$2,[2]ARBOR_REAJUSTE18!$A:$B,2,0),0))),"")&lt;0.01%,0.01%,(IFERROR(IF($APC5="","",IF($APC5=0,1,1-$APC5/HLOOKUP(APO$3,[2]ARBOR_REAJUSTE18!$A:$AE,VLOOKUP($APC$2,[2]ARBOR_REAJUSTE18!$A:$B,2,0),0))),""))),4)</f>
        <v>#VALUE!</v>
      </c>
      <c r="APP5" s="44" t="e">
        <f>ROUNDUP(IF(IFERROR(IF($APC5="","",IF($APC5=0,1,1-$APC5/HLOOKUP(APP$3,[2]ARBOR_REAJUSTE18!$A:$AE,VLOOKUP($APC$2,[2]ARBOR_REAJUSTE18!$A:$B,2,0),0))),"")&lt;0.01%,0.01%,(IFERROR(IF($APC5="","",IF($APC5=0,1,1-$APC5/HLOOKUP(APP$3,[2]ARBOR_REAJUSTE18!$A:$AE,VLOOKUP($APC$2,[2]ARBOR_REAJUSTE18!$A:$B,2,0),0))),""))),4)</f>
        <v>#VALUE!</v>
      </c>
      <c r="APQ5" s="44" t="e">
        <f>ROUNDUP(IF(IFERROR(IF($APC5="","",IF($APC5=0,1,1-$APC5/HLOOKUP(APQ$3,[2]ARBOR_REAJUSTE18!$A:$AE,VLOOKUP($APC$2,[2]ARBOR_REAJUSTE18!$A:$B,2,0),0))),"")&lt;0.01%,0.01%,(IFERROR(IF($APC5="","",IF($APC5=0,1,1-$APC5/HLOOKUP(APQ$3,[2]ARBOR_REAJUSTE18!$A:$AE,VLOOKUP($APC$2,[2]ARBOR_REAJUSTE18!$A:$B,2,0),0))),""))),4)</f>
        <v>#VALUE!</v>
      </c>
      <c r="APR5" s="44" t="e">
        <f>ROUNDUP(IF(IFERROR(IF($APC5="","",IF($APC5=0,1,1-$APC5/HLOOKUP(APR$3,[2]ARBOR_REAJUSTE18!$A:$AE,VLOOKUP($APC$2,[2]ARBOR_REAJUSTE18!$A:$B,2,0),0))),"")&lt;0.01%,0.01%,(IFERROR(IF($APC5="","",IF($APC5=0,1,1-$APC5/HLOOKUP(APR$3,[2]ARBOR_REAJUSTE18!$A:$AE,VLOOKUP($APC$2,[2]ARBOR_REAJUSTE18!$A:$B,2,0),0))),""))),4)</f>
        <v>#VALUE!</v>
      </c>
      <c r="APS5" s="44" t="e">
        <f>ROUNDUP(IF(IFERROR(IF($APC5="","",IF($APC5=0,1,1-$APC5/HLOOKUP(APS$3,[2]ARBOR_REAJUSTE18!$A:$AE,VLOOKUP($APC$2,[2]ARBOR_REAJUSTE18!$A:$B,2,0),0))),"")&lt;0.01%,0.01%,(IFERROR(IF($APC5="","",IF($APC5=0,1,1-$APC5/HLOOKUP(APS$3,[2]ARBOR_REAJUSTE18!$A:$AE,VLOOKUP($APC$2,[2]ARBOR_REAJUSTE18!$A:$B,2,0),0))),""))),4)</f>
        <v>#VALUE!</v>
      </c>
      <c r="APT5" s="44" t="e">
        <f>ROUNDUP(IF(IFERROR(IF($APC5="","",IF($APC5=0,1,1-$APC5/HLOOKUP(APT$3,[2]ARBOR_REAJUSTE18!$A:$AE,VLOOKUP($APC$2,[2]ARBOR_REAJUSTE18!$A:$B,2,0),0))),"")&lt;0.01%,0.01%,(IFERROR(IF($APC5="","",IF($APC5=0,1,1-$APC5/HLOOKUP(APT$3,[2]ARBOR_REAJUSTE18!$A:$AE,VLOOKUP($APC$2,[2]ARBOR_REAJUSTE18!$A:$B,2,0),0))),""))),4)</f>
        <v>#VALUE!</v>
      </c>
      <c r="APU5" s="44" t="e">
        <f>ROUNDUP(IF(IFERROR(IF($APC5="","",IF($APC5=0,1,1-$APC5/HLOOKUP(APU$3,[2]ARBOR_REAJUSTE18!$A:$AE,VLOOKUP($APC$2,[2]ARBOR_REAJUSTE18!$A:$B,2,0),0))),"")&lt;0.01%,0.01%,(IFERROR(IF($APC5="","",IF($APC5=0,1,1-$APC5/HLOOKUP(APU$3,[2]ARBOR_REAJUSTE18!$A:$AE,VLOOKUP($APC$2,[2]ARBOR_REAJUSTE18!$A:$B,2,0),0))),""))),4)</f>
        <v>#VALUE!</v>
      </c>
      <c r="APV5" s="44" t="e">
        <f>ROUNDUP(IF(IFERROR(IF($APC5="","",IF($APC5=0,1,1-$APC5/HLOOKUP(APV$3,[2]ARBOR_REAJUSTE18!$A:$AE,VLOOKUP($APC$2,[2]ARBOR_REAJUSTE18!$A:$B,2,0),0))),"")&lt;0.01%,0.01%,(IFERROR(IF($APC5="","",IF($APC5=0,1,1-$APC5/HLOOKUP(APV$3,[2]ARBOR_REAJUSTE18!$A:$AE,VLOOKUP($APC$2,[2]ARBOR_REAJUSTE18!$A:$B,2,0),0))),""))),4)</f>
        <v>#VALUE!</v>
      </c>
      <c r="APW5" s="44" t="e">
        <f>ROUNDUP(IF(IFERROR(IF($APC5="","",IF($APC5=0,1,1-$APC5/HLOOKUP(APW$3,[2]ARBOR_REAJUSTE18!$A:$AE,VLOOKUP($APC$2,[2]ARBOR_REAJUSTE18!$A:$B,2,0),0))),"")&lt;0.01%,0.01%,(IFERROR(IF($APC5="","",IF($APC5=0,1,1-$APC5/HLOOKUP(APW$3,[2]ARBOR_REAJUSTE18!$A:$AE,VLOOKUP($APC$2,[2]ARBOR_REAJUSTE18!$A:$B,2,0),0))),""))),4)</f>
        <v>#VALUE!</v>
      </c>
      <c r="APX5" s="44" t="e">
        <f>ROUNDUP(IF(IFERROR(IF($APC5="","",IF($APC5=0,1,1-$APC5/HLOOKUP(APX$3,[2]ARBOR_REAJUSTE18!$A:$AE,VLOOKUP($APC$2,[2]ARBOR_REAJUSTE18!$A:$B,2,0),0))),"")&lt;0.01%,0.01%,(IFERROR(IF($APC5="","",IF($APC5=0,1,1-$APC5/HLOOKUP(APX$3,[2]ARBOR_REAJUSTE18!$A:$AE,VLOOKUP($APC$2,[2]ARBOR_REAJUSTE18!$A:$B,2,0),0))),""))),4)</f>
        <v>#VALUE!</v>
      </c>
      <c r="APY5" s="44" t="e">
        <f>ROUNDUP(IF(IFERROR(IF($APC5="","",IF($APC5=0,1,1-$APC5/HLOOKUP(APY$3,[2]ARBOR_REAJUSTE18!$A:$AE,VLOOKUP($APC$2,[2]ARBOR_REAJUSTE18!$A:$B,2,0),0))),"")&lt;0.01%,0.01%,(IFERROR(IF($APC5="","",IF($APC5=0,1,1-$APC5/HLOOKUP(APY$3,[2]ARBOR_REAJUSTE18!$A:$AE,VLOOKUP($APC$2,[2]ARBOR_REAJUSTE18!$A:$B,2,0),0))),""))),4)</f>
        <v>#VALUE!</v>
      </c>
      <c r="APZ5" s="44" t="e">
        <f>ROUNDUP(IF(IFERROR(IF($APC5="","",IF($APC5=0,1,1-$APC5/HLOOKUP(APZ$3,[2]ARBOR_REAJUSTE18!$A:$AE,VLOOKUP($APC$2,[2]ARBOR_REAJUSTE18!$A:$B,2,0),0))),"")&lt;0.01%,0.01%,(IFERROR(IF($APC5="","",IF($APC5=0,1,1-$APC5/HLOOKUP(APZ$3,[2]ARBOR_REAJUSTE18!$A:$AE,VLOOKUP($APC$2,[2]ARBOR_REAJUSTE18!$A:$B,2,0),0))),""))),4)</f>
        <v>#VALUE!</v>
      </c>
      <c r="AQA5" s="44" t="e">
        <f>ROUNDUP(IF(IFERROR(IF($APC5="","",IF($APC5=0,1,1-$APC5/HLOOKUP(AQA$3,[2]ARBOR_REAJUSTE18!$A:$AE,VLOOKUP($APC$2,[2]ARBOR_REAJUSTE18!$A:$B,2,0),0))),"")&lt;0.01%,0.01%,(IFERROR(IF($APC5="","",IF($APC5=0,1,1-$APC5/HLOOKUP(AQA$3,[2]ARBOR_REAJUSTE18!$A:$AE,VLOOKUP($APC$2,[2]ARBOR_REAJUSTE18!$A:$B,2,0),0))),""))),4)</f>
        <v>#VALUE!</v>
      </c>
      <c r="AQB5" s="44" t="e">
        <f>ROUNDUP(IF(IFERROR(IF($APC5="","",IF($APC5=0,1,1-$APC5/HLOOKUP(AQB$3,[2]ARBOR_REAJUSTE18!$A:$AE,VLOOKUP($APC$2,[2]ARBOR_REAJUSTE18!$A:$B,2,0),0))),"")&lt;0.01%,0.01%,(IFERROR(IF($APC5="","",IF($APC5=0,1,1-$APC5/HLOOKUP(AQB$3,[2]ARBOR_REAJUSTE18!$A:$AE,VLOOKUP($APC$2,[2]ARBOR_REAJUSTE18!$A:$B,2,0),0))),""))),4)</f>
        <v>#VALUE!</v>
      </c>
      <c r="AQC5" s="44" t="e">
        <f>ROUNDUP(IF(IFERROR(IF($APC5="","",IF($APC5=0,1,1-$APC5/HLOOKUP(AQC$3,[2]ARBOR_REAJUSTE18!$A:$AE,VLOOKUP($APC$2,[2]ARBOR_REAJUSTE18!$A:$B,2,0),0))),"")&lt;0.01%,0.01%,(IFERROR(IF($APC5="","",IF($APC5=0,1,1-$APC5/HLOOKUP(AQC$3,[2]ARBOR_REAJUSTE18!$A:$AE,VLOOKUP($APC$2,[2]ARBOR_REAJUSTE18!$A:$B,2,0),0))),""))),4)</f>
        <v>#VALUE!</v>
      </c>
      <c r="AQD5" s="44" t="e">
        <f>ROUNDUP(IF(IFERROR(IF($APC5="","",IF($APC5=0,1,1-$APC5/HLOOKUP(AQD$3,[2]ARBOR_REAJUSTE18!$A:$AE,VLOOKUP($APC$2,[2]ARBOR_REAJUSTE18!$A:$B,2,0),0))),"")&lt;0.01%,0.01%,(IFERROR(IF($APC5="","",IF($APC5=0,1,1-$APC5/HLOOKUP(AQD$3,[2]ARBOR_REAJUSTE18!$A:$AE,VLOOKUP($APC$2,[2]ARBOR_REAJUSTE18!$A:$B,2,0),0))),""))),4)</f>
        <v>#VALUE!</v>
      </c>
      <c r="AQE5" s="44" t="e">
        <f>ROUNDUP(IF(IFERROR(IF($APC5="","",IF($APC5=0,1,1-$APC5/HLOOKUP(AQE$3,[2]ARBOR_REAJUSTE18!$A:$AE,VLOOKUP($APC$2,[2]ARBOR_REAJUSTE18!$A:$B,2,0),0))),"")&lt;0.01%,0.01%,(IFERROR(IF($APC5="","",IF($APC5=0,1,1-$APC5/HLOOKUP(AQE$3,[2]ARBOR_REAJUSTE18!$A:$AE,VLOOKUP($APC$2,[2]ARBOR_REAJUSTE18!$A:$B,2,0),0))),""))),4)</f>
        <v>#VALUE!</v>
      </c>
      <c r="AQF5" s="56"/>
      <c r="AQG5" s="64"/>
      <c r="AQH5" s="44" t="e">
        <f>ROUNDUP(IF(IFERROR(IF($AQF5="","",IF($AQF5=0,1,1-$AQF5/HLOOKUP(AQH$3,[2]ARBOR_REAJUSTE18!$A:$AE,VLOOKUP($AQF$2,[2]ARBOR_REAJUSTE18!$A:$B,2,0),0))),"")&lt;0.01%,0.01%,(IFERROR(IF($AQF5="","",IF($AQF5=0,1,1-$AQF5/HLOOKUP(AQH$3,[2]ARBOR_REAJUSTE18!$A:$AE,VLOOKUP($AQF$2,[2]ARBOR_REAJUSTE18!$A:$B,2,0),0))),""))),4)</f>
        <v>#VALUE!</v>
      </c>
      <c r="AQI5" s="44" t="e">
        <f>ROUNDUP(IF(IFERROR(IF($AQF5="","",IF($AQF5=0,1,1-$AQF5/HLOOKUP(AQI$3,[2]ARBOR_REAJUSTE18!$A:$AE,VLOOKUP($AQF$2,[2]ARBOR_REAJUSTE18!$A:$B,2,0),0))),"")&lt;0.01%,0.01%,(IFERROR(IF($AQF5="","",IF($AQF5=0,1,1-$AQF5/HLOOKUP(AQI$3,[2]ARBOR_REAJUSTE18!$A:$AE,VLOOKUP($AQF$2,[2]ARBOR_REAJUSTE18!$A:$B,2,0),0))),""))),4)</f>
        <v>#VALUE!</v>
      </c>
      <c r="AQJ5" s="44" t="e">
        <f>ROUNDUP(IF(IFERROR(IF($AQF5="","",IF($AQF5=0,1,1-$AQF5/HLOOKUP(AQJ$3,[2]ARBOR_REAJUSTE18!$A:$AE,VLOOKUP($AQF$2,[2]ARBOR_REAJUSTE18!$A:$B,2,0),0))),"")&lt;0.01%,0.01%,(IFERROR(IF($AQF5="","",IF($AQF5=0,1,1-$AQF5/HLOOKUP(AQJ$3,[2]ARBOR_REAJUSTE18!$A:$AE,VLOOKUP($AQF$2,[2]ARBOR_REAJUSTE18!$A:$B,2,0),0))),""))),4)</f>
        <v>#VALUE!</v>
      </c>
      <c r="AQK5" s="44" t="e">
        <f>ROUNDUP(IF(IFERROR(IF($AQF5="","",IF($AQF5=0,1,1-$AQF5/HLOOKUP(AQK$3,[2]ARBOR_REAJUSTE18!$A:$AE,VLOOKUP($AQF$2,[2]ARBOR_REAJUSTE18!$A:$B,2,0),0))),"")&lt;0.01%,0.01%,(IFERROR(IF($AQF5="","",IF($AQF5=0,1,1-$AQF5/HLOOKUP(AQK$3,[2]ARBOR_REAJUSTE18!$A:$AE,VLOOKUP($AQF$2,[2]ARBOR_REAJUSTE18!$A:$B,2,0),0))),""))),4)</f>
        <v>#VALUE!</v>
      </c>
      <c r="AQL5" s="44" t="e">
        <f>ROUNDUP(IF(IFERROR(IF($AQF5="","",IF($AQF5=0,1,1-$AQF5/HLOOKUP(AQL$3,[2]ARBOR_REAJUSTE18!$A:$AE,VLOOKUP($AQF$2,[2]ARBOR_REAJUSTE18!$A:$B,2,0),0))),"")&lt;0.01%,0.01%,(IFERROR(IF($AQF5="","",IF($AQF5=0,1,1-$AQF5/HLOOKUP(AQL$3,[2]ARBOR_REAJUSTE18!$A:$AE,VLOOKUP($AQF$2,[2]ARBOR_REAJUSTE18!$A:$B,2,0),0))),""))),4)</f>
        <v>#VALUE!</v>
      </c>
      <c r="AQM5" s="44" t="e">
        <f>ROUNDUP(IF(IFERROR(IF($AQF5="","",IF($AQF5=0,1,1-$AQF5/HLOOKUP(AQM$3,[2]ARBOR_REAJUSTE18!$A:$AE,VLOOKUP($AQF$2,[2]ARBOR_REAJUSTE18!$A:$B,2,0),0))),"")&lt;0.01%,0.01%,(IFERROR(IF($AQF5="","",IF($AQF5=0,1,1-$AQF5/HLOOKUP(AQM$3,[2]ARBOR_REAJUSTE18!$A:$AE,VLOOKUP($AQF$2,[2]ARBOR_REAJUSTE18!$A:$B,2,0),0))),""))),4)</f>
        <v>#VALUE!</v>
      </c>
      <c r="AQN5" s="44" t="e">
        <f>ROUNDUP(IF(IFERROR(IF($AQF5="","",IF($AQF5=0,1,1-$AQF5/HLOOKUP(AQN$3,[2]ARBOR_REAJUSTE18!$A:$AE,VLOOKUP($AQF$2,[2]ARBOR_REAJUSTE18!$A:$B,2,0),0))),"")&lt;0.01%,0.01%,(IFERROR(IF($AQF5="","",IF($AQF5=0,1,1-$AQF5/HLOOKUP(AQN$3,[2]ARBOR_REAJUSTE18!$A:$AE,VLOOKUP($AQF$2,[2]ARBOR_REAJUSTE18!$A:$B,2,0),0))),""))),4)</f>
        <v>#VALUE!</v>
      </c>
      <c r="AQO5" s="44" t="e">
        <f>ROUNDUP(IF(IFERROR(IF($AQF5="","",IF($AQF5=0,1,1-$AQF5/HLOOKUP(AQO$3,[2]ARBOR_REAJUSTE18!$A:$AE,VLOOKUP($AQF$2,[2]ARBOR_REAJUSTE18!$A:$B,2,0),0))),"")&lt;0.01%,0.01%,(IFERROR(IF($AQF5="","",IF($AQF5=0,1,1-$AQF5/HLOOKUP(AQO$3,[2]ARBOR_REAJUSTE18!$A:$AE,VLOOKUP($AQF$2,[2]ARBOR_REAJUSTE18!$A:$B,2,0),0))),""))),4)</f>
        <v>#VALUE!</v>
      </c>
      <c r="AQP5" s="44" t="e">
        <f>ROUNDUP(IF(IFERROR(IF($AQF5="","",IF($AQF5=0,1,1-$AQF5/HLOOKUP(AQP$3,[2]ARBOR_REAJUSTE18!$A:$AE,VLOOKUP($AQF$2,[2]ARBOR_REAJUSTE18!$A:$B,2,0),0))),"")&lt;0.01%,0.01%,(IFERROR(IF($AQF5="","",IF($AQF5=0,1,1-$AQF5/HLOOKUP(AQP$3,[2]ARBOR_REAJUSTE18!$A:$AE,VLOOKUP($AQF$2,[2]ARBOR_REAJUSTE18!$A:$B,2,0),0))),""))),4)</f>
        <v>#VALUE!</v>
      </c>
      <c r="AQQ5" s="44" t="e">
        <f>ROUNDUP(IF(IFERROR(IF($AQF5="","",IF($AQF5=0,1,1-$AQF5/HLOOKUP(AQQ$3,[2]ARBOR_REAJUSTE18!$A:$AE,VLOOKUP($AQF$2,[2]ARBOR_REAJUSTE18!$A:$B,2,0),0))),"")&lt;0.01%,0.01%,(IFERROR(IF($AQF5="","",IF($AQF5=0,1,1-$AQF5/HLOOKUP(AQQ$3,[2]ARBOR_REAJUSTE18!$A:$AE,VLOOKUP($AQF$2,[2]ARBOR_REAJUSTE18!$A:$B,2,0),0))),""))),4)</f>
        <v>#VALUE!</v>
      </c>
      <c r="AQR5" s="44" t="e">
        <f>ROUNDUP(IF(IFERROR(IF($AQF5="","",IF($AQF5=0,1,1-$AQF5/HLOOKUP(AQR$3,[2]ARBOR_REAJUSTE18!$A:$AE,VLOOKUP($AQF$2,[2]ARBOR_REAJUSTE18!$A:$B,2,0),0))),"")&lt;0.01%,0.01%,(IFERROR(IF($AQF5="","",IF($AQF5=0,1,1-$AQF5/HLOOKUP(AQR$3,[2]ARBOR_REAJUSTE18!$A:$AE,VLOOKUP($AQF$2,[2]ARBOR_REAJUSTE18!$A:$B,2,0),0))),""))),4)</f>
        <v>#VALUE!</v>
      </c>
      <c r="AQS5" s="44" t="e">
        <f>ROUNDUP(IF(IFERROR(IF($AQF5="","",IF($AQF5=0,1,1-$AQF5/HLOOKUP(AQS$3,[2]ARBOR_REAJUSTE18!$A:$AE,VLOOKUP($AQF$2,[2]ARBOR_REAJUSTE18!$A:$B,2,0),0))),"")&lt;0.01%,0.01%,(IFERROR(IF($AQF5="","",IF($AQF5=0,1,1-$AQF5/HLOOKUP(AQS$3,[2]ARBOR_REAJUSTE18!$A:$AE,VLOOKUP($AQF$2,[2]ARBOR_REAJUSTE18!$A:$B,2,0),0))),""))),4)</f>
        <v>#VALUE!</v>
      </c>
      <c r="AQT5" s="44" t="e">
        <f>ROUNDUP(IF(IFERROR(IF($AQF5="","",IF($AQF5=0,1,1-$AQF5/HLOOKUP(AQT$3,[2]ARBOR_REAJUSTE18!$A:$AE,VLOOKUP($AQF$2,[2]ARBOR_REAJUSTE18!$A:$B,2,0),0))),"")&lt;0.01%,0.01%,(IFERROR(IF($AQF5="","",IF($AQF5=0,1,1-$AQF5/HLOOKUP(AQT$3,[2]ARBOR_REAJUSTE18!$A:$AE,VLOOKUP($AQF$2,[2]ARBOR_REAJUSTE18!$A:$B,2,0),0))),""))),4)</f>
        <v>#VALUE!</v>
      </c>
      <c r="AQU5" s="44" t="e">
        <f>ROUNDUP(IF(IFERROR(IF($AQF5="","",IF($AQF5=0,1,1-$AQF5/HLOOKUP(AQU$3,[2]ARBOR_REAJUSTE18!$A:$AE,VLOOKUP($AQF$2,[2]ARBOR_REAJUSTE18!$A:$B,2,0),0))),"")&lt;0.01%,0.01%,(IFERROR(IF($AQF5="","",IF($AQF5=0,1,1-$AQF5/HLOOKUP(AQU$3,[2]ARBOR_REAJUSTE18!$A:$AE,VLOOKUP($AQF$2,[2]ARBOR_REAJUSTE18!$A:$B,2,0),0))),""))),4)</f>
        <v>#VALUE!</v>
      </c>
      <c r="AQV5" s="44" t="e">
        <f>ROUNDUP(IF(IFERROR(IF($AQF5="","",IF($AQF5=0,1,1-$AQF5/HLOOKUP(AQV$3,[2]ARBOR_REAJUSTE18!$A:$AE,VLOOKUP($AQF$2,[2]ARBOR_REAJUSTE18!$A:$B,2,0),0))),"")&lt;0.01%,0.01%,(IFERROR(IF($AQF5="","",IF($AQF5=0,1,1-$AQF5/HLOOKUP(AQV$3,[2]ARBOR_REAJUSTE18!$A:$AE,VLOOKUP($AQF$2,[2]ARBOR_REAJUSTE18!$A:$B,2,0),0))),""))),4)</f>
        <v>#VALUE!</v>
      </c>
      <c r="AQW5" s="44" t="e">
        <f>ROUNDUP(IF(IFERROR(IF($AQF5="","",IF($AQF5=0,1,1-$AQF5/HLOOKUP(AQW$3,[2]ARBOR_REAJUSTE18!$A:$AE,VLOOKUP($AQF$2,[2]ARBOR_REAJUSTE18!$A:$B,2,0),0))),"")&lt;0.01%,0.01%,(IFERROR(IF($AQF5="","",IF($AQF5=0,1,1-$AQF5/HLOOKUP(AQW$3,[2]ARBOR_REAJUSTE18!$A:$AE,VLOOKUP($AQF$2,[2]ARBOR_REAJUSTE18!$A:$B,2,0),0))),""))),4)</f>
        <v>#VALUE!</v>
      </c>
      <c r="AQX5" s="44" t="e">
        <f>ROUNDUP(IF(IFERROR(IF($AQF5="","",IF($AQF5=0,1,1-$AQF5/HLOOKUP(AQX$3,[2]ARBOR_REAJUSTE18!$A:$AE,VLOOKUP($AQF$2,[2]ARBOR_REAJUSTE18!$A:$B,2,0),0))),"")&lt;0.01%,0.01%,(IFERROR(IF($AQF5="","",IF($AQF5=0,1,1-$AQF5/HLOOKUP(AQX$3,[2]ARBOR_REAJUSTE18!$A:$AE,VLOOKUP($AQF$2,[2]ARBOR_REAJUSTE18!$A:$B,2,0),0))),""))),4)</f>
        <v>#VALUE!</v>
      </c>
      <c r="AQY5" s="44" t="e">
        <f>ROUNDUP(IF(IFERROR(IF($AQF5="","",IF($AQF5=0,1,1-$AQF5/HLOOKUP(AQY$3,[2]ARBOR_REAJUSTE18!$A:$AE,VLOOKUP($AQF$2,[2]ARBOR_REAJUSTE18!$A:$B,2,0),0))),"")&lt;0.01%,0.01%,(IFERROR(IF($AQF5="","",IF($AQF5=0,1,1-$AQF5/HLOOKUP(AQY$3,[2]ARBOR_REAJUSTE18!$A:$AE,VLOOKUP($AQF$2,[2]ARBOR_REAJUSTE18!$A:$B,2,0),0))),""))),4)</f>
        <v>#VALUE!</v>
      </c>
      <c r="AQZ5" s="44" t="e">
        <f>ROUNDUP(IF(IFERROR(IF($AQF5="","",IF($AQF5=0,1,1-$AQF5/HLOOKUP(AQZ$3,[2]ARBOR_REAJUSTE18!$A:$AE,VLOOKUP($AQF$2,[2]ARBOR_REAJUSTE18!$A:$B,2,0),0))),"")&lt;0.01%,0.01%,(IFERROR(IF($AQF5="","",IF($AQF5=0,1,1-$AQF5/HLOOKUP(AQZ$3,[2]ARBOR_REAJUSTE18!$A:$AE,VLOOKUP($AQF$2,[2]ARBOR_REAJUSTE18!$A:$B,2,0),0))),""))),4)</f>
        <v>#VALUE!</v>
      </c>
      <c r="ARA5" s="44" t="e">
        <f>ROUNDUP(IF(IFERROR(IF($AQF5="","",IF($AQF5=0,1,1-$AQF5/HLOOKUP(ARA$3,[2]ARBOR_REAJUSTE18!$A:$AE,VLOOKUP($AQF$2,[2]ARBOR_REAJUSTE18!$A:$B,2,0),0))),"")&lt;0.01%,0.01%,(IFERROR(IF($AQF5="","",IF($AQF5=0,1,1-$AQF5/HLOOKUP(ARA$3,[2]ARBOR_REAJUSTE18!$A:$AE,VLOOKUP($AQF$2,[2]ARBOR_REAJUSTE18!$A:$B,2,0),0))),""))),4)</f>
        <v>#VALUE!</v>
      </c>
      <c r="ARB5" s="44" t="e">
        <f>ROUNDUP(IF(IFERROR(IF($AQF5="","",IF($AQF5=0,1,1-$AQF5/HLOOKUP(ARB$3,[2]ARBOR_REAJUSTE18!$A:$AE,VLOOKUP($AQF$2,[2]ARBOR_REAJUSTE18!$A:$B,2,0),0))),"")&lt;0.01%,0.01%,(IFERROR(IF($AQF5="","",IF($AQF5=0,1,1-$AQF5/HLOOKUP(ARB$3,[2]ARBOR_REAJUSTE18!$A:$AE,VLOOKUP($AQF$2,[2]ARBOR_REAJUSTE18!$A:$B,2,0),0))),""))),4)</f>
        <v>#VALUE!</v>
      </c>
      <c r="ARC5" s="44" t="e">
        <f>ROUNDUP(IF(IFERROR(IF($AQF5="","",IF($AQF5=0,1,1-$AQF5/HLOOKUP(ARC$3,[2]ARBOR_REAJUSTE18!$A:$AE,VLOOKUP($AQF$2,[2]ARBOR_REAJUSTE18!$A:$B,2,0),0))),"")&lt;0.01%,0.01%,(IFERROR(IF($AQF5="","",IF($AQF5=0,1,1-$AQF5/HLOOKUP(ARC$3,[2]ARBOR_REAJUSTE18!$A:$AE,VLOOKUP($AQF$2,[2]ARBOR_REAJUSTE18!$A:$B,2,0),0))),""))),4)</f>
        <v>#VALUE!</v>
      </c>
      <c r="ARD5" s="44" t="e">
        <f>ROUNDUP(IF(IFERROR(IF($AQF5="","",IF($AQF5=0,1,1-$AQF5/HLOOKUP(ARD$3,[2]ARBOR_REAJUSTE18!$A:$AE,VLOOKUP($AQF$2,[2]ARBOR_REAJUSTE18!$A:$B,2,0),0))),"")&lt;0.01%,0.01%,(IFERROR(IF($AQF5="","",IF($AQF5=0,1,1-$AQF5/HLOOKUP(ARD$3,[2]ARBOR_REAJUSTE18!$A:$AE,VLOOKUP($AQF$2,[2]ARBOR_REAJUSTE18!$A:$B,2,0),0))),""))),4)</f>
        <v>#VALUE!</v>
      </c>
      <c r="ARE5" s="44" t="e">
        <f>ROUNDUP(IF(IFERROR(IF($AQF5="","",IF($AQF5=0,1,1-$AQF5/HLOOKUP(ARE$3,[2]ARBOR_REAJUSTE18!$A:$AE,VLOOKUP($AQF$2,[2]ARBOR_REAJUSTE18!$A:$B,2,0),0))),"")&lt;0.01%,0.01%,(IFERROR(IF($AQF5="","",IF($AQF5=0,1,1-$AQF5/HLOOKUP(ARE$3,[2]ARBOR_REAJUSTE18!$A:$AE,VLOOKUP($AQF$2,[2]ARBOR_REAJUSTE18!$A:$B,2,0),0))),""))),4)</f>
        <v>#VALUE!</v>
      </c>
      <c r="ARF5" s="44" t="e">
        <f>ROUNDUP(IF(IFERROR(IF($AQF5="","",IF($AQF5=0,1,1-$AQF5/HLOOKUP(ARF$3,[2]ARBOR_REAJUSTE18!$A:$AE,VLOOKUP($AQF$2,[2]ARBOR_REAJUSTE18!$A:$B,2,0),0))),"")&lt;0.01%,0.01%,(IFERROR(IF($AQF5="","",IF($AQF5=0,1,1-$AQF5/HLOOKUP(ARF$3,[2]ARBOR_REAJUSTE18!$A:$AE,VLOOKUP($AQF$2,[2]ARBOR_REAJUSTE18!$A:$B,2,0),0))),""))),4)</f>
        <v>#VALUE!</v>
      </c>
      <c r="ARG5" s="44" t="e">
        <f>ROUNDUP(IF(IFERROR(IF($AQF5="","",IF($AQF5=0,1,1-$AQF5/HLOOKUP(ARG$3,[2]ARBOR_REAJUSTE18!$A:$AE,VLOOKUP($AQF$2,[2]ARBOR_REAJUSTE18!$A:$B,2,0),0))),"")&lt;0.01%,0.01%,(IFERROR(IF($AQF5="","",IF($AQF5=0,1,1-$AQF5/HLOOKUP(ARG$3,[2]ARBOR_REAJUSTE18!$A:$AE,VLOOKUP($AQF$2,[2]ARBOR_REAJUSTE18!$A:$B,2,0),0))),""))),4)</f>
        <v>#VALUE!</v>
      </c>
      <c r="ARH5" s="44" t="e">
        <f>ROUNDUP(IF(IFERROR(IF($AQF5="","",IF($AQF5=0,1,1-$AQF5/HLOOKUP(ARH$3,[2]ARBOR_REAJUSTE18!$A:$AE,VLOOKUP($AQF$2,[2]ARBOR_REAJUSTE18!$A:$B,2,0),0))),"")&lt;0.01%,0.01%,(IFERROR(IF($AQF5="","",IF($AQF5=0,1,1-$AQF5/HLOOKUP(ARH$3,[2]ARBOR_REAJUSTE18!$A:$AE,VLOOKUP($AQF$2,[2]ARBOR_REAJUSTE18!$A:$B,2,0),0))),""))),4)</f>
        <v>#VALUE!</v>
      </c>
      <c r="ARI5" s="56"/>
      <c r="ARJ5" s="64"/>
      <c r="ARK5" s="44" t="e">
        <f>ROUNDUP(IF(IFERROR(IF($ARI5="","",IF($ARI5=0,1,1-$ARI5/HLOOKUP(ARK$3,[2]ARBOR_REAJUSTE18!$A:$AE,VLOOKUP($ARI$2,[2]ARBOR_REAJUSTE18!$A:$B,2,0),0))),"")&lt;0.01%,0.01%,(IFERROR(IF($ARI5="","",IF($ARI5=0,1,1-$ARI5/HLOOKUP(ARK$3,[2]ARBOR_REAJUSTE18!$A:$AE,VLOOKUP($ARI$2,[2]ARBOR_REAJUSTE18!$A:$B,2,0),0))),""))),4)</f>
        <v>#VALUE!</v>
      </c>
      <c r="ARL5" s="44" t="e">
        <f>ROUNDUP(IF(IFERROR(IF($ARI5="","",IF($ARI5=0,1,1-$ARI5/HLOOKUP(ARL$3,[2]ARBOR_REAJUSTE18!$A:$AE,VLOOKUP($ARI$2,[2]ARBOR_REAJUSTE18!$A:$B,2,0),0))),"")&lt;0.01%,0.01%,(IFERROR(IF($ARI5="","",IF($ARI5=0,1,1-$ARI5/HLOOKUP(ARL$3,[2]ARBOR_REAJUSTE18!$A:$AE,VLOOKUP($ARI$2,[2]ARBOR_REAJUSTE18!$A:$B,2,0),0))),""))),4)</f>
        <v>#VALUE!</v>
      </c>
      <c r="ARM5" s="44" t="e">
        <f>ROUNDUP(IF(IFERROR(IF($ARI5="","",IF($ARI5=0,1,1-$ARI5/HLOOKUP(ARM$3,[2]ARBOR_REAJUSTE18!$A:$AE,VLOOKUP($ARI$2,[2]ARBOR_REAJUSTE18!$A:$B,2,0),0))),"")&lt;0.01%,0.01%,(IFERROR(IF($ARI5="","",IF($ARI5=0,1,1-$ARI5/HLOOKUP(ARM$3,[2]ARBOR_REAJUSTE18!$A:$AE,VLOOKUP($ARI$2,[2]ARBOR_REAJUSTE18!$A:$B,2,0),0))),""))),4)</f>
        <v>#VALUE!</v>
      </c>
      <c r="ARN5" s="44" t="e">
        <f>ROUNDUP(IF(IFERROR(IF($ARI5="","",IF($ARI5=0,1,1-$ARI5/HLOOKUP(ARN$3,[2]ARBOR_REAJUSTE18!$A:$AE,VLOOKUP($ARI$2,[2]ARBOR_REAJUSTE18!$A:$B,2,0),0))),"")&lt;0.01%,0.01%,(IFERROR(IF($ARI5="","",IF($ARI5=0,1,1-$ARI5/HLOOKUP(ARN$3,[2]ARBOR_REAJUSTE18!$A:$AE,VLOOKUP($ARI$2,[2]ARBOR_REAJUSTE18!$A:$B,2,0),0))),""))),4)</f>
        <v>#VALUE!</v>
      </c>
      <c r="ARO5" s="44" t="e">
        <f>ROUNDUP(IF(IFERROR(IF($ARI5="","",IF($ARI5=0,1,1-$ARI5/HLOOKUP(ARO$3,[2]ARBOR_REAJUSTE18!$A:$AE,VLOOKUP($ARI$2,[2]ARBOR_REAJUSTE18!$A:$B,2,0),0))),"")&lt;0.01%,0.01%,(IFERROR(IF($ARI5="","",IF($ARI5=0,1,1-$ARI5/HLOOKUP(ARO$3,[2]ARBOR_REAJUSTE18!$A:$AE,VLOOKUP($ARI$2,[2]ARBOR_REAJUSTE18!$A:$B,2,0),0))),""))),4)</f>
        <v>#VALUE!</v>
      </c>
      <c r="ARP5" s="44" t="e">
        <f>ROUNDUP(IF(IFERROR(IF($ARI5="","",IF($ARI5=0,1,1-$ARI5/HLOOKUP(ARP$3,[2]ARBOR_REAJUSTE18!$A:$AE,VLOOKUP($ARI$2,[2]ARBOR_REAJUSTE18!$A:$B,2,0),0))),"")&lt;0.01%,0.01%,(IFERROR(IF($ARI5="","",IF($ARI5=0,1,1-$ARI5/HLOOKUP(ARP$3,[2]ARBOR_REAJUSTE18!$A:$AE,VLOOKUP($ARI$2,[2]ARBOR_REAJUSTE18!$A:$B,2,0),0))),""))),4)</f>
        <v>#VALUE!</v>
      </c>
      <c r="ARQ5" s="44" t="e">
        <f>ROUNDUP(IF(IFERROR(IF($ARI5="","",IF($ARI5=0,1,1-$ARI5/HLOOKUP(ARQ$3,[2]ARBOR_REAJUSTE18!$A:$AE,VLOOKUP($ARI$2,[2]ARBOR_REAJUSTE18!$A:$B,2,0),0))),"")&lt;0.01%,0.01%,(IFERROR(IF($ARI5="","",IF($ARI5=0,1,1-$ARI5/HLOOKUP(ARQ$3,[2]ARBOR_REAJUSTE18!$A:$AE,VLOOKUP($ARI$2,[2]ARBOR_REAJUSTE18!$A:$B,2,0),0))),""))),4)</f>
        <v>#VALUE!</v>
      </c>
      <c r="ARR5" s="44" t="e">
        <f>ROUNDUP(IF(IFERROR(IF($ARI5="","",IF($ARI5=0,1,1-$ARI5/HLOOKUP(ARR$3,[2]ARBOR_REAJUSTE18!$A:$AE,VLOOKUP($ARI$2,[2]ARBOR_REAJUSTE18!$A:$B,2,0),0))),"")&lt;0.01%,0.01%,(IFERROR(IF($ARI5="","",IF($ARI5=0,1,1-$ARI5/HLOOKUP(ARR$3,[2]ARBOR_REAJUSTE18!$A:$AE,VLOOKUP($ARI$2,[2]ARBOR_REAJUSTE18!$A:$B,2,0),0))),""))),4)</f>
        <v>#VALUE!</v>
      </c>
      <c r="ARS5" s="44" t="e">
        <f>ROUNDUP(IF(IFERROR(IF($ARI5="","",IF($ARI5=0,1,1-$ARI5/HLOOKUP(ARS$3,[2]ARBOR_REAJUSTE18!$A:$AE,VLOOKUP($ARI$2,[2]ARBOR_REAJUSTE18!$A:$B,2,0),0))),"")&lt;0.01%,0.01%,(IFERROR(IF($ARI5="","",IF($ARI5=0,1,1-$ARI5/HLOOKUP(ARS$3,[2]ARBOR_REAJUSTE18!$A:$AE,VLOOKUP($ARI$2,[2]ARBOR_REAJUSTE18!$A:$B,2,0),0))),""))),4)</f>
        <v>#VALUE!</v>
      </c>
      <c r="ART5" s="44" t="e">
        <f>ROUNDUP(IF(IFERROR(IF($ARI5="","",IF($ARI5=0,1,1-$ARI5/HLOOKUP(ART$3,[2]ARBOR_REAJUSTE18!$A:$AE,VLOOKUP($ARI$2,[2]ARBOR_REAJUSTE18!$A:$B,2,0),0))),"")&lt;0.01%,0.01%,(IFERROR(IF($ARI5="","",IF($ARI5=0,1,1-$ARI5/HLOOKUP(ART$3,[2]ARBOR_REAJUSTE18!$A:$AE,VLOOKUP($ARI$2,[2]ARBOR_REAJUSTE18!$A:$B,2,0),0))),""))),4)</f>
        <v>#VALUE!</v>
      </c>
      <c r="ARU5" s="44" t="e">
        <f>ROUNDUP(IF(IFERROR(IF($ARI5="","",IF($ARI5=0,1,1-$ARI5/HLOOKUP(ARU$3,[2]ARBOR_REAJUSTE18!$A:$AE,VLOOKUP($ARI$2,[2]ARBOR_REAJUSTE18!$A:$B,2,0),0))),"")&lt;0.01%,0.01%,(IFERROR(IF($ARI5="","",IF($ARI5=0,1,1-$ARI5/HLOOKUP(ARU$3,[2]ARBOR_REAJUSTE18!$A:$AE,VLOOKUP($ARI$2,[2]ARBOR_REAJUSTE18!$A:$B,2,0),0))),""))),4)</f>
        <v>#VALUE!</v>
      </c>
      <c r="ARV5" s="44" t="e">
        <f>ROUNDUP(IF(IFERROR(IF($ARI5="","",IF($ARI5=0,1,1-$ARI5/HLOOKUP(ARV$3,[2]ARBOR_REAJUSTE18!$A:$AE,VLOOKUP($ARI$2,[2]ARBOR_REAJUSTE18!$A:$B,2,0),0))),"")&lt;0.01%,0.01%,(IFERROR(IF($ARI5="","",IF($ARI5=0,1,1-$ARI5/HLOOKUP(ARV$3,[2]ARBOR_REAJUSTE18!$A:$AE,VLOOKUP($ARI$2,[2]ARBOR_REAJUSTE18!$A:$B,2,0),0))),""))),4)</f>
        <v>#VALUE!</v>
      </c>
      <c r="ARW5" s="44" t="e">
        <f>ROUNDUP(IF(IFERROR(IF($ARI5="","",IF($ARI5=0,1,1-$ARI5/HLOOKUP(ARW$3,[2]ARBOR_REAJUSTE18!$A:$AE,VLOOKUP($ARI$2,[2]ARBOR_REAJUSTE18!$A:$B,2,0),0))),"")&lt;0.01%,0.01%,(IFERROR(IF($ARI5="","",IF($ARI5=0,1,1-$ARI5/HLOOKUP(ARW$3,[2]ARBOR_REAJUSTE18!$A:$AE,VLOOKUP($ARI$2,[2]ARBOR_REAJUSTE18!$A:$B,2,0),0))),""))),4)</f>
        <v>#VALUE!</v>
      </c>
      <c r="ARX5" s="44" t="e">
        <f>ROUNDUP(IF(IFERROR(IF($ARI5="","",IF($ARI5=0,1,1-$ARI5/HLOOKUP(ARX$3,[2]ARBOR_REAJUSTE18!$A:$AE,VLOOKUP($ARI$2,[2]ARBOR_REAJUSTE18!$A:$B,2,0),0))),"")&lt;0.01%,0.01%,(IFERROR(IF($ARI5="","",IF($ARI5=0,1,1-$ARI5/HLOOKUP(ARX$3,[2]ARBOR_REAJUSTE18!$A:$AE,VLOOKUP($ARI$2,[2]ARBOR_REAJUSTE18!$A:$B,2,0),0))),""))),4)</f>
        <v>#VALUE!</v>
      </c>
      <c r="ARY5" s="44" t="e">
        <f>ROUNDUP(IF(IFERROR(IF($ARI5="","",IF($ARI5=0,1,1-$ARI5/HLOOKUP(ARY$3,[2]ARBOR_REAJUSTE18!$A:$AE,VLOOKUP($ARI$2,[2]ARBOR_REAJUSTE18!$A:$B,2,0),0))),"")&lt;0.01%,0.01%,(IFERROR(IF($ARI5="","",IF($ARI5=0,1,1-$ARI5/HLOOKUP(ARY$3,[2]ARBOR_REAJUSTE18!$A:$AE,VLOOKUP($ARI$2,[2]ARBOR_REAJUSTE18!$A:$B,2,0),0))),""))),4)</f>
        <v>#VALUE!</v>
      </c>
      <c r="ARZ5" s="44" t="e">
        <f>ROUNDUP(IF(IFERROR(IF($ARI5="","",IF($ARI5=0,1,1-$ARI5/HLOOKUP(ARZ$3,[2]ARBOR_REAJUSTE18!$A:$AE,VLOOKUP($ARI$2,[2]ARBOR_REAJUSTE18!$A:$B,2,0),0))),"")&lt;0.01%,0.01%,(IFERROR(IF($ARI5="","",IF($ARI5=0,1,1-$ARI5/HLOOKUP(ARZ$3,[2]ARBOR_REAJUSTE18!$A:$AE,VLOOKUP($ARI$2,[2]ARBOR_REAJUSTE18!$A:$B,2,0),0))),""))),4)</f>
        <v>#VALUE!</v>
      </c>
      <c r="ASA5" s="44" t="e">
        <f>ROUNDUP(IF(IFERROR(IF($ARI5="","",IF($ARI5=0,1,1-$ARI5/HLOOKUP(ASA$3,[2]ARBOR_REAJUSTE18!$A:$AE,VLOOKUP($ARI$2,[2]ARBOR_REAJUSTE18!$A:$B,2,0),0))),"")&lt;0.01%,0.01%,(IFERROR(IF($ARI5="","",IF($ARI5=0,1,1-$ARI5/HLOOKUP(ASA$3,[2]ARBOR_REAJUSTE18!$A:$AE,VLOOKUP($ARI$2,[2]ARBOR_REAJUSTE18!$A:$B,2,0),0))),""))),4)</f>
        <v>#VALUE!</v>
      </c>
      <c r="ASB5" s="44" t="e">
        <f>ROUNDUP(IF(IFERROR(IF($ARI5="","",IF($ARI5=0,1,1-$ARI5/HLOOKUP(ASB$3,[2]ARBOR_REAJUSTE18!$A:$AE,VLOOKUP($ARI$2,[2]ARBOR_REAJUSTE18!$A:$B,2,0),0))),"")&lt;0.01%,0.01%,(IFERROR(IF($ARI5="","",IF($ARI5=0,1,1-$ARI5/HLOOKUP(ASB$3,[2]ARBOR_REAJUSTE18!$A:$AE,VLOOKUP($ARI$2,[2]ARBOR_REAJUSTE18!$A:$B,2,0),0))),""))),4)</f>
        <v>#VALUE!</v>
      </c>
      <c r="ASC5" s="44" t="e">
        <f>ROUNDUP(IF(IFERROR(IF($ARI5="","",IF($ARI5=0,1,1-$ARI5/HLOOKUP(ASC$3,[2]ARBOR_REAJUSTE18!$A:$AE,VLOOKUP($ARI$2,[2]ARBOR_REAJUSTE18!$A:$B,2,0),0))),"")&lt;0.01%,0.01%,(IFERROR(IF($ARI5="","",IF($ARI5=0,1,1-$ARI5/HLOOKUP(ASC$3,[2]ARBOR_REAJUSTE18!$A:$AE,VLOOKUP($ARI$2,[2]ARBOR_REAJUSTE18!$A:$B,2,0),0))),""))),4)</f>
        <v>#VALUE!</v>
      </c>
      <c r="ASD5" s="44" t="e">
        <f>ROUNDUP(IF(IFERROR(IF($ARI5="","",IF($ARI5=0,1,1-$ARI5/HLOOKUP(ASD$3,[2]ARBOR_REAJUSTE18!$A:$AE,VLOOKUP($ARI$2,[2]ARBOR_REAJUSTE18!$A:$B,2,0),0))),"")&lt;0.01%,0.01%,(IFERROR(IF($ARI5="","",IF($ARI5=0,1,1-$ARI5/HLOOKUP(ASD$3,[2]ARBOR_REAJUSTE18!$A:$AE,VLOOKUP($ARI$2,[2]ARBOR_REAJUSTE18!$A:$B,2,0),0))),""))),4)</f>
        <v>#VALUE!</v>
      </c>
      <c r="ASE5" s="44" t="e">
        <f>ROUNDUP(IF(IFERROR(IF($ARI5="","",IF($ARI5=0,1,1-$ARI5/HLOOKUP(ASE$3,[2]ARBOR_REAJUSTE18!$A:$AE,VLOOKUP($ARI$2,[2]ARBOR_REAJUSTE18!$A:$B,2,0),0))),"")&lt;0.01%,0.01%,(IFERROR(IF($ARI5="","",IF($ARI5=0,1,1-$ARI5/HLOOKUP(ASE$3,[2]ARBOR_REAJUSTE18!$A:$AE,VLOOKUP($ARI$2,[2]ARBOR_REAJUSTE18!$A:$B,2,0),0))),""))),4)</f>
        <v>#VALUE!</v>
      </c>
      <c r="ASF5" s="44" t="e">
        <f>ROUNDUP(IF(IFERROR(IF($ARI5="","",IF($ARI5=0,1,1-$ARI5/HLOOKUP(ASF$3,[2]ARBOR_REAJUSTE18!$A:$AE,VLOOKUP($ARI$2,[2]ARBOR_REAJUSTE18!$A:$B,2,0),0))),"")&lt;0.01%,0.01%,(IFERROR(IF($ARI5="","",IF($ARI5=0,1,1-$ARI5/HLOOKUP(ASF$3,[2]ARBOR_REAJUSTE18!$A:$AE,VLOOKUP($ARI$2,[2]ARBOR_REAJUSTE18!$A:$B,2,0),0))),""))),4)</f>
        <v>#VALUE!</v>
      </c>
      <c r="ASG5" s="44" t="e">
        <f>ROUNDUP(IF(IFERROR(IF($ARI5="","",IF($ARI5=0,1,1-$ARI5/HLOOKUP(ASG$3,[2]ARBOR_REAJUSTE18!$A:$AE,VLOOKUP($ARI$2,[2]ARBOR_REAJUSTE18!$A:$B,2,0),0))),"")&lt;0.01%,0.01%,(IFERROR(IF($ARI5="","",IF($ARI5=0,1,1-$ARI5/HLOOKUP(ASG$3,[2]ARBOR_REAJUSTE18!$A:$AE,VLOOKUP($ARI$2,[2]ARBOR_REAJUSTE18!$A:$B,2,0),0))),""))),4)</f>
        <v>#VALUE!</v>
      </c>
      <c r="ASH5" s="44" t="e">
        <f>ROUNDUP(IF(IFERROR(IF($ARI5="","",IF($ARI5=0,1,1-$ARI5/HLOOKUP(ASH$3,[2]ARBOR_REAJUSTE18!$A:$AE,VLOOKUP($ARI$2,[2]ARBOR_REAJUSTE18!$A:$B,2,0),0))),"")&lt;0.01%,0.01%,(IFERROR(IF($ARI5="","",IF($ARI5=0,1,1-$ARI5/HLOOKUP(ASH$3,[2]ARBOR_REAJUSTE18!$A:$AE,VLOOKUP($ARI$2,[2]ARBOR_REAJUSTE18!$A:$B,2,0),0))),""))),4)</f>
        <v>#VALUE!</v>
      </c>
      <c r="ASI5" s="44" t="e">
        <f>ROUNDUP(IF(IFERROR(IF($ARI5="","",IF($ARI5=0,1,1-$ARI5/HLOOKUP(ASI$3,[2]ARBOR_REAJUSTE18!$A:$AE,VLOOKUP($ARI$2,[2]ARBOR_REAJUSTE18!$A:$B,2,0),0))),"")&lt;0.01%,0.01%,(IFERROR(IF($ARI5="","",IF($ARI5=0,1,1-$ARI5/HLOOKUP(ASI$3,[2]ARBOR_REAJUSTE18!$A:$AE,VLOOKUP($ARI$2,[2]ARBOR_REAJUSTE18!$A:$B,2,0),0))),""))),4)</f>
        <v>#VALUE!</v>
      </c>
      <c r="ASJ5" s="44" t="e">
        <f>ROUNDUP(IF(IFERROR(IF($ARI5="","",IF($ARI5=0,1,1-$ARI5/HLOOKUP(ASJ$3,[2]ARBOR_REAJUSTE18!$A:$AE,VLOOKUP($ARI$2,[2]ARBOR_REAJUSTE18!$A:$B,2,0),0))),"")&lt;0.01%,0.01%,(IFERROR(IF($ARI5="","",IF($ARI5=0,1,1-$ARI5/HLOOKUP(ASJ$3,[2]ARBOR_REAJUSTE18!$A:$AE,VLOOKUP($ARI$2,[2]ARBOR_REAJUSTE18!$A:$B,2,0),0))),""))),4)</f>
        <v>#VALUE!</v>
      </c>
      <c r="ASK5" s="44" t="e">
        <f>ROUNDUP(IF(IFERROR(IF($ARI5="","",IF($ARI5=0,1,1-$ARI5/HLOOKUP(ASK$3,[2]ARBOR_REAJUSTE18!$A:$AE,VLOOKUP($ARI$2,[2]ARBOR_REAJUSTE18!$A:$B,2,0),0))),"")&lt;0.01%,0.01%,(IFERROR(IF($ARI5="","",IF($ARI5=0,1,1-$ARI5/HLOOKUP(ASK$3,[2]ARBOR_REAJUSTE18!$A:$AE,VLOOKUP($ARI$2,[2]ARBOR_REAJUSTE18!$A:$B,2,0),0))),""))),4)</f>
        <v>#VALUE!</v>
      </c>
      <c r="ASL5" s="56">
        <v>169.8</v>
      </c>
      <c r="ASM5" s="64" t="e">
        <f>VLOOKUP($AV5&amp;ASN5&amp;"Template desconto FLAT Plano Principal Oi TV nível conta",[2]BENEFICIOS!$A:$G,5,0)</f>
        <v>#VALUE!</v>
      </c>
      <c r="ASN5" s="44" t="e">
        <f>ROUNDUP(IF(IFERROR(IF($ASL5="","",IF($ASL5=0,1,1-$ASL5/HLOOKUP(ASN$3,[2]ARBOR_REAJUSTE18!$A:$AE,VLOOKUP($ASL$2,[2]ARBOR_REAJUSTE18!$A:$B,2,0),0))),"")&lt;0.01%,0.01%,(IFERROR(IF($ASL5="","",IF($ASL5=0,1,1-$ASL5/HLOOKUP(ASN$3,[2]ARBOR_REAJUSTE18!$A:$AE,VLOOKUP($ASL$2,[2]ARBOR_REAJUSTE18!$A:$B,2,0),0))),""))),4)</f>
        <v>#VALUE!</v>
      </c>
      <c r="ASO5" s="44" t="e">
        <f>ROUNDUP(IF(IFERROR(IF($ASL5="","",IF($ASL5=0,1,1-$ASL5/HLOOKUP(ASO$3,[2]ARBOR_REAJUSTE18!$A:$AE,VLOOKUP($ASL$2,[2]ARBOR_REAJUSTE18!$A:$B,2,0),0))),"")&lt;0.01%,0.01%,(IFERROR(IF($ASL5="","",IF($ASL5=0,1,1-$ASL5/HLOOKUP(ASO$3,[2]ARBOR_REAJUSTE18!$A:$AE,VLOOKUP($ASL$2,[2]ARBOR_REAJUSTE18!$A:$B,2,0),0))),""))),4)</f>
        <v>#VALUE!</v>
      </c>
      <c r="ASP5" s="44" t="e">
        <f>ROUNDUP(IF(IFERROR(IF($ASL5="","",IF($ASL5=0,1,1-$ASL5/HLOOKUP(ASP$3,[2]ARBOR_REAJUSTE18!$A:$AE,VLOOKUP($ASL$2,[2]ARBOR_REAJUSTE18!$A:$B,2,0),0))),"")&lt;0.01%,0.01%,(IFERROR(IF($ASL5="","",IF($ASL5=0,1,1-$ASL5/HLOOKUP(ASP$3,[2]ARBOR_REAJUSTE18!$A:$AE,VLOOKUP($ASL$2,[2]ARBOR_REAJUSTE18!$A:$B,2,0),0))),""))),4)</f>
        <v>#VALUE!</v>
      </c>
      <c r="ASQ5" s="44" t="e">
        <f>ROUNDUP(IF(IFERROR(IF($ASL5="","",IF($ASL5=0,1,1-$ASL5/HLOOKUP(ASQ$3,[2]ARBOR_REAJUSTE18!$A:$AE,VLOOKUP($ASL$2,[2]ARBOR_REAJUSTE18!$A:$B,2,0),0))),"")&lt;0.01%,0.01%,(IFERROR(IF($ASL5="","",IF($ASL5=0,1,1-$ASL5/HLOOKUP(ASQ$3,[2]ARBOR_REAJUSTE18!$A:$AE,VLOOKUP($ASL$2,[2]ARBOR_REAJUSTE18!$A:$B,2,0),0))),""))),4)</f>
        <v>#VALUE!</v>
      </c>
      <c r="ASR5" s="44" t="e">
        <f>ROUNDUP(IF(IFERROR(IF($ASL5="","",IF($ASL5=0,1,1-$ASL5/HLOOKUP(ASR$3,[2]ARBOR_REAJUSTE18!$A:$AE,VLOOKUP($ASL$2,[2]ARBOR_REAJUSTE18!$A:$B,2,0),0))),"")&lt;0.01%,0.01%,(IFERROR(IF($ASL5="","",IF($ASL5=0,1,1-$ASL5/HLOOKUP(ASR$3,[2]ARBOR_REAJUSTE18!$A:$AE,VLOOKUP($ASL$2,[2]ARBOR_REAJUSTE18!$A:$B,2,0),0))),""))),4)</f>
        <v>#VALUE!</v>
      </c>
      <c r="ASS5" s="44" t="e">
        <f>ROUNDUP(IF(IFERROR(IF($ASL5="","",IF($ASL5=0,1,1-$ASL5/HLOOKUP(ASS$3,[2]ARBOR_REAJUSTE18!$A:$AE,VLOOKUP($ASL$2,[2]ARBOR_REAJUSTE18!$A:$B,2,0),0))),"")&lt;0.01%,0.01%,(IFERROR(IF($ASL5="","",IF($ASL5=0,1,1-$ASL5/HLOOKUP(ASS$3,[2]ARBOR_REAJUSTE18!$A:$AE,VLOOKUP($ASL$2,[2]ARBOR_REAJUSTE18!$A:$B,2,0),0))),""))),4)</f>
        <v>#VALUE!</v>
      </c>
      <c r="AST5" s="44" t="e">
        <f>ROUNDUP(IF(IFERROR(IF($ASL5="","",IF($ASL5=0,1,1-$ASL5/HLOOKUP(AST$3,[2]ARBOR_REAJUSTE18!$A:$AE,VLOOKUP($ASL$2,[2]ARBOR_REAJUSTE18!$A:$B,2,0),0))),"")&lt;0.01%,0.01%,(IFERROR(IF($ASL5="","",IF($ASL5=0,1,1-$ASL5/HLOOKUP(AST$3,[2]ARBOR_REAJUSTE18!$A:$AE,VLOOKUP($ASL$2,[2]ARBOR_REAJUSTE18!$A:$B,2,0),0))),""))),4)</f>
        <v>#VALUE!</v>
      </c>
      <c r="ASU5" s="44" t="e">
        <f>ROUNDUP(IF(IFERROR(IF($ASL5="","",IF($ASL5=0,1,1-$ASL5/HLOOKUP(ASU$3,[2]ARBOR_REAJUSTE18!$A:$AE,VLOOKUP($ASL$2,[2]ARBOR_REAJUSTE18!$A:$B,2,0),0))),"")&lt;0.01%,0.01%,(IFERROR(IF($ASL5="","",IF($ASL5=0,1,1-$ASL5/HLOOKUP(ASU$3,[2]ARBOR_REAJUSTE18!$A:$AE,VLOOKUP($ASL$2,[2]ARBOR_REAJUSTE18!$A:$B,2,0),0))),""))),4)</f>
        <v>#VALUE!</v>
      </c>
      <c r="ASV5" s="44" t="e">
        <f>ROUNDUP(IF(IFERROR(IF($ASL5="","",IF($ASL5=0,1,1-$ASL5/HLOOKUP(ASV$3,[2]ARBOR_REAJUSTE18!$A:$AE,VLOOKUP($ASL$2,[2]ARBOR_REAJUSTE18!$A:$B,2,0),0))),"")&lt;0.01%,0.01%,(IFERROR(IF($ASL5="","",IF($ASL5=0,1,1-$ASL5/HLOOKUP(ASV$3,[2]ARBOR_REAJUSTE18!$A:$AE,VLOOKUP($ASL$2,[2]ARBOR_REAJUSTE18!$A:$B,2,0),0))),""))),4)</f>
        <v>#VALUE!</v>
      </c>
      <c r="ASW5" s="44" t="e">
        <f>ROUNDUP(IF(IFERROR(IF($ASL5="","",IF($ASL5=0,1,1-$ASL5/HLOOKUP(ASW$3,[2]ARBOR_REAJUSTE18!$A:$AE,VLOOKUP($ASL$2,[2]ARBOR_REAJUSTE18!$A:$B,2,0),0))),"")&lt;0.01%,0.01%,(IFERROR(IF($ASL5="","",IF($ASL5=0,1,1-$ASL5/HLOOKUP(ASW$3,[2]ARBOR_REAJUSTE18!$A:$AE,VLOOKUP($ASL$2,[2]ARBOR_REAJUSTE18!$A:$B,2,0),0))),""))),4)</f>
        <v>#VALUE!</v>
      </c>
      <c r="ASX5" s="44" t="e">
        <f>ROUNDUP(IF(IFERROR(IF($ASL5="","",IF($ASL5=0,1,1-$ASL5/HLOOKUP(ASX$3,[2]ARBOR_REAJUSTE18!$A:$AE,VLOOKUP($ASL$2,[2]ARBOR_REAJUSTE18!$A:$B,2,0),0))),"")&lt;0.01%,0.01%,(IFERROR(IF($ASL5="","",IF($ASL5=0,1,1-$ASL5/HLOOKUP(ASX$3,[2]ARBOR_REAJUSTE18!$A:$AE,VLOOKUP($ASL$2,[2]ARBOR_REAJUSTE18!$A:$B,2,0),0))),""))),4)</f>
        <v>#VALUE!</v>
      </c>
      <c r="ASY5" s="44" t="e">
        <f>ROUNDUP(IF(IFERROR(IF($ASL5="","",IF($ASL5=0,1,1-$ASL5/HLOOKUP(ASY$3,[2]ARBOR_REAJUSTE18!$A:$AE,VLOOKUP($ASL$2,[2]ARBOR_REAJUSTE18!$A:$B,2,0),0))),"")&lt;0.01%,0.01%,(IFERROR(IF($ASL5="","",IF($ASL5=0,1,1-$ASL5/HLOOKUP(ASY$3,[2]ARBOR_REAJUSTE18!$A:$AE,VLOOKUP($ASL$2,[2]ARBOR_REAJUSTE18!$A:$B,2,0),0))),""))),4)</f>
        <v>#VALUE!</v>
      </c>
      <c r="ASZ5" s="44" t="e">
        <f>ROUNDUP(IF(IFERROR(IF($ASL5="","",IF($ASL5=0,1,1-$ASL5/HLOOKUP(ASZ$3,[2]ARBOR_REAJUSTE18!$A:$AE,VLOOKUP($ASL$2,[2]ARBOR_REAJUSTE18!$A:$B,2,0),0))),"")&lt;0.01%,0.01%,(IFERROR(IF($ASL5="","",IF($ASL5=0,1,1-$ASL5/HLOOKUP(ASZ$3,[2]ARBOR_REAJUSTE18!$A:$AE,VLOOKUP($ASL$2,[2]ARBOR_REAJUSTE18!$A:$B,2,0),0))),""))),4)</f>
        <v>#VALUE!</v>
      </c>
      <c r="ATA5" s="44" t="e">
        <f>ROUNDUP(IF(IFERROR(IF($ASL5="","",IF($ASL5=0,1,1-$ASL5/HLOOKUP(ATA$3,[2]ARBOR_REAJUSTE18!$A:$AE,VLOOKUP($ASL$2,[2]ARBOR_REAJUSTE18!$A:$B,2,0),0))),"")&lt;0.01%,0.01%,(IFERROR(IF($ASL5="","",IF($ASL5=0,1,1-$ASL5/HLOOKUP(ATA$3,[2]ARBOR_REAJUSTE18!$A:$AE,VLOOKUP($ASL$2,[2]ARBOR_REAJUSTE18!$A:$B,2,0),0))),""))),4)</f>
        <v>#VALUE!</v>
      </c>
      <c r="ATB5" s="44" t="e">
        <f>ROUNDUP(IF(IFERROR(IF($ASL5="","",IF($ASL5=0,1,1-$ASL5/HLOOKUP(ATB$3,[2]ARBOR_REAJUSTE18!$A:$AE,VLOOKUP($ASL$2,[2]ARBOR_REAJUSTE18!$A:$B,2,0),0))),"")&lt;0.01%,0.01%,(IFERROR(IF($ASL5="","",IF($ASL5=0,1,1-$ASL5/HLOOKUP(ATB$3,[2]ARBOR_REAJUSTE18!$A:$AE,VLOOKUP($ASL$2,[2]ARBOR_REAJUSTE18!$A:$B,2,0),0))),""))),4)</f>
        <v>#VALUE!</v>
      </c>
      <c r="ATC5" s="44" t="e">
        <f>ROUNDUP(IF(IFERROR(IF($ASL5="","",IF($ASL5=0,1,1-$ASL5/HLOOKUP(ATC$3,[2]ARBOR_REAJUSTE18!$A:$AE,VLOOKUP($ASL$2,[2]ARBOR_REAJUSTE18!$A:$B,2,0),0))),"")&lt;0.01%,0.01%,(IFERROR(IF($ASL5="","",IF($ASL5=0,1,1-$ASL5/HLOOKUP(ATC$3,[2]ARBOR_REAJUSTE18!$A:$AE,VLOOKUP($ASL$2,[2]ARBOR_REAJUSTE18!$A:$B,2,0),0))),""))),4)</f>
        <v>#VALUE!</v>
      </c>
      <c r="ATD5" s="44" t="e">
        <f>ROUNDUP(IF(IFERROR(IF($ASL5="","",IF($ASL5=0,1,1-$ASL5/HLOOKUP(ATD$3,[2]ARBOR_REAJUSTE18!$A:$AE,VLOOKUP($ASL$2,[2]ARBOR_REAJUSTE18!$A:$B,2,0),0))),"")&lt;0.01%,0.01%,(IFERROR(IF($ASL5="","",IF($ASL5=0,1,1-$ASL5/HLOOKUP(ATD$3,[2]ARBOR_REAJUSTE18!$A:$AE,VLOOKUP($ASL$2,[2]ARBOR_REAJUSTE18!$A:$B,2,0),0))),""))),4)</f>
        <v>#VALUE!</v>
      </c>
      <c r="ATE5" s="44" t="e">
        <f>ROUNDUP(IF(IFERROR(IF($ASL5="","",IF($ASL5=0,1,1-$ASL5/HLOOKUP(ATE$3,[2]ARBOR_REAJUSTE18!$A:$AE,VLOOKUP($ASL$2,[2]ARBOR_REAJUSTE18!$A:$B,2,0),0))),"")&lt;0.01%,0.01%,(IFERROR(IF($ASL5="","",IF($ASL5=0,1,1-$ASL5/HLOOKUP(ATE$3,[2]ARBOR_REAJUSTE18!$A:$AE,VLOOKUP($ASL$2,[2]ARBOR_REAJUSTE18!$A:$B,2,0),0))),""))),4)</f>
        <v>#VALUE!</v>
      </c>
      <c r="ATF5" s="44" t="e">
        <f>ROUNDUP(IF(IFERROR(IF($ASL5="","",IF($ASL5=0,1,1-$ASL5/HLOOKUP(ATF$3,[2]ARBOR_REAJUSTE18!$A:$AE,VLOOKUP($ASL$2,[2]ARBOR_REAJUSTE18!$A:$B,2,0),0))),"")&lt;0.01%,0.01%,(IFERROR(IF($ASL5="","",IF($ASL5=0,1,1-$ASL5/HLOOKUP(ATF$3,[2]ARBOR_REAJUSTE18!$A:$AE,VLOOKUP($ASL$2,[2]ARBOR_REAJUSTE18!$A:$B,2,0),0))),""))),4)</f>
        <v>#VALUE!</v>
      </c>
      <c r="ATG5" s="44" t="e">
        <f>ROUNDUP(IF(IFERROR(IF($ASL5="","",IF($ASL5=0,1,1-$ASL5/HLOOKUP(ATG$3,[2]ARBOR_REAJUSTE18!$A:$AE,VLOOKUP($ASL$2,[2]ARBOR_REAJUSTE18!$A:$B,2,0),0))),"")&lt;0.01%,0.01%,(IFERROR(IF($ASL5="","",IF($ASL5=0,1,1-$ASL5/HLOOKUP(ATG$3,[2]ARBOR_REAJUSTE18!$A:$AE,VLOOKUP($ASL$2,[2]ARBOR_REAJUSTE18!$A:$B,2,0),0))),""))),4)</f>
        <v>#VALUE!</v>
      </c>
      <c r="ATH5" s="44" t="e">
        <f>ROUNDUP(IF(IFERROR(IF($ASL5="","",IF($ASL5=0,1,1-$ASL5/HLOOKUP(ATH$3,[2]ARBOR_REAJUSTE18!$A:$AE,VLOOKUP($ASL$2,[2]ARBOR_REAJUSTE18!$A:$B,2,0),0))),"")&lt;0.01%,0.01%,(IFERROR(IF($ASL5="","",IF($ASL5=0,1,1-$ASL5/HLOOKUP(ATH$3,[2]ARBOR_REAJUSTE18!$A:$AE,VLOOKUP($ASL$2,[2]ARBOR_REAJUSTE18!$A:$B,2,0),0))),""))),4)</f>
        <v>#VALUE!</v>
      </c>
      <c r="ATI5" s="44" t="e">
        <f>ROUNDUP(IF(IFERROR(IF($ASL5="","",IF($ASL5=0,1,1-$ASL5/HLOOKUP(ATI$3,[2]ARBOR_REAJUSTE18!$A:$AE,VLOOKUP($ASL$2,[2]ARBOR_REAJUSTE18!$A:$B,2,0),0))),"")&lt;0.01%,0.01%,(IFERROR(IF($ASL5="","",IF($ASL5=0,1,1-$ASL5/HLOOKUP(ATI$3,[2]ARBOR_REAJUSTE18!$A:$AE,VLOOKUP($ASL$2,[2]ARBOR_REAJUSTE18!$A:$B,2,0),0))),""))),4)</f>
        <v>#VALUE!</v>
      </c>
      <c r="ATJ5" s="44" t="e">
        <f>ROUNDUP(IF(IFERROR(IF($ASL5="","",IF($ASL5=0,1,1-$ASL5/HLOOKUP(ATJ$3,[2]ARBOR_REAJUSTE18!$A:$AE,VLOOKUP($ASL$2,[2]ARBOR_REAJUSTE18!$A:$B,2,0),0))),"")&lt;0.01%,0.01%,(IFERROR(IF($ASL5="","",IF($ASL5=0,1,1-$ASL5/HLOOKUP(ATJ$3,[2]ARBOR_REAJUSTE18!$A:$AE,VLOOKUP($ASL$2,[2]ARBOR_REAJUSTE18!$A:$B,2,0),0))),""))),4)</f>
        <v>#VALUE!</v>
      </c>
      <c r="ATK5" s="44" t="e">
        <f>ROUNDUP(IF(IFERROR(IF($ASL5="","",IF($ASL5=0,1,1-$ASL5/HLOOKUP(ATK$3,[2]ARBOR_REAJUSTE18!$A:$AE,VLOOKUP($ASL$2,[2]ARBOR_REAJUSTE18!$A:$B,2,0),0))),"")&lt;0.01%,0.01%,(IFERROR(IF($ASL5="","",IF($ASL5=0,1,1-$ASL5/HLOOKUP(ATK$3,[2]ARBOR_REAJUSTE18!$A:$AE,VLOOKUP($ASL$2,[2]ARBOR_REAJUSTE18!$A:$B,2,0),0))),""))),4)</f>
        <v>#VALUE!</v>
      </c>
      <c r="ATL5" s="44" t="e">
        <f>ROUNDUP(IF(IFERROR(IF($ASL5="","",IF($ASL5=0,1,1-$ASL5/HLOOKUP(ATL$3,[2]ARBOR_REAJUSTE18!$A:$AE,VLOOKUP($ASL$2,[2]ARBOR_REAJUSTE18!$A:$B,2,0),0))),"")&lt;0.01%,0.01%,(IFERROR(IF($ASL5="","",IF($ASL5=0,1,1-$ASL5/HLOOKUP(ATL$3,[2]ARBOR_REAJUSTE18!$A:$AE,VLOOKUP($ASL$2,[2]ARBOR_REAJUSTE18!$A:$B,2,0),0))),""))),4)</f>
        <v>#VALUE!</v>
      </c>
      <c r="ATM5" s="44" t="e">
        <f>ROUNDUP(IF(IFERROR(IF($ASL5="","",IF($ASL5=0,1,1-$ASL5/HLOOKUP(ATM$3,[2]ARBOR_REAJUSTE18!$A:$AE,VLOOKUP($ASL$2,[2]ARBOR_REAJUSTE18!$A:$B,2,0),0))),"")&lt;0.01%,0.01%,(IFERROR(IF($ASL5="","",IF($ASL5=0,1,1-$ASL5/HLOOKUP(ATM$3,[2]ARBOR_REAJUSTE18!$A:$AE,VLOOKUP($ASL$2,[2]ARBOR_REAJUSTE18!$A:$B,2,0),0))),""))),4)</f>
        <v>#VALUE!</v>
      </c>
      <c r="ATN5" s="44" t="e">
        <f>ROUNDUP(IF(IFERROR(IF($ASL5="","",IF($ASL5=0,1,1-$ASL5/HLOOKUP(ATN$3,[2]ARBOR_REAJUSTE18!$A:$AE,VLOOKUP($ASL$2,[2]ARBOR_REAJUSTE18!$A:$B,2,0),0))),"")&lt;0.01%,0.01%,(IFERROR(IF($ASL5="","",IF($ASL5=0,1,1-$ASL5/HLOOKUP(ATN$3,[2]ARBOR_REAJUSTE18!$A:$AE,VLOOKUP($ASL$2,[2]ARBOR_REAJUSTE18!$A:$B,2,0),0))),""))),4)</f>
        <v>#VALUE!</v>
      </c>
      <c r="ATO5" s="56">
        <v>249.79999999999998</v>
      </c>
      <c r="ATP5" s="64" t="e">
        <f>VLOOKUP($AV5&amp;ATQ5&amp;"Template desconto FLAT Plano Principal Oi TV nível conta",[2]BENEFICIOS!$A:$G,5,0)</f>
        <v>#VALUE!</v>
      </c>
      <c r="ATQ5" s="44" t="e">
        <f>ROUNDUP(IF(IFERROR(IF($ATO5="","",IF($ATO5=0,1,1-$ATO5/HLOOKUP(ATQ$3,[2]ARBOR_REAJUSTE18!$A:$AE,VLOOKUP($ATO$2,[2]ARBOR_REAJUSTE18!$A:$B,2,0),0))),"")&lt;0.01%,0.01%,(IFERROR(IF($ATO5="","",IF($ATO5=0,1,1-$ATO5/HLOOKUP(ATQ$3,[2]ARBOR_REAJUSTE18!$A:$AE,VLOOKUP($ATO$2,[2]ARBOR_REAJUSTE18!$A:$B,2,0),0))),""))),4)</f>
        <v>#VALUE!</v>
      </c>
      <c r="ATR5" s="44" t="e">
        <f>ROUNDUP(IF(IFERROR(IF($ATO5="","",IF($ATO5=0,1,1-$ATO5/HLOOKUP(ATR$3,[2]ARBOR_REAJUSTE18!$A:$AE,VLOOKUP($ATO$2,[2]ARBOR_REAJUSTE18!$A:$B,2,0),0))),"")&lt;0.01%,0.01%,(IFERROR(IF($ATO5="","",IF($ATO5=0,1,1-$ATO5/HLOOKUP(ATR$3,[2]ARBOR_REAJUSTE18!$A:$AE,VLOOKUP($ATO$2,[2]ARBOR_REAJUSTE18!$A:$B,2,0),0))),""))),4)</f>
        <v>#VALUE!</v>
      </c>
      <c r="ATS5" s="44" t="e">
        <f>ROUNDUP(IF(IFERROR(IF($ATO5="","",IF($ATO5=0,1,1-$ATO5/HLOOKUP(ATS$3,[2]ARBOR_REAJUSTE18!$A:$AE,VLOOKUP($ATO$2,[2]ARBOR_REAJUSTE18!$A:$B,2,0),0))),"")&lt;0.01%,0.01%,(IFERROR(IF($ATO5="","",IF($ATO5=0,1,1-$ATO5/HLOOKUP(ATS$3,[2]ARBOR_REAJUSTE18!$A:$AE,VLOOKUP($ATO$2,[2]ARBOR_REAJUSTE18!$A:$B,2,0),0))),""))),4)</f>
        <v>#VALUE!</v>
      </c>
      <c r="ATT5" s="44" t="e">
        <f>ROUNDUP(IF(IFERROR(IF($ATO5="","",IF($ATO5=0,1,1-$ATO5/HLOOKUP(ATT$3,[2]ARBOR_REAJUSTE18!$A:$AE,VLOOKUP($ATO$2,[2]ARBOR_REAJUSTE18!$A:$B,2,0),0))),"")&lt;0.01%,0.01%,(IFERROR(IF($ATO5="","",IF($ATO5=0,1,1-$ATO5/HLOOKUP(ATT$3,[2]ARBOR_REAJUSTE18!$A:$AE,VLOOKUP($ATO$2,[2]ARBOR_REAJUSTE18!$A:$B,2,0),0))),""))),4)</f>
        <v>#VALUE!</v>
      </c>
      <c r="ATU5" s="44" t="e">
        <f>ROUNDUP(IF(IFERROR(IF($ATO5="","",IF($ATO5=0,1,1-$ATO5/HLOOKUP(ATU$3,[2]ARBOR_REAJUSTE18!$A:$AE,VLOOKUP($ATO$2,[2]ARBOR_REAJUSTE18!$A:$B,2,0),0))),"")&lt;0.01%,0.01%,(IFERROR(IF($ATO5="","",IF($ATO5=0,1,1-$ATO5/HLOOKUP(ATU$3,[2]ARBOR_REAJUSTE18!$A:$AE,VLOOKUP($ATO$2,[2]ARBOR_REAJUSTE18!$A:$B,2,0),0))),""))),4)</f>
        <v>#VALUE!</v>
      </c>
      <c r="ATV5" s="44" t="e">
        <f>ROUNDUP(IF(IFERROR(IF($ATO5="","",IF($ATO5=0,1,1-$ATO5/HLOOKUP(ATV$3,[2]ARBOR_REAJUSTE18!$A:$AE,VLOOKUP($ATO$2,[2]ARBOR_REAJUSTE18!$A:$B,2,0),0))),"")&lt;0.01%,0.01%,(IFERROR(IF($ATO5="","",IF($ATO5=0,1,1-$ATO5/HLOOKUP(ATV$3,[2]ARBOR_REAJUSTE18!$A:$AE,VLOOKUP($ATO$2,[2]ARBOR_REAJUSTE18!$A:$B,2,0),0))),""))),4)</f>
        <v>#VALUE!</v>
      </c>
      <c r="ATW5" s="44" t="e">
        <f>ROUNDUP(IF(IFERROR(IF($ATO5="","",IF($ATO5=0,1,1-$ATO5/HLOOKUP(ATW$3,[2]ARBOR_REAJUSTE18!$A:$AE,VLOOKUP($ATO$2,[2]ARBOR_REAJUSTE18!$A:$B,2,0),0))),"")&lt;0.01%,0.01%,(IFERROR(IF($ATO5="","",IF($ATO5=0,1,1-$ATO5/HLOOKUP(ATW$3,[2]ARBOR_REAJUSTE18!$A:$AE,VLOOKUP($ATO$2,[2]ARBOR_REAJUSTE18!$A:$B,2,0),0))),""))),4)</f>
        <v>#VALUE!</v>
      </c>
      <c r="ATX5" s="44" t="e">
        <f>ROUNDUP(IF(IFERROR(IF($ATO5="","",IF($ATO5=0,1,1-$ATO5/HLOOKUP(ATX$3,[2]ARBOR_REAJUSTE18!$A:$AE,VLOOKUP($ATO$2,[2]ARBOR_REAJUSTE18!$A:$B,2,0),0))),"")&lt;0.01%,0.01%,(IFERROR(IF($ATO5="","",IF($ATO5=0,1,1-$ATO5/HLOOKUP(ATX$3,[2]ARBOR_REAJUSTE18!$A:$AE,VLOOKUP($ATO$2,[2]ARBOR_REAJUSTE18!$A:$B,2,0),0))),""))),4)</f>
        <v>#VALUE!</v>
      </c>
      <c r="ATY5" s="44" t="e">
        <f>ROUNDUP(IF(IFERROR(IF($ATO5="","",IF($ATO5=0,1,1-$ATO5/HLOOKUP(ATY$3,[2]ARBOR_REAJUSTE18!$A:$AE,VLOOKUP($ATO$2,[2]ARBOR_REAJUSTE18!$A:$B,2,0),0))),"")&lt;0.01%,0.01%,(IFERROR(IF($ATO5="","",IF($ATO5=0,1,1-$ATO5/HLOOKUP(ATY$3,[2]ARBOR_REAJUSTE18!$A:$AE,VLOOKUP($ATO$2,[2]ARBOR_REAJUSTE18!$A:$B,2,0),0))),""))),4)</f>
        <v>#VALUE!</v>
      </c>
      <c r="ATZ5" s="44" t="e">
        <f>ROUNDUP(IF(IFERROR(IF($ATO5="","",IF($ATO5=0,1,1-$ATO5/HLOOKUP(ATZ$3,[2]ARBOR_REAJUSTE18!$A:$AE,VLOOKUP($ATO$2,[2]ARBOR_REAJUSTE18!$A:$B,2,0),0))),"")&lt;0.01%,0.01%,(IFERROR(IF($ATO5="","",IF($ATO5=0,1,1-$ATO5/HLOOKUP(ATZ$3,[2]ARBOR_REAJUSTE18!$A:$AE,VLOOKUP($ATO$2,[2]ARBOR_REAJUSTE18!$A:$B,2,0),0))),""))),4)</f>
        <v>#VALUE!</v>
      </c>
      <c r="AUA5" s="44" t="e">
        <f>ROUNDUP(IF(IFERROR(IF($ATO5="","",IF($ATO5=0,1,1-$ATO5/HLOOKUP(AUA$3,[2]ARBOR_REAJUSTE18!$A:$AE,VLOOKUP($ATO$2,[2]ARBOR_REAJUSTE18!$A:$B,2,0),0))),"")&lt;0.01%,0.01%,(IFERROR(IF($ATO5="","",IF($ATO5=0,1,1-$ATO5/HLOOKUP(AUA$3,[2]ARBOR_REAJUSTE18!$A:$AE,VLOOKUP($ATO$2,[2]ARBOR_REAJUSTE18!$A:$B,2,0),0))),""))),4)</f>
        <v>#VALUE!</v>
      </c>
      <c r="AUB5" s="44" t="e">
        <f>ROUNDUP(IF(IFERROR(IF($ATO5="","",IF($ATO5=0,1,1-$ATO5/HLOOKUP(AUB$3,[2]ARBOR_REAJUSTE18!$A:$AE,VLOOKUP($ATO$2,[2]ARBOR_REAJUSTE18!$A:$B,2,0),0))),"")&lt;0.01%,0.01%,(IFERROR(IF($ATO5="","",IF($ATO5=0,1,1-$ATO5/HLOOKUP(AUB$3,[2]ARBOR_REAJUSTE18!$A:$AE,VLOOKUP($ATO$2,[2]ARBOR_REAJUSTE18!$A:$B,2,0),0))),""))),4)</f>
        <v>#VALUE!</v>
      </c>
      <c r="AUC5" s="44" t="e">
        <f>ROUNDUP(IF(IFERROR(IF($ATO5="","",IF($ATO5=0,1,1-$ATO5/HLOOKUP(AUC$3,[2]ARBOR_REAJUSTE18!$A:$AE,VLOOKUP($ATO$2,[2]ARBOR_REAJUSTE18!$A:$B,2,0),0))),"")&lt;0.01%,0.01%,(IFERROR(IF($ATO5="","",IF($ATO5=0,1,1-$ATO5/HLOOKUP(AUC$3,[2]ARBOR_REAJUSTE18!$A:$AE,VLOOKUP($ATO$2,[2]ARBOR_REAJUSTE18!$A:$B,2,0),0))),""))),4)</f>
        <v>#VALUE!</v>
      </c>
      <c r="AUD5" s="44" t="e">
        <f>ROUNDUP(IF(IFERROR(IF($ATO5="","",IF($ATO5=0,1,1-$ATO5/HLOOKUP(AUD$3,[2]ARBOR_REAJUSTE18!$A:$AE,VLOOKUP($ATO$2,[2]ARBOR_REAJUSTE18!$A:$B,2,0),0))),"")&lt;0.01%,0.01%,(IFERROR(IF($ATO5="","",IF($ATO5=0,1,1-$ATO5/HLOOKUP(AUD$3,[2]ARBOR_REAJUSTE18!$A:$AE,VLOOKUP($ATO$2,[2]ARBOR_REAJUSTE18!$A:$B,2,0),0))),""))),4)</f>
        <v>#VALUE!</v>
      </c>
      <c r="AUE5" s="44" t="e">
        <f>ROUNDUP(IF(IFERROR(IF($ATO5="","",IF($ATO5=0,1,1-$ATO5/HLOOKUP(AUE$3,[2]ARBOR_REAJUSTE18!$A:$AE,VLOOKUP($ATO$2,[2]ARBOR_REAJUSTE18!$A:$B,2,0),0))),"")&lt;0.01%,0.01%,(IFERROR(IF($ATO5="","",IF($ATO5=0,1,1-$ATO5/HLOOKUP(AUE$3,[2]ARBOR_REAJUSTE18!$A:$AE,VLOOKUP($ATO$2,[2]ARBOR_REAJUSTE18!$A:$B,2,0),0))),""))),4)</f>
        <v>#VALUE!</v>
      </c>
      <c r="AUF5" s="44" t="e">
        <f>ROUNDUP(IF(IFERROR(IF($ATO5="","",IF($ATO5=0,1,1-$ATO5/HLOOKUP(AUF$3,[2]ARBOR_REAJUSTE18!$A:$AE,VLOOKUP($ATO$2,[2]ARBOR_REAJUSTE18!$A:$B,2,0),0))),"")&lt;0.01%,0.01%,(IFERROR(IF($ATO5="","",IF($ATO5=0,1,1-$ATO5/HLOOKUP(AUF$3,[2]ARBOR_REAJUSTE18!$A:$AE,VLOOKUP($ATO$2,[2]ARBOR_REAJUSTE18!$A:$B,2,0),0))),""))),4)</f>
        <v>#VALUE!</v>
      </c>
      <c r="AUG5" s="44" t="e">
        <f>ROUNDUP(IF(IFERROR(IF($ATO5="","",IF($ATO5=0,1,1-$ATO5/HLOOKUP(AUG$3,[2]ARBOR_REAJUSTE18!$A:$AE,VLOOKUP($ATO$2,[2]ARBOR_REAJUSTE18!$A:$B,2,0),0))),"")&lt;0.01%,0.01%,(IFERROR(IF($ATO5="","",IF($ATO5=0,1,1-$ATO5/HLOOKUP(AUG$3,[2]ARBOR_REAJUSTE18!$A:$AE,VLOOKUP($ATO$2,[2]ARBOR_REAJUSTE18!$A:$B,2,0),0))),""))),4)</f>
        <v>#VALUE!</v>
      </c>
      <c r="AUH5" s="44" t="e">
        <f>ROUNDUP(IF(IFERROR(IF($ATO5="","",IF($ATO5=0,1,1-$ATO5/HLOOKUP(AUH$3,[2]ARBOR_REAJUSTE18!$A:$AE,VLOOKUP($ATO$2,[2]ARBOR_REAJUSTE18!$A:$B,2,0),0))),"")&lt;0.01%,0.01%,(IFERROR(IF($ATO5="","",IF($ATO5=0,1,1-$ATO5/HLOOKUP(AUH$3,[2]ARBOR_REAJUSTE18!$A:$AE,VLOOKUP($ATO$2,[2]ARBOR_REAJUSTE18!$A:$B,2,0),0))),""))),4)</f>
        <v>#VALUE!</v>
      </c>
      <c r="AUI5" s="44" t="e">
        <f>ROUNDUP(IF(IFERROR(IF($ATO5="","",IF($ATO5=0,1,1-$ATO5/HLOOKUP(AUI$3,[2]ARBOR_REAJUSTE18!$A:$AE,VLOOKUP($ATO$2,[2]ARBOR_REAJUSTE18!$A:$B,2,0),0))),"")&lt;0.01%,0.01%,(IFERROR(IF($ATO5="","",IF($ATO5=0,1,1-$ATO5/HLOOKUP(AUI$3,[2]ARBOR_REAJUSTE18!$A:$AE,VLOOKUP($ATO$2,[2]ARBOR_REAJUSTE18!$A:$B,2,0),0))),""))),4)</f>
        <v>#VALUE!</v>
      </c>
      <c r="AUJ5" s="44" t="e">
        <f>ROUNDUP(IF(IFERROR(IF($ATO5="","",IF($ATO5=0,1,1-$ATO5/HLOOKUP(AUJ$3,[2]ARBOR_REAJUSTE18!$A:$AE,VLOOKUP($ATO$2,[2]ARBOR_REAJUSTE18!$A:$B,2,0),0))),"")&lt;0.01%,0.01%,(IFERROR(IF($ATO5="","",IF($ATO5=0,1,1-$ATO5/HLOOKUP(AUJ$3,[2]ARBOR_REAJUSTE18!$A:$AE,VLOOKUP($ATO$2,[2]ARBOR_REAJUSTE18!$A:$B,2,0),0))),""))),4)</f>
        <v>#VALUE!</v>
      </c>
      <c r="AUK5" s="44" t="e">
        <f>ROUNDUP(IF(IFERROR(IF($ATO5="","",IF($ATO5=0,1,1-$ATO5/HLOOKUP(AUK$3,[2]ARBOR_REAJUSTE18!$A:$AE,VLOOKUP($ATO$2,[2]ARBOR_REAJUSTE18!$A:$B,2,0),0))),"")&lt;0.01%,0.01%,(IFERROR(IF($ATO5="","",IF($ATO5=0,1,1-$ATO5/HLOOKUP(AUK$3,[2]ARBOR_REAJUSTE18!$A:$AE,VLOOKUP($ATO$2,[2]ARBOR_REAJUSTE18!$A:$B,2,0),0))),""))),4)</f>
        <v>#VALUE!</v>
      </c>
      <c r="AUL5" s="44" t="e">
        <f>ROUNDUP(IF(IFERROR(IF($ATO5="","",IF($ATO5=0,1,1-$ATO5/HLOOKUP(AUL$3,[2]ARBOR_REAJUSTE18!$A:$AE,VLOOKUP($ATO$2,[2]ARBOR_REAJUSTE18!$A:$B,2,0),0))),"")&lt;0.01%,0.01%,(IFERROR(IF($ATO5="","",IF($ATO5=0,1,1-$ATO5/HLOOKUP(AUL$3,[2]ARBOR_REAJUSTE18!$A:$AE,VLOOKUP($ATO$2,[2]ARBOR_REAJUSTE18!$A:$B,2,0),0))),""))),4)</f>
        <v>#VALUE!</v>
      </c>
      <c r="AUM5" s="44" t="e">
        <f>ROUNDUP(IF(IFERROR(IF($ATO5="","",IF($ATO5=0,1,1-$ATO5/HLOOKUP(AUM$3,[2]ARBOR_REAJUSTE18!$A:$AE,VLOOKUP($ATO$2,[2]ARBOR_REAJUSTE18!$A:$B,2,0),0))),"")&lt;0.01%,0.01%,(IFERROR(IF($ATO5="","",IF($ATO5=0,1,1-$ATO5/HLOOKUP(AUM$3,[2]ARBOR_REAJUSTE18!$A:$AE,VLOOKUP($ATO$2,[2]ARBOR_REAJUSTE18!$A:$B,2,0),0))),""))),4)</f>
        <v>#VALUE!</v>
      </c>
      <c r="AUN5" s="44" t="e">
        <f>ROUNDUP(IF(IFERROR(IF($ATO5="","",IF($ATO5=0,1,1-$ATO5/HLOOKUP(AUN$3,[2]ARBOR_REAJUSTE18!$A:$AE,VLOOKUP($ATO$2,[2]ARBOR_REAJUSTE18!$A:$B,2,0),0))),"")&lt;0.01%,0.01%,(IFERROR(IF($ATO5="","",IF($ATO5=0,1,1-$ATO5/HLOOKUP(AUN$3,[2]ARBOR_REAJUSTE18!$A:$AE,VLOOKUP($ATO$2,[2]ARBOR_REAJUSTE18!$A:$B,2,0),0))),""))),4)</f>
        <v>#VALUE!</v>
      </c>
      <c r="AUO5" s="44" t="e">
        <f>ROUNDUP(IF(IFERROR(IF($ATO5="","",IF($ATO5=0,1,1-$ATO5/HLOOKUP(AUO$3,[2]ARBOR_REAJUSTE18!$A:$AE,VLOOKUP($ATO$2,[2]ARBOR_REAJUSTE18!$A:$B,2,0),0))),"")&lt;0.01%,0.01%,(IFERROR(IF($ATO5="","",IF($ATO5=0,1,1-$ATO5/HLOOKUP(AUO$3,[2]ARBOR_REAJUSTE18!$A:$AE,VLOOKUP($ATO$2,[2]ARBOR_REAJUSTE18!$A:$B,2,0),0))),""))),4)</f>
        <v>#VALUE!</v>
      </c>
      <c r="AUP5" s="44" t="e">
        <f>ROUNDUP(IF(IFERROR(IF($ATO5="","",IF($ATO5=0,1,1-$ATO5/HLOOKUP(AUP$3,[2]ARBOR_REAJUSTE18!$A:$AE,VLOOKUP($ATO$2,[2]ARBOR_REAJUSTE18!$A:$B,2,0),0))),"")&lt;0.01%,0.01%,(IFERROR(IF($ATO5="","",IF($ATO5=0,1,1-$ATO5/HLOOKUP(AUP$3,[2]ARBOR_REAJUSTE18!$A:$AE,VLOOKUP($ATO$2,[2]ARBOR_REAJUSTE18!$A:$B,2,0),0))),""))),4)</f>
        <v>#VALUE!</v>
      </c>
      <c r="AUQ5" s="44" t="e">
        <f>ROUNDUP(IF(IFERROR(IF($ATO5="","",IF($ATO5=0,1,1-$ATO5/HLOOKUP(AUQ$3,[2]ARBOR_REAJUSTE18!$A:$AE,VLOOKUP($ATO$2,[2]ARBOR_REAJUSTE18!$A:$B,2,0),0))),"")&lt;0.01%,0.01%,(IFERROR(IF($ATO5="","",IF($ATO5=0,1,1-$ATO5/HLOOKUP(AUQ$3,[2]ARBOR_REAJUSTE18!$A:$AE,VLOOKUP($ATO$2,[2]ARBOR_REAJUSTE18!$A:$B,2,0),0))),""))),4)</f>
        <v>#VALUE!</v>
      </c>
      <c r="AUR5" s="56"/>
      <c r="AUS5" s="64"/>
      <c r="AUT5" s="44" t="e">
        <f>ROUNDUP(IF(IFERROR(IF($AUR5="","",IF($AUR5=0,1,1-$AUR5/HLOOKUP(AUT$3,[2]ARBOR_REAJUSTE18!$A:$AE,VLOOKUP($AUR$2,[2]ARBOR_REAJUSTE18!$A:$B,2,0),0))),"")&lt;0.01%,0.01%,(IFERROR(IF($AUR5="","",IF($AUR5=0,1,1-$AUR5/HLOOKUP(AUT$3,[2]ARBOR_REAJUSTE18!$A:$AE,VLOOKUP($AUR$2,[2]ARBOR_REAJUSTE18!$A:$B,2,0),0))),""))),4)</f>
        <v>#VALUE!</v>
      </c>
      <c r="AUU5" s="44" t="e">
        <f>ROUNDUP(IF(IFERROR(IF($AUR5="","",IF($AUR5=0,1,1-$AUR5/HLOOKUP(AUU$3,[2]ARBOR_REAJUSTE18!$A:$AE,VLOOKUP($AUR$2,[2]ARBOR_REAJUSTE18!$A:$B,2,0),0))),"")&lt;0.01%,0.01%,(IFERROR(IF($AUR5="","",IF($AUR5=0,1,1-$AUR5/HLOOKUP(AUU$3,[2]ARBOR_REAJUSTE18!$A:$AE,VLOOKUP($AUR$2,[2]ARBOR_REAJUSTE18!$A:$B,2,0),0))),""))),4)</f>
        <v>#VALUE!</v>
      </c>
      <c r="AUV5" s="44" t="e">
        <f>ROUNDUP(IF(IFERROR(IF($AUR5="","",IF($AUR5=0,1,1-$AUR5/HLOOKUP(AUV$3,[2]ARBOR_REAJUSTE18!$A:$AE,VLOOKUP($AUR$2,[2]ARBOR_REAJUSTE18!$A:$B,2,0),0))),"")&lt;0.01%,0.01%,(IFERROR(IF($AUR5="","",IF($AUR5=0,1,1-$AUR5/HLOOKUP(AUV$3,[2]ARBOR_REAJUSTE18!$A:$AE,VLOOKUP($AUR$2,[2]ARBOR_REAJUSTE18!$A:$B,2,0),0))),""))),4)</f>
        <v>#VALUE!</v>
      </c>
      <c r="AUW5" s="44" t="e">
        <f>ROUNDUP(IF(IFERROR(IF($AUR5="","",IF($AUR5=0,1,1-$AUR5/HLOOKUP(AUW$3,[2]ARBOR_REAJUSTE18!$A:$AE,VLOOKUP($AUR$2,[2]ARBOR_REAJUSTE18!$A:$B,2,0),0))),"")&lt;0.01%,0.01%,(IFERROR(IF($AUR5="","",IF($AUR5=0,1,1-$AUR5/HLOOKUP(AUW$3,[2]ARBOR_REAJUSTE18!$A:$AE,VLOOKUP($AUR$2,[2]ARBOR_REAJUSTE18!$A:$B,2,0),0))),""))),4)</f>
        <v>#VALUE!</v>
      </c>
      <c r="AUX5" s="44" t="e">
        <f>ROUNDUP(IF(IFERROR(IF($AUR5="","",IF($AUR5=0,1,1-$AUR5/HLOOKUP(AUX$3,[2]ARBOR_REAJUSTE18!$A:$AE,VLOOKUP($AUR$2,[2]ARBOR_REAJUSTE18!$A:$B,2,0),0))),"")&lt;0.01%,0.01%,(IFERROR(IF($AUR5="","",IF($AUR5=0,1,1-$AUR5/HLOOKUP(AUX$3,[2]ARBOR_REAJUSTE18!$A:$AE,VLOOKUP($AUR$2,[2]ARBOR_REAJUSTE18!$A:$B,2,0),0))),""))),4)</f>
        <v>#VALUE!</v>
      </c>
      <c r="AUY5" s="44" t="e">
        <f>ROUNDUP(IF(IFERROR(IF($AUR5="","",IF($AUR5=0,1,1-$AUR5/HLOOKUP(AUY$3,[2]ARBOR_REAJUSTE18!$A:$AE,VLOOKUP($AUR$2,[2]ARBOR_REAJUSTE18!$A:$B,2,0),0))),"")&lt;0.01%,0.01%,(IFERROR(IF($AUR5="","",IF($AUR5=0,1,1-$AUR5/HLOOKUP(AUY$3,[2]ARBOR_REAJUSTE18!$A:$AE,VLOOKUP($AUR$2,[2]ARBOR_REAJUSTE18!$A:$B,2,0),0))),""))),4)</f>
        <v>#VALUE!</v>
      </c>
      <c r="AUZ5" s="44" t="e">
        <f>ROUNDUP(IF(IFERROR(IF($AUR5="","",IF($AUR5=0,1,1-$AUR5/HLOOKUP(AUZ$3,[2]ARBOR_REAJUSTE18!$A:$AE,VLOOKUP($AUR$2,[2]ARBOR_REAJUSTE18!$A:$B,2,0),0))),"")&lt;0.01%,0.01%,(IFERROR(IF($AUR5="","",IF($AUR5=0,1,1-$AUR5/HLOOKUP(AUZ$3,[2]ARBOR_REAJUSTE18!$A:$AE,VLOOKUP($AUR$2,[2]ARBOR_REAJUSTE18!$A:$B,2,0),0))),""))),4)</f>
        <v>#VALUE!</v>
      </c>
      <c r="AVA5" s="44" t="e">
        <f>ROUNDUP(IF(IFERROR(IF($AUR5="","",IF($AUR5=0,1,1-$AUR5/HLOOKUP(AVA$3,[2]ARBOR_REAJUSTE18!$A:$AE,VLOOKUP($AUR$2,[2]ARBOR_REAJUSTE18!$A:$B,2,0),0))),"")&lt;0.01%,0.01%,(IFERROR(IF($AUR5="","",IF($AUR5=0,1,1-$AUR5/HLOOKUP(AVA$3,[2]ARBOR_REAJUSTE18!$A:$AE,VLOOKUP($AUR$2,[2]ARBOR_REAJUSTE18!$A:$B,2,0),0))),""))),4)</f>
        <v>#VALUE!</v>
      </c>
      <c r="AVB5" s="44" t="e">
        <f>ROUNDUP(IF(IFERROR(IF($AUR5="","",IF($AUR5=0,1,1-$AUR5/HLOOKUP(AVB$3,[2]ARBOR_REAJUSTE18!$A:$AE,VLOOKUP($AUR$2,[2]ARBOR_REAJUSTE18!$A:$B,2,0),0))),"")&lt;0.01%,0.01%,(IFERROR(IF($AUR5="","",IF($AUR5=0,1,1-$AUR5/HLOOKUP(AVB$3,[2]ARBOR_REAJUSTE18!$A:$AE,VLOOKUP($AUR$2,[2]ARBOR_REAJUSTE18!$A:$B,2,0),0))),""))),4)</f>
        <v>#VALUE!</v>
      </c>
      <c r="AVC5" s="44" t="e">
        <f>ROUNDUP(IF(IFERROR(IF($AUR5="","",IF($AUR5=0,1,1-$AUR5/HLOOKUP(AVC$3,[2]ARBOR_REAJUSTE18!$A:$AE,VLOOKUP($AUR$2,[2]ARBOR_REAJUSTE18!$A:$B,2,0),0))),"")&lt;0.01%,0.01%,(IFERROR(IF($AUR5="","",IF($AUR5=0,1,1-$AUR5/HLOOKUP(AVC$3,[2]ARBOR_REAJUSTE18!$A:$AE,VLOOKUP($AUR$2,[2]ARBOR_REAJUSTE18!$A:$B,2,0),0))),""))),4)</f>
        <v>#VALUE!</v>
      </c>
      <c r="AVD5" s="44" t="e">
        <f>ROUNDUP(IF(IFERROR(IF($AUR5="","",IF($AUR5=0,1,1-$AUR5/HLOOKUP(AVD$3,[2]ARBOR_REAJUSTE18!$A:$AE,VLOOKUP($AUR$2,[2]ARBOR_REAJUSTE18!$A:$B,2,0),0))),"")&lt;0.01%,0.01%,(IFERROR(IF($AUR5="","",IF($AUR5=0,1,1-$AUR5/HLOOKUP(AVD$3,[2]ARBOR_REAJUSTE18!$A:$AE,VLOOKUP($AUR$2,[2]ARBOR_REAJUSTE18!$A:$B,2,0),0))),""))),4)</f>
        <v>#VALUE!</v>
      </c>
      <c r="AVE5" s="44" t="e">
        <f>ROUNDUP(IF(IFERROR(IF($AUR5="","",IF($AUR5=0,1,1-$AUR5/HLOOKUP(AVE$3,[2]ARBOR_REAJUSTE18!$A:$AE,VLOOKUP($AUR$2,[2]ARBOR_REAJUSTE18!$A:$B,2,0),0))),"")&lt;0.01%,0.01%,(IFERROR(IF($AUR5="","",IF($AUR5=0,1,1-$AUR5/HLOOKUP(AVE$3,[2]ARBOR_REAJUSTE18!$A:$AE,VLOOKUP($AUR$2,[2]ARBOR_REAJUSTE18!$A:$B,2,0),0))),""))),4)</f>
        <v>#VALUE!</v>
      </c>
      <c r="AVF5" s="44" t="e">
        <f>ROUNDUP(IF(IFERROR(IF($AUR5="","",IF($AUR5=0,1,1-$AUR5/HLOOKUP(AVF$3,[2]ARBOR_REAJUSTE18!$A:$AE,VLOOKUP($AUR$2,[2]ARBOR_REAJUSTE18!$A:$B,2,0),0))),"")&lt;0.01%,0.01%,(IFERROR(IF($AUR5="","",IF($AUR5=0,1,1-$AUR5/HLOOKUP(AVF$3,[2]ARBOR_REAJUSTE18!$A:$AE,VLOOKUP($AUR$2,[2]ARBOR_REAJUSTE18!$A:$B,2,0),0))),""))),4)</f>
        <v>#VALUE!</v>
      </c>
      <c r="AVG5" s="44" t="e">
        <f>ROUNDUP(IF(IFERROR(IF($AUR5="","",IF($AUR5=0,1,1-$AUR5/HLOOKUP(AVG$3,[2]ARBOR_REAJUSTE18!$A:$AE,VLOOKUP($AUR$2,[2]ARBOR_REAJUSTE18!$A:$B,2,0),0))),"")&lt;0.01%,0.01%,(IFERROR(IF($AUR5="","",IF($AUR5=0,1,1-$AUR5/HLOOKUP(AVG$3,[2]ARBOR_REAJUSTE18!$A:$AE,VLOOKUP($AUR$2,[2]ARBOR_REAJUSTE18!$A:$B,2,0),0))),""))),4)</f>
        <v>#VALUE!</v>
      </c>
      <c r="AVH5" s="44" t="e">
        <f>ROUNDUP(IF(IFERROR(IF($AUR5="","",IF($AUR5=0,1,1-$AUR5/HLOOKUP(AVH$3,[2]ARBOR_REAJUSTE18!$A:$AE,VLOOKUP($AUR$2,[2]ARBOR_REAJUSTE18!$A:$B,2,0),0))),"")&lt;0.01%,0.01%,(IFERROR(IF($AUR5="","",IF($AUR5=0,1,1-$AUR5/HLOOKUP(AVH$3,[2]ARBOR_REAJUSTE18!$A:$AE,VLOOKUP($AUR$2,[2]ARBOR_REAJUSTE18!$A:$B,2,0),0))),""))),4)</f>
        <v>#VALUE!</v>
      </c>
      <c r="AVI5" s="44" t="e">
        <f>ROUNDUP(IF(IFERROR(IF($AUR5="","",IF($AUR5=0,1,1-$AUR5/HLOOKUP(AVI$3,[2]ARBOR_REAJUSTE18!$A:$AE,VLOOKUP($AUR$2,[2]ARBOR_REAJUSTE18!$A:$B,2,0),0))),"")&lt;0.01%,0.01%,(IFERROR(IF($AUR5="","",IF($AUR5=0,1,1-$AUR5/HLOOKUP(AVI$3,[2]ARBOR_REAJUSTE18!$A:$AE,VLOOKUP($AUR$2,[2]ARBOR_REAJUSTE18!$A:$B,2,0),0))),""))),4)</f>
        <v>#VALUE!</v>
      </c>
      <c r="AVJ5" s="44" t="e">
        <f>ROUNDUP(IF(IFERROR(IF($AUR5="","",IF($AUR5=0,1,1-$AUR5/HLOOKUP(AVJ$3,[2]ARBOR_REAJUSTE18!$A:$AE,VLOOKUP($AUR$2,[2]ARBOR_REAJUSTE18!$A:$B,2,0),0))),"")&lt;0.01%,0.01%,(IFERROR(IF($AUR5="","",IF($AUR5=0,1,1-$AUR5/HLOOKUP(AVJ$3,[2]ARBOR_REAJUSTE18!$A:$AE,VLOOKUP($AUR$2,[2]ARBOR_REAJUSTE18!$A:$B,2,0),0))),""))),4)</f>
        <v>#VALUE!</v>
      </c>
      <c r="AVK5" s="44" t="e">
        <f>ROUNDUP(IF(IFERROR(IF($AUR5="","",IF($AUR5=0,1,1-$AUR5/HLOOKUP(AVK$3,[2]ARBOR_REAJUSTE18!$A:$AE,VLOOKUP($AUR$2,[2]ARBOR_REAJUSTE18!$A:$B,2,0),0))),"")&lt;0.01%,0.01%,(IFERROR(IF($AUR5="","",IF($AUR5=0,1,1-$AUR5/HLOOKUP(AVK$3,[2]ARBOR_REAJUSTE18!$A:$AE,VLOOKUP($AUR$2,[2]ARBOR_REAJUSTE18!$A:$B,2,0),0))),""))),4)</f>
        <v>#VALUE!</v>
      </c>
      <c r="AVL5" s="44" t="e">
        <f>ROUNDUP(IF(IFERROR(IF($AUR5="","",IF($AUR5=0,1,1-$AUR5/HLOOKUP(AVL$3,[2]ARBOR_REAJUSTE18!$A:$AE,VLOOKUP($AUR$2,[2]ARBOR_REAJUSTE18!$A:$B,2,0),0))),"")&lt;0.01%,0.01%,(IFERROR(IF($AUR5="","",IF($AUR5=0,1,1-$AUR5/HLOOKUP(AVL$3,[2]ARBOR_REAJUSTE18!$A:$AE,VLOOKUP($AUR$2,[2]ARBOR_REAJUSTE18!$A:$B,2,0),0))),""))),4)</f>
        <v>#VALUE!</v>
      </c>
      <c r="AVM5" s="44" t="e">
        <f>ROUNDUP(IF(IFERROR(IF($AUR5="","",IF($AUR5=0,1,1-$AUR5/HLOOKUP(AVM$3,[2]ARBOR_REAJUSTE18!$A:$AE,VLOOKUP($AUR$2,[2]ARBOR_REAJUSTE18!$A:$B,2,0),0))),"")&lt;0.01%,0.01%,(IFERROR(IF($AUR5="","",IF($AUR5=0,1,1-$AUR5/HLOOKUP(AVM$3,[2]ARBOR_REAJUSTE18!$A:$AE,VLOOKUP($AUR$2,[2]ARBOR_REAJUSTE18!$A:$B,2,0),0))),""))),4)</f>
        <v>#VALUE!</v>
      </c>
      <c r="AVN5" s="44" t="e">
        <f>ROUNDUP(IF(IFERROR(IF($AUR5="","",IF($AUR5=0,1,1-$AUR5/HLOOKUP(AVN$3,[2]ARBOR_REAJUSTE18!$A:$AE,VLOOKUP($AUR$2,[2]ARBOR_REAJUSTE18!$A:$B,2,0),0))),"")&lt;0.01%,0.01%,(IFERROR(IF($AUR5="","",IF($AUR5=0,1,1-$AUR5/HLOOKUP(AVN$3,[2]ARBOR_REAJUSTE18!$A:$AE,VLOOKUP($AUR$2,[2]ARBOR_REAJUSTE18!$A:$B,2,0),0))),""))),4)</f>
        <v>#VALUE!</v>
      </c>
      <c r="AVO5" s="44" t="e">
        <f>ROUNDUP(IF(IFERROR(IF($AUR5="","",IF($AUR5=0,1,1-$AUR5/HLOOKUP(AVO$3,[2]ARBOR_REAJUSTE18!$A:$AE,VLOOKUP($AUR$2,[2]ARBOR_REAJUSTE18!$A:$B,2,0),0))),"")&lt;0.01%,0.01%,(IFERROR(IF($AUR5="","",IF($AUR5=0,1,1-$AUR5/HLOOKUP(AVO$3,[2]ARBOR_REAJUSTE18!$A:$AE,VLOOKUP($AUR$2,[2]ARBOR_REAJUSTE18!$A:$B,2,0),0))),""))),4)</f>
        <v>#VALUE!</v>
      </c>
      <c r="AVP5" s="44" t="e">
        <f>ROUNDUP(IF(IFERROR(IF($AUR5="","",IF($AUR5=0,1,1-$AUR5/HLOOKUP(AVP$3,[2]ARBOR_REAJUSTE18!$A:$AE,VLOOKUP($AUR$2,[2]ARBOR_REAJUSTE18!$A:$B,2,0),0))),"")&lt;0.01%,0.01%,(IFERROR(IF($AUR5="","",IF($AUR5=0,1,1-$AUR5/HLOOKUP(AVP$3,[2]ARBOR_REAJUSTE18!$A:$AE,VLOOKUP($AUR$2,[2]ARBOR_REAJUSTE18!$A:$B,2,0),0))),""))),4)</f>
        <v>#VALUE!</v>
      </c>
      <c r="AVQ5" s="44" t="e">
        <f>ROUNDUP(IF(IFERROR(IF($AUR5="","",IF($AUR5=0,1,1-$AUR5/HLOOKUP(AVQ$3,[2]ARBOR_REAJUSTE18!$A:$AE,VLOOKUP($AUR$2,[2]ARBOR_REAJUSTE18!$A:$B,2,0),0))),"")&lt;0.01%,0.01%,(IFERROR(IF($AUR5="","",IF($AUR5=0,1,1-$AUR5/HLOOKUP(AVQ$3,[2]ARBOR_REAJUSTE18!$A:$AE,VLOOKUP($AUR$2,[2]ARBOR_REAJUSTE18!$A:$B,2,0),0))),""))),4)</f>
        <v>#VALUE!</v>
      </c>
      <c r="AVR5" s="44" t="e">
        <f>ROUNDUP(IF(IFERROR(IF($AUR5="","",IF($AUR5=0,1,1-$AUR5/HLOOKUP(AVR$3,[2]ARBOR_REAJUSTE18!$A:$AE,VLOOKUP($AUR$2,[2]ARBOR_REAJUSTE18!$A:$B,2,0),0))),"")&lt;0.01%,0.01%,(IFERROR(IF($AUR5="","",IF($AUR5=0,1,1-$AUR5/HLOOKUP(AVR$3,[2]ARBOR_REAJUSTE18!$A:$AE,VLOOKUP($AUR$2,[2]ARBOR_REAJUSTE18!$A:$B,2,0),0))),""))),4)</f>
        <v>#VALUE!</v>
      </c>
      <c r="AVS5" s="44" t="e">
        <f>ROUNDUP(IF(IFERROR(IF($AUR5="","",IF($AUR5=0,1,1-$AUR5/HLOOKUP(AVS$3,[2]ARBOR_REAJUSTE18!$A:$AE,VLOOKUP($AUR$2,[2]ARBOR_REAJUSTE18!$A:$B,2,0),0))),"")&lt;0.01%,0.01%,(IFERROR(IF($AUR5="","",IF($AUR5=0,1,1-$AUR5/HLOOKUP(AVS$3,[2]ARBOR_REAJUSTE18!$A:$AE,VLOOKUP($AUR$2,[2]ARBOR_REAJUSTE18!$A:$B,2,0),0))),""))),4)</f>
        <v>#VALUE!</v>
      </c>
      <c r="AVT5" s="44" t="e">
        <f>ROUNDUP(IF(IFERROR(IF($AUR5="","",IF($AUR5=0,1,1-$AUR5/HLOOKUP(AVT$3,[2]ARBOR_REAJUSTE18!$A:$AE,VLOOKUP($AUR$2,[2]ARBOR_REAJUSTE18!$A:$B,2,0),0))),"")&lt;0.01%,0.01%,(IFERROR(IF($AUR5="","",IF($AUR5=0,1,1-$AUR5/HLOOKUP(AVT$3,[2]ARBOR_REAJUSTE18!$A:$AE,VLOOKUP($AUR$2,[2]ARBOR_REAJUSTE18!$A:$B,2,0),0))),""))),4)</f>
        <v>#VALUE!</v>
      </c>
      <c r="AVU5" s="56">
        <v>109.80000000000001</v>
      </c>
      <c r="AVV5" s="64" t="e">
        <f>VLOOKUP($AV5&amp;AVW5&amp;"Template desconto FLAT Plano Principal Oi TV nível conta",[2]BENEFICIOS!$A:$G,5,0)</f>
        <v>#VALUE!</v>
      </c>
      <c r="AVW5" s="44" t="e">
        <f>ROUNDUP(IF(IFERROR(IF($AVU5="","",IF($AVU5=0,1,1-$AVU5/HLOOKUP(AVW$3,[2]ARBOR_REAJUSTE18!$A:$AE,VLOOKUP($AVU$2,[2]ARBOR_REAJUSTE18!$A:$B,2,0),0))),"")&lt;0.01%,0.01%,(IFERROR(IF($AVU5="","",IF($AVU5=0,1,1-$AVU5/HLOOKUP(AVW$3,[2]ARBOR_REAJUSTE18!$A:$AE,VLOOKUP($AVU$2,[2]ARBOR_REAJUSTE18!$A:$B,2,0),0))),""))),4)</f>
        <v>#VALUE!</v>
      </c>
      <c r="AVX5" s="44" t="e">
        <f>ROUNDUP(IF(IFERROR(IF($AVU5="","",IF($AVU5=0,1,1-$AVU5/HLOOKUP(AVX$3,[2]ARBOR_REAJUSTE18!$A:$AE,VLOOKUP($AVU$2,[2]ARBOR_REAJUSTE18!$A:$B,2,0),0))),"")&lt;0.01%,0.01%,(IFERROR(IF($AVU5="","",IF($AVU5=0,1,1-$AVU5/HLOOKUP(AVX$3,[2]ARBOR_REAJUSTE18!$A:$AE,VLOOKUP($AVU$2,[2]ARBOR_REAJUSTE18!$A:$B,2,0),0))),""))),4)</f>
        <v>#VALUE!</v>
      </c>
      <c r="AVY5" s="44" t="e">
        <f>ROUNDUP(IF(IFERROR(IF($AVU5="","",IF($AVU5=0,1,1-$AVU5/HLOOKUP(AVY$3,[2]ARBOR_REAJUSTE18!$A:$AE,VLOOKUP($AVU$2,[2]ARBOR_REAJUSTE18!$A:$B,2,0),0))),"")&lt;0.01%,0.01%,(IFERROR(IF($AVU5="","",IF($AVU5=0,1,1-$AVU5/HLOOKUP(AVY$3,[2]ARBOR_REAJUSTE18!$A:$AE,VLOOKUP($AVU$2,[2]ARBOR_REAJUSTE18!$A:$B,2,0),0))),""))),4)</f>
        <v>#VALUE!</v>
      </c>
      <c r="AVZ5" s="44" t="e">
        <f>ROUNDUP(IF(IFERROR(IF($AVU5="","",IF($AVU5=0,1,1-$AVU5/HLOOKUP(AVZ$3,[2]ARBOR_REAJUSTE18!$A:$AE,VLOOKUP($AVU$2,[2]ARBOR_REAJUSTE18!$A:$B,2,0),0))),"")&lt;0.01%,0.01%,(IFERROR(IF($AVU5="","",IF($AVU5=0,1,1-$AVU5/HLOOKUP(AVZ$3,[2]ARBOR_REAJUSTE18!$A:$AE,VLOOKUP($AVU$2,[2]ARBOR_REAJUSTE18!$A:$B,2,0),0))),""))),4)</f>
        <v>#VALUE!</v>
      </c>
      <c r="AWA5" s="44" t="e">
        <f>ROUNDUP(IF(IFERROR(IF($AVU5="","",IF($AVU5=0,1,1-$AVU5/HLOOKUP(AWA$3,[2]ARBOR_REAJUSTE18!$A:$AE,VLOOKUP($AVU$2,[2]ARBOR_REAJUSTE18!$A:$B,2,0),0))),"")&lt;0.01%,0.01%,(IFERROR(IF($AVU5="","",IF($AVU5=0,1,1-$AVU5/HLOOKUP(AWA$3,[2]ARBOR_REAJUSTE18!$A:$AE,VLOOKUP($AVU$2,[2]ARBOR_REAJUSTE18!$A:$B,2,0),0))),""))),4)</f>
        <v>#VALUE!</v>
      </c>
      <c r="AWB5" s="44" t="e">
        <f>ROUNDUP(IF(IFERROR(IF($AVU5="","",IF($AVU5=0,1,1-$AVU5/HLOOKUP(AWB$3,[2]ARBOR_REAJUSTE18!$A:$AE,VLOOKUP($AVU$2,[2]ARBOR_REAJUSTE18!$A:$B,2,0),0))),"")&lt;0.01%,0.01%,(IFERROR(IF($AVU5="","",IF($AVU5=0,1,1-$AVU5/HLOOKUP(AWB$3,[2]ARBOR_REAJUSTE18!$A:$AE,VLOOKUP($AVU$2,[2]ARBOR_REAJUSTE18!$A:$B,2,0),0))),""))),4)</f>
        <v>#VALUE!</v>
      </c>
      <c r="AWC5" s="44" t="e">
        <f>ROUNDUP(IF(IFERROR(IF($AVU5="","",IF($AVU5=0,1,1-$AVU5/HLOOKUP(AWC$3,[2]ARBOR_REAJUSTE18!$A:$AE,VLOOKUP($AVU$2,[2]ARBOR_REAJUSTE18!$A:$B,2,0),0))),"")&lt;0.01%,0.01%,(IFERROR(IF($AVU5="","",IF($AVU5=0,1,1-$AVU5/HLOOKUP(AWC$3,[2]ARBOR_REAJUSTE18!$A:$AE,VLOOKUP($AVU$2,[2]ARBOR_REAJUSTE18!$A:$B,2,0),0))),""))),4)</f>
        <v>#VALUE!</v>
      </c>
      <c r="AWD5" s="44" t="e">
        <f>ROUNDUP(IF(IFERROR(IF($AVU5="","",IF($AVU5=0,1,1-$AVU5/HLOOKUP(AWD$3,[2]ARBOR_REAJUSTE18!$A:$AE,VLOOKUP($AVU$2,[2]ARBOR_REAJUSTE18!$A:$B,2,0),0))),"")&lt;0.01%,0.01%,(IFERROR(IF($AVU5="","",IF($AVU5=0,1,1-$AVU5/HLOOKUP(AWD$3,[2]ARBOR_REAJUSTE18!$A:$AE,VLOOKUP($AVU$2,[2]ARBOR_REAJUSTE18!$A:$B,2,0),0))),""))),4)</f>
        <v>#VALUE!</v>
      </c>
      <c r="AWE5" s="44" t="e">
        <f>ROUNDUP(IF(IFERROR(IF($AVU5="","",IF($AVU5=0,1,1-$AVU5/HLOOKUP(AWE$3,[2]ARBOR_REAJUSTE18!$A:$AE,VLOOKUP($AVU$2,[2]ARBOR_REAJUSTE18!$A:$B,2,0),0))),"")&lt;0.01%,0.01%,(IFERROR(IF($AVU5="","",IF($AVU5=0,1,1-$AVU5/HLOOKUP(AWE$3,[2]ARBOR_REAJUSTE18!$A:$AE,VLOOKUP($AVU$2,[2]ARBOR_REAJUSTE18!$A:$B,2,0),0))),""))),4)</f>
        <v>#VALUE!</v>
      </c>
      <c r="AWF5" s="44" t="e">
        <f>ROUNDUP(IF(IFERROR(IF($AVU5="","",IF($AVU5=0,1,1-$AVU5/HLOOKUP(AWF$3,[2]ARBOR_REAJUSTE18!$A:$AE,VLOOKUP($AVU$2,[2]ARBOR_REAJUSTE18!$A:$B,2,0),0))),"")&lt;0.01%,0.01%,(IFERROR(IF($AVU5="","",IF($AVU5=0,1,1-$AVU5/HLOOKUP(AWF$3,[2]ARBOR_REAJUSTE18!$A:$AE,VLOOKUP($AVU$2,[2]ARBOR_REAJUSTE18!$A:$B,2,0),0))),""))),4)</f>
        <v>#VALUE!</v>
      </c>
      <c r="AWG5" s="44" t="e">
        <f>ROUNDUP(IF(IFERROR(IF($AVU5="","",IF($AVU5=0,1,1-$AVU5/HLOOKUP(AWG$3,[2]ARBOR_REAJUSTE18!$A:$AE,VLOOKUP($AVU$2,[2]ARBOR_REAJUSTE18!$A:$B,2,0),0))),"")&lt;0.01%,0.01%,(IFERROR(IF($AVU5="","",IF($AVU5=0,1,1-$AVU5/HLOOKUP(AWG$3,[2]ARBOR_REAJUSTE18!$A:$AE,VLOOKUP($AVU$2,[2]ARBOR_REAJUSTE18!$A:$B,2,0),0))),""))),4)</f>
        <v>#VALUE!</v>
      </c>
      <c r="AWH5" s="44" t="e">
        <f>ROUNDUP(IF(IFERROR(IF($AVU5="","",IF($AVU5=0,1,1-$AVU5/HLOOKUP(AWH$3,[2]ARBOR_REAJUSTE18!$A:$AE,VLOOKUP($AVU$2,[2]ARBOR_REAJUSTE18!$A:$B,2,0),0))),"")&lt;0.01%,0.01%,(IFERROR(IF($AVU5="","",IF($AVU5=0,1,1-$AVU5/HLOOKUP(AWH$3,[2]ARBOR_REAJUSTE18!$A:$AE,VLOOKUP($AVU$2,[2]ARBOR_REAJUSTE18!$A:$B,2,0),0))),""))),4)</f>
        <v>#VALUE!</v>
      </c>
      <c r="AWI5" s="44" t="e">
        <f>ROUNDUP(IF(IFERROR(IF($AVU5="","",IF($AVU5=0,1,1-$AVU5/HLOOKUP(AWI$3,[2]ARBOR_REAJUSTE18!$A:$AE,VLOOKUP($AVU$2,[2]ARBOR_REAJUSTE18!$A:$B,2,0),0))),"")&lt;0.01%,0.01%,(IFERROR(IF($AVU5="","",IF($AVU5=0,1,1-$AVU5/HLOOKUP(AWI$3,[2]ARBOR_REAJUSTE18!$A:$AE,VLOOKUP($AVU$2,[2]ARBOR_REAJUSTE18!$A:$B,2,0),0))),""))),4)</f>
        <v>#VALUE!</v>
      </c>
      <c r="AWJ5" s="44" t="e">
        <f>ROUNDUP(IF(IFERROR(IF($AVU5="","",IF($AVU5=0,1,1-$AVU5/HLOOKUP(AWJ$3,[2]ARBOR_REAJUSTE18!$A:$AE,VLOOKUP($AVU$2,[2]ARBOR_REAJUSTE18!$A:$B,2,0),0))),"")&lt;0.01%,0.01%,(IFERROR(IF($AVU5="","",IF($AVU5=0,1,1-$AVU5/HLOOKUP(AWJ$3,[2]ARBOR_REAJUSTE18!$A:$AE,VLOOKUP($AVU$2,[2]ARBOR_REAJUSTE18!$A:$B,2,0),0))),""))),4)</f>
        <v>#VALUE!</v>
      </c>
      <c r="AWK5" s="44" t="e">
        <f>ROUNDUP(IF(IFERROR(IF($AVU5="","",IF($AVU5=0,1,1-$AVU5/HLOOKUP(AWK$3,[2]ARBOR_REAJUSTE18!$A:$AE,VLOOKUP($AVU$2,[2]ARBOR_REAJUSTE18!$A:$B,2,0),0))),"")&lt;0.01%,0.01%,(IFERROR(IF($AVU5="","",IF($AVU5=0,1,1-$AVU5/HLOOKUP(AWK$3,[2]ARBOR_REAJUSTE18!$A:$AE,VLOOKUP($AVU$2,[2]ARBOR_REAJUSTE18!$A:$B,2,0),0))),""))),4)</f>
        <v>#VALUE!</v>
      </c>
      <c r="AWL5" s="44" t="e">
        <f>ROUNDUP(IF(IFERROR(IF($AVU5="","",IF($AVU5=0,1,1-$AVU5/HLOOKUP(AWL$3,[2]ARBOR_REAJUSTE18!$A:$AE,VLOOKUP($AVU$2,[2]ARBOR_REAJUSTE18!$A:$B,2,0),0))),"")&lt;0.01%,0.01%,(IFERROR(IF($AVU5="","",IF($AVU5=0,1,1-$AVU5/HLOOKUP(AWL$3,[2]ARBOR_REAJUSTE18!$A:$AE,VLOOKUP($AVU$2,[2]ARBOR_REAJUSTE18!$A:$B,2,0),0))),""))),4)</f>
        <v>#VALUE!</v>
      </c>
      <c r="AWM5" s="44" t="e">
        <f>ROUNDUP(IF(IFERROR(IF($AVU5="","",IF($AVU5=0,1,1-$AVU5/HLOOKUP(AWM$3,[2]ARBOR_REAJUSTE18!$A:$AE,VLOOKUP($AVU$2,[2]ARBOR_REAJUSTE18!$A:$B,2,0),0))),"")&lt;0.01%,0.01%,(IFERROR(IF($AVU5="","",IF($AVU5=0,1,1-$AVU5/HLOOKUP(AWM$3,[2]ARBOR_REAJUSTE18!$A:$AE,VLOOKUP($AVU$2,[2]ARBOR_REAJUSTE18!$A:$B,2,0),0))),""))),4)</f>
        <v>#VALUE!</v>
      </c>
      <c r="AWN5" s="44" t="e">
        <f>ROUNDUP(IF(IFERROR(IF($AVU5="","",IF($AVU5=0,1,1-$AVU5/HLOOKUP(AWN$3,[2]ARBOR_REAJUSTE18!$A:$AE,VLOOKUP($AVU$2,[2]ARBOR_REAJUSTE18!$A:$B,2,0),0))),"")&lt;0.01%,0.01%,(IFERROR(IF($AVU5="","",IF($AVU5=0,1,1-$AVU5/HLOOKUP(AWN$3,[2]ARBOR_REAJUSTE18!$A:$AE,VLOOKUP($AVU$2,[2]ARBOR_REAJUSTE18!$A:$B,2,0),0))),""))),4)</f>
        <v>#VALUE!</v>
      </c>
      <c r="AWO5" s="44" t="e">
        <f>ROUNDUP(IF(IFERROR(IF($AVU5="","",IF($AVU5=0,1,1-$AVU5/HLOOKUP(AWO$3,[2]ARBOR_REAJUSTE18!$A:$AE,VLOOKUP($AVU$2,[2]ARBOR_REAJUSTE18!$A:$B,2,0),0))),"")&lt;0.01%,0.01%,(IFERROR(IF($AVU5="","",IF($AVU5=0,1,1-$AVU5/HLOOKUP(AWO$3,[2]ARBOR_REAJUSTE18!$A:$AE,VLOOKUP($AVU$2,[2]ARBOR_REAJUSTE18!$A:$B,2,0),0))),""))),4)</f>
        <v>#VALUE!</v>
      </c>
      <c r="AWP5" s="44" t="e">
        <f>ROUNDUP(IF(IFERROR(IF($AVU5="","",IF($AVU5=0,1,1-$AVU5/HLOOKUP(AWP$3,[2]ARBOR_REAJUSTE18!$A:$AE,VLOOKUP($AVU$2,[2]ARBOR_REAJUSTE18!$A:$B,2,0),0))),"")&lt;0.01%,0.01%,(IFERROR(IF($AVU5="","",IF($AVU5=0,1,1-$AVU5/HLOOKUP(AWP$3,[2]ARBOR_REAJUSTE18!$A:$AE,VLOOKUP($AVU$2,[2]ARBOR_REAJUSTE18!$A:$B,2,0),0))),""))),4)</f>
        <v>#VALUE!</v>
      </c>
      <c r="AWQ5" s="44" t="e">
        <f>ROUNDUP(IF(IFERROR(IF($AVU5="","",IF($AVU5=0,1,1-$AVU5/HLOOKUP(AWQ$3,[2]ARBOR_REAJUSTE18!$A:$AE,VLOOKUP($AVU$2,[2]ARBOR_REAJUSTE18!$A:$B,2,0),0))),"")&lt;0.01%,0.01%,(IFERROR(IF($AVU5="","",IF($AVU5=0,1,1-$AVU5/HLOOKUP(AWQ$3,[2]ARBOR_REAJUSTE18!$A:$AE,VLOOKUP($AVU$2,[2]ARBOR_REAJUSTE18!$A:$B,2,0),0))),""))),4)</f>
        <v>#VALUE!</v>
      </c>
      <c r="AWR5" s="44" t="e">
        <f>ROUNDUP(IF(IFERROR(IF($AVU5="","",IF($AVU5=0,1,1-$AVU5/HLOOKUP(AWR$3,[2]ARBOR_REAJUSTE18!$A:$AE,VLOOKUP($AVU$2,[2]ARBOR_REAJUSTE18!$A:$B,2,0),0))),"")&lt;0.01%,0.01%,(IFERROR(IF($AVU5="","",IF($AVU5=0,1,1-$AVU5/HLOOKUP(AWR$3,[2]ARBOR_REAJUSTE18!$A:$AE,VLOOKUP($AVU$2,[2]ARBOR_REAJUSTE18!$A:$B,2,0),0))),""))),4)</f>
        <v>#VALUE!</v>
      </c>
      <c r="AWS5" s="44" t="e">
        <f>ROUNDUP(IF(IFERROR(IF($AVU5="","",IF($AVU5=0,1,1-$AVU5/HLOOKUP(AWS$3,[2]ARBOR_REAJUSTE18!$A:$AE,VLOOKUP($AVU$2,[2]ARBOR_REAJUSTE18!$A:$B,2,0),0))),"")&lt;0.01%,0.01%,(IFERROR(IF($AVU5="","",IF($AVU5=0,1,1-$AVU5/HLOOKUP(AWS$3,[2]ARBOR_REAJUSTE18!$A:$AE,VLOOKUP($AVU$2,[2]ARBOR_REAJUSTE18!$A:$B,2,0),0))),""))),4)</f>
        <v>#VALUE!</v>
      </c>
      <c r="AWT5" s="44" t="e">
        <f>ROUNDUP(IF(IFERROR(IF($AVU5="","",IF($AVU5=0,1,1-$AVU5/HLOOKUP(AWT$3,[2]ARBOR_REAJUSTE18!$A:$AE,VLOOKUP($AVU$2,[2]ARBOR_REAJUSTE18!$A:$B,2,0),0))),"")&lt;0.01%,0.01%,(IFERROR(IF($AVU5="","",IF($AVU5=0,1,1-$AVU5/HLOOKUP(AWT$3,[2]ARBOR_REAJUSTE18!$A:$AE,VLOOKUP($AVU$2,[2]ARBOR_REAJUSTE18!$A:$B,2,0),0))),""))),4)</f>
        <v>#VALUE!</v>
      </c>
      <c r="AWU5" s="44" t="e">
        <f>ROUNDUP(IF(IFERROR(IF($AVU5="","",IF($AVU5=0,1,1-$AVU5/HLOOKUP(AWU$3,[2]ARBOR_REAJUSTE18!$A:$AE,VLOOKUP($AVU$2,[2]ARBOR_REAJUSTE18!$A:$B,2,0),0))),"")&lt;0.01%,0.01%,(IFERROR(IF($AVU5="","",IF($AVU5=0,1,1-$AVU5/HLOOKUP(AWU$3,[2]ARBOR_REAJUSTE18!$A:$AE,VLOOKUP($AVU$2,[2]ARBOR_REAJUSTE18!$A:$B,2,0),0))),""))),4)</f>
        <v>#VALUE!</v>
      </c>
      <c r="AWV5" s="44" t="e">
        <f>ROUNDUP(IF(IFERROR(IF($AVU5="","",IF($AVU5=0,1,1-$AVU5/HLOOKUP(AWV$3,[2]ARBOR_REAJUSTE18!$A:$AE,VLOOKUP($AVU$2,[2]ARBOR_REAJUSTE18!$A:$B,2,0),0))),"")&lt;0.01%,0.01%,(IFERROR(IF($AVU5="","",IF($AVU5=0,1,1-$AVU5/HLOOKUP(AWV$3,[2]ARBOR_REAJUSTE18!$A:$AE,VLOOKUP($AVU$2,[2]ARBOR_REAJUSTE18!$A:$B,2,0),0))),""))),4)</f>
        <v>#VALUE!</v>
      </c>
      <c r="AWW5" s="44" t="e">
        <f>ROUNDUP(IF(IFERROR(IF($AVU5="","",IF($AVU5=0,1,1-$AVU5/HLOOKUP(AWW$3,[2]ARBOR_REAJUSTE18!$A:$AE,VLOOKUP($AVU$2,[2]ARBOR_REAJUSTE18!$A:$B,2,0),0))),"")&lt;0.01%,0.01%,(IFERROR(IF($AVU5="","",IF($AVU5=0,1,1-$AVU5/HLOOKUP(AWW$3,[2]ARBOR_REAJUSTE18!$A:$AE,VLOOKUP($AVU$2,[2]ARBOR_REAJUSTE18!$A:$B,2,0),0))),""))),4)</f>
        <v>#VALUE!</v>
      </c>
      <c r="AWX5" s="56">
        <v>119.80000000000001</v>
      </c>
      <c r="AWY5" s="64" t="e">
        <f>VLOOKUP($AV5&amp;AWZ5&amp;"Template desconto FLAT Plano Principal Oi TV nível conta",[2]BENEFICIOS!$A:$G,5,0)</f>
        <v>#VALUE!</v>
      </c>
      <c r="AWZ5" s="44" t="e">
        <f>ROUNDUP(IF(IFERROR(IF($AWX5="","",IF($AWX5=0,1,1-$AWX5/HLOOKUP(AWZ$3,[2]ARBOR_REAJUSTE18!$A:$AE,VLOOKUP($AWX$2,[2]ARBOR_REAJUSTE18!$A:$B,2,0),0))),"")&lt;0.01%,0.01%,(IFERROR(IF($AWX5="","",IF($AWX5=0,1,1-$AWX5/HLOOKUP(AWZ$3,[2]ARBOR_REAJUSTE18!$A:$AE,VLOOKUP($AWX$2,[2]ARBOR_REAJUSTE18!$A:$B,2,0),0))),""))),4)</f>
        <v>#VALUE!</v>
      </c>
      <c r="AXA5" s="44" t="e">
        <f>ROUNDUP(IF(IFERROR(IF($AWX5="","",IF($AWX5=0,1,1-$AWX5/HLOOKUP(AXA$3,[2]ARBOR_REAJUSTE18!$A:$AE,VLOOKUP($AWX$2,[2]ARBOR_REAJUSTE18!$A:$B,2,0),0))),"")&lt;0.01%,0.01%,(IFERROR(IF($AWX5="","",IF($AWX5=0,1,1-$AWX5/HLOOKUP(AXA$3,[2]ARBOR_REAJUSTE18!$A:$AE,VLOOKUP($AWX$2,[2]ARBOR_REAJUSTE18!$A:$B,2,0),0))),""))),4)</f>
        <v>#VALUE!</v>
      </c>
      <c r="AXB5" s="44" t="e">
        <f>ROUNDUP(IF(IFERROR(IF($AWX5="","",IF($AWX5=0,1,1-$AWX5/HLOOKUP(AXB$3,[2]ARBOR_REAJUSTE18!$A:$AE,VLOOKUP($AWX$2,[2]ARBOR_REAJUSTE18!$A:$B,2,0),0))),"")&lt;0.01%,0.01%,(IFERROR(IF($AWX5="","",IF($AWX5=0,1,1-$AWX5/HLOOKUP(AXB$3,[2]ARBOR_REAJUSTE18!$A:$AE,VLOOKUP($AWX$2,[2]ARBOR_REAJUSTE18!$A:$B,2,0),0))),""))),4)</f>
        <v>#VALUE!</v>
      </c>
      <c r="AXC5" s="44" t="e">
        <f>ROUNDUP(IF(IFERROR(IF($AWX5="","",IF($AWX5=0,1,1-$AWX5/HLOOKUP(AXC$3,[2]ARBOR_REAJUSTE18!$A:$AE,VLOOKUP($AWX$2,[2]ARBOR_REAJUSTE18!$A:$B,2,0),0))),"")&lt;0.01%,0.01%,(IFERROR(IF($AWX5="","",IF($AWX5=0,1,1-$AWX5/HLOOKUP(AXC$3,[2]ARBOR_REAJUSTE18!$A:$AE,VLOOKUP($AWX$2,[2]ARBOR_REAJUSTE18!$A:$B,2,0),0))),""))),4)</f>
        <v>#VALUE!</v>
      </c>
      <c r="AXD5" s="44" t="e">
        <f>ROUNDUP(IF(IFERROR(IF($AWX5="","",IF($AWX5=0,1,1-$AWX5/HLOOKUP(AXD$3,[2]ARBOR_REAJUSTE18!$A:$AE,VLOOKUP($AWX$2,[2]ARBOR_REAJUSTE18!$A:$B,2,0),0))),"")&lt;0.01%,0.01%,(IFERROR(IF($AWX5="","",IF($AWX5=0,1,1-$AWX5/HLOOKUP(AXD$3,[2]ARBOR_REAJUSTE18!$A:$AE,VLOOKUP($AWX$2,[2]ARBOR_REAJUSTE18!$A:$B,2,0),0))),""))),4)</f>
        <v>#VALUE!</v>
      </c>
      <c r="AXE5" s="44" t="e">
        <f>ROUNDUP(IF(IFERROR(IF($AWX5="","",IF($AWX5=0,1,1-$AWX5/HLOOKUP(AXE$3,[2]ARBOR_REAJUSTE18!$A:$AE,VLOOKUP($AWX$2,[2]ARBOR_REAJUSTE18!$A:$B,2,0),0))),"")&lt;0.01%,0.01%,(IFERROR(IF($AWX5="","",IF($AWX5=0,1,1-$AWX5/HLOOKUP(AXE$3,[2]ARBOR_REAJUSTE18!$A:$AE,VLOOKUP($AWX$2,[2]ARBOR_REAJUSTE18!$A:$B,2,0),0))),""))),4)</f>
        <v>#VALUE!</v>
      </c>
      <c r="AXF5" s="44" t="e">
        <f>ROUNDUP(IF(IFERROR(IF($AWX5="","",IF($AWX5=0,1,1-$AWX5/HLOOKUP(AXF$3,[2]ARBOR_REAJUSTE18!$A:$AE,VLOOKUP($AWX$2,[2]ARBOR_REAJUSTE18!$A:$B,2,0),0))),"")&lt;0.01%,0.01%,(IFERROR(IF($AWX5="","",IF($AWX5=0,1,1-$AWX5/HLOOKUP(AXF$3,[2]ARBOR_REAJUSTE18!$A:$AE,VLOOKUP($AWX$2,[2]ARBOR_REAJUSTE18!$A:$B,2,0),0))),""))),4)</f>
        <v>#VALUE!</v>
      </c>
      <c r="AXG5" s="44" t="e">
        <f>ROUNDUP(IF(IFERROR(IF($AWX5="","",IF($AWX5=0,1,1-$AWX5/HLOOKUP(AXG$3,[2]ARBOR_REAJUSTE18!$A:$AE,VLOOKUP($AWX$2,[2]ARBOR_REAJUSTE18!$A:$B,2,0),0))),"")&lt;0.01%,0.01%,(IFERROR(IF($AWX5="","",IF($AWX5=0,1,1-$AWX5/HLOOKUP(AXG$3,[2]ARBOR_REAJUSTE18!$A:$AE,VLOOKUP($AWX$2,[2]ARBOR_REAJUSTE18!$A:$B,2,0),0))),""))),4)</f>
        <v>#VALUE!</v>
      </c>
      <c r="AXH5" s="44" t="e">
        <f>ROUNDUP(IF(IFERROR(IF($AWX5="","",IF($AWX5=0,1,1-$AWX5/HLOOKUP(AXH$3,[2]ARBOR_REAJUSTE18!$A:$AE,VLOOKUP($AWX$2,[2]ARBOR_REAJUSTE18!$A:$B,2,0),0))),"")&lt;0.01%,0.01%,(IFERROR(IF($AWX5="","",IF($AWX5=0,1,1-$AWX5/HLOOKUP(AXH$3,[2]ARBOR_REAJUSTE18!$A:$AE,VLOOKUP($AWX$2,[2]ARBOR_REAJUSTE18!$A:$B,2,0),0))),""))),4)</f>
        <v>#VALUE!</v>
      </c>
      <c r="AXI5" s="44" t="e">
        <f>ROUNDUP(IF(IFERROR(IF($AWX5="","",IF($AWX5=0,1,1-$AWX5/HLOOKUP(AXI$3,[2]ARBOR_REAJUSTE18!$A:$AE,VLOOKUP($AWX$2,[2]ARBOR_REAJUSTE18!$A:$B,2,0),0))),"")&lt;0.01%,0.01%,(IFERROR(IF($AWX5="","",IF($AWX5=0,1,1-$AWX5/HLOOKUP(AXI$3,[2]ARBOR_REAJUSTE18!$A:$AE,VLOOKUP($AWX$2,[2]ARBOR_REAJUSTE18!$A:$B,2,0),0))),""))),4)</f>
        <v>#VALUE!</v>
      </c>
      <c r="AXJ5" s="44" t="e">
        <f>ROUNDUP(IF(IFERROR(IF($AWX5="","",IF($AWX5=0,1,1-$AWX5/HLOOKUP(AXJ$3,[2]ARBOR_REAJUSTE18!$A:$AE,VLOOKUP($AWX$2,[2]ARBOR_REAJUSTE18!$A:$B,2,0),0))),"")&lt;0.01%,0.01%,(IFERROR(IF($AWX5="","",IF($AWX5=0,1,1-$AWX5/HLOOKUP(AXJ$3,[2]ARBOR_REAJUSTE18!$A:$AE,VLOOKUP($AWX$2,[2]ARBOR_REAJUSTE18!$A:$B,2,0),0))),""))),4)</f>
        <v>#VALUE!</v>
      </c>
      <c r="AXK5" s="44" t="e">
        <f>ROUNDUP(IF(IFERROR(IF($AWX5="","",IF($AWX5=0,1,1-$AWX5/HLOOKUP(AXK$3,[2]ARBOR_REAJUSTE18!$A:$AE,VLOOKUP($AWX$2,[2]ARBOR_REAJUSTE18!$A:$B,2,0),0))),"")&lt;0.01%,0.01%,(IFERROR(IF($AWX5="","",IF($AWX5=0,1,1-$AWX5/HLOOKUP(AXK$3,[2]ARBOR_REAJUSTE18!$A:$AE,VLOOKUP($AWX$2,[2]ARBOR_REAJUSTE18!$A:$B,2,0),0))),""))),4)</f>
        <v>#VALUE!</v>
      </c>
      <c r="AXL5" s="44" t="e">
        <f>ROUNDUP(IF(IFERROR(IF($AWX5="","",IF($AWX5=0,1,1-$AWX5/HLOOKUP(AXL$3,[2]ARBOR_REAJUSTE18!$A:$AE,VLOOKUP($AWX$2,[2]ARBOR_REAJUSTE18!$A:$B,2,0),0))),"")&lt;0.01%,0.01%,(IFERROR(IF($AWX5="","",IF($AWX5=0,1,1-$AWX5/HLOOKUP(AXL$3,[2]ARBOR_REAJUSTE18!$A:$AE,VLOOKUP($AWX$2,[2]ARBOR_REAJUSTE18!$A:$B,2,0),0))),""))),4)</f>
        <v>#VALUE!</v>
      </c>
      <c r="AXM5" s="44" t="e">
        <f>ROUNDUP(IF(IFERROR(IF($AWX5="","",IF($AWX5=0,1,1-$AWX5/HLOOKUP(AXM$3,[2]ARBOR_REAJUSTE18!$A:$AE,VLOOKUP($AWX$2,[2]ARBOR_REAJUSTE18!$A:$B,2,0),0))),"")&lt;0.01%,0.01%,(IFERROR(IF($AWX5="","",IF($AWX5=0,1,1-$AWX5/HLOOKUP(AXM$3,[2]ARBOR_REAJUSTE18!$A:$AE,VLOOKUP($AWX$2,[2]ARBOR_REAJUSTE18!$A:$B,2,0),0))),""))),4)</f>
        <v>#VALUE!</v>
      </c>
      <c r="AXN5" s="44" t="e">
        <f>ROUNDUP(IF(IFERROR(IF($AWX5="","",IF($AWX5=0,1,1-$AWX5/HLOOKUP(AXN$3,[2]ARBOR_REAJUSTE18!$A:$AE,VLOOKUP($AWX$2,[2]ARBOR_REAJUSTE18!$A:$B,2,0),0))),"")&lt;0.01%,0.01%,(IFERROR(IF($AWX5="","",IF($AWX5=0,1,1-$AWX5/HLOOKUP(AXN$3,[2]ARBOR_REAJUSTE18!$A:$AE,VLOOKUP($AWX$2,[2]ARBOR_REAJUSTE18!$A:$B,2,0),0))),""))),4)</f>
        <v>#VALUE!</v>
      </c>
      <c r="AXO5" s="44" t="e">
        <f>ROUNDUP(IF(IFERROR(IF($AWX5="","",IF($AWX5=0,1,1-$AWX5/HLOOKUP(AXO$3,[2]ARBOR_REAJUSTE18!$A:$AE,VLOOKUP($AWX$2,[2]ARBOR_REAJUSTE18!$A:$B,2,0),0))),"")&lt;0.01%,0.01%,(IFERROR(IF($AWX5="","",IF($AWX5=0,1,1-$AWX5/HLOOKUP(AXO$3,[2]ARBOR_REAJUSTE18!$A:$AE,VLOOKUP($AWX$2,[2]ARBOR_REAJUSTE18!$A:$B,2,0),0))),""))),4)</f>
        <v>#VALUE!</v>
      </c>
      <c r="AXP5" s="44" t="e">
        <f>ROUNDUP(IF(IFERROR(IF($AWX5="","",IF($AWX5=0,1,1-$AWX5/HLOOKUP(AXP$3,[2]ARBOR_REAJUSTE18!$A:$AE,VLOOKUP($AWX$2,[2]ARBOR_REAJUSTE18!$A:$B,2,0),0))),"")&lt;0.01%,0.01%,(IFERROR(IF($AWX5="","",IF($AWX5=0,1,1-$AWX5/HLOOKUP(AXP$3,[2]ARBOR_REAJUSTE18!$A:$AE,VLOOKUP($AWX$2,[2]ARBOR_REAJUSTE18!$A:$B,2,0),0))),""))),4)</f>
        <v>#VALUE!</v>
      </c>
      <c r="AXQ5" s="44" t="e">
        <f>ROUNDUP(IF(IFERROR(IF($AWX5="","",IF($AWX5=0,1,1-$AWX5/HLOOKUP(AXQ$3,[2]ARBOR_REAJUSTE18!$A:$AE,VLOOKUP($AWX$2,[2]ARBOR_REAJUSTE18!$A:$B,2,0),0))),"")&lt;0.01%,0.01%,(IFERROR(IF($AWX5="","",IF($AWX5=0,1,1-$AWX5/HLOOKUP(AXQ$3,[2]ARBOR_REAJUSTE18!$A:$AE,VLOOKUP($AWX$2,[2]ARBOR_REAJUSTE18!$A:$B,2,0),0))),""))),4)</f>
        <v>#VALUE!</v>
      </c>
      <c r="AXR5" s="44" t="e">
        <f>ROUNDUP(IF(IFERROR(IF($AWX5="","",IF($AWX5=0,1,1-$AWX5/HLOOKUP(AXR$3,[2]ARBOR_REAJUSTE18!$A:$AE,VLOOKUP($AWX$2,[2]ARBOR_REAJUSTE18!$A:$B,2,0),0))),"")&lt;0.01%,0.01%,(IFERROR(IF($AWX5="","",IF($AWX5=0,1,1-$AWX5/HLOOKUP(AXR$3,[2]ARBOR_REAJUSTE18!$A:$AE,VLOOKUP($AWX$2,[2]ARBOR_REAJUSTE18!$A:$B,2,0),0))),""))),4)</f>
        <v>#VALUE!</v>
      </c>
      <c r="AXS5" s="44" t="e">
        <f>ROUNDUP(IF(IFERROR(IF($AWX5="","",IF($AWX5=0,1,1-$AWX5/HLOOKUP(AXS$3,[2]ARBOR_REAJUSTE18!$A:$AE,VLOOKUP($AWX$2,[2]ARBOR_REAJUSTE18!$A:$B,2,0),0))),"")&lt;0.01%,0.01%,(IFERROR(IF($AWX5="","",IF($AWX5=0,1,1-$AWX5/HLOOKUP(AXS$3,[2]ARBOR_REAJUSTE18!$A:$AE,VLOOKUP($AWX$2,[2]ARBOR_REAJUSTE18!$A:$B,2,0),0))),""))),4)</f>
        <v>#VALUE!</v>
      </c>
      <c r="AXT5" s="44" t="e">
        <f>ROUNDUP(IF(IFERROR(IF($AWX5="","",IF($AWX5=0,1,1-$AWX5/HLOOKUP(AXT$3,[2]ARBOR_REAJUSTE18!$A:$AE,VLOOKUP($AWX$2,[2]ARBOR_REAJUSTE18!$A:$B,2,0),0))),"")&lt;0.01%,0.01%,(IFERROR(IF($AWX5="","",IF($AWX5=0,1,1-$AWX5/HLOOKUP(AXT$3,[2]ARBOR_REAJUSTE18!$A:$AE,VLOOKUP($AWX$2,[2]ARBOR_REAJUSTE18!$A:$B,2,0),0))),""))),4)</f>
        <v>#VALUE!</v>
      </c>
      <c r="AXU5" s="44" t="e">
        <f>ROUNDUP(IF(IFERROR(IF($AWX5="","",IF($AWX5=0,1,1-$AWX5/HLOOKUP(AXU$3,[2]ARBOR_REAJUSTE18!$A:$AE,VLOOKUP($AWX$2,[2]ARBOR_REAJUSTE18!$A:$B,2,0),0))),"")&lt;0.01%,0.01%,(IFERROR(IF($AWX5="","",IF($AWX5=0,1,1-$AWX5/HLOOKUP(AXU$3,[2]ARBOR_REAJUSTE18!$A:$AE,VLOOKUP($AWX$2,[2]ARBOR_REAJUSTE18!$A:$B,2,0),0))),""))),4)</f>
        <v>#VALUE!</v>
      </c>
      <c r="AXV5" s="44" t="e">
        <f>ROUNDUP(IF(IFERROR(IF($AWX5="","",IF($AWX5=0,1,1-$AWX5/HLOOKUP(AXV$3,[2]ARBOR_REAJUSTE18!$A:$AE,VLOOKUP($AWX$2,[2]ARBOR_REAJUSTE18!$A:$B,2,0),0))),"")&lt;0.01%,0.01%,(IFERROR(IF($AWX5="","",IF($AWX5=0,1,1-$AWX5/HLOOKUP(AXV$3,[2]ARBOR_REAJUSTE18!$A:$AE,VLOOKUP($AWX$2,[2]ARBOR_REAJUSTE18!$A:$B,2,0),0))),""))),4)</f>
        <v>#VALUE!</v>
      </c>
      <c r="AXW5" s="44" t="e">
        <f>ROUNDUP(IF(IFERROR(IF($AWX5="","",IF($AWX5=0,1,1-$AWX5/HLOOKUP(AXW$3,[2]ARBOR_REAJUSTE18!$A:$AE,VLOOKUP($AWX$2,[2]ARBOR_REAJUSTE18!$A:$B,2,0),0))),"")&lt;0.01%,0.01%,(IFERROR(IF($AWX5="","",IF($AWX5=0,1,1-$AWX5/HLOOKUP(AXW$3,[2]ARBOR_REAJUSTE18!$A:$AE,VLOOKUP($AWX$2,[2]ARBOR_REAJUSTE18!$A:$B,2,0),0))),""))),4)</f>
        <v>#VALUE!</v>
      </c>
      <c r="AXX5" s="44" t="e">
        <f>ROUNDUP(IF(IFERROR(IF($AWX5="","",IF($AWX5=0,1,1-$AWX5/HLOOKUP(AXX$3,[2]ARBOR_REAJUSTE18!$A:$AE,VLOOKUP($AWX$2,[2]ARBOR_REAJUSTE18!$A:$B,2,0),0))),"")&lt;0.01%,0.01%,(IFERROR(IF($AWX5="","",IF($AWX5=0,1,1-$AWX5/HLOOKUP(AXX$3,[2]ARBOR_REAJUSTE18!$A:$AE,VLOOKUP($AWX$2,[2]ARBOR_REAJUSTE18!$A:$B,2,0),0))),""))),4)</f>
        <v>#VALUE!</v>
      </c>
      <c r="AXY5" s="44" t="e">
        <f>ROUNDUP(IF(IFERROR(IF($AWX5="","",IF($AWX5=0,1,1-$AWX5/HLOOKUP(AXY$3,[2]ARBOR_REAJUSTE18!$A:$AE,VLOOKUP($AWX$2,[2]ARBOR_REAJUSTE18!$A:$B,2,0),0))),"")&lt;0.01%,0.01%,(IFERROR(IF($AWX5="","",IF($AWX5=0,1,1-$AWX5/HLOOKUP(AXY$3,[2]ARBOR_REAJUSTE18!$A:$AE,VLOOKUP($AWX$2,[2]ARBOR_REAJUSTE18!$A:$B,2,0),0))),""))),4)</f>
        <v>#VALUE!</v>
      </c>
      <c r="AXZ5" s="44" t="e">
        <f>ROUNDUP(IF(IFERROR(IF($AWX5="","",IF($AWX5=0,1,1-$AWX5/HLOOKUP(AXZ$3,[2]ARBOR_REAJUSTE18!$A:$AE,VLOOKUP($AWX$2,[2]ARBOR_REAJUSTE18!$A:$B,2,0),0))),"")&lt;0.01%,0.01%,(IFERROR(IF($AWX5="","",IF($AWX5=0,1,1-$AWX5/HLOOKUP(AXZ$3,[2]ARBOR_REAJUSTE18!$A:$AE,VLOOKUP($AWX$2,[2]ARBOR_REAJUSTE18!$A:$B,2,0),0))),""))),4)</f>
        <v>#VALUE!</v>
      </c>
      <c r="AYA5" s="56">
        <v>154.80000000000001</v>
      </c>
      <c r="AYB5" s="64" t="e">
        <f>VLOOKUP($AV5&amp;AYC5&amp;"Template desconto FLAT Plano Principal Oi TV nível conta",[2]BENEFICIOS!$A:$G,5,0)</f>
        <v>#VALUE!</v>
      </c>
      <c r="AYC5" s="44" t="e">
        <f>ROUNDUP(IF(IFERROR(IF($AYA5="","",IF($AYA5=0,1,1-$AYA5/HLOOKUP(AYC$3,[2]ARBOR_REAJUSTE18!$A:$AE,VLOOKUP($AYA$2,[2]ARBOR_REAJUSTE18!$A:$B,2,0),0))),"")&lt;0.01%,0.01%,(IFERROR(IF($AYA5="","",IF($AYA5=0,1,1-$AYA5/HLOOKUP(AYC$3,[2]ARBOR_REAJUSTE18!$A:$AE,VLOOKUP($AYA$2,[2]ARBOR_REAJUSTE18!$A:$B,2,0),0))),""))),4)</f>
        <v>#VALUE!</v>
      </c>
      <c r="AYD5" s="44" t="e">
        <f>ROUNDUP(IF(IFERROR(IF($AYA5="","",IF($AYA5=0,1,1-$AYA5/HLOOKUP(AYD$3,[2]ARBOR_REAJUSTE18!$A:$AE,VLOOKUP($AYA$2,[2]ARBOR_REAJUSTE18!$A:$B,2,0),0))),"")&lt;0.01%,0.01%,(IFERROR(IF($AYA5="","",IF($AYA5=0,1,1-$AYA5/HLOOKUP(AYD$3,[2]ARBOR_REAJUSTE18!$A:$AE,VLOOKUP($AYA$2,[2]ARBOR_REAJUSTE18!$A:$B,2,0),0))),""))),4)</f>
        <v>#VALUE!</v>
      </c>
      <c r="AYE5" s="44" t="e">
        <f>ROUNDUP(IF(IFERROR(IF($AYA5="","",IF($AYA5=0,1,1-$AYA5/HLOOKUP(AYE$3,[2]ARBOR_REAJUSTE18!$A:$AE,VLOOKUP($AYA$2,[2]ARBOR_REAJUSTE18!$A:$B,2,0),0))),"")&lt;0.01%,0.01%,(IFERROR(IF($AYA5="","",IF($AYA5=0,1,1-$AYA5/HLOOKUP(AYE$3,[2]ARBOR_REAJUSTE18!$A:$AE,VLOOKUP($AYA$2,[2]ARBOR_REAJUSTE18!$A:$B,2,0),0))),""))),4)</f>
        <v>#VALUE!</v>
      </c>
      <c r="AYF5" s="44" t="e">
        <f>ROUNDUP(IF(IFERROR(IF($AYA5="","",IF($AYA5=0,1,1-$AYA5/HLOOKUP(AYF$3,[2]ARBOR_REAJUSTE18!$A:$AE,VLOOKUP($AYA$2,[2]ARBOR_REAJUSTE18!$A:$B,2,0),0))),"")&lt;0.01%,0.01%,(IFERROR(IF($AYA5="","",IF($AYA5=0,1,1-$AYA5/HLOOKUP(AYF$3,[2]ARBOR_REAJUSTE18!$A:$AE,VLOOKUP($AYA$2,[2]ARBOR_REAJUSTE18!$A:$B,2,0),0))),""))),4)</f>
        <v>#VALUE!</v>
      </c>
      <c r="AYG5" s="44" t="e">
        <f>ROUNDUP(IF(IFERROR(IF($AYA5="","",IF($AYA5=0,1,1-$AYA5/HLOOKUP(AYG$3,[2]ARBOR_REAJUSTE18!$A:$AE,VLOOKUP($AYA$2,[2]ARBOR_REAJUSTE18!$A:$B,2,0),0))),"")&lt;0.01%,0.01%,(IFERROR(IF($AYA5="","",IF($AYA5=0,1,1-$AYA5/HLOOKUP(AYG$3,[2]ARBOR_REAJUSTE18!$A:$AE,VLOOKUP($AYA$2,[2]ARBOR_REAJUSTE18!$A:$B,2,0),0))),""))),4)</f>
        <v>#VALUE!</v>
      </c>
      <c r="AYH5" s="44" t="e">
        <f>ROUNDUP(IF(IFERROR(IF($AYA5="","",IF($AYA5=0,1,1-$AYA5/HLOOKUP(AYH$3,[2]ARBOR_REAJUSTE18!$A:$AE,VLOOKUP($AYA$2,[2]ARBOR_REAJUSTE18!$A:$B,2,0),0))),"")&lt;0.01%,0.01%,(IFERROR(IF($AYA5="","",IF($AYA5=0,1,1-$AYA5/HLOOKUP(AYH$3,[2]ARBOR_REAJUSTE18!$A:$AE,VLOOKUP($AYA$2,[2]ARBOR_REAJUSTE18!$A:$B,2,0),0))),""))),4)</f>
        <v>#VALUE!</v>
      </c>
      <c r="AYI5" s="44" t="e">
        <f>ROUNDUP(IF(IFERROR(IF($AYA5="","",IF($AYA5=0,1,1-$AYA5/HLOOKUP(AYI$3,[2]ARBOR_REAJUSTE18!$A:$AE,VLOOKUP($AYA$2,[2]ARBOR_REAJUSTE18!$A:$B,2,0),0))),"")&lt;0.01%,0.01%,(IFERROR(IF($AYA5="","",IF($AYA5=0,1,1-$AYA5/HLOOKUP(AYI$3,[2]ARBOR_REAJUSTE18!$A:$AE,VLOOKUP($AYA$2,[2]ARBOR_REAJUSTE18!$A:$B,2,0),0))),""))),4)</f>
        <v>#VALUE!</v>
      </c>
      <c r="AYJ5" s="44" t="e">
        <f>ROUNDUP(IF(IFERROR(IF($AYA5="","",IF($AYA5=0,1,1-$AYA5/HLOOKUP(AYJ$3,[2]ARBOR_REAJUSTE18!$A:$AE,VLOOKUP($AYA$2,[2]ARBOR_REAJUSTE18!$A:$B,2,0),0))),"")&lt;0.01%,0.01%,(IFERROR(IF($AYA5="","",IF($AYA5=0,1,1-$AYA5/HLOOKUP(AYJ$3,[2]ARBOR_REAJUSTE18!$A:$AE,VLOOKUP($AYA$2,[2]ARBOR_REAJUSTE18!$A:$B,2,0),0))),""))),4)</f>
        <v>#VALUE!</v>
      </c>
      <c r="AYK5" s="44" t="e">
        <f>ROUNDUP(IF(IFERROR(IF($AYA5="","",IF($AYA5=0,1,1-$AYA5/HLOOKUP(AYK$3,[2]ARBOR_REAJUSTE18!$A:$AE,VLOOKUP($AYA$2,[2]ARBOR_REAJUSTE18!$A:$B,2,0),0))),"")&lt;0.01%,0.01%,(IFERROR(IF($AYA5="","",IF($AYA5=0,1,1-$AYA5/HLOOKUP(AYK$3,[2]ARBOR_REAJUSTE18!$A:$AE,VLOOKUP($AYA$2,[2]ARBOR_REAJUSTE18!$A:$B,2,0),0))),""))),4)</f>
        <v>#VALUE!</v>
      </c>
      <c r="AYL5" s="44" t="e">
        <f>ROUNDUP(IF(IFERROR(IF($AYA5="","",IF($AYA5=0,1,1-$AYA5/HLOOKUP(AYL$3,[2]ARBOR_REAJUSTE18!$A:$AE,VLOOKUP($AYA$2,[2]ARBOR_REAJUSTE18!$A:$B,2,0),0))),"")&lt;0.01%,0.01%,(IFERROR(IF($AYA5="","",IF($AYA5=0,1,1-$AYA5/HLOOKUP(AYL$3,[2]ARBOR_REAJUSTE18!$A:$AE,VLOOKUP($AYA$2,[2]ARBOR_REAJUSTE18!$A:$B,2,0),0))),""))),4)</f>
        <v>#VALUE!</v>
      </c>
      <c r="AYM5" s="44" t="e">
        <f>ROUNDUP(IF(IFERROR(IF($AYA5="","",IF($AYA5=0,1,1-$AYA5/HLOOKUP(AYM$3,[2]ARBOR_REAJUSTE18!$A:$AE,VLOOKUP($AYA$2,[2]ARBOR_REAJUSTE18!$A:$B,2,0),0))),"")&lt;0.01%,0.01%,(IFERROR(IF($AYA5="","",IF($AYA5=0,1,1-$AYA5/HLOOKUP(AYM$3,[2]ARBOR_REAJUSTE18!$A:$AE,VLOOKUP($AYA$2,[2]ARBOR_REAJUSTE18!$A:$B,2,0),0))),""))),4)</f>
        <v>#VALUE!</v>
      </c>
      <c r="AYN5" s="44" t="e">
        <f>ROUNDUP(IF(IFERROR(IF($AYA5="","",IF($AYA5=0,1,1-$AYA5/HLOOKUP(AYN$3,[2]ARBOR_REAJUSTE18!$A:$AE,VLOOKUP($AYA$2,[2]ARBOR_REAJUSTE18!$A:$B,2,0),0))),"")&lt;0.01%,0.01%,(IFERROR(IF($AYA5="","",IF($AYA5=0,1,1-$AYA5/HLOOKUP(AYN$3,[2]ARBOR_REAJUSTE18!$A:$AE,VLOOKUP($AYA$2,[2]ARBOR_REAJUSTE18!$A:$B,2,0),0))),""))),4)</f>
        <v>#VALUE!</v>
      </c>
      <c r="AYO5" s="44" t="e">
        <f>ROUNDUP(IF(IFERROR(IF($AYA5="","",IF($AYA5=0,1,1-$AYA5/HLOOKUP(AYO$3,[2]ARBOR_REAJUSTE18!$A:$AE,VLOOKUP($AYA$2,[2]ARBOR_REAJUSTE18!$A:$B,2,0),0))),"")&lt;0.01%,0.01%,(IFERROR(IF($AYA5="","",IF($AYA5=0,1,1-$AYA5/HLOOKUP(AYO$3,[2]ARBOR_REAJUSTE18!$A:$AE,VLOOKUP($AYA$2,[2]ARBOR_REAJUSTE18!$A:$B,2,0),0))),""))),4)</f>
        <v>#VALUE!</v>
      </c>
      <c r="AYP5" s="44" t="e">
        <f>ROUNDUP(IF(IFERROR(IF($AYA5="","",IF($AYA5=0,1,1-$AYA5/HLOOKUP(AYP$3,[2]ARBOR_REAJUSTE18!$A:$AE,VLOOKUP($AYA$2,[2]ARBOR_REAJUSTE18!$A:$B,2,0),0))),"")&lt;0.01%,0.01%,(IFERROR(IF($AYA5="","",IF($AYA5=0,1,1-$AYA5/HLOOKUP(AYP$3,[2]ARBOR_REAJUSTE18!$A:$AE,VLOOKUP($AYA$2,[2]ARBOR_REAJUSTE18!$A:$B,2,0),0))),""))),4)</f>
        <v>#VALUE!</v>
      </c>
      <c r="AYQ5" s="44" t="e">
        <f>ROUNDUP(IF(IFERROR(IF($AYA5="","",IF($AYA5=0,1,1-$AYA5/HLOOKUP(AYQ$3,[2]ARBOR_REAJUSTE18!$A:$AE,VLOOKUP($AYA$2,[2]ARBOR_REAJUSTE18!$A:$B,2,0),0))),"")&lt;0.01%,0.01%,(IFERROR(IF($AYA5="","",IF($AYA5=0,1,1-$AYA5/HLOOKUP(AYQ$3,[2]ARBOR_REAJUSTE18!$A:$AE,VLOOKUP($AYA$2,[2]ARBOR_REAJUSTE18!$A:$B,2,0),0))),""))),4)</f>
        <v>#VALUE!</v>
      </c>
      <c r="AYR5" s="44" t="e">
        <f>ROUNDUP(IF(IFERROR(IF($AYA5="","",IF($AYA5=0,1,1-$AYA5/HLOOKUP(AYR$3,[2]ARBOR_REAJUSTE18!$A:$AE,VLOOKUP($AYA$2,[2]ARBOR_REAJUSTE18!$A:$B,2,0),0))),"")&lt;0.01%,0.01%,(IFERROR(IF($AYA5="","",IF($AYA5=0,1,1-$AYA5/HLOOKUP(AYR$3,[2]ARBOR_REAJUSTE18!$A:$AE,VLOOKUP($AYA$2,[2]ARBOR_REAJUSTE18!$A:$B,2,0),0))),""))),4)</f>
        <v>#VALUE!</v>
      </c>
      <c r="AYS5" s="44" t="e">
        <f>ROUNDUP(IF(IFERROR(IF($AYA5="","",IF($AYA5=0,1,1-$AYA5/HLOOKUP(AYS$3,[2]ARBOR_REAJUSTE18!$A:$AE,VLOOKUP($AYA$2,[2]ARBOR_REAJUSTE18!$A:$B,2,0),0))),"")&lt;0.01%,0.01%,(IFERROR(IF($AYA5="","",IF($AYA5=0,1,1-$AYA5/HLOOKUP(AYS$3,[2]ARBOR_REAJUSTE18!$A:$AE,VLOOKUP($AYA$2,[2]ARBOR_REAJUSTE18!$A:$B,2,0),0))),""))),4)</f>
        <v>#VALUE!</v>
      </c>
      <c r="AYT5" s="44" t="e">
        <f>ROUNDUP(IF(IFERROR(IF($AYA5="","",IF($AYA5=0,1,1-$AYA5/HLOOKUP(AYT$3,[2]ARBOR_REAJUSTE18!$A:$AE,VLOOKUP($AYA$2,[2]ARBOR_REAJUSTE18!$A:$B,2,0),0))),"")&lt;0.01%,0.01%,(IFERROR(IF($AYA5="","",IF($AYA5=0,1,1-$AYA5/HLOOKUP(AYT$3,[2]ARBOR_REAJUSTE18!$A:$AE,VLOOKUP($AYA$2,[2]ARBOR_REAJUSTE18!$A:$B,2,0),0))),""))),4)</f>
        <v>#VALUE!</v>
      </c>
      <c r="AYU5" s="44" t="e">
        <f>ROUNDUP(IF(IFERROR(IF($AYA5="","",IF($AYA5=0,1,1-$AYA5/HLOOKUP(AYU$3,[2]ARBOR_REAJUSTE18!$A:$AE,VLOOKUP($AYA$2,[2]ARBOR_REAJUSTE18!$A:$B,2,0),0))),"")&lt;0.01%,0.01%,(IFERROR(IF($AYA5="","",IF($AYA5=0,1,1-$AYA5/HLOOKUP(AYU$3,[2]ARBOR_REAJUSTE18!$A:$AE,VLOOKUP($AYA$2,[2]ARBOR_REAJUSTE18!$A:$B,2,0),0))),""))),4)</f>
        <v>#VALUE!</v>
      </c>
      <c r="AYV5" s="44" t="e">
        <f>ROUNDUP(IF(IFERROR(IF($AYA5="","",IF($AYA5=0,1,1-$AYA5/HLOOKUP(AYV$3,[2]ARBOR_REAJUSTE18!$A:$AE,VLOOKUP($AYA$2,[2]ARBOR_REAJUSTE18!$A:$B,2,0),0))),"")&lt;0.01%,0.01%,(IFERROR(IF($AYA5="","",IF($AYA5=0,1,1-$AYA5/HLOOKUP(AYV$3,[2]ARBOR_REAJUSTE18!$A:$AE,VLOOKUP($AYA$2,[2]ARBOR_REAJUSTE18!$A:$B,2,0),0))),""))),4)</f>
        <v>#VALUE!</v>
      </c>
      <c r="AYW5" s="44" t="e">
        <f>ROUNDUP(IF(IFERROR(IF($AYA5="","",IF($AYA5=0,1,1-$AYA5/HLOOKUP(AYW$3,[2]ARBOR_REAJUSTE18!$A:$AE,VLOOKUP($AYA$2,[2]ARBOR_REAJUSTE18!$A:$B,2,0),0))),"")&lt;0.01%,0.01%,(IFERROR(IF($AYA5="","",IF($AYA5=0,1,1-$AYA5/HLOOKUP(AYW$3,[2]ARBOR_REAJUSTE18!$A:$AE,VLOOKUP($AYA$2,[2]ARBOR_REAJUSTE18!$A:$B,2,0),0))),""))),4)</f>
        <v>#VALUE!</v>
      </c>
      <c r="AYX5" s="44" t="e">
        <f>ROUNDUP(IF(IFERROR(IF($AYA5="","",IF($AYA5=0,1,1-$AYA5/HLOOKUP(AYX$3,[2]ARBOR_REAJUSTE18!$A:$AE,VLOOKUP($AYA$2,[2]ARBOR_REAJUSTE18!$A:$B,2,0),0))),"")&lt;0.01%,0.01%,(IFERROR(IF($AYA5="","",IF($AYA5=0,1,1-$AYA5/HLOOKUP(AYX$3,[2]ARBOR_REAJUSTE18!$A:$AE,VLOOKUP($AYA$2,[2]ARBOR_REAJUSTE18!$A:$B,2,0),0))),""))),4)</f>
        <v>#VALUE!</v>
      </c>
      <c r="AYY5" s="44" t="e">
        <f>ROUNDUP(IF(IFERROR(IF($AYA5="","",IF($AYA5=0,1,1-$AYA5/HLOOKUP(AYY$3,[2]ARBOR_REAJUSTE18!$A:$AE,VLOOKUP($AYA$2,[2]ARBOR_REAJUSTE18!$A:$B,2,0),0))),"")&lt;0.01%,0.01%,(IFERROR(IF($AYA5="","",IF($AYA5=0,1,1-$AYA5/HLOOKUP(AYY$3,[2]ARBOR_REAJUSTE18!$A:$AE,VLOOKUP($AYA$2,[2]ARBOR_REAJUSTE18!$A:$B,2,0),0))),""))),4)</f>
        <v>#VALUE!</v>
      </c>
      <c r="AYZ5" s="44" t="e">
        <f>ROUNDUP(IF(IFERROR(IF($AYA5="","",IF($AYA5=0,1,1-$AYA5/HLOOKUP(AYZ$3,[2]ARBOR_REAJUSTE18!$A:$AE,VLOOKUP($AYA$2,[2]ARBOR_REAJUSTE18!$A:$B,2,0),0))),"")&lt;0.01%,0.01%,(IFERROR(IF($AYA5="","",IF($AYA5=0,1,1-$AYA5/HLOOKUP(AYZ$3,[2]ARBOR_REAJUSTE18!$A:$AE,VLOOKUP($AYA$2,[2]ARBOR_REAJUSTE18!$A:$B,2,0),0))),""))),4)</f>
        <v>#VALUE!</v>
      </c>
      <c r="AZA5" s="44" t="e">
        <f>ROUNDUP(IF(IFERROR(IF($AYA5="","",IF($AYA5=0,1,1-$AYA5/HLOOKUP(AZA$3,[2]ARBOR_REAJUSTE18!$A:$AE,VLOOKUP($AYA$2,[2]ARBOR_REAJUSTE18!$A:$B,2,0),0))),"")&lt;0.01%,0.01%,(IFERROR(IF($AYA5="","",IF($AYA5=0,1,1-$AYA5/HLOOKUP(AZA$3,[2]ARBOR_REAJUSTE18!$A:$AE,VLOOKUP($AYA$2,[2]ARBOR_REAJUSTE18!$A:$B,2,0),0))),""))),4)</f>
        <v>#VALUE!</v>
      </c>
      <c r="AZB5" s="44" t="e">
        <f>ROUNDUP(IF(IFERROR(IF($AYA5="","",IF($AYA5=0,1,1-$AYA5/HLOOKUP(AZB$3,[2]ARBOR_REAJUSTE18!$A:$AE,VLOOKUP($AYA$2,[2]ARBOR_REAJUSTE18!$A:$B,2,0),0))),"")&lt;0.01%,0.01%,(IFERROR(IF($AYA5="","",IF($AYA5=0,1,1-$AYA5/HLOOKUP(AZB$3,[2]ARBOR_REAJUSTE18!$A:$AE,VLOOKUP($AYA$2,[2]ARBOR_REAJUSTE18!$A:$B,2,0),0))),""))),4)</f>
        <v>#VALUE!</v>
      </c>
      <c r="AZC5" s="44" t="e">
        <f>ROUNDUP(IF(IFERROR(IF($AYA5="","",IF($AYA5=0,1,1-$AYA5/HLOOKUP(AZC$3,[2]ARBOR_REAJUSTE18!$A:$AE,VLOOKUP($AYA$2,[2]ARBOR_REAJUSTE18!$A:$B,2,0),0))),"")&lt;0.01%,0.01%,(IFERROR(IF($AYA5="","",IF($AYA5=0,1,1-$AYA5/HLOOKUP(AZC$3,[2]ARBOR_REAJUSTE18!$A:$AE,VLOOKUP($AYA$2,[2]ARBOR_REAJUSTE18!$A:$B,2,0),0))),""))),4)</f>
        <v>#VALUE!</v>
      </c>
      <c r="AZD5" s="56">
        <v>169.8</v>
      </c>
      <c r="AZE5" s="64" t="e">
        <f>VLOOKUP($AV5&amp;AZF5&amp;"Template desconto FLAT Plano Principal Oi TV nível conta",[2]BENEFICIOS!$A:$G,5,0)</f>
        <v>#VALUE!</v>
      </c>
      <c r="AZF5" s="44" t="e">
        <f>ROUNDUP(IF(IFERROR(IF($AZD5="","",IF($AZD5=0,1,1-$AZD5/HLOOKUP(AZF$3,[2]ARBOR_REAJUSTE18!$A:$AE,VLOOKUP($AZD$2,[2]ARBOR_REAJUSTE18!$A:$B,2,0),0))),"")&lt;0.01%,0.01%,(IFERROR(IF($AZD5="","",IF($AZD5=0,1,1-$AZD5/HLOOKUP(AZF$3,[2]ARBOR_REAJUSTE18!$A:$AE,VLOOKUP($AZD$2,[2]ARBOR_REAJUSTE18!$A:$B,2,0),0))),""))),4)</f>
        <v>#VALUE!</v>
      </c>
      <c r="AZG5" s="44" t="e">
        <f>ROUNDUP(IF(IFERROR(IF($AZD5="","",IF($AZD5=0,1,1-$AZD5/HLOOKUP(AZG$3,[2]ARBOR_REAJUSTE18!$A:$AE,VLOOKUP($AZD$2,[2]ARBOR_REAJUSTE18!$A:$B,2,0),0))),"")&lt;0.01%,0.01%,(IFERROR(IF($AZD5="","",IF($AZD5=0,1,1-$AZD5/HLOOKUP(AZG$3,[2]ARBOR_REAJUSTE18!$A:$AE,VLOOKUP($AZD$2,[2]ARBOR_REAJUSTE18!$A:$B,2,0),0))),""))),4)</f>
        <v>#VALUE!</v>
      </c>
      <c r="AZH5" s="44" t="e">
        <f>ROUNDUP(IF(IFERROR(IF($AZD5="","",IF($AZD5=0,1,1-$AZD5/HLOOKUP(AZH$3,[2]ARBOR_REAJUSTE18!$A:$AE,VLOOKUP($AZD$2,[2]ARBOR_REAJUSTE18!$A:$B,2,0),0))),"")&lt;0.01%,0.01%,(IFERROR(IF($AZD5="","",IF($AZD5=0,1,1-$AZD5/HLOOKUP(AZH$3,[2]ARBOR_REAJUSTE18!$A:$AE,VLOOKUP($AZD$2,[2]ARBOR_REAJUSTE18!$A:$B,2,0),0))),""))),4)</f>
        <v>#VALUE!</v>
      </c>
      <c r="AZI5" s="44" t="e">
        <f>ROUNDUP(IF(IFERROR(IF($AZD5="","",IF($AZD5=0,1,1-$AZD5/HLOOKUP(AZI$3,[2]ARBOR_REAJUSTE18!$A:$AE,VLOOKUP($AZD$2,[2]ARBOR_REAJUSTE18!$A:$B,2,0),0))),"")&lt;0.01%,0.01%,(IFERROR(IF($AZD5="","",IF($AZD5=0,1,1-$AZD5/HLOOKUP(AZI$3,[2]ARBOR_REAJUSTE18!$A:$AE,VLOOKUP($AZD$2,[2]ARBOR_REAJUSTE18!$A:$B,2,0),0))),""))),4)</f>
        <v>#VALUE!</v>
      </c>
      <c r="AZJ5" s="44" t="e">
        <f>ROUNDUP(IF(IFERROR(IF($AZD5="","",IF($AZD5=0,1,1-$AZD5/HLOOKUP(AZJ$3,[2]ARBOR_REAJUSTE18!$A:$AE,VLOOKUP($AZD$2,[2]ARBOR_REAJUSTE18!$A:$B,2,0),0))),"")&lt;0.01%,0.01%,(IFERROR(IF($AZD5="","",IF($AZD5=0,1,1-$AZD5/HLOOKUP(AZJ$3,[2]ARBOR_REAJUSTE18!$A:$AE,VLOOKUP($AZD$2,[2]ARBOR_REAJUSTE18!$A:$B,2,0),0))),""))),4)</f>
        <v>#VALUE!</v>
      </c>
      <c r="AZK5" s="44" t="e">
        <f>ROUNDUP(IF(IFERROR(IF($AZD5="","",IF($AZD5=0,1,1-$AZD5/HLOOKUP(AZK$3,[2]ARBOR_REAJUSTE18!$A:$AE,VLOOKUP($AZD$2,[2]ARBOR_REAJUSTE18!$A:$B,2,0),0))),"")&lt;0.01%,0.01%,(IFERROR(IF($AZD5="","",IF($AZD5=0,1,1-$AZD5/HLOOKUP(AZK$3,[2]ARBOR_REAJUSTE18!$A:$AE,VLOOKUP($AZD$2,[2]ARBOR_REAJUSTE18!$A:$B,2,0),0))),""))),4)</f>
        <v>#VALUE!</v>
      </c>
      <c r="AZL5" s="44" t="e">
        <f>ROUNDUP(IF(IFERROR(IF($AZD5="","",IF($AZD5=0,1,1-$AZD5/HLOOKUP(AZL$3,[2]ARBOR_REAJUSTE18!$A:$AE,VLOOKUP($AZD$2,[2]ARBOR_REAJUSTE18!$A:$B,2,0),0))),"")&lt;0.01%,0.01%,(IFERROR(IF($AZD5="","",IF($AZD5=0,1,1-$AZD5/HLOOKUP(AZL$3,[2]ARBOR_REAJUSTE18!$A:$AE,VLOOKUP($AZD$2,[2]ARBOR_REAJUSTE18!$A:$B,2,0),0))),""))),4)</f>
        <v>#VALUE!</v>
      </c>
      <c r="AZM5" s="44" t="e">
        <f>ROUNDUP(IF(IFERROR(IF($AZD5="","",IF($AZD5=0,1,1-$AZD5/HLOOKUP(AZM$3,[2]ARBOR_REAJUSTE18!$A:$AE,VLOOKUP($AZD$2,[2]ARBOR_REAJUSTE18!$A:$B,2,0),0))),"")&lt;0.01%,0.01%,(IFERROR(IF($AZD5="","",IF($AZD5=0,1,1-$AZD5/HLOOKUP(AZM$3,[2]ARBOR_REAJUSTE18!$A:$AE,VLOOKUP($AZD$2,[2]ARBOR_REAJUSTE18!$A:$B,2,0),0))),""))),4)</f>
        <v>#VALUE!</v>
      </c>
      <c r="AZN5" s="44" t="e">
        <f>ROUNDUP(IF(IFERROR(IF($AZD5="","",IF($AZD5=0,1,1-$AZD5/HLOOKUP(AZN$3,[2]ARBOR_REAJUSTE18!$A:$AE,VLOOKUP($AZD$2,[2]ARBOR_REAJUSTE18!$A:$B,2,0),0))),"")&lt;0.01%,0.01%,(IFERROR(IF($AZD5="","",IF($AZD5=0,1,1-$AZD5/HLOOKUP(AZN$3,[2]ARBOR_REAJUSTE18!$A:$AE,VLOOKUP($AZD$2,[2]ARBOR_REAJUSTE18!$A:$B,2,0),0))),""))),4)</f>
        <v>#VALUE!</v>
      </c>
      <c r="AZO5" s="44" t="e">
        <f>ROUNDUP(IF(IFERROR(IF($AZD5="","",IF($AZD5=0,1,1-$AZD5/HLOOKUP(AZO$3,[2]ARBOR_REAJUSTE18!$A:$AE,VLOOKUP($AZD$2,[2]ARBOR_REAJUSTE18!$A:$B,2,0),0))),"")&lt;0.01%,0.01%,(IFERROR(IF($AZD5="","",IF($AZD5=0,1,1-$AZD5/HLOOKUP(AZO$3,[2]ARBOR_REAJUSTE18!$A:$AE,VLOOKUP($AZD$2,[2]ARBOR_REAJUSTE18!$A:$B,2,0),0))),""))),4)</f>
        <v>#VALUE!</v>
      </c>
      <c r="AZP5" s="44" t="e">
        <f>ROUNDUP(IF(IFERROR(IF($AZD5="","",IF($AZD5=0,1,1-$AZD5/HLOOKUP(AZP$3,[2]ARBOR_REAJUSTE18!$A:$AE,VLOOKUP($AZD$2,[2]ARBOR_REAJUSTE18!$A:$B,2,0),0))),"")&lt;0.01%,0.01%,(IFERROR(IF($AZD5="","",IF($AZD5=0,1,1-$AZD5/HLOOKUP(AZP$3,[2]ARBOR_REAJUSTE18!$A:$AE,VLOOKUP($AZD$2,[2]ARBOR_REAJUSTE18!$A:$B,2,0),0))),""))),4)</f>
        <v>#VALUE!</v>
      </c>
      <c r="AZQ5" s="44" t="e">
        <f>ROUNDUP(IF(IFERROR(IF($AZD5="","",IF($AZD5=0,1,1-$AZD5/HLOOKUP(AZQ$3,[2]ARBOR_REAJUSTE18!$A:$AE,VLOOKUP($AZD$2,[2]ARBOR_REAJUSTE18!$A:$B,2,0),0))),"")&lt;0.01%,0.01%,(IFERROR(IF($AZD5="","",IF($AZD5=0,1,1-$AZD5/HLOOKUP(AZQ$3,[2]ARBOR_REAJUSTE18!$A:$AE,VLOOKUP($AZD$2,[2]ARBOR_REAJUSTE18!$A:$B,2,0),0))),""))),4)</f>
        <v>#VALUE!</v>
      </c>
      <c r="AZR5" s="44" t="e">
        <f>ROUNDUP(IF(IFERROR(IF($AZD5="","",IF($AZD5=0,1,1-$AZD5/HLOOKUP(AZR$3,[2]ARBOR_REAJUSTE18!$A:$AE,VLOOKUP($AZD$2,[2]ARBOR_REAJUSTE18!$A:$B,2,0),0))),"")&lt;0.01%,0.01%,(IFERROR(IF($AZD5="","",IF($AZD5=0,1,1-$AZD5/HLOOKUP(AZR$3,[2]ARBOR_REAJUSTE18!$A:$AE,VLOOKUP($AZD$2,[2]ARBOR_REAJUSTE18!$A:$B,2,0),0))),""))),4)</f>
        <v>#VALUE!</v>
      </c>
      <c r="AZS5" s="44" t="e">
        <f>ROUNDUP(IF(IFERROR(IF($AZD5="","",IF($AZD5=0,1,1-$AZD5/HLOOKUP(AZS$3,[2]ARBOR_REAJUSTE18!$A:$AE,VLOOKUP($AZD$2,[2]ARBOR_REAJUSTE18!$A:$B,2,0),0))),"")&lt;0.01%,0.01%,(IFERROR(IF($AZD5="","",IF($AZD5=0,1,1-$AZD5/HLOOKUP(AZS$3,[2]ARBOR_REAJUSTE18!$A:$AE,VLOOKUP($AZD$2,[2]ARBOR_REAJUSTE18!$A:$B,2,0),0))),""))),4)</f>
        <v>#VALUE!</v>
      </c>
      <c r="AZT5" s="44" t="e">
        <f>ROUNDUP(IF(IFERROR(IF($AZD5="","",IF($AZD5=0,1,1-$AZD5/HLOOKUP(AZT$3,[2]ARBOR_REAJUSTE18!$A:$AE,VLOOKUP($AZD$2,[2]ARBOR_REAJUSTE18!$A:$B,2,0),0))),"")&lt;0.01%,0.01%,(IFERROR(IF($AZD5="","",IF($AZD5=0,1,1-$AZD5/HLOOKUP(AZT$3,[2]ARBOR_REAJUSTE18!$A:$AE,VLOOKUP($AZD$2,[2]ARBOR_REAJUSTE18!$A:$B,2,0),0))),""))),4)</f>
        <v>#VALUE!</v>
      </c>
      <c r="AZU5" s="44" t="e">
        <f>ROUNDUP(IF(IFERROR(IF($AZD5="","",IF($AZD5=0,1,1-$AZD5/HLOOKUP(AZU$3,[2]ARBOR_REAJUSTE18!$A:$AE,VLOOKUP($AZD$2,[2]ARBOR_REAJUSTE18!$A:$B,2,0),0))),"")&lt;0.01%,0.01%,(IFERROR(IF($AZD5="","",IF($AZD5=0,1,1-$AZD5/HLOOKUP(AZU$3,[2]ARBOR_REAJUSTE18!$A:$AE,VLOOKUP($AZD$2,[2]ARBOR_REAJUSTE18!$A:$B,2,0),0))),""))),4)</f>
        <v>#VALUE!</v>
      </c>
      <c r="AZV5" s="44" t="e">
        <f>ROUNDUP(IF(IFERROR(IF($AZD5="","",IF($AZD5=0,1,1-$AZD5/HLOOKUP(AZV$3,[2]ARBOR_REAJUSTE18!$A:$AE,VLOOKUP($AZD$2,[2]ARBOR_REAJUSTE18!$A:$B,2,0),0))),"")&lt;0.01%,0.01%,(IFERROR(IF($AZD5="","",IF($AZD5=0,1,1-$AZD5/HLOOKUP(AZV$3,[2]ARBOR_REAJUSTE18!$A:$AE,VLOOKUP($AZD$2,[2]ARBOR_REAJUSTE18!$A:$B,2,0),0))),""))),4)</f>
        <v>#VALUE!</v>
      </c>
      <c r="AZW5" s="44" t="e">
        <f>ROUNDUP(IF(IFERROR(IF($AZD5="","",IF($AZD5=0,1,1-$AZD5/HLOOKUP(AZW$3,[2]ARBOR_REAJUSTE18!$A:$AE,VLOOKUP($AZD$2,[2]ARBOR_REAJUSTE18!$A:$B,2,0),0))),"")&lt;0.01%,0.01%,(IFERROR(IF($AZD5="","",IF($AZD5=0,1,1-$AZD5/HLOOKUP(AZW$3,[2]ARBOR_REAJUSTE18!$A:$AE,VLOOKUP($AZD$2,[2]ARBOR_REAJUSTE18!$A:$B,2,0),0))),""))),4)</f>
        <v>#VALUE!</v>
      </c>
      <c r="AZX5" s="44" t="e">
        <f>ROUNDUP(IF(IFERROR(IF($AZD5="","",IF($AZD5=0,1,1-$AZD5/HLOOKUP(AZX$3,[2]ARBOR_REAJUSTE18!$A:$AE,VLOOKUP($AZD$2,[2]ARBOR_REAJUSTE18!$A:$B,2,0),0))),"")&lt;0.01%,0.01%,(IFERROR(IF($AZD5="","",IF($AZD5=0,1,1-$AZD5/HLOOKUP(AZX$3,[2]ARBOR_REAJUSTE18!$A:$AE,VLOOKUP($AZD$2,[2]ARBOR_REAJUSTE18!$A:$B,2,0),0))),""))),4)</f>
        <v>#VALUE!</v>
      </c>
      <c r="AZY5" s="44" t="e">
        <f>ROUNDUP(IF(IFERROR(IF($AZD5="","",IF($AZD5=0,1,1-$AZD5/HLOOKUP(AZY$3,[2]ARBOR_REAJUSTE18!$A:$AE,VLOOKUP($AZD$2,[2]ARBOR_REAJUSTE18!$A:$B,2,0),0))),"")&lt;0.01%,0.01%,(IFERROR(IF($AZD5="","",IF($AZD5=0,1,1-$AZD5/HLOOKUP(AZY$3,[2]ARBOR_REAJUSTE18!$A:$AE,VLOOKUP($AZD$2,[2]ARBOR_REAJUSTE18!$A:$B,2,0),0))),""))),4)</f>
        <v>#VALUE!</v>
      </c>
      <c r="AZZ5" s="44" t="e">
        <f>ROUNDUP(IF(IFERROR(IF($AZD5="","",IF($AZD5=0,1,1-$AZD5/HLOOKUP(AZZ$3,[2]ARBOR_REAJUSTE18!$A:$AE,VLOOKUP($AZD$2,[2]ARBOR_REAJUSTE18!$A:$B,2,0),0))),"")&lt;0.01%,0.01%,(IFERROR(IF($AZD5="","",IF($AZD5=0,1,1-$AZD5/HLOOKUP(AZZ$3,[2]ARBOR_REAJUSTE18!$A:$AE,VLOOKUP($AZD$2,[2]ARBOR_REAJUSTE18!$A:$B,2,0),0))),""))),4)</f>
        <v>#VALUE!</v>
      </c>
      <c r="BAA5" s="44" t="e">
        <f>ROUNDUP(IF(IFERROR(IF($AZD5="","",IF($AZD5=0,1,1-$AZD5/HLOOKUP(BAA$3,[2]ARBOR_REAJUSTE18!$A:$AE,VLOOKUP($AZD$2,[2]ARBOR_REAJUSTE18!$A:$B,2,0),0))),"")&lt;0.01%,0.01%,(IFERROR(IF($AZD5="","",IF($AZD5=0,1,1-$AZD5/HLOOKUP(BAA$3,[2]ARBOR_REAJUSTE18!$A:$AE,VLOOKUP($AZD$2,[2]ARBOR_REAJUSTE18!$A:$B,2,0),0))),""))),4)</f>
        <v>#VALUE!</v>
      </c>
      <c r="BAB5" s="44" t="e">
        <f>ROUNDUP(IF(IFERROR(IF($AZD5="","",IF($AZD5=0,1,1-$AZD5/HLOOKUP(BAB$3,[2]ARBOR_REAJUSTE18!$A:$AE,VLOOKUP($AZD$2,[2]ARBOR_REAJUSTE18!$A:$B,2,0),0))),"")&lt;0.01%,0.01%,(IFERROR(IF($AZD5="","",IF($AZD5=0,1,1-$AZD5/HLOOKUP(BAB$3,[2]ARBOR_REAJUSTE18!$A:$AE,VLOOKUP($AZD$2,[2]ARBOR_REAJUSTE18!$A:$B,2,0),0))),""))),4)</f>
        <v>#VALUE!</v>
      </c>
      <c r="BAC5" s="44" t="e">
        <f>ROUNDUP(IF(IFERROR(IF($AZD5="","",IF($AZD5=0,1,1-$AZD5/HLOOKUP(BAC$3,[2]ARBOR_REAJUSTE18!$A:$AE,VLOOKUP($AZD$2,[2]ARBOR_REAJUSTE18!$A:$B,2,0),0))),"")&lt;0.01%,0.01%,(IFERROR(IF($AZD5="","",IF($AZD5=0,1,1-$AZD5/HLOOKUP(BAC$3,[2]ARBOR_REAJUSTE18!$A:$AE,VLOOKUP($AZD$2,[2]ARBOR_REAJUSTE18!$A:$B,2,0),0))),""))),4)</f>
        <v>#VALUE!</v>
      </c>
      <c r="BAD5" s="44" t="e">
        <f>ROUNDUP(IF(IFERROR(IF($AZD5="","",IF($AZD5=0,1,1-$AZD5/HLOOKUP(BAD$3,[2]ARBOR_REAJUSTE18!$A:$AE,VLOOKUP($AZD$2,[2]ARBOR_REAJUSTE18!$A:$B,2,0),0))),"")&lt;0.01%,0.01%,(IFERROR(IF($AZD5="","",IF($AZD5=0,1,1-$AZD5/HLOOKUP(BAD$3,[2]ARBOR_REAJUSTE18!$A:$AE,VLOOKUP($AZD$2,[2]ARBOR_REAJUSTE18!$A:$B,2,0),0))),""))),4)</f>
        <v>#VALUE!</v>
      </c>
      <c r="BAE5" s="44" t="e">
        <f>ROUNDUP(IF(IFERROR(IF($AZD5="","",IF($AZD5=0,1,1-$AZD5/HLOOKUP(BAE$3,[2]ARBOR_REAJUSTE18!$A:$AE,VLOOKUP($AZD$2,[2]ARBOR_REAJUSTE18!$A:$B,2,0),0))),"")&lt;0.01%,0.01%,(IFERROR(IF($AZD5="","",IF($AZD5=0,1,1-$AZD5/HLOOKUP(BAE$3,[2]ARBOR_REAJUSTE18!$A:$AE,VLOOKUP($AZD$2,[2]ARBOR_REAJUSTE18!$A:$B,2,0),0))),""))),4)</f>
        <v>#VALUE!</v>
      </c>
      <c r="BAF5" s="44" t="e">
        <f>ROUNDUP(IF(IFERROR(IF($AZD5="","",IF($AZD5=0,1,1-$AZD5/HLOOKUP(BAF$3,[2]ARBOR_REAJUSTE18!$A:$AE,VLOOKUP($AZD$2,[2]ARBOR_REAJUSTE18!$A:$B,2,0),0))),"")&lt;0.01%,0.01%,(IFERROR(IF($AZD5="","",IF($AZD5=0,1,1-$AZD5/HLOOKUP(BAF$3,[2]ARBOR_REAJUSTE18!$A:$AE,VLOOKUP($AZD$2,[2]ARBOR_REAJUSTE18!$A:$B,2,0),0))),""))),4)</f>
        <v>#VALUE!</v>
      </c>
      <c r="BAG5" s="56">
        <v>249.8</v>
      </c>
      <c r="BAH5" s="64" t="e">
        <f>VLOOKUP($AV5&amp;BAI5&amp;"Template desconto FLAT Plano Principal Oi TV nível conta",[2]BENEFICIOS!$A:$G,5,0)</f>
        <v>#VALUE!</v>
      </c>
      <c r="BAI5" s="44" t="e">
        <f>ROUNDUP(IF(IFERROR(IF($BAG5="","",IF($BAG5=0,1,1-$BAG5/HLOOKUP(BAI$3,[2]ARBOR_REAJUSTE18!$A:$AE,VLOOKUP($BAG$2,[2]ARBOR_REAJUSTE18!$A:$B,2,0),0))),"")&lt;0.01%,0.01%,(IFERROR(IF($BAG5="","",IF($BAG5=0,1,1-$BAG5/HLOOKUP(BAI$3,[2]ARBOR_REAJUSTE18!$A:$AE,VLOOKUP($BAG$2,[2]ARBOR_REAJUSTE18!$A:$B,2,0),0))),""))),4)</f>
        <v>#VALUE!</v>
      </c>
      <c r="BAJ5" s="44" t="e">
        <f>ROUNDUP(IF(IFERROR(IF($BAG5="","",IF($BAG5=0,1,1-$BAG5/HLOOKUP(BAJ$3,[2]ARBOR_REAJUSTE18!$A:$AE,VLOOKUP($BAG$2,[2]ARBOR_REAJUSTE18!$A:$B,2,0),0))),"")&lt;0.01%,0.01%,(IFERROR(IF($BAG5="","",IF($BAG5=0,1,1-$BAG5/HLOOKUP(BAJ$3,[2]ARBOR_REAJUSTE18!$A:$AE,VLOOKUP($BAG$2,[2]ARBOR_REAJUSTE18!$A:$B,2,0),0))),""))),4)</f>
        <v>#VALUE!</v>
      </c>
      <c r="BAK5" s="44" t="e">
        <f>ROUNDUP(IF(IFERROR(IF($BAG5="","",IF($BAG5=0,1,1-$BAG5/HLOOKUP(BAK$3,[2]ARBOR_REAJUSTE18!$A:$AE,VLOOKUP($BAG$2,[2]ARBOR_REAJUSTE18!$A:$B,2,0),0))),"")&lt;0.01%,0.01%,(IFERROR(IF($BAG5="","",IF($BAG5=0,1,1-$BAG5/HLOOKUP(BAK$3,[2]ARBOR_REAJUSTE18!$A:$AE,VLOOKUP($BAG$2,[2]ARBOR_REAJUSTE18!$A:$B,2,0),0))),""))),4)</f>
        <v>#VALUE!</v>
      </c>
      <c r="BAL5" s="44" t="e">
        <f>ROUNDUP(IF(IFERROR(IF($BAG5="","",IF($BAG5=0,1,1-$BAG5/HLOOKUP(BAL$3,[2]ARBOR_REAJUSTE18!$A:$AE,VLOOKUP($BAG$2,[2]ARBOR_REAJUSTE18!$A:$B,2,0),0))),"")&lt;0.01%,0.01%,(IFERROR(IF($BAG5="","",IF($BAG5=0,1,1-$BAG5/HLOOKUP(BAL$3,[2]ARBOR_REAJUSTE18!$A:$AE,VLOOKUP($BAG$2,[2]ARBOR_REAJUSTE18!$A:$B,2,0),0))),""))),4)</f>
        <v>#VALUE!</v>
      </c>
      <c r="BAM5" s="44" t="e">
        <f>ROUNDUP(IF(IFERROR(IF($BAG5="","",IF($BAG5=0,1,1-$BAG5/HLOOKUP(BAM$3,[2]ARBOR_REAJUSTE18!$A:$AE,VLOOKUP($BAG$2,[2]ARBOR_REAJUSTE18!$A:$B,2,0),0))),"")&lt;0.01%,0.01%,(IFERROR(IF($BAG5="","",IF($BAG5=0,1,1-$BAG5/HLOOKUP(BAM$3,[2]ARBOR_REAJUSTE18!$A:$AE,VLOOKUP($BAG$2,[2]ARBOR_REAJUSTE18!$A:$B,2,0),0))),""))),4)</f>
        <v>#VALUE!</v>
      </c>
      <c r="BAN5" s="44" t="e">
        <f>ROUNDUP(IF(IFERROR(IF($BAG5="","",IF($BAG5=0,1,1-$BAG5/HLOOKUP(BAN$3,[2]ARBOR_REAJUSTE18!$A:$AE,VLOOKUP($BAG$2,[2]ARBOR_REAJUSTE18!$A:$B,2,0),0))),"")&lt;0.01%,0.01%,(IFERROR(IF($BAG5="","",IF($BAG5=0,1,1-$BAG5/HLOOKUP(BAN$3,[2]ARBOR_REAJUSTE18!$A:$AE,VLOOKUP($BAG$2,[2]ARBOR_REAJUSTE18!$A:$B,2,0),0))),""))),4)</f>
        <v>#VALUE!</v>
      </c>
      <c r="BAO5" s="44" t="e">
        <f>ROUNDUP(IF(IFERROR(IF($BAG5="","",IF($BAG5=0,1,1-$BAG5/HLOOKUP(BAO$3,[2]ARBOR_REAJUSTE18!$A:$AE,VLOOKUP($BAG$2,[2]ARBOR_REAJUSTE18!$A:$B,2,0),0))),"")&lt;0.01%,0.01%,(IFERROR(IF($BAG5="","",IF($BAG5=0,1,1-$BAG5/HLOOKUP(BAO$3,[2]ARBOR_REAJUSTE18!$A:$AE,VLOOKUP($BAG$2,[2]ARBOR_REAJUSTE18!$A:$B,2,0),0))),""))),4)</f>
        <v>#VALUE!</v>
      </c>
      <c r="BAP5" s="44" t="e">
        <f>ROUNDUP(IF(IFERROR(IF($BAG5="","",IF($BAG5=0,1,1-$BAG5/HLOOKUP(BAP$3,[2]ARBOR_REAJUSTE18!$A:$AE,VLOOKUP($BAG$2,[2]ARBOR_REAJUSTE18!$A:$B,2,0),0))),"")&lt;0.01%,0.01%,(IFERROR(IF($BAG5="","",IF($BAG5=0,1,1-$BAG5/HLOOKUP(BAP$3,[2]ARBOR_REAJUSTE18!$A:$AE,VLOOKUP($BAG$2,[2]ARBOR_REAJUSTE18!$A:$B,2,0),0))),""))),4)</f>
        <v>#VALUE!</v>
      </c>
      <c r="BAQ5" s="44" t="e">
        <f>ROUNDUP(IF(IFERROR(IF($BAG5="","",IF($BAG5=0,1,1-$BAG5/HLOOKUP(BAQ$3,[2]ARBOR_REAJUSTE18!$A:$AE,VLOOKUP($BAG$2,[2]ARBOR_REAJUSTE18!$A:$B,2,0),0))),"")&lt;0.01%,0.01%,(IFERROR(IF($BAG5="","",IF($BAG5=0,1,1-$BAG5/HLOOKUP(BAQ$3,[2]ARBOR_REAJUSTE18!$A:$AE,VLOOKUP($BAG$2,[2]ARBOR_REAJUSTE18!$A:$B,2,0),0))),""))),4)</f>
        <v>#VALUE!</v>
      </c>
      <c r="BAR5" s="44" t="e">
        <f>ROUNDUP(IF(IFERROR(IF($BAG5="","",IF($BAG5=0,1,1-$BAG5/HLOOKUP(BAR$3,[2]ARBOR_REAJUSTE18!$A:$AE,VLOOKUP($BAG$2,[2]ARBOR_REAJUSTE18!$A:$B,2,0),0))),"")&lt;0.01%,0.01%,(IFERROR(IF($BAG5="","",IF($BAG5=0,1,1-$BAG5/HLOOKUP(BAR$3,[2]ARBOR_REAJUSTE18!$A:$AE,VLOOKUP($BAG$2,[2]ARBOR_REAJUSTE18!$A:$B,2,0),0))),""))),4)</f>
        <v>#VALUE!</v>
      </c>
      <c r="BAS5" s="44" t="e">
        <f>ROUNDUP(IF(IFERROR(IF($BAG5="","",IF($BAG5=0,1,1-$BAG5/HLOOKUP(BAS$3,[2]ARBOR_REAJUSTE18!$A:$AE,VLOOKUP($BAG$2,[2]ARBOR_REAJUSTE18!$A:$B,2,0),0))),"")&lt;0.01%,0.01%,(IFERROR(IF($BAG5="","",IF($BAG5=0,1,1-$BAG5/HLOOKUP(BAS$3,[2]ARBOR_REAJUSTE18!$A:$AE,VLOOKUP($BAG$2,[2]ARBOR_REAJUSTE18!$A:$B,2,0),0))),""))),4)</f>
        <v>#VALUE!</v>
      </c>
      <c r="BAT5" s="44" t="e">
        <f>ROUNDUP(IF(IFERROR(IF($BAG5="","",IF($BAG5=0,1,1-$BAG5/HLOOKUP(BAT$3,[2]ARBOR_REAJUSTE18!$A:$AE,VLOOKUP($BAG$2,[2]ARBOR_REAJUSTE18!$A:$B,2,0),0))),"")&lt;0.01%,0.01%,(IFERROR(IF($BAG5="","",IF($BAG5=0,1,1-$BAG5/HLOOKUP(BAT$3,[2]ARBOR_REAJUSTE18!$A:$AE,VLOOKUP($BAG$2,[2]ARBOR_REAJUSTE18!$A:$B,2,0),0))),""))),4)</f>
        <v>#VALUE!</v>
      </c>
      <c r="BAU5" s="44" t="e">
        <f>ROUNDUP(IF(IFERROR(IF($BAG5="","",IF($BAG5=0,1,1-$BAG5/HLOOKUP(BAU$3,[2]ARBOR_REAJUSTE18!$A:$AE,VLOOKUP($BAG$2,[2]ARBOR_REAJUSTE18!$A:$B,2,0),0))),"")&lt;0.01%,0.01%,(IFERROR(IF($BAG5="","",IF($BAG5=0,1,1-$BAG5/HLOOKUP(BAU$3,[2]ARBOR_REAJUSTE18!$A:$AE,VLOOKUP($BAG$2,[2]ARBOR_REAJUSTE18!$A:$B,2,0),0))),""))),4)</f>
        <v>#VALUE!</v>
      </c>
      <c r="BAV5" s="44" t="e">
        <f>ROUNDUP(IF(IFERROR(IF($BAG5="","",IF($BAG5=0,1,1-$BAG5/HLOOKUP(BAV$3,[2]ARBOR_REAJUSTE18!$A:$AE,VLOOKUP($BAG$2,[2]ARBOR_REAJUSTE18!$A:$B,2,0),0))),"")&lt;0.01%,0.01%,(IFERROR(IF($BAG5="","",IF($BAG5=0,1,1-$BAG5/HLOOKUP(BAV$3,[2]ARBOR_REAJUSTE18!$A:$AE,VLOOKUP($BAG$2,[2]ARBOR_REAJUSTE18!$A:$B,2,0),0))),""))),4)</f>
        <v>#VALUE!</v>
      </c>
      <c r="BAW5" s="44" t="e">
        <f>ROUNDUP(IF(IFERROR(IF($BAG5="","",IF($BAG5=0,1,1-$BAG5/HLOOKUP(BAW$3,[2]ARBOR_REAJUSTE18!$A:$AE,VLOOKUP($BAG$2,[2]ARBOR_REAJUSTE18!$A:$B,2,0),0))),"")&lt;0.01%,0.01%,(IFERROR(IF($BAG5="","",IF($BAG5=0,1,1-$BAG5/HLOOKUP(BAW$3,[2]ARBOR_REAJUSTE18!$A:$AE,VLOOKUP($BAG$2,[2]ARBOR_REAJUSTE18!$A:$B,2,0),0))),""))),4)</f>
        <v>#VALUE!</v>
      </c>
      <c r="BAX5" s="44" t="e">
        <f>ROUNDUP(IF(IFERROR(IF($BAG5="","",IF($BAG5=0,1,1-$BAG5/HLOOKUP(BAX$3,[2]ARBOR_REAJUSTE18!$A:$AE,VLOOKUP($BAG$2,[2]ARBOR_REAJUSTE18!$A:$B,2,0),0))),"")&lt;0.01%,0.01%,(IFERROR(IF($BAG5="","",IF($BAG5=0,1,1-$BAG5/HLOOKUP(BAX$3,[2]ARBOR_REAJUSTE18!$A:$AE,VLOOKUP($BAG$2,[2]ARBOR_REAJUSTE18!$A:$B,2,0),0))),""))),4)</f>
        <v>#VALUE!</v>
      </c>
      <c r="BAY5" s="44" t="e">
        <f>ROUNDUP(IF(IFERROR(IF($BAG5="","",IF($BAG5=0,1,1-$BAG5/HLOOKUP(BAY$3,[2]ARBOR_REAJUSTE18!$A:$AE,VLOOKUP($BAG$2,[2]ARBOR_REAJUSTE18!$A:$B,2,0),0))),"")&lt;0.01%,0.01%,(IFERROR(IF($BAG5="","",IF($BAG5=0,1,1-$BAG5/HLOOKUP(BAY$3,[2]ARBOR_REAJUSTE18!$A:$AE,VLOOKUP($BAG$2,[2]ARBOR_REAJUSTE18!$A:$B,2,0),0))),""))),4)</f>
        <v>#VALUE!</v>
      </c>
      <c r="BAZ5" s="44" t="e">
        <f>ROUNDUP(IF(IFERROR(IF($BAG5="","",IF($BAG5=0,1,1-$BAG5/HLOOKUP(BAZ$3,[2]ARBOR_REAJUSTE18!$A:$AE,VLOOKUP($BAG$2,[2]ARBOR_REAJUSTE18!$A:$B,2,0),0))),"")&lt;0.01%,0.01%,(IFERROR(IF($BAG5="","",IF($BAG5=0,1,1-$BAG5/HLOOKUP(BAZ$3,[2]ARBOR_REAJUSTE18!$A:$AE,VLOOKUP($BAG$2,[2]ARBOR_REAJUSTE18!$A:$B,2,0),0))),""))),4)</f>
        <v>#VALUE!</v>
      </c>
      <c r="BBA5" s="44" t="e">
        <f>ROUNDUP(IF(IFERROR(IF($BAG5="","",IF($BAG5=0,1,1-$BAG5/HLOOKUP(BBA$3,[2]ARBOR_REAJUSTE18!$A:$AE,VLOOKUP($BAG$2,[2]ARBOR_REAJUSTE18!$A:$B,2,0),0))),"")&lt;0.01%,0.01%,(IFERROR(IF($BAG5="","",IF($BAG5=0,1,1-$BAG5/HLOOKUP(BBA$3,[2]ARBOR_REAJUSTE18!$A:$AE,VLOOKUP($BAG$2,[2]ARBOR_REAJUSTE18!$A:$B,2,0),0))),""))),4)</f>
        <v>#VALUE!</v>
      </c>
      <c r="BBB5" s="44" t="e">
        <f>ROUNDUP(IF(IFERROR(IF($BAG5="","",IF($BAG5=0,1,1-$BAG5/HLOOKUP(BBB$3,[2]ARBOR_REAJUSTE18!$A:$AE,VLOOKUP($BAG$2,[2]ARBOR_REAJUSTE18!$A:$B,2,0),0))),"")&lt;0.01%,0.01%,(IFERROR(IF($BAG5="","",IF($BAG5=0,1,1-$BAG5/HLOOKUP(BBB$3,[2]ARBOR_REAJUSTE18!$A:$AE,VLOOKUP($BAG$2,[2]ARBOR_REAJUSTE18!$A:$B,2,0),0))),""))),4)</f>
        <v>#VALUE!</v>
      </c>
      <c r="BBC5" s="44" t="e">
        <f>ROUNDUP(IF(IFERROR(IF($BAG5="","",IF($BAG5=0,1,1-$BAG5/HLOOKUP(BBC$3,[2]ARBOR_REAJUSTE18!$A:$AE,VLOOKUP($BAG$2,[2]ARBOR_REAJUSTE18!$A:$B,2,0),0))),"")&lt;0.01%,0.01%,(IFERROR(IF($BAG5="","",IF($BAG5=0,1,1-$BAG5/HLOOKUP(BBC$3,[2]ARBOR_REAJUSTE18!$A:$AE,VLOOKUP($BAG$2,[2]ARBOR_REAJUSTE18!$A:$B,2,0),0))),""))),4)</f>
        <v>#VALUE!</v>
      </c>
      <c r="BBD5" s="44" t="e">
        <f>ROUNDUP(IF(IFERROR(IF($BAG5="","",IF($BAG5=0,1,1-$BAG5/HLOOKUP(BBD$3,[2]ARBOR_REAJUSTE18!$A:$AE,VLOOKUP($BAG$2,[2]ARBOR_REAJUSTE18!$A:$B,2,0),0))),"")&lt;0.01%,0.01%,(IFERROR(IF($BAG5="","",IF($BAG5=0,1,1-$BAG5/HLOOKUP(BBD$3,[2]ARBOR_REAJUSTE18!$A:$AE,VLOOKUP($BAG$2,[2]ARBOR_REAJUSTE18!$A:$B,2,0),0))),""))),4)</f>
        <v>#VALUE!</v>
      </c>
      <c r="BBE5" s="44" t="e">
        <f>ROUNDUP(IF(IFERROR(IF($BAG5="","",IF($BAG5=0,1,1-$BAG5/HLOOKUP(BBE$3,[2]ARBOR_REAJUSTE18!$A:$AE,VLOOKUP($BAG$2,[2]ARBOR_REAJUSTE18!$A:$B,2,0),0))),"")&lt;0.01%,0.01%,(IFERROR(IF($BAG5="","",IF($BAG5=0,1,1-$BAG5/HLOOKUP(BBE$3,[2]ARBOR_REAJUSTE18!$A:$AE,VLOOKUP($BAG$2,[2]ARBOR_REAJUSTE18!$A:$B,2,0),0))),""))),4)</f>
        <v>#VALUE!</v>
      </c>
      <c r="BBF5" s="44" t="e">
        <f>ROUNDUP(IF(IFERROR(IF($BAG5="","",IF($BAG5=0,1,1-$BAG5/HLOOKUP(BBF$3,[2]ARBOR_REAJUSTE18!$A:$AE,VLOOKUP($BAG$2,[2]ARBOR_REAJUSTE18!$A:$B,2,0),0))),"")&lt;0.01%,0.01%,(IFERROR(IF($BAG5="","",IF($BAG5=0,1,1-$BAG5/HLOOKUP(BBF$3,[2]ARBOR_REAJUSTE18!$A:$AE,VLOOKUP($BAG$2,[2]ARBOR_REAJUSTE18!$A:$B,2,0),0))),""))),4)</f>
        <v>#VALUE!</v>
      </c>
      <c r="BBG5" s="44" t="e">
        <f>ROUNDUP(IF(IFERROR(IF($BAG5="","",IF($BAG5=0,1,1-$BAG5/HLOOKUP(BBG$3,[2]ARBOR_REAJUSTE18!$A:$AE,VLOOKUP($BAG$2,[2]ARBOR_REAJUSTE18!$A:$B,2,0),0))),"")&lt;0.01%,0.01%,(IFERROR(IF($BAG5="","",IF($BAG5=0,1,1-$BAG5/HLOOKUP(BBG$3,[2]ARBOR_REAJUSTE18!$A:$AE,VLOOKUP($BAG$2,[2]ARBOR_REAJUSTE18!$A:$B,2,0),0))),""))),4)</f>
        <v>#VALUE!</v>
      </c>
      <c r="BBH5" s="44" t="e">
        <f>ROUNDUP(IF(IFERROR(IF($BAG5="","",IF($BAG5=0,1,1-$BAG5/HLOOKUP(BBH$3,[2]ARBOR_REAJUSTE18!$A:$AE,VLOOKUP($BAG$2,[2]ARBOR_REAJUSTE18!$A:$B,2,0),0))),"")&lt;0.01%,0.01%,(IFERROR(IF($BAG5="","",IF($BAG5=0,1,1-$BAG5/HLOOKUP(BBH$3,[2]ARBOR_REAJUSTE18!$A:$AE,VLOOKUP($BAG$2,[2]ARBOR_REAJUSTE18!$A:$B,2,0),0))),""))),4)</f>
        <v>#VALUE!</v>
      </c>
      <c r="BBI5" s="44" t="e">
        <f>ROUNDUP(IF(IFERROR(IF($BAG5="","",IF($BAG5=0,1,1-$BAG5/HLOOKUP(BBI$3,[2]ARBOR_REAJUSTE18!$A:$AE,VLOOKUP($BAG$2,[2]ARBOR_REAJUSTE18!$A:$B,2,0),0))),"")&lt;0.01%,0.01%,(IFERROR(IF($BAG5="","",IF($BAG5=0,1,1-$BAG5/HLOOKUP(BBI$3,[2]ARBOR_REAJUSTE18!$A:$AE,VLOOKUP($BAG$2,[2]ARBOR_REAJUSTE18!$A:$B,2,0),0))),""))),4)</f>
        <v>#VALUE!</v>
      </c>
      <c r="BBJ5" s="56"/>
      <c r="BBK5" s="64"/>
      <c r="BBL5" s="44" t="e">
        <f>ROUNDUP(IF(IFERROR(IF($BBJ5="","",IF($BBJ5=0,1,1-$BBJ5/HLOOKUP(BBL$3,[2]ARBOR_REAJUSTE18!$A:$AE,VLOOKUP($BBJ$2,[2]ARBOR_REAJUSTE18!$A:$B,2,0),0))),"")&lt;0.01%,0.01%,(IFERROR(IF($BBJ5="","",IF($BBJ5=0,1,1-$BBJ5/HLOOKUP(BBL$3,[2]ARBOR_REAJUSTE18!$A:$AE,VLOOKUP($BBJ$2,[2]ARBOR_REAJUSTE18!$A:$B,2,0),0))),""))),4)</f>
        <v>#VALUE!</v>
      </c>
      <c r="BBM5" s="44" t="e">
        <f>ROUNDUP(IF(IFERROR(IF($BBJ5="","",IF($BBJ5=0,1,1-$BBJ5/HLOOKUP(BBM$3,[2]ARBOR_REAJUSTE18!$A:$AE,VLOOKUP($BBJ$2,[2]ARBOR_REAJUSTE18!$A:$B,2,0),0))),"")&lt;0.01%,0.01%,(IFERROR(IF($BBJ5="","",IF($BBJ5=0,1,1-$BBJ5/HLOOKUP(BBM$3,[2]ARBOR_REAJUSTE18!$A:$AE,VLOOKUP($BBJ$2,[2]ARBOR_REAJUSTE18!$A:$B,2,0),0))),""))),4)</f>
        <v>#VALUE!</v>
      </c>
      <c r="BBN5" s="44" t="e">
        <f>ROUNDUP(IF(IFERROR(IF($BBJ5="","",IF($BBJ5=0,1,1-$BBJ5/HLOOKUP(BBN$3,[2]ARBOR_REAJUSTE18!$A:$AE,VLOOKUP($BBJ$2,[2]ARBOR_REAJUSTE18!$A:$B,2,0),0))),"")&lt;0.01%,0.01%,(IFERROR(IF($BBJ5="","",IF($BBJ5=0,1,1-$BBJ5/HLOOKUP(BBN$3,[2]ARBOR_REAJUSTE18!$A:$AE,VLOOKUP($BBJ$2,[2]ARBOR_REAJUSTE18!$A:$B,2,0),0))),""))),4)</f>
        <v>#VALUE!</v>
      </c>
      <c r="BBO5" s="44" t="e">
        <f>ROUNDUP(IF(IFERROR(IF($BBJ5="","",IF($BBJ5=0,1,1-$BBJ5/HLOOKUP(BBO$3,[2]ARBOR_REAJUSTE18!$A:$AE,VLOOKUP($BBJ$2,[2]ARBOR_REAJUSTE18!$A:$B,2,0),0))),"")&lt;0.01%,0.01%,(IFERROR(IF($BBJ5="","",IF($BBJ5=0,1,1-$BBJ5/HLOOKUP(BBO$3,[2]ARBOR_REAJUSTE18!$A:$AE,VLOOKUP($BBJ$2,[2]ARBOR_REAJUSTE18!$A:$B,2,0),0))),""))),4)</f>
        <v>#VALUE!</v>
      </c>
      <c r="BBP5" s="44" t="e">
        <f>ROUNDUP(IF(IFERROR(IF($BBJ5="","",IF($BBJ5=0,1,1-$BBJ5/HLOOKUP(BBP$3,[2]ARBOR_REAJUSTE18!$A:$AE,VLOOKUP($BBJ$2,[2]ARBOR_REAJUSTE18!$A:$B,2,0),0))),"")&lt;0.01%,0.01%,(IFERROR(IF($BBJ5="","",IF($BBJ5=0,1,1-$BBJ5/HLOOKUP(BBP$3,[2]ARBOR_REAJUSTE18!$A:$AE,VLOOKUP($BBJ$2,[2]ARBOR_REAJUSTE18!$A:$B,2,0),0))),""))),4)</f>
        <v>#VALUE!</v>
      </c>
      <c r="BBQ5" s="44" t="e">
        <f>ROUNDUP(IF(IFERROR(IF($BBJ5="","",IF($BBJ5=0,1,1-$BBJ5/HLOOKUP(BBQ$3,[2]ARBOR_REAJUSTE18!$A:$AE,VLOOKUP($BBJ$2,[2]ARBOR_REAJUSTE18!$A:$B,2,0),0))),"")&lt;0.01%,0.01%,(IFERROR(IF($BBJ5="","",IF($BBJ5=0,1,1-$BBJ5/HLOOKUP(BBQ$3,[2]ARBOR_REAJUSTE18!$A:$AE,VLOOKUP($BBJ$2,[2]ARBOR_REAJUSTE18!$A:$B,2,0),0))),""))),4)</f>
        <v>#VALUE!</v>
      </c>
      <c r="BBR5" s="44" t="e">
        <f>ROUNDUP(IF(IFERROR(IF($BBJ5="","",IF($BBJ5=0,1,1-$BBJ5/HLOOKUP(BBR$3,[2]ARBOR_REAJUSTE18!$A:$AE,VLOOKUP($BBJ$2,[2]ARBOR_REAJUSTE18!$A:$B,2,0),0))),"")&lt;0.01%,0.01%,(IFERROR(IF($BBJ5="","",IF($BBJ5=0,1,1-$BBJ5/HLOOKUP(BBR$3,[2]ARBOR_REAJUSTE18!$A:$AE,VLOOKUP($BBJ$2,[2]ARBOR_REAJUSTE18!$A:$B,2,0),0))),""))),4)</f>
        <v>#VALUE!</v>
      </c>
      <c r="BBS5" s="44" t="e">
        <f>ROUNDUP(IF(IFERROR(IF($BBJ5="","",IF($BBJ5=0,1,1-$BBJ5/HLOOKUP(BBS$3,[2]ARBOR_REAJUSTE18!$A:$AE,VLOOKUP($BBJ$2,[2]ARBOR_REAJUSTE18!$A:$B,2,0),0))),"")&lt;0.01%,0.01%,(IFERROR(IF($BBJ5="","",IF($BBJ5=0,1,1-$BBJ5/HLOOKUP(BBS$3,[2]ARBOR_REAJUSTE18!$A:$AE,VLOOKUP($BBJ$2,[2]ARBOR_REAJUSTE18!$A:$B,2,0),0))),""))),4)</f>
        <v>#VALUE!</v>
      </c>
      <c r="BBT5" s="44" t="e">
        <f>ROUNDUP(IF(IFERROR(IF($BBJ5="","",IF($BBJ5=0,1,1-$BBJ5/HLOOKUP(BBT$3,[2]ARBOR_REAJUSTE18!$A:$AE,VLOOKUP($BBJ$2,[2]ARBOR_REAJUSTE18!$A:$B,2,0),0))),"")&lt;0.01%,0.01%,(IFERROR(IF($BBJ5="","",IF($BBJ5=0,1,1-$BBJ5/HLOOKUP(BBT$3,[2]ARBOR_REAJUSTE18!$A:$AE,VLOOKUP($BBJ$2,[2]ARBOR_REAJUSTE18!$A:$B,2,0),0))),""))),4)</f>
        <v>#VALUE!</v>
      </c>
      <c r="BBU5" s="44" t="e">
        <f>ROUNDUP(IF(IFERROR(IF($BBJ5="","",IF($BBJ5=0,1,1-$BBJ5/HLOOKUP(BBU$3,[2]ARBOR_REAJUSTE18!$A:$AE,VLOOKUP($BBJ$2,[2]ARBOR_REAJUSTE18!$A:$B,2,0),0))),"")&lt;0.01%,0.01%,(IFERROR(IF($BBJ5="","",IF($BBJ5=0,1,1-$BBJ5/HLOOKUP(BBU$3,[2]ARBOR_REAJUSTE18!$A:$AE,VLOOKUP($BBJ$2,[2]ARBOR_REAJUSTE18!$A:$B,2,0),0))),""))),4)</f>
        <v>#VALUE!</v>
      </c>
      <c r="BBV5" s="44" t="e">
        <f>ROUNDUP(IF(IFERROR(IF($BBJ5="","",IF($BBJ5=0,1,1-$BBJ5/HLOOKUP(BBV$3,[2]ARBOR_REAJUSTE18!$A:$AE,VLOOKUP($BBJ$2,[2]ARBOR_REAJUSTE18!$A:$B,2,0),0))),"")&lt;0.01%,0.01%,(IFERROR(IF($BBJ5="","",IF($BBJ5=0,1,1-$BBJ5/HLOOKUP(BBV$3,[2]ARBOR_REAJUSTE18!$A:$AE,VLOOKUP($BBJ$2,[2]ARBOR_REAJUSTE18!$A:$B,2,0),0))),""))),4)</f>
        <v>#VALUE!</v>
      </c>
      <c r="BBW5" s="44" t="e">
        <f>ROUNDUP(IF(IFERROR(IF($BBJ5="","",IF($BBJ5=0,1,1-$BBJ5/HLOOKUP(BBW$3,[2]ARBOR_REAJUSTE18!$A:$AE,VLOOKUP($BBJ$2,[2]ARBOR_REAJUSTE18!$A:$B,2,0),0))),"")&lt;0.01%,0.01%,(IFERROR(IF($BBJ5="","",IF($BBJ5=0,1,1-$BBJ5/HLOOKUP(BBW$3,[2]ARBOR_REAJUSTE18!$A:$AE,VLOOKUP($BBJ$2,[2]ARBOR_REAJUSTE18!$A:$B,2,0),0))),""))),4)</f>
        <v>#VALUE!</v>
      </c>
      <c r="BBX5" s="44" t="e">
        <f>ROUNDUP(IF(IFERROR(IF($BBJ5="","",IF($BBJ5=0,1,1-$BBJ5/HLOOKUP(BBX$3,[2]ARBOR_REAJUSTE18!$A:$AE,VLOOKUP($BBJ$2,[2]ARBOR_REAJUSTE18!$A:$B,2,0),0))),"")&lt;0.01%,0.01%,(IFERROR(IF($BBJ5="","",IF($BBJ5=0,1,1-$BBJ5/HLOOKUP(BBX$3,[2]ARBOR_REAJUSTE18!$A:$AE,VLOOKUP($BBJ$2,[2]ARBOR_REAJUSTE18!$A:$B,2,0),0))),""))),4)</f>
        <v>#VALUE!</v>
      </c>
      <c r="BBY5" s="44" t="e">
        <f>ROUNDUP(IF(IFERROR(IF($BBJ5="","",IF($BBJ5=0,1,1-$BBJ5/HLOOKUP(BBY$3,[2]ARBOR_REAJUSTE18!$A:$AE,VLOOKUP($BBJ$2,[2]ARBOR_REAJUSTE18!$A:$B,2,0),0))),"")&lt;0.01%,0.01%,(IFERROR(IF($BBJ5="","",IF($BBJ5=0,1,1-$BBJ5/HLOOKUP(BBY$3,[2]ARBOR_REAJUSTE18!$A:$AE,VLOOKUP($BBJ$2,[2]ARBOR_REAJUSTE18!$A:$B,2,0),0))),""))),4)</f>
        <v>#VALUE!</v>
      </c>
      <c r="BBZ5" s="44" t="e">
        <f>ROUNDUP(IF(IFERROR(IF($BBJ5="","",IF($BBJ5=0,1,1-$BBJ5/HLOOKUP(BBZ$3,[2]ARBOR_REAJUSTE18!$A:$AE,VLOOKUP($BBJ$2,[2]ARBOR_REAJUSTE18!$A:$B,2,0),0))),"")&lt;0.01%,0.01%,(IFERROR(IF($BBJ5="","",IF($BBJ5=0,1,1-$BBJ5/HLOOKUP(BBZ$3,[2]ARBOR_REAJUSTE18!$A:$AE,VLOOKUP($BBJ$2,[2]ARBOR_REAJUSTE18!$A:$B,2,0),0))),""))),4)</f>
        <v>#VALUE!</v>
      </c>
      <c r="BCA5" s="44" t="e">
        <f>ROUNDUP(IF(IFERROR(IF($BBJ5="","",IF($BBJ5=0,1,1-$BBJ5/HLOOKUP(BCA$3,[2]ARBOR_REAJUSTE18!$A:$AE,VLOOKUP($BBJ$2,[2]ARBOR_REAJUSTE18!$A:$B,2,0),0))),"")&lt;0.01%,0.01%,(IFERROR(IF($BBJ5="","",IF($BBJ5=0,1,1-$BBJ5/HLOOKUP(BCA$3,[2]ARBOR_REAJUSTE18!$A:$AE,VLOOKUP($BBJ$2,[2]ARBOR_REAJUSTE18!$A:$B,2,0),0))),""))),4)</f>
        <v>#VALUE!</v>
      </c>
      <c r="BCB5" s="44" t="e">
        <f>ROUNDUP(IF(IFERROR(IF($BBJ5="","",IF($BBJ5=0,1,1-$BBJ5/HLOOKUP(BCB$3,[2]ARBOR_REAJUSTE18!$A:$AE,VLOOKUP($BBJ$2,[2]ARBOR_REAJUSTE18!$A:$B,2,0),0))),"")&lt;0.01%,0.01%,(IFERROR(IF($BBJ5="","",IF($BBJ5=0,1,1-$BBJ5/HLOOKUP(BCB$3,[2]ARBOR_REAJUSTE18!$A:$AE,VLOOKUP($BBJ$2,[2]ARBOR_REAJUSTE18!$A:$B,2,0),0))),""))),4)</f>
        <v>#VALUE!</v>
      </c>
      <c r="BCC5" s="44" t="e">
        <f>ROUNDUP(IF(IFERROR(IF($BBJ5="","",IF($BBJ5=0,1,1-$BBJ5/HLOOKUP(BCC$3,[2]ARBOR_REAJUSTE18!$A:$AE,VLOOKUP($BBJ$2,[2]ARBOR_REAJUSTE18!$A:$B,2,0),0))),"")&lt;0.01%,0.01%,(IFERROR(IF($BBJ5="","",IF($BBJ5=0,1,1-$BBJ5/HLOOKUP(BCC$3,[2]ARBOR_REAJUSTE18!$A:$AE,VLOOKUP($BBJ$2,[2]ARBOR_REAJUSTE18!$A:$B,2,0),0))),""))),4)</f>
        <v>#VALUE!</v>
      </c>
      <c r="BCD5" s="44" t="e">
        <f>ROUNDUP(IF(IFERROR(IF($BBJ5="","",IF($BBJ5=0,1,1-$BBJ5/HLOOKUP(BCD$3,[2]ARBOR_REAJUSTE18!$A:$AE,VLOOKUP($BBJ$2,[2]ARBOR_REAJUSTE18!$A:$B,2,0),0))),"")&lt;0.01%,0.01%,(IFERROR(IF($BBJ5="","",IF($BBJ5=0,1,1-$BBJ5/HLOOKUP(BCD$3,[2]ARBOR_REAJUSTE18!$A:$AE,VLOOKUP($BBJ$2,[2]ARBOR_REAJUSTE18!$A:$B,2,0),0))),""))),4)</f>
        <v>#VALUE!</v>
      </c>
      <c r="BCE5" s="44" t="e">
        <f>ROUNDUP(IF(IFERROR(IF($BBJ5="","",IF($BBJ5=0,1,1-$BBJ5/HLOOKUP(BCE$3,[2]ARBOR_REAJUSTE18!$A:$AE,VLOOKUP($BBJ$2,[2]ARBOR_REAJUSTE18!$A:$B,2,0),0))),"")&lt;0.01%,0.01%,(IFERROR(IF($BBJ5="","",IF($BBJ5=0,1,1-$BBJ5/HLOOKUP(BCE$3,[2]ARBOR_REAJUSTE18!$A:$AE,VLOOKUP($BBJ$2,[2]ARBOR_REAJUSTE18!$A:$B,2,0),0))),""))),4)</f>
        <v>#VALUE!</v>
      </c>
      <c r="BCF5" s="44" t="e">
        <f>ROUNDUP(IF(IFERROR(IF($BBJ5="","",IF($BBJ5=0,1,1-$BBJ5/HLOOKUP(BCF$3,[2]ARBOR_REAJUSTE18!$A:$AE,VLOOKUP($BBJ$2,[2]ARBOR_REAJUSTE18!$A:$B,2,0),0))),"")&lt;0.01%,0.01%,(IFERROR(IF($BBJ5="","",IF($BBJ5=0,1,1-$BBJ5/HLOOKUP(BCF$3,[2]ARBOR_REAJUSTE18!$A:$AE,VLOOKUP($BBJ$2,[2]ARBOR_REAJUSTE18!$A:$B,2,0),0))),""))),4)</f>
        <v>#VALUE!</v>
      </c>
      <c r="BCG5" s="44" t="e">
        <f>ROUNDUP(IF(IFERROR(IF($BBJ5="","",IF($BBJ5=0,1,1-$BBJ5/HLOOKUP(BCG$3,[2]ARBOR_REAJUSTE18!$A:$AE,VLOOKUP($BBJ$2,[2]ARBOR_REAJUSTE18!$A:$B,2,0),0))),"")&lt;0.01%,0.01%,(IFERROR(IF($BBJ5="","",IF($BBJ5=0,1,1-$BBJ5/HLOOKUP(BCG$3,[2]ARBOR_REAJUSTE18!$A:$AE,VLOOKUP($BBJ$2,[2]ARBOR_REAJUSTE18!$A:$B,2,0),0))),""))),4)</f>
        <v>#VALUE!</v>
      </c>
      <c r="BCH5" s="44" t="e">
        <f>ROUNDUP(IF(IFERROR(IF($BBJ5="","",IF($BBJ5=0,1,1-$BBJ5/HLOOKUP(BCH$3,[2]ARBOR_REAJUSTE18!$A:$AE,VLOOKUP($BBJ$2,[2]ARBOR_REAJUSTE18!$A:$B,2,0),0))),"")&lt;0.01%,0.01%,(IFERROR(IF($BBJ5="","",IF($BBJ5=0,1,1-$BBJ5/HLOOKUP(BCH$3,[2]ARBOR_REAJUSTE18!$A:$AE,VLOOKUP($BBJ$2,[2]ARBOR_REAJUSTE18!$A:$B,2,0),0))),""))),4)</f>
        <v>#VALUE!</v>
      </c>
      <c r="BCI5" s="44" t="e">
        <f>ROUNDUP(IF(IFERROR(IF($BBJ5="","",IF($BBJ5=0,1,1-$BBJ5/HLOOKUP(BCI$3,[2]ARBOR_REAJUSTE18!$A:$AE,VLOOKUP($BBJ$2,[2]ARBOR_REAJUSTE18!$A:$B,2,0),0))),"")&lt;0.01%,0.01%,(IFERROR(IF($BBJ5="","",IF($BBJ5=0,1,1-$BBJ5/HLOOKUP(BCI$3,[2]ARBOR_REAJUSTE18!$A:$AE,VLOOKUP($BBJ$2,[2]ARBOR_REAJUSTE18!$A:$B,2,0),0))),""))),4)</f>
        <v>#VALUE!</v>
      </c>
      <c r="BCJ5" s="44" t="e">
        <f>ROUNDUP(IF(IFERROR(IF($BBJ5="","",IF($BBJ5=0,1,1-$BBJ5/HLOOKUP(BCJ$3,[2]ARBOR_REAJUSTE18!$A:$AE,VLOOKUP($BBJ$2,[2]ARBOR_REAJUSTE18!$A:$B,2,0),0))),"")&lt;0.01%,0.01%,(IFERROR(IF($BBJ5="","",IF($BBJ5=0,1,1-$BBJ5/HLOOKUP(BCJ$3,[2]ARBOR_REAJUSTE18!$A:$AE,VLOOKUP($BBJ$2,[2]ARBOR_REAJUSTE18!$A:$B,2,0),0))),""))),4)</f>
        <v>#VALUE!</v>
      </c>
      <c r="BCK5" s="44" t="e">
        <f>ROUNDUP(IF(IFERROR(IF($BBJ5="","",IF($BBJ5=0,1,1-$BBJ5/HLOOKUP(BCK$3,[2]ARBOR_REAJUSTE18!$A:$AE,VLOOKUP($BBJ$2,[2]ARBOR_REAJUSTE18!$A:$B,2,0),0))),"")&lt;0.01%,0.01%,(IFERROR(IF($BBJ5="","",IF($BBJ5=0,1,1-$BBJ5/HLOOKUP(BCK$3,[2]ARBOR_REAJUSTE18!$A:$AE,VLOOKUP($BBJ$2,[2]ARBOR_REAJUSTE18!$A:$B,2,0),0))),""))),4)</f>
        <v>#VALUE!</v>
      </c>
      <c r="BCL5" s="44" t="e">
        <f>ROUNDUP(IF(IFERROR(IF($BBJ5="","",IF($BBJ5=0,1,1-$BBJ5/HLOOKUP(BCL$3,[2]ARBOR_REAJUSTE18!$A:$AE,VLOOKUP($BBJ$2,[2]ARBOR_REAJUSTE18!$A:$B,2,0),0))),"")&lt;0.01%,0.01%,(IFERROR(IF($BBJ5="","",IF($BBJ5=0,1,1-$BBJ5/HLOOKUP(BCL$3,[2]ARBOR_REAJUSTE18!$A:$AE,VLOOKUP($BBJ$2,[2]ARBOR_REAJUSTE18!$A:$B,2,0),0))),""))),4)</f>
        <v>#VALUE!</v>
      </c>
      <c r="BCM5" s="56">
        <v>119.79999999999998</v>
      </c>
      <c r="BCN5" s="64" t="e">
        <f>VLOOKUP($AV5&amp;BCO5&amp;"Template desconto FLAT Plano Principal Oi TV nível conta",[2]BENEFICIOS!$A:$G,5,0)</f>
        <v>#VALUE!</v>
      </c>
      <c r="BCO5" s="44" t="e">
        <f>ROUNDUP(IF(IFERROR(IF($BCM5="","",IF($BCM5=0,1,1-$BCM5/HLOOKUP(BCO$3,[2]ARBOR_REAJUSTE18!$A:$AE,VLOOKUP($BCM$2,[2]ARBOR_REAJUSTE18!$A:$B,2,0),0))),"")&lt;0.01%,0.01%,(IFERROR(IF($BCM5="","",IF($BCM5=0,1,1-$BCM5/HLOOKUP(BCO$3,[2]ARBOR_REAJUSTE18!$A:$AE,VLOOKUP($BCM$2,[2]ARBOR_REAJUSTE18!$A:$B,2,0),0))),""))),4)</f>
        <v>#VALUE!</v>
      </c>
      <c r="BCP5" s="44" t="e">
        <f>ROUNDUP(IF(IFERROR(IF($BCM5="","",IF($BCM5=0,1,1-$BCM5/HLOOKUP(BCP$3,[2]ARBOR_REAJUSTE18!$A:$AE,VLOOKUP($BCM$2,[2]ARBOR_REAJUSTE18!$A:$B,2,0),0))),"")&lt;0.01%,0.01%,(IFERROR(IF($BCM5="","",IF($BCM5=0,1,1-$BCM5/HLOOKUP(BCP$3,[2]ARBOR_REAJUSTE18!$A:$AE,VLOOKUP($BCM$2,[2]ARBOR_REAJUSTE18!$A:$B,2,0),0))),""))),4)</f>
        <v>#VALUE!</v>
      </c>
      <c r="BCQ5" s="44" t="e">
        <f>ROUNDUP(IF(IFERROR(IF($BCM5="","",IF($BCM5=0,1,1-$BCM5/HLOOKUP(BCQ$3,[2]ARBOR_REAJUSTE18!$A:$AE,VLOOKUP($BCM$2,[2]ARBOR_REAJUSTE18!$A:$B,2,0),0))),"")&lt;0.01%,0.01%,(IFERROR(IF($BCM5="","",IF($BCM5=0,1,1-$BCM5/HLOOKUP(BCQ$3,[2]ARBOR_REAJUSTE18!$A:$AE,VLOOKUP($BCM$2,[2]ARBOR_REAJUSTE18!$A:$B,2,0),0))),""))),4)</f>
        <v>#VALUE!</v>
      </c>
      <c r="BCR5" s="44" t="e">
        <f>ROUNDUP(IF(IFERROR(IF($BCM5="","",IF($BCM5=0,1,1-$BCM5/HLOOKUP(BCR$3,[2]ARBOR_REAJUSTE18!$A:$AE,VLOOKUP($BCM$2,[2]ARBOR_REAJUSTE18!$A:$B,2,0),0))),"")&lt;0.01%,0.01%,(IFERROR(IF($BCM5="","",IF($BCM5=0,1,1-$BCM5/HLOOKUP(BCR$3,[2]ARBOR_REAJUSTE18!$A:$AE,VLOOKUP($BCM$2,[2]ARBOR_REAJUSTE18!$A:$B,2,0),0))),""))),4)</f>
        <v>#VALUE!</v>
      </c>
      <c r="BCS5" s="44" t="e">
        <f>ROUNDUP(IF(IFERROR(IF($BCM5="","",IF($BCM5=0,1,1-$BCM5/HLOOKUP(BCS$3,[2]ARBOR_REAJUSTE18!$A:$AE,VLOOKUP($BCM$2,[2]ARBOR_REAJUSTE18!$A:$B,2,0),0))),"")&lt;0.01%,0.01%,(IFERROR(IF($BCM5="","",IF($BCM5=0,1,1-$BCM5/HLOOKUP(BCS$3,[2]ARBOR_REAJUSTE18!$A:$AE,VLOOKUP($BCM$2,[2]ARBOR_REAJUSTE18!$A:$B,2,0),0))),""))),4)</f>
        <v>#VALUE!</v>
      </c>
      <c r="BCT5" s="44" t="e">
        <f>ROUNDUP(IF(IFERROR(IF($BCM5="","",IF($BCM5=0,1,1-$BCM5/HLOOKUP(BCT$3,[2]ARBOR_REAJUSTE18!$A:$AE,VLOOKUP($BCM$2,[2]ARBOR_REAJUSTE18!$A:$B,2,0),0))),"")&lt;0.01%,0.01%,(IFERROR(IF($BCM5="","",IF($BCM5=0,1,1-$BCM5/HLOOKUP(BCT$3,[2]ARBOR_REAJUSTE18!$A:$AE,VLOOKUP($BCM$2,[2]ARBOR_REAJUSTE18!$A:$B,2,0),0))),""))),4)</f>
        <v>#VALUE!</v>
      </c>
      <c r="BCU5" s="44" t="e">
        <f>ROUNDUP(IF(IFERROR(IF($BCM5="","",IF($BCM5=0,1,1-$BCM5/HLOOKUP(BCU$3,[2]ARBOR_REAJUSTE18!$A:$AE,VLOOKUP($BCM$2,[2]ARBOR_REAJUSTE18!$A:$B,2,0),0))),"")&lt;0.01%,0.01%,(IFERROR(IF($BCM5="","",IF($BCM5=0,1,1-$BCM5/HLOOKUP(BCU$3,[2]ARBOR_REAJUSTE18!$A:$AE,VLOOKUP($BCM$2,[2]ARBOR_REAJUSTE18!$A:$B,2,0),0))),""))),4)</f>
        <v>#VALUE!</v>
      </c>
      <c r="BCV5" s="44" t="e">
        <f>ROUNDUP(IF(IFERROR(IF($BCM5="","",IF($BCM5=0,1,1-$BCM5/HLOOKUP(BCV$3,[2]ARBOR_REAJUSTE18!$A:$AE,VLOOKUP($BCM$2,[2]ARBOR_REAJUSTE18!$A:$B,2,0),0))),"")&lt;0.01%,0.01%,(IFERROR(IF($BCM5="","",IF($BCM5=0,1,1-$BCM5/HLOOKUP(BCV$3,[2]ARBOR_REAJUSTE18!$A:$AE,VLOOKUP($BCM$2,[2]ARBOR_REAJUSTE18!$A:$B,2,0),0))),""))),4)</f>
        <v>#VALUE!</v>
      </c>
      <c r="BCW5" s="44" t="e">
        <f>ROUNDUP(IF(IFERROR(IF($BCM5="","",IF($BCM5=0,1,1-$BCM5/HLOOKUP(BCW$3,[2]ARBOR_REAJUSTE18!$A:$AE,VLOOKUP($BCM$2,[2]ARBOR_REAJUSTE18!$A:$B,2,0),0))),"")&lt;0.01%,0.01%,(IFERROR(IF($BCM5="","",IF($BCM5=0,1,1-$BCM5/HLOOKUP(BCW$3,[2]ARBOR_REAJUSTE18!$A:$AE,VLOOKUP($BCM$2,[2]ARBOR_REAJUSTE18!$A:$B,2,0),0))),""))),4)</f>
        <v>#VALUE!</v>
      </c>
      <c r="BCX5" s="44" t="e">
        <f>ROUNDUP(IF(IFERROR(IF($BCM5="","",IF($BCM5=0,1,1-$BCM5/HLOOKUP(BCX$3,[2]ARBOR_REAJUSTE18!$A:$AE,VLOOKUP($BCM$2,[2]ARBOR_REAJUSTE18!$A:$B,2,0),0))),"")&lt;0.01%,0.01%,(IFERROR(IF($BCM5="","",IF($BCM5=0,1,1-$BCM5/HLOOKUP(BCX$3,[2]ARBOR_REAJUSTE18!$A:$AE,VLOOKUP($BCM$2,[2]ARBOR_REAJUSTE18!$A:$B,2,0),0))),""))),4)</f>
        <v>#VALUE!</v>
      </c>
      <c r="BCY5" s="44" t="e">
        <f>ROUNDUP(IF(IFERROR(IF($BCM5="","",IF($BCM5=0,1,1-$BCM5/HLOOKUP(BCY$3,[2]ARBOR_REAJUSTE18!$A:$AE,VLOOKUP($BCM$2,[2]ARBOR_REAJUSTE18!$A:$B,2,0),0))),"")&lt;0.01%,0.01%,(IFERROR(IF($BCM5="","",IF($BCM5=0,1,1-$BCM5/HLOOKUP(BCY$3,[2]ARBOR_REAJUSTE18!$A:$AE,VLOOKUP($BCM$2,[2]ARBOR_REAJUSTE18!$A:$B,2,0),0))),""))),4)</f>
        <v>#VALUE!</v>
      </c>
      <c r="BCZ5" s="44" t="e">
        <f>ROUNDUP(IF(IFERROR(IF($BCM5="","",IF($BCM5=0,1,1-$BCM5/HLOOKUP(BCZ$3,[2]ARBOR_REAJUSTE18!$A:$AE,VLOOKUP($BCM$2,[2]ARBOR_REAJUSTE18!$A:$B,2,0),0))),"")&lt;0.01%,0.01%,(IFERROR(IF($BCM5="","",IF($BCM5=0,1,1-$BCM5/HLOOKUP(BCZ$3,[2]ARBOR_REAJUSTE18!$A:$AE,VLOOKUP($BCM$2,[2]ARBOR_REAJUSTE18!$A:$B,2,0),0))),""))),4)</f>
        <v>#VALUE!</v>
      </c>
      <c r="BDA5" s="44" t="e">
        <f>ROUNDUP(IF(IFERROR(IF($BCM5="","",IF($BCM5=0,1,1-$BCM5/HLOOKUP(BDA$3,[2]ARBOR_REAJUSTE18!$A:$AE,VLOOKUP($BCM$2,[2]ARBOR_REAJUSTE18!$A:$B,2,0),0))),"")&lt;0.01%,0.01%,(IFERROR(IF($BCM5="","",IF($BCM5=0,1,1-$BCM5/HLOOKUP(BDA$3,[2]ARBOR_REAJUSTE18!$A:$AE,VLOOKUP($BCM$2,[2]ARBOR_REAJUSTE18!$A:$B,2,0),0))),""))),4)</f>
        <v>#VALUE!</v>
      </c>
      <c r="BDB5" s="44" t="e">
        <f>ROUNDUP(IF(IFERROR(IF($BCM5="","",IF($BCM5=0,1,1-$BCM5/HLOOKUP(BDB$3,[2]ARBOR_REAJUSTE18!$A:$AE,VLOOKUP($BCM$2,[2]ARBOR_REAJUSTE18!$A:$B,2,0),0))),"")&lt;0.01%,0.01%,(IFERROR(IF($BCM5="","",IF($BCM5=0,1,1-$BCM5/HLOOKUP(BDB$3,[2]ARBOR_REAJUSTE18!$A:$AE,VLOOKUP($BCM$2,[2]ARBOR_REAJUSTE18!$A:$B,2,0),0))),""))),4)</f>
        <v>#VALUE!</v>
      </c>
      <c r="BDC5" s="44" t="e">
        <f>ROUNDUP(IF(IFERROR(IF($BCM5="","",IF($BCM5=0,1,1-$BCM5/HLOOKUP(BDC$3,[2]ARBOR_REAJUSTE18!$A:$AE,VLOOKUP($BCM$2,[2]ARBOR_REAJUSTE18!$A:$B,2,0),0))),"")&lt;0.01%,0.01%,(IFERROR(IF($BCM5="","",IF($BCM5=0,1,1-$BCM5/HLOOKUP(BDC$3,[2]ARBOR_REAJUSTE18!$A:$AE,VLOOKUP($BCM$2,[2]ARBOR_REAJUSTE18!$A:$B,2,0),0))),""))),4)</f>
        <v>#VALUE!</v>
      </c>
      <c r="BDD5" s="44" t="e">
        <f>ROUNDUP(IF(IFERROR(IF($BCM5="","",IF($BCM5=0,1,1-$BCM5/HLOOKUP(BDD$3,[2]ARBOR_REAJUSTE18!$A:$AE,VLOOKUP($BCM$2,[2]ARBOR_REAJUSTE18!$A:$B,2,0),0))),"")&lt;0.01%,0.01%,(IFERROR(IF($BCM5="","",IF($BCM5=0,1,1-$BCM5/HLOOKUP(BDD$3,[2]ARBOR_REAJUSTE18!$A:$AE,VLOOKUP($BCM$2,[2]ARBOR_REAJUSTE18!$A:$B,2,0),0))),""))),4)</f>
        <v>#VALUE!</v>
      </c>
      <c r="BDE5" s="44" t="e">
        <f>ROUNDUP(IF(IFERROR(IF($BCM5="","",IF($BCM5=0,1,1-$BCM5/HLOOKUP(BDE$3,[2]ARBOR_REAJUSTE18!$A:$AE,VLOOKUP($BCM$2,[2]ARBOR_REAJUSTE18!$A:$B,2,0),0))),"")&lt;0.01%,0.01%,(IFERROR(IF($BCM5="","",IF($BCM5=0,1,1-$BCM5/HLOOKUP(BDE$3,[2]ARBOR_REAJUSTE18!$A:$AE,VLOOKUP($BCM$2,[2]ARBOR_REAJUSTE18!$A:$B,2,0),0))),""))),4)</f>
        <v>#VALUE!</v>
      </c>
      <c r="BDF5" s="44" t="e">
        <f>ROUNDUP(IF(IFERROR(IF($BCM5="","",IF($BCM5=0,1,1-$BCM5/HLOOKUP(BDF$3,[2]ARBOR_REAJUSTE18!$A:$AE,VLOOKUP($BCM$2,[2]ARBOR_REAJUSTE18!$A:$B,2,0),0))),"")&lt;0.01%,0.01%,(IFERROR(IF($BCM5="","",IF($BCM5=0,1,1-$BCM5/HLOOKUP(BDF$3,[2]ARBOR_REAJUSTE18!$A:$AE,VLOOKUP($BCM$2,[2]ARBOR_REAJUSTE18!$A:$B,2,0),0))),""))),4)</f>
        <v>#VALUE!</v>
      </c>
      <c r="BDG5" s="44" t="e">
        <f>ROUNDUP(IF(IFERROR(IF($BCM5="","",IF($BCM5=0,1,1-$BCM5/HLOOKUP(BDG$3,[2]ARBOR_REAJUSTE18!$A:$AE,VLOOKUP($BCM$2,[2]ARBOR_REAJUSTE18!$A:$B,2,0),0))),"")&lt;0.01%,0.01%,(IFERROR(IF($BCM5="","",IF($BCM5=0,1,1-$BCM5/HLOOKUP(BDG$3,[2]ARBOR_REAJUSTE18!$A:$AE,VLOOKUP($BCM$2,[2]ARBOR_REAJUSTE18!$A:$B,2,0),0))),""))),4)</f>
        <v>#VALUE!</v>
      </c>
      <c r="BDH5" s="44" t="e">
        <f>ROUNDUP(IF(IFERROR(IF($BCM5="","",IF($BCM5=0,1,1-$BCM5/HLOOKUP(BDH$3,[2]ARBOR_REAJUSTE18!$A:$AE,VLOOKUP($BCM$2,[2]ARBOR_REAJUSTE18!$A:$B,2,0),0))),"")&lt;0.01%,0.01%,(IFERROR(IF($BCM5="","",IF($BCM5=0,1,1-$BCM5/HLOOKUP(BDH$3,[2]ARBOR_REAJUSTE18!$A:$AE,VLOOKUP($BCM$2,[2]ARBOR_REAJUSTE18!$A:$B,2,0),0))),""))),4)</f>
        <v>#VALUE!</v>
      </c>
      <c r="BDI5" s="44" t="e">
        <f>ROUNDUP(IF(IFERROR(IF($BCM5="","",IF($BCM5=0,1,1-$BCM5/HLOOKUP(BDI$3,[2]ARBOR_REAJUSTE18!$A:$AE,VLOOKUP($BCM$2,[2]ARBOR_REAJUSTE18!$A:$B,2,0),0))),"")&lt;0.01%,0.01%,(IFERROR(IF($BCM5="","",IF($BCM5=0,1,1-$BCM5/HLOOKUP(BDI$3,[2]ARBOR_REAJUSTE18!$A:$AE,VLOOKUP($BCM$2,[2]ARBOR_REAJUSTE18!$A:$B,2,0),0))),""))),4)</f>
        <v>#VALUE!</v>
      </c>
      <c r="BDJ5" s="44" t="e">
        <f>ROUNDUP(IF(IFERROR(IF($BCM5="","",IF($BCM5=0,1,1-$BCM5/HLOOKUP(BDJ$3,[2]ARBOR_REAJUSTE18!$A:$AE,VLOOKUP($BCM$2,[2]ARBOR_REAJUSTE18!$A:$B,2,0),0))),"")&lt;0.01%,0.01%,(IFERROR(IF($BCM5="","",IF($BCM5=0,1,1-$BCM5/HLOOKUP(BDJ$3,[2]ARBOR_REAJUSTE18!$A:$AE,VLOOKUP($BCM$2,[2]ARBOR_REAJUSTE18!$A:$B,2,0),0))),""))),4)</f>
        <v>#VALUE!</v>
      </c>
      <c r="BDK5" s="44" t="e">
        <f>ROUNDUP(IF(IFERROR(IF($BCM5="","",IF($BCM5=0,1,1-$BCM5/HLOOKUP(BDK$3,[2]ARBOR_REAJUSTE18!$A:$AE,VLOOKUP($BCM$2,[2]ARBOR_REAJUSTE18!$A:$B,2,0),0))),"")&lt;0.01%,0.01%,(IFERROR(IF($BCM5="","",IF($BCM5=0,1,1-$BCM5/HLOOKUP(BDK$3,[2]ARBOR_REAJUSTE18!$A:$AE,VLOOKUP($BCM$2,[2]ARBOR_REAJUSTE18!$A:$B,2,0),0))),""))),4)</f>
        <v>#VALUE!</v>
      </c>
      <c r="BDL5" s="44" t="e">
        <f>ROUNDUP(IF(IFERROR(IF($BCM5="","",IF($BCM5=0,1,1-$BCM5/HLOOKUP(BDL$3,[2]ARBOR_REAJUSTE18!$A:$AE,VLOOKUP($BCM$2,[2]ARBOR_REAJUSTE18!$A:$B,2,0),0))),"")&lt;0.01%,0.01%,(IFERROR(IF($BCM5="","",IF($BCM5=0,1,1-$BCM5/HLOOKUP(BDL$3,[2]ARBOR_REAJUSTE18!$A:$AE,VLOOKUP($BCM$2,[2]ARBOR_REAJUSTE18!$A:$B,2,0),0))),""))),4)</f>
        <v>#VALUE!</v>
      </c>
      <c r="BDM5" s="44" t="e">
        <f>ROUNDUP(IF(IFERROR(IF($BCM5="","",IF($BCM5=0,1,1-$BCM5/HLOOKUP(BDM$3,[2]ARBOR_REAJUSTE18!$A:$AE,VLOOKUP($BCM$2,[2]ARBOR_REAJUSTE18!$A:$B,2,0),0))),"")&lt;0.01%,0.01%,(IFERROR(IF($BCM5="","",IF($BCM5=0,1,1-$BCM5/HLOOKUP(BDM$3,[2]ARBOR_REAJUSTE18!$A:$AE,VLOOKUP($BCM$2,[2]ARBOR_REAJUSTE18!$A:$B,2,0),0))),""))),4)</f>
        <v>#VALUE!</v>
      </c>
      <c r="BDN5" s="44" t="e">
        <f>ROUNDUP(IF(IFERROR(IF($BCM5="","",IF($BCM5=0,1,1-$BCM5/HLOOKUP(BDN$3,[2]ARBOR_REAJUSTE18!$A:$AE,VLOOKUP($BCM$2,[2]ARBOR_REAJUSTE18!$A:$B,2,0),0))),"")&lt;0.01%,0.01%,(IFERROR(IF($BCM5="","",IF($BCM5=0,1,1-$BCM5/HLOOKUP(BDN$3,[2]ARBOR_REAJUSTE18!$A:$AE,VLOOKUP($BCM$2,[2]ARBOR_REAJUSTE18!$A:$B,2,0),0))),""))),4)</f>
        <v>#VALUE!</v>
      </c>
      <c r="BDO5" s="44" t="e">
        <f>ROUNDUP(IF(IFERROR(IF($BCM5="","",IF($BCM5=0,1,1-$BCM5/HLOOKUP(BDO$3,[2]ARBOR_REAJUSTE18!$A:$AE,VLOOKUP($BCM$2,[2]ARBOR_REAJUSTE18!$A:$B,2,0),0))),"")&lt;0.01%,0.01%,(IFERROR(IF($BCM5="","",IF($BCM5=0,1,1-$BCM5/HLOOKUP(BDO$3,[2]ARBOR_REAJUSTE18!$A:$AE,VLOOKUP($BCM$2,[2]ARBOR_REAJUSTE18!$A:$B,2,0),0))),""))),4)</f>
        <v>#VALUE!</v>
      </c>
      <c r="BDP5" s="56">
        <v>119.79999999999998</v>
      </c>
      <c r="BDQ5" s="64" t="e">
        <f>VLOOKUP($AV5&amp;BDR5&amp;"Template desconto FLAT Plano Principal Oi TV nível conta",[2]BENEFICIOS!$A:$G,5,0)</f>
        <v>#VALUE!</v>
      </c>
      <c r="BDR5" s="44" t="e">
        <f>ROUNDUP(IF(IFERROR(IF($BDP5="","",IF($BDP5=0,1,1-$BDP5/HLOOKUP(BDR$3,[2]ARBOR_REAJUSTE18!$A:$AE,VLOOKUP($BDP$2,[2]ARBOR_REAJUSTE18!$A:$B,2,0),0))),"")&lt;0.01%,0.01%,(IFERROR(IF($BDP5="","",IF($BDP5=0,1,1-$BDP5/HLOOKUP(BDR$3,[2]ARBOR_REAJUSTE18!$A:$AE,VLOOKUP($BDP$2,[2]ARBOR_REAJUSTE18!$A:$B,2,0),0))),""))),4)</f>
        <v>#VALUE!</v>
      </c>
      <c r="BDS5" s="44" t="e">
        <f>ROUNDUP(IF(IFERROR(IF($BDP5="","",IF($BDP5=0,1,1-$BDP5/HLOOKUP(BDS$3,[2]ARBOR_REAJUSTE18!$A:$AE,VLOOKUP($BDP$2,[2]ARBOR_REAJUSTE18!$A:$B,2,0),0))),"")&lt;0.01%,0.01%,(IFERROR(IF($BDP5="","",IF($BDP5=0,1,1-$BDP5/HLOOKUP(BDS$3,[2]ARBOR_REAJUSTE18!$A:$AE,VLOOKUP($BDP$2,[2]ARBOR_REAJUSTE18!$A:$B,2,0),0))),""))),4)</f>
        <v>#VALUE!</v>
      </c>
      <c r="BDT5" s="44" t="e">
        <f>ROUNDUP(IF(IFERROR(IF($BDP5="","",IF($BDP5=0,1,1-$BDP5/HLOOKUP(BDT$3,[2]ARBOR_REAJUSTE18!$A:$AE,VLOOKUP($BDP$2,[2]ARBOR_REAJUSTE18!$A:$B,2,0),0))),"")&lt;0.01%,0.01%,(IFERROR(IF($BDP5="","",IF($BDP5=0,1,1-$BDP5/HLOOKUP(BDT$3,[2]ARBOR_REAJUSTE18!$A:$AE,VLOOKUP($BDP$2,[2]ARBOR_REAJUSTE18!$A:$B,2,0),0))),""))),4)</f>
        <v>#VALUE!</v>
      </c>
      <c r="BDU5" s="44" t="e">
        <f>ROUNDUP(IF(IFERROR(IF($BDP5="","",IF($BDP5=0,1,1-$BDP5/HLOOKUP(BDU$3,[2]ARBOR_REAJUSTE18!$A:$AE,VLOOKUP($BDP$2,[2]ARBOR_REAJUSTE18!$A:$B,2,0),0))),"")&lt;0.01%,0.01%,(IFERROR(IF($BDP5="","",IF($BDP5=0,1,1-$BDP5/HLOOKUP(BDU$3,[2]ARBOR_REAJUSTE18!$A:$AE,VLOOKUP($BDP$2,[2]ARBOR_REAJUSTE18!$A:$B,2,0),0))),""))),4)</f>
        <v>#VALUE!</v>
      </c>
      <c r="BDV5" s="44" t="e">
        <f>ROUNDUP(IF(IFERROR(IF($BDP5="","",IF($BDP5=0,1,1-$BDP5/HLOOKUP(BDV$3,[2]ARBOR_REAJUSTE18!$A:$AE,VLOOKUP($BDP$2,[2]ARBOR_REAJUSTE18!$A:$B,2,0),0))),"")&lt;0.01%,0.01%,(IFERROR(IF($BDP5="","",IF($BDP5=0,1,1-$BDP5/HLOOKUP(BDV$3,[2]ARBOR_REAJUSTE18!$A:$AE,VLOOKUP($BDP$2,[2]ARBOR_REAJUSTE18!$A:$B,2,0),0))),""))),4)</f>
        <v>#VALUE!</v>
      </c>
      <c r="BDW5" s="44" t="e">
        <f>ROUNDUP(IF(IFERROR(IF($BDP5="","",IF($BDP5=0,1,1-$BDP5/HLOOKUP(BDW$3,[2]ARBOR_REAJUSTE18!$A:$AE,VLOOKUP($BDP$2,[2]ARBOR_REAJUSTE18!$A:$B,2,0),0))),"")&lt;0.01%,0.01%,(IFERROR(IF($BDP5="","",IF($BDP5=0,1,1-$BDP5/HLOOKUP(BDW$3,[2]ARBOR_REAJUSTE18!$A:$AE,VLOOKUP($BDP$2,[2]ARBOR_REAJUSTE18!$A:$B,2,0),0))),""))),4)</f>
        <v>#VALUE!</v>
      </c>
      <c r="BDX5" s="44" t="e">
        <f>ROUNDUP(IF(IFERROR(IF($BDP5="","",IF($BDP5=0,1,1-$BDP5/HLOOKUP(BDX$3,[2]ARBOR_REAJUSTE18!$A:$AE,VLOOKUP($BDP$2,[2]ARBOR_REAJUSTE18!$A:$B,2,0),0))),"")&lt;0.01%,0.01%,(IFERROR(IF($BDP5="","",IF($BDP5=0,1,1-$BDP5/HLOOKUP(BDX$3,[2]ARBOR_REAJUSTE18!$A:$AE,VLOOKUP($BDP$2,[2]ARBOR_REAJUSTE18!$A:$B,2,0),0))),""))),4)</f>
        <v>#VALUE!</v>
      </c>
      <c r="BDY5" s="44" t="e">
        <f>ROUNDUP(IF(IFERROR(IF($BDP5="","",IF($BDP5=0,1,1-$BDP5/HLOOKUP(BDY$3,[2]ARBOR_REAJUSTE18!$A:$AE,VLOOKUP($BDP$2,[2]ARBOR_REAJUSTE18!$A:$B,2,0),0))),"")&lt;0.01%,0.01%,(IFERROR(IF($BDP5="","",IF($BDP5=0,1,1-$BDP5/HLOOKUP(BDY$3,[2]ARBOR_REAJUSTE18!$A:$AE,VLOOKUP($BDP$2,[2]ARBOR_REAJUSTE18!$A:$B,2,0),0))),""))),4)</f>
        <v>#VALUE!</v>
      </c>
      <c r="BDZ5" s="44" t="e">
        <f>ROUNDUP(IF(IFERROR(IF($BDP5="","",IF($BDP5=0,1,1-$BDP5/HLOOKUP(BDZ$3,[2]ARBOR_REAJUSTE18!$A:$AE,VLOOKUP($BDP$2,[2]ARBOR_REAJUSTE18!$A:$B,2,0),0))),"")&lt;0.01%,0.01%,(IFERROR(IF($BDP5="","",IF($BDP5=0,1,1-$BDP5/HLOOKUP(BDZ$3,[2]ARBOR_REAJUSTE18!$A:$AE,VLOOKUP($BDP$2,[2]ARBOR_REAJUSTE18!$A:$B,2,0),0))),""))),4)</f>
        <v>#VALUE!</v>
      </c>
      <c r="BEA5" s="44" t="e">
        <f>ROUNDUP(IF(IFERROR(IF($BDP5="","",IF($BDP5=0,1,1-$BDP5/HLOOKUP(BEA$3,[2]ARBOR_REAJUSTE18!$A:$AE,VLOOKUP($BDP$2,[2]ARBOR_REAJUSTE18!$A:$B,2,0),0))),"")&lt;0.01%,0.01%,(IFERROR(IF($BDP5="","",IF($BDP5=0,1,1-$BDP5/HLOOKUP(BEA$3,[2]ARBOR_REAJUSTE18!$A:$AE,VLOOKUP($BDP$2,[2]ARBOR_REAJUSTE18!$A:$B,2,0),0))),""))),4)</f>
        <v>#VALUE!</v>
      </c>
      <c r="BEB5" s="44" t="e">
        <f>ROUNDUP(IF(IFERROR(IF($BDP5="","",IF($BDP5=0,1,1-$BDP5/HLOOKUP(BEB$3,[2]ARBOR_REAJUSTE18!$A:$AE,VLOOKUP($BDP$2,[2]ARBOR_REAJUSTE18!$A:$B,2,0),0))),"")&lt;0.01%,0.01%,(IFERROR(IF($BDP5="","",IF($BDP5=0,1,1-$BDP5/HLOOKUP(BEB$3,[2]ARBOR_REAJUSTE18!$A:$AE,VLOOKUP($BDP$2,[2]ARBOR_REAJUSTE18!$A:$B,2,0),0))),""))),4)</f>
        <v>#VALUE!</v>
      </c>
      <c r="BEC5" s="44" t="e">
        <f>ROUNDUP(IF(IFERROR(IF($BDP5="","",IF($BDP5=0,1,1-$BDP5/HLOOKUP(BEC$3,[2]ARBOR_REAJUSTE18!$A:$AE,VLOOKUP($BDP$2,[2]ARBOR_REAJUSTE18!$A:$B,2,0),0))),"")&lt;0.01%,0.01%,(IFERROR(IF($BDP5="","",IF($BDP5=0,1,1-$BDP5/HLOOKUP(BEC$3,[2]ARBOR_REAJUSTE18!$A:$AE,VLOOKUP($BDP$2,[2]ARBOR_REAJUSTE18!$A:$B,2,0),0))),""))),4)</f>
        <v>#VALUE!</v>
      </c>
      <c r="BED5" s="44" t="e">
        <f>ROUNDUP(IF(IFERROR(IF($BDP5="","",IF($BDP5=0,1,1-$BDP5/HLOOKUP(BED$3,[2]ARBOR_REAJUSTE18!$A:$AE,VLOOKUP($BDP$2,[2]ARBOR_REAJUSTE18!$A:$B,2,0),0))),"")&lt;0.01%,0.01%,(IFERROR(IF($BDP5="","",IF($BDP5=0,1,1-$BDP5/HLOOKUP(BED$3,[2]ARBOR_REAJUSTE18!$A:$AE,VLOOKUP($BDP$2,[2]ARBOR_REAJUSTE18!$A:$B,2,0),0))),""))),4)</f>
        <v>#VALUE!</v>
      </c>
      <c r="BEE5" s="44" t="e">
        <f>ROUNDUP(IF(IFERROR(IF($BDP5="","",IF($BDP5=0,1,1-$BDP5/HLOOKUP(BEE$3,[2]ARBOR_REAJUSTE18!$A:$AE,VLOOKUP($BDP$2,[2]ARBOR_REAJUSTE18!$A:$B,2,0),0))),"")&lt;0.01%,0.01%,(IFERROR(IF($BDP5="","",IF($BDP5=0,1,1-$BDP5/HLOOKUP(BEE$3,[2]ARBOR_REAJUSTE18!$A:$AE,VLOOKUP($BDP$2,[2]ARBOR_REAJUSTE18!$A:$B,2,0),0))),""))),4)</f>
        <v>#VALUE!</v>
      </c>
      <c r="BEF5" s="44" t="e">
        <f>ROUNDUP(IF(IFERROR(IF($BDP5="","",IF($BDP5=0,1,1-$BDP5/HLOOKUP(BEF$3,[2]ARBOR_REAJUSTE18!$A:$AE,VLOOKUP($BDP$2,[2]ARBOR_REAJUSTE18!$A:$B,2,0),0))),"")&lt;0.01%,0.01%,(IFERROR(IF($BDP5="","",IF($BDP5=0,1,1-$BDP5/HLOOKUP(BEF$3,[2]ARBOR_REAJUSTE18!$A:$AE,VLOOKUP($BDP$2,[2]ARBOR_REAJUSTE18!$A:$B,2,0),0))),""))),4)</f>
        <v>#VALUE!</v>
      </c>
      <c r="BEG5" s="44" t="e">
        <f>ROUNDUP(IF(IFERROR(IF($BDP5="","",IF($BDP5=0,1,1-$BDP5/HLOOKUP(BEG$3,[2]ARBOR_REAJUSTE18!$A:$AE,VLOOKUP($BDP$2,[2]ARBOR_REAJUSTE18!$A:$B,2,0),0))),"")&lt;0.01%,0.01%,(IFERROR(IF($BDP5="","",IF($BDP5=0,1,1-$BDP5/HLOOKUP(BEG$3,[2]ARBOR_REAJUSTE18!$A:$AE,VLOOKUP($BDP$2,[2]ARBOR_REAJUSTE18!$A:$B,2,0),0))),""))),4)</f>
        <v>#VALUE!</v>
      </c>
      <c r="BEH5" s="44" t="e">
        <f>ROUNDUP(IF(IFERROR(IF($BDP5="","",IF($BDP5=0,1,1-$BDP5/HLOOKUP(BEH$3,[2]ARBOR_REAJUSTE18!$A:$AE,VLOOKUP($BDP$2,[2]ARBOR_REAJUSTE18!$A:$B,2,0),0))),"")&lt;0.01%,0.01%,(IFERROR(IF($BDP5="","",IF($BDP5=0,1,1-$BDP5/HLOOKUP(BEH$3,[2]ARBOR_REAJUSTE18!$A:$AE,VLOOKUP($BDP$2,[2]ARBOR_REAJUSTE18!$A:$B,2,0),0))),""))),4)</f>
        <v>#VALUE!</v>
      </c>
      <c r="BEI5" s="44" t="e">
        <f>ROUNDUP(IF(IFERROR(IF($BDP5="","",IF($BDP5=0,1,1-$BDP5/HLOOKUP(BEI$3,[2]ARBOR_REAJUSTE18!$A:$AE,VLOOKUP($BDP$2,[2]ARBOR_REAJUSTE18!$A:$B,2,0),0))),"")&lt;0.01%,0.01%,(IFERROR(IF($BDP5="","",IF($BDP5=0,1,1-$BDP5/HLOOKUP(BEI$3,[2]ARBOR_REAJUSTE18!$A:$AE,VLOOKUP($BDP$2,[2]ARBOR_REAJUSTE18!$A:$B,2,0),0))),""))),4)</f>
        <v>#VALUE!</v>
      </c>
      <c r="BEJ5" s="44" t="e">
        <f>ROUNDUP(IF(IFERROR(IF($BDP5="","",IF($BDP5=0,1,1-$BDP5/HLOOKUP(BEJ$3,[2]ARBOR_REAJUSTE18!$A:$AE,VLOOKUP($BDP$2,[2]ARBOR_REAJUSTE18!$A:$B,2,0),0))),"")&lt;0.01%,0.01%,(IFERROR(IF($BDP5="","",IF($BDP5=0,1,1-$BDP5/HLOOKUP(BEJ$3,[2]ARBOR_REAJUSTE18!$A:$AE,VLOOKUP($BDP$2,[2]ARBOR_REAJUSTE18!$A:$B,2,0),0))),""))),4)</f>
        <v>#VALUE!</v>
      </c>
      <c r="BEK5" s="44" t="e">
        <f>ROUNDUP(IF(IFERROR(IF($BDP5="","",IF($BDP5=0,1,1-$BDP5/HLOOKUP(BEK$3,[2]ARBOR_REAJUSTE18!$A:$AE,VLOOKUP($BDP$2,[2]ARBOR_REAJUSTE18!$A:$B,2,0),0))),"")&lt;0.01%,0.01%,(IFERROR(IF($BDP5="","",IF($BDP5=0,1,1-$BDP5/HLOOKUP(BEK$3,[2]ARBOR_REAJUSTE18!$A:$AE,VLOOKUP($BDP$2,[2]ARBOR_REAJUSTE18!$A:$B,2,0),0))),""))),4)</f>
        <v>#VALUE!</v>
      </c>
      <c r="BEL5" s="44" t="e">
        <f>ROUNDUP(IF(IFERROR(IF($BDP5="","",IF($BDP5=0,1,1-$BDP5/HLOOKUP(BEL$3,[2]ARBOR_REAJUSTE18!$A:$AE,VLOOKUP($BDP$2,[2]ARBOR_REAJUSTE18!$A:$B,2,0),0))),"")&lt;0.01%,0.01%,(IFERROR(IF($BDP5="","",IF($BDP5=0,1,1-$BDP5/HLOOKUP(BEL$3,[2]ARBOR_REAJUSTE18!$A:$AE,VLOOKUP($BDP$2,[2]ARBOR_REAJUSTE18!$A:$B,2,0),0))),""))),4)</f>
        <v>#VALUE!</v>
      </c>
      <c r="BEM5" s="44" t="e">
        <f>ROUNDUP(IF(IFERROR(IF($BDP5="","",IF($BDP5=0,1,1-$BDP5/HLOOKUP(BEM$3,[2]ARBOR_REAJUSTE18!$A:$AE,VLOOKUP($BDP$2,[2]ARBOR_REAJUSTE18!$A:$B,2,0),0))),"")&lt;0.01%,0.01%,(IFERROR(IF($BDP5="","",IF($BDP5=0,1,1-$BDP5/HLOOKUP(BEM$3,[2]ARBOR_REAJUSTE18!$A:$AE,VLOOKUP($BDP$2,[2]ARBOR_REAJUSTE18!$A:$B,2,0),0))),""))),4)</f>
        <v>#VALUE!</v>
      </c>
      <c r="BEN5" s="44" t="e">
        <f>ROUNDUP(IF(IFERROR(IF($BDP5="","",IF($BDP5=0,1,1-$BDP5/HLOOKUP(BEN$3,[2]ARBOR_REAJUSTE18!$A:$AE,VLOOKUP($BDP$2,[2]ARBOR_REAJUSTE18!$A:$B,2,0),0))),"")&lt;0.01%,0.01%,(IFERROR(IF($BDP5="","",IF($BDP5=0,1,1-$BDP5/HLOOKUP(BEN$3,[2]ARBOR_REAJUSTE18!$A:$AE,VLOOKUP($BDP$2,[2]ARBOR_REAJUSTE18!$A:$B,2,0),0))),""))),4)</f>
        <v>#VALUE!</v>
      </c>
      <c r="BEO5" s="44" t="e">
        <f>ROUNDUP(IF(IFERROR(IF($BDP5="","",IF($BDP5=0,1,1-$BDP5/HLOOKUP(BEO$3,[2]ARBOR_REAJUSTE18!$A:$AE,VLOOKUP($BDP$2,[2]ARBOR_REAJUSTE18!$A:$B,2,0),0))),"")&lt;0.01%,0.01%,(IFERROR(IF($BDP5="","",IF($BDP5=0,1,1-$BDP5/HLOOKUP(BEO$3,[2]ARBOR_REAJUSTE18!$A:$AE,VLOOKUP($BDP$2,[2]ARBOR_REAJUSTE18!$A:$B,2,0),0))),""))),4)</f>
        <v>#VALUE!</v>
      </c>
      <c r="BEP5" s="44" t="e">
        <f>ROUNDUP(IF(IFERROR(IF($BDP5="","",IF($BDP5=0,1,1-$BDP5/HLOOKUP(BEP$3,[2]ARBOR_REAJUSTE18!$A:$AE,VLOOKUP($BDP$2,[2]ARBOR_REAJUSTE18!$A:$B,2,0),0))),"")&lt;0.01%,0.01%,(IFERROR(IF($BDP5="","",IF($BDP5=0,1,1-$BDP5/HLOOKUP(BEP$3,[2]ARBOR_REAJUSTE18!$A:$AE,VLOOKUP($BDP$2,[2]ARBOR_REAJUSTE18!$A:$B,2,0),0))),""))),4)</f>
        <v>#VALUE!</v>
      </c>
      <c r="BEQ5" s="44" t="e">
        <f>ROUNDUP(IF(IFERROR(IF($BDP5="","",IF($BDP5=0,1,1-$BDP5/HLOOKUP(BEQ$3,[2]ARBOR_REAJUSTE18!$A:$AE,VLOOKUP($BDP$2,[2]ARBOR_REAJUSTE18!$A:$B,2,0),0))),"")&lt;0.01%,0.01%,(IFERROR(IF($BDP5="","",IF($BDP5=0,1,1-$BDP5/HLOOKUP(BEQ$3,[2]ARBOR_REAJUSTE18!$A:$AE,VLOOKUP($BDP$2,[2]ARBOR_REAJUSTE18!$A:$B,2,0),0))),""))),4)</f>
        <v>#VALUE!</v>
      </c>
      <c r="BER5" s="44" t="e">
        <f>ROUNDUP(IF(IFERROR(IF($BDP5="","",IF($BDP5=0,1,1-$BDP5/HLOOKUP(BER$3,[2]ARBOR_REAJUSTE18!$A:$AE,VLOOKUP($BDP$2,[2]ARBOR_REAJUSTE18!$A:$B,2,0),0))),"")&lt;0.01%,0.01%,(IFERROR(IF($BDP5="","",IF($BDP5=0,1,1-$BDP5/HLOOKUP(BER$3,[2]ARBOR_REAJUSTE18!$A:$AE,VLOOKUP($BDP$2,[2]ARBOR_REAJUSTE18!$A:$B,2,0),0))),""))),4)</f>
        <v>#VALUE!</v>
      </c>
      <c r="BES5" s="56">
        <v>154.79999999999998</v>
      </c>
      <c r="BET5" s="64" t="e">
        <f>VLOOKUP($AV5&amp;BEU5&amp;"Template desconto FLAT Plano Principal Oi TV nível conta",[2]BENEFICIOS!$A:$G,5,0)</f>
        <v>#VALUE!</v>
      </c>
      <c r="BEU5" s="44" t="e">
        <f>ROUNDUP(IF(IFERROR(IF($BES5="","",IF($BES5=0,1,1-$BES5/HLOOKUP(BEU$3,[2]ARBOR_REAJUSTE18!$A:$AE,VLOOKUP($BES$2,[2]ARBOR_REAJUSTE18!$A:$B,2,0),0))),"")&lt;0.01%,0.01%,(IFERROR(IF($BES5="","",IF($BES5=0,1,1-$BES5/HLOOKUP(BEU$3,[2]ARBOR_REAJUSTE18!$A:$AE,VLOOKUP($BES$2,[2]ARBOR_REAJUSTE18!$A:$B,2,0),0))),""))),4)</f>
        <v>#VALUE!</v>
      </c>
      <c r="BEV5" s="44" t="e">
        <f>ROUNDUP(IF(IFERROR(IF($BES5="","",IF($BES5=0,1,1-$BES5/HLOOKUP(BEV$3,[2]ARBOR_REAJUSTE18!$A:$AE,VLOOKUP($BES$2,[2]ARBOR_REAJUSTE18!$A:$B,2,0),0))),"")&lt;0.01%,0.01%,(IFERROR(IF($BES5="","",IF($BES5=0,1,1-$BES5/HLOOKUP(BEV$3,[2]ARBOR_REAJUSTE18!$A:$AE,VLOOKUP($BES$2,[2]ARBOR_REAJUSTE18!$A:$B,2,0),0))),""))),4)</f>
        <v>#VALUE!</v>
      </c>
      <c r="BEW5" s="44" t="e">
        <f>ROUNDUP(IF(IFERROR(IF($BES5="","",IF($BES5=0,1,1-$BES5/HLOOKUP(BEW$3,[2]ARBOR_REAJUSTE18!$A:$AE,VLOOKUP($BES$2,[2]ARBOR_REAJUSTE18!$A:$B,2,0),0))),"")&lt;0.01%,0.01%,(IFERROR(IF($BES5="","",IF($BES5=0,1,1-$BES5/HLOOKUP(BEW$3,[2]ARBOR_REAJUSTE18!$A:$AE,VLOOKUP($BES$2,[2]ARBOR_REAJUSTE18!$A:$B,2,0),0))),""))),4)</f>
        <v>#VALUE!</v>
      </c>
      <c r="BEX5" s="44" t="e">
        <f>ROUNDUP(IF(IFERROR(IF($BES5="","",IF($BES5=0,1,1-$BES5/HLOOKUP(BEX$3,[2]ARBOR_REAJUSTE18!$A:$AE,VLOOKUP($BES$2,[2]ARBOR_REAJUSTE18!$A:$B,2,0),0))),"")&lt;0.01%,0.01%,(IFERROR(IF($BES5="","",IF($BES5=0,1,1-$BES5/HLOOKUP(BEX$3,[2]ARBOR_REAJUSTE18!$A:$AE,VLOOKUP($BES$2,[2]ARBOR_REAJUSTE18!$A:$B,2,0),0))),""))),4)</f>
        <v>#VALUE!</v>
      </c>
      <c r="BEY5" s="44" t="e">
        <f>ROUNDUP(IF(IFERROR(IF($BES5="","",IF($BES5=0,1,1-$BES5/HLOOKUP(BEY$3,[2]ARBOR_REAJUSTE18!$A:$AE,VLOOKUP($BES$2,[2]ARBOR_REAJUSTE18!$A:$B,2,0),0))),"")&lt;0.01%,0.01%,(IFERROR(IF($BES5="","",IF($BES5=0,1,1-$BES5/HLOOKUP(BEY$3,[2]ARBOR_REAJUSTE18!$A:$AE,VLOOKUP($BES$2,[2]ARBOR_REAJUSTE18!$A:$B,2,0),0))),""))),4)</f>
        <v>#VALUE!</v>
      </c>
      <c r="BEZ5" s="44" t="e">
        <f>ROUNDUP(IF(IFERROR(IF($BES5="","",IF($BES5=0,1,1-$BES5/HLOOKUP(BEZ$3,[2]ARBOR_REAJUSTE18!$A:$AE,VLOOKUP($BES$2,[2]ARBOR_REAJUSTE18!$A:$B,2,0),0))),"")&lt;0.01%,0.01%,(IFERROR(IF($BES5="","",IF($BES5=0,1,1-$BES5/HLOOKUP(BEZ$3,[2]ARBOR_REAJUSTE18!$A:$AE,VLOOKUP($BES$2,[2]ARBOR_REAJUSTE18!$A:$B,2,0),0))),""))),4)</f>
        <v>#VALUE!</v>
      </c>
      <c r="BFA5" s="44" t="e">
        <f>ROUNDUP(IF(IFERROR(IF($BES5="","",IF($BES5=0,1,1-$BES5/HLOOKUP(BFA$3,[2]ARBOR_REAJUSTE18!$A:$AE,VLOOKUP($BES$2,[2]ARBOR_REAJUSTE18!$A:$B,2,0),0))),"")&lt;0.01%,0.01%,(IFERROR(IF($BES5="","",IF($BES5=0,1,1-$BES5/HLOOKUP(BFA$3,[2]ARBOR_REAJUSTE18!$A:$AE,VLOOKUP($BES$2,[2]ARBOR_REAJUSTE18!$A:$B,2,0),0))),""))),4)</f>
        <v>#VALUE!</v>
      </c>
      <c r="BFB5" s="44" t="e">
        <f>ROUNDUP(IF(IFERROR(IF($BES5="","",IF($BES5=0,1,1-$BES5/HLOOKUP(BFB$3,[2]ARBOR_REAJUSTE18!$A:$AE,VLOOKUP($BES$2,[2]ARBOR_REAJUSTE18!$A:$B,2,0),0))),"")&lt;0.01%,0.01%,(IFERROR(IF($BES5="","",IF($BES5=0,1,1-$BES5/HLOOKUP(BFB$3,[2]ARBOR_REAJUSTE18!$A:$AE,VLOOKUP($BES$2,[2]ARBOR_REAJUSTE18!$A:$B,2,0),0))),""))),4)</f>
        <v>#VALUE!</v>
      </c>
      <c r="BFC5" s="44" t="e">
        <f>ROUNDUP(IF(IFERROR(IF($BES5="","",IF($BES5=0,1,1-$BES5/HLOOKUP(BFC$3,[2]ARBOR_REAJUSTE18!$A:$AE,VLOOKUP($BES$2,[2]ARBOR_REAJUSTE18!$A:$B,2,0),0))),"")&lt;0.01%,0.01%,(IFERROR(IF($BES5="","",IF($BES5=0,1,1-$BES5/HLOOKUP(BFC$3,[2]ARBOR_REAJUSTE18!$A:$AE,VLOOKUP($BES$2,[2]ARBOR_REAJUSTE18!$A:$B,2,0),0))),""))),4)</f>
        <v>#VALUE!</v>
      </c>
      <c r="BFD5" s="44" t="e">
        <f>ROUNDUP(IF(IFERROR(IF($BES5="","",IF($BES5=0,1,1-$BES5/HLOOKUP(BFD$3,[2]ARBOR_REAJUSTE18!$A:$AE,VLOOKUP($BES$2,[2]ARBOR_REAJUSTE18!$A:$B,2,0),0))),"")&lt;0.01%,0.01%,(IFERROR(IF($BES5="","",IF($BES5=0,1,1-$BES5/HLOOKUP(BFD$3,[2]ARBOR_REAJUSTE18!$A:$AE,VLOOKUP($BES$2,[2]ARBOR_REAJUSTE18!$A:$B,2,0),0))),""))),4)</f>
        <v>#VALUE!</v>
      </c>
      <c r="BFE5" s="44" t="e">
        <f>ROUNDUP(IF(IFERROR(IF($BES5="","",IF($BES5=0,1,1-$BES5/HLOOKUP(BFE$3,[2]ARBOR_REAJUSTE18!$A:$AE,VLOOKUP($BES$2,[2]ARBOR_REAJUSTE18!$A:$B,2,0),0))),"")&lt;0.01%,0.01%,(IFERROR(IF($BES5="","",IF($BES5=0,1,1-$BES5/HLOOKUP(BFE$3,[2]ARBOR_REAJUSTE18!$A:$AE,VLOOKUP($BES$2,[2]ARBOR_REAJUSTE18!$A:$B,2,0),0))),""))),4)</f>
        <v>#VALUE!</v>
      </c>
      <c r="BFF5" s="44" t="e">
        <f>ROUNDUP(IF(IFERROR(IF($BES5="","",IF($BES5=0,1,1-$BES5/HLOOKUP(BFF$3,[2]ARBOR_REAJUSTE18!$A:$AE,VLOOKUP($BES$2,[2]ARBOR_REAJUSTE18!$A:$B,2,0),0))),"")&lt;0.01%,0.01%,(IFERROR(IF($BES5="","",IF($BES5=0,1,1-$BES5/HLOOKUP(BFF$3,[2]ARBOR_REAJUSTE18!$A:$AE,VLOOKUP($BES$2,[2]ARBOR_REAJUSTE18!$A:$B,2,0),0))),""))),4)</f>
        <v>#VALUE!</v>
      </c>
      <c r="BFG5" s="44" t="e">
        <f>ROUNDUP(IF(IFERROR(IF($BES5="","",IF($BES5=0,1,1-$BES5/HLOOKUP(BFG$3,[2]ARBOR_REAJUSTE18!$A:$AE,VLOOKUP($BES$2,[2]ARBOR_REAJUSTE18!$A:$B,2,0),0))),"")&lt;0.01%,0.01%,(IFERROR(IF($BES5="","",IF($BES5=0,1,1-$BES5/HLOOKUP(BFG$3,[2]ARBOR_REAJUSTE18!$A:$AE,VLOOKUP($BES$2,[2]ARBOR_REAJUSTE18!$A:$B,2,0),0))),""))),4)</f>
        <v>#VALUE!</v>
      </c>
      <c r="BFH5" s="44" t="e">
        <f>ROUNDUP(IF(IFERROR(IF($BES5="","",IF($BES5=0,1,1-$BES5/HLOOKUP(BFH$3,[2]ARBOR_REAJUSTE18!$A:$AE,VLOOKUP($BES$2,[2]ARBOR_REAJUSTE18!$A:$B,2,0),0))),"")&lt;0.01%,0.01%,(IFERROR(IF($BES5="","",IF($BES5=0,1,1-$BES5/HLOOKUP(BFH$3,[2]ARBOR_REAJUSTE18!$A:$AE,VLOOKUP($BES$2,[2]ARBOR_REAJUSTE18!$A:$B,2,0),0))),""))),4)</f>
        <v>#VALUE!</v>
      </c>
      <c r="BFI5" s="44" t="e">
        <f>ROUNDUP(IF(IFERROR(IF($BES5="","",IF($BES5=0,1,1-$BES5/HLOOKUP(BFI$3,[2]ARBOR_REAJUSTE18!$A:$AE,VLOOKUP($BES$2,[2]ARBOR_REAJUSTE18!$A:$B,2,0),0))),"")&lt;0.01%,0.01%,(IFERROR(IF($BES5="","",IF($BES5=0,1,1-$BES5/HLOOKUP(BFI$3,[2]ARBOR_REAJUSTE18!$A:$AE,VLOOKUP($BES$2,[2]ARBOR_REAJUSTE18!$A:$B,2,0),0))),""))),4)</f>
        <v>#VALUE!</v>
      </c>
      <c r="BFJ5" s="44" t="e">
        <f>ROUNDUP(IF(IFERROR(IF($BES5="","",IF($BES5=0,1,1-$BES5/HLOOKUP(BFJ$3,[2]ARBOR_REAJUSTE18!$A:$AE,VLOOKUP($BES$2,[2]ARBOR_REAJUSTE18!$A:$B,2,0),0))),"")&lt;0.01%,0.01%,(IFERROR(IF($BES5="","",IF($BES5=0,1,1-$BES5/HLOOKUP(BFJ$3,[2]ARBOR_REAJUSTE18!$A:$AE,VLOOKUP($BES$2,[2]ARBOR_REAJUSTE18!$A:$B,2,0),0))),""))),4)</f>
        <v>#VALUE!</v>
      </c>
      <c r="BFK5" s="44" t="e">
        <f>ROUNDUP(IF(IFERROR(IF($BES5="","",IF($BES5=0,1,1-$BES5/HLOOKUP(BFK$3,[2]ARBOR_REAJUSTE18!$A:$AE,VLOOKUP($BES$2,[2]ARBOR_REAJUSTE18!$A:$B,2,0),0))),"")&lt;0.01%,0.01%,(IFERROR(IF($BES5="","",IF($BES5=0,1,1-$BES5/HLOOKUP(BFK$3,[2]ARBOR_REAJUSTE18!$A:$AE,VLOOKUP($BES$2,[2]ARBOR_REAJUSTE18!$A:$B,2,0),0))),""))),4)</f>
        <v>#VALUE!</v>
      </c>
      <c r="BFL5" s="44" t="e">
        <f>ROUNDUP(IF(IFERROR(IF($BES5="","",IF($BES5=0,1,1-$BES5/HLOOKUP(BFL$3,[2]ARBOR_REAJUSTE18!$A:$AE,VLOOKUP($BES$2,[2]ARBOR_REAJUSTE18!$A:$B,2,0),0))),"")&lt;0.01%,0.01%,(IFERROR(IF($BES5="","",IF($BES5=0,1,1-$BES5/HLOOKUP(BFL$3,[2]ARBOR_REAJUSTE18!$A:$AE,VLOOKUP($BES$2,[2]ARBOR_REAJUSTE18!$A:$B,2,0),0))),""))),4)</f>
        <v>#VALUE!</v>
      </c>
      <c r="BFM5" s="44" t="e">
        <f>ROUNDUP(IF(IFERROR(IF($BES5="","",IF($BES5=0,1,1-$BES5/HLOOKUP(BFM$3,[2]ARBOR_REAJUSTE18!$A:$AE,VLOOKUP($BES$2,[2]ARBOR_REAJUSTE18!$A:$B,2,0),0))),"")&lt;0.01%,0.01%,(IFERROR(IF($BES5="","",IF($BES5=0,1,1-$BES5/HLOOKUP(BFM$3,[2]ARBOR_REAJUSTE18!$A:$AE,VLOOKUP($BES$2,[2]ARBOR_REAJUSTE18!$A:$B,2,0),0))),""))),4)</f>
        <v>#VALUE!</v>
      </c>
      <c r="BFN5" s="44" t="e">
        <f>ROUNDUP(IF(IFERROR(IF($BES5="","",IF($BES5=0,1,1-$BES5/HLOOKUP(BFN$3,[2]ARBOR_REAJUSTE18!$A:$AE,VLOOKUP($BES$2,[2]ARBOR_REAJUSTE18!$A:$B,2,0),0))),"")&lt;0.01%,0.01%,(IFERROR(IF($BES5="","",IF($BES5=0,1,1-$BES5/HLOOKUP(BFN$3,[2]ARBOR_REAJUSTE18!$A:$AE,VLOOKUP($BES$2,[2]ARBOR_REAJUSTE18!$A:$B,2,0),0))),""))),4)</f>
        <v>#VALUE!</v>
      </c>
      <c r="BFO5" s="44" t="e">
        <f>ROUNDUP(IF(IFERROR(IF($BES5="","",IF($BES5=0,1,1-$BES5/HLOOKUP(BFO$3,[2]ARBOR_REAJUSTE18!$A:$AE,VLOOKUP($BES$2,[2]ARBOR_REAJUSTE18!$A:$B,2,0),0))),"")&lt;0.01%,0.01%,(IFERROR(IF($BES5="","",IF($BES5=0,1,1-$BES5/HLOOKUP(BFO$3,[2]ARBOR_REAJUSTE18!$A:$AE,VLOOKUP($BES$2,[2]ARBOR_REAJUSTE18!$A:$B,2,0),0))),""))),4)</f>
        <v>#VALUE!</v>
      </c>
      <c r="BFP5" s="44" t="e">
        <f>ROUNDUP(IF(IFERROR(IF($BES5="","",IF($BES5=0,1,1-$BES5/HLOOKUP(BFP$3,[2]ARBOR_REAJUSTE18!$A:$AE,VLOOKUP($BES$2,[2]ARBOR_REAJUSTE18!$A:$B,2,0),0))),"")&lt;0.01%,0.01%,(IFERROR(IF($BES5="","",IF($BES5=0,1,1-$BES5/HLOOKUP(BFP$3,[2]ARBOR_REAJUSTE18!$A:$AE,VLOOKUP($BES$2,[2]ARBOR_REAJUSTE18!$A:$B,2,0),0))),""))),4)</f>
        <v>#VALUE!</v>
      </c>
      <c r="BFQ5" s="44" t="e">
        <f>ROUNDUP(IF(IFERROR(IF($BES5="","",IF($BES5=0,1,1-$BES5/HLOOKUP(BFQ$3,[2]ARBOR_REAJUSTE18!$A:$AE,VLOOKUP($BES$2,[2]ARBOR_REAJUSTE18!$A:$B,2,0),0))),"")&lt;0.01%,0.01%,(IFERROR(IF($BES5="","",IF($BES5=0,1,1-$BES5/HLOOKUP(BFQ$3,[2]ARBOR_REAJUSTE18!$A:$AE,VLOOKUP($BES$2,[2]ARBOR_REAJUSTE18!$A:$B,2,0),0))),""))),4)</f>
        <v>#VALUE!</v>
      </c>
      <c r="BFR5" s="44" t="e">
        <f>ROUNDUP(IF(IFERROR(IF($BES5="","",IF($BES5=0,1,1-$BES5/HLOOKUP(BFR$3,[2]ARBOR_REAJUSTE18!$A:$AE,VLOOKUP($BES$2,[2]ARBOR_REAJUSTE18!$A:$B,2,0),0))),"")&lt;0.01%,0.01%,(IFERROR(IF($BES5="","",IF($BES5=0,1,1-$BES5/HLOOKUP(BFR$3,[2]ARBOR_REAJUSTE18!$A:$AE,VLOOKUP($BES$2,[2]ARBOR_REAJUSTE18!$A:$B,2,0),0))),""))),4)</f>
        <v>#VALUE!</v>
      </c>
      <c r="BFS5" s="44" t="e">
        <f>ROUNDUP(IF(IFERROR(IF($BES5="","",IF($BES5=0,1,1-$BES5/HLOOKUP(BFS$3,[2]ARBOR_REAJUSTE18!$A:$AE,VLOOKUP($BES$2,[2]ARBOR_REAJUSTE18!$A:$B,2,0),0))),"")&lt;0.01%,0.01%,(IFERROR(IF($BES5="","",IF($BES5=0,1,1-$BES5/HLOOKUP(BFS$3,[2]ARBOR_REAJUSTE18!$A:$AE,VLOOKUP($BES$2,[2]ARBOR_REAJUSTE18!$A:$B,2,0),0))),""))),4)</f>
        <v>#VALUE!</v>
      </c>
      <c r="BFT5" s="44" t="e">
        <f>ROUNDUP(IF(IFERROR(IF($BES5="","",IF($BES5=0,1,1-$BES5/HLOOKUP(BFT$3,[2]ARBOR_REAJUSTE18!$A:$AE,VLOOKUP($BES$2,[2]ARBOR_REAJUSTE18!$A:$B,2,0),0))),"")&lt;0.01%,0.01%,(IFERROR(IF($BES5="","",IF($BES5=0,1,1-$BES5/HLOOKUP(BFT$3,[2]ARBOR_REAJUSTE18!$A:$AE,VLOOKUP($BES$2,[2]ARBOR_REAJUSTE18!$A:$B,2,0),0))),""))),4)</f>
        <v>#VALUE!</v>
      </c>
      <c r="BFU5" s="44" t="e">
        <f>ROUNDUP(IF(IFERROR(IF($BES5="","",IF($BES5=0,1,1-$BES5/HLOOKUP(BFU$3,[2]ARBOR_REAJUSTE18!$A:$AE,VLOOKUP($BES$2,[2]ARBOR_REAJUSTE18!$A:$B,2,0),0))),"")&lt;0.01%,0.01%,(IFERROR(IF($BES5="","",IF($BES5=0,1,1-$BES5/HLOOKUP(BFU$3,[2]ARBOR_REAJUSTE18!$A:$AE,VLOOKUP($BES$2,[2]ARBOR_REAJUSTE18!$A:$B,2,0),0))),""))),4)</f>
        <v>#VALUE!</v>
      </c>
      <c r="BFV5" s="56">
        <v>189.8</v>
      </c>
      <c r="BFW5" s="64" t="e">
        <f>VLOOKUP($AV5&amp;BFX5&amp;"Template desconto FLAT Plano Principal Oi TV nível conta",[2]BENEFICIOS!$A:$G,5,0)</f>
        <v>#VALUE!</v>
      </c>
      <c r="BFX5" s="44" t="e">
        <f>ROUNDUP(IF(IFERROR(IF($BFV5="","",IF($BFV5=0,1,1-$BFV5/HLOOKUP(BFX$3,[2]ARBOR_REAJUSTE18!$A:$AE,VLOOKUP($BFV$2,[2]ARBOR_REAJUSTE18!$A:$B,2,0),0))),"")&lt;0.01%,0.01%,(IFERROR(IF($BFV5="","",IF($BFV5=0,1,1-$BFV5/HLOOKUP(BFX$3,[2]ARBOR_REAJUSTE18!$A:$AE,VLOOKUP($BFV$2,[2]ARBOR_REAJUSTE18!$A:$B,2,0),0))),""))),4)</f>
        <v>#VALUE!</v>
      </c>
      <c r="BFY5" s="44" t="e">
        <f>ROUNDUP(IF(IFERROR(IF($BFV5="","",IF($BFV5=0,1,1-$BFV5/HLOOKUP(BFY$3,[2]ARBOR_REAJUSTE18!$A:$AE,VLOOKUP($BFV$2,[2]ARBOR_REAJUSTE18!$A:$B,2,0),0))),"")&lt;0.01%,0.01%,(IFERROR(IF($BFV5="","",IF($BFV5=0,1,1-$BFV5/HLOOKUP(BFY$3,[2]ARBOR_REAJUSTE18!$A:$AE,VLOOKUP($BFV$2,[2]ARBOR_REAJUSTE18!$A:$B,2,0),0))),""))),4)</f>
        <v>#VALUE!</v>
      </c>
      <c r="BFZ5" s="44" t="e">
        <f>ROUNDUP(IF(IFERROR(IF($BFV5="","",IF($BFV5=0,1,1-$BFV5/HLOOKUP(BFZ$3,[2]ARBOR_REAJUSTE18!$A:$AE,VLOOKUP($BFV$2,[2]ARBOR_REAJUSTE18!$A:$B,2,0),0))),"")&lt;0.01%,0.01%,(IFERROR(IF($BFV5="","",IF($BFV5=0,1,1-$BFV5/HLOOKUP(BFZ$3,[2]ARBOR_REAJUSTE18!$A:$AE,VLOOKUP($BFV$2,[2]ARBOR_REAJUSTE18!$A:$B,2,0),0))),""))),4)</f>
        <v>#VALUE!</v>
      </c>
      <c r="BGA5" s="44" t="e">
        <f>ROUNDUP(IF(IFERROR(IF($BFV5="","",IF($BFV5=0,1,1-$BFV5/HLOOKUP(BGA$3,[2]ARBOR_REAJUSTE18!$A:$AE,VLOOKUP($BFV$2,[2]ARBOR_REAJUSTE18!$A:$B,2,0),0))),"")&lt;0.01%,0.01%,(IFERROR(IF($BFV5="","",IF($BFV5=0,1,1-$BFV5/HLOOKUP(BGA$3,[2]ARBOR_REAJUSTE18!$A:$AE,VLOOKUP($BFV$2,[2]ARBOR_REAJUSTE18!$A:$B,2,0),0))),""))),4)</f>
        <v>#VALUE!</v>
      </c>
      <c r="BGB5" s="44" t="e">
        <f>ROUNDUP(IF(IFERROR(IF($BFV5="","",IF($BFV5=0,1,1-$BFV5/HLOOKUP(BGB$3,[2]ARBOR_REAJUSTE18!$A:$AE,VLOOKUP($BFV$2,[2]ARBOR_REAJUSTE18!$A:$B,2,0),0))),"")&lt;0.01%,0.01%,(IFERROR(IF($BFV5="","",IF($BFV5=0,1,1-$BFV5/HLOOKUP(BGB$3,[2]ARBOR_REAJUSTE18!$A:$AE,VLOOKUP($BFV$2,[2]ARBOR_REAJUSTE18!$A:$B,2,0),0))),""))),4)</f>
        <v>#VALUE!</v>
      </c>
      <c r="BGC5" s="44" t="e">
        <f>ROUNDUP(IF(IFERROR(IF($BFV5="","",IF($BFV5=0,1,1-$BFV5/HLOOKUP(BGC$3,[2]ARBOR_REAJUSTE18!$A:$AE,VLOOKUP($BFV$2,[2]ARBOR_REAJUSTE18!$A:$B,2,0),0))),"")&lt;0.01%,0.01%,(IFERROR(IF($BFV5="","",IF($BFV5=0,1,1-$BFV5/HLOOKUP(BGC$3,[2]ARBOR_REAJUSTE18!$A:$AE,VLOOKUP($BFV$2,[2]ARBOR_REAJUSTE18!$A:$B,2,0),0))),""))),4)</f>
        <v>#VALUE!</v>
      </c>
      <c r="BGD5" s="44" t="e">
        <f>ROUNDUP(IF(IFERROR(IF($BFV5="","",IF($BFV5=0,1,1-$BFV5/HLOOKUP(BGD$3,[2]ARBOR_REAJUSTE18!$A:$AE,VLOOKUP($BFV$2,[2]ARBOR_REAJUSTE18!$A:$B,2,0),0))),"")&lt;0.01%,0.01%,(IFERROR(IF($BFV5="","",IF($BFV5=0,1,1-$BFV5/HLOOKUP(BGD$3,[2]ARBOR_REAJUSTE18!$A:$AE,VLOOKUP($BFV$2,[2]ARBOR_REAJUSTE18!$A:$B,2,0),0))),""))),4)</f>
        <v>#VALUE!</v>
      </c>
      <c r="BGE5" s="44" t="e">
        <f>ROUNDUP(IF(IFERROR(IF($BFV5="","",IF($BFV5=0,1,1-$BFV5/HLOOKUP(BGE$3,[2]ARBOR_REAJUSTE18!$A:$AE,VLOOKUP($BFV$2,[2]ARBOR_REAJUSTE18!$A:$B,2,0),0))),"")&lt;0.01%,0.01%,(IFERROR(IF($BFV5="","",IF($BFV5=0,1,1-$BFV5/HLOOKUP(BGE$3,[2]ARBOR_REAJUSTE18!$A:$AE,VLOOKUP($BFV$2,[2]ARBOR_REAJUSTE18!$A:$B,2,0),0))),""))),4)</f>
        <v>#VALUE!</v>
      </c>
      <c r="BGF5" s="44" t="e">
        <f>ROUNDUP(IF(IFERROR(IF($BFV5="","",IF($BFV5=0,1,1-$BFV5/HLOOKUP(BGF$3,[2]ARBOR_REAJUSTE18!$A:$AE,VLOOKUP($BFV$2,[2]ARBOR_REAJUSTE18!$A:$B,2,0),0))),"")&lt;0.01%,0.01%,(IFERROR(IF($BFV5="","",IF($BFV5=0,1,1-$BFV5/HLOOKUP(BGF$3,[2]ARBOR_REAJUSTE18!$A:$AE,VLOOKUP($BFV$2,[2]ARBOR_REAJUSTE18!$A:$B,2,0),0))),""))),4)</f>
        <v>#VALUE!</v>
      </c>
      <c r="BGG5" s="44" t="e">
        <f>ROUNDUP(IF(IFERROR(IF($BFV5="","",IF($BFV5=0,1,1-$BFV5/HLOOKUP(BGG$3,[2]ARBOR_REAJUSTE18!$A:$AE,VLOOKUP($BFV$2,[2]ARBOR_REAJUSTE18!$A:$B,2,0),0))),"")&lt;0.01%,0.01%,(IFERROR(IF($BFV5="","",IF($BFV5=0,1,1-$BFV5/HLOOKUP(BGG$3,[2]ARBOR_REAJUSTE18!$A:$AE,VLOOKUP($BFV$2,[2]ARBOR_REAJUSTE18!$A:$B,2,0),0))),""))),4)</f>
        <v>#VALUE!</v>
      </c>
      <c r="BGH5" s="44" t="e">
        <f>ROUNDUP(IF(IFERROR(IF($BFV5="","",IF($BFV5=0,1,1-$BFV5/HLOOKUP(BGH$3,[2]ARBOR_REAJUSTE18!$A:$AE,VLOOKUP($BFV$2,[2]ARBOR_REAJUSTE18!$A:$B,2,0),0))),"")&lt;0.01%,0.01%,(IFERROR(IF($BFV5="","",IF($BFV5=0,1,1-$BFV5/HLOOKUP(BGH$3,[2]ARBOR_REAJUSTE18!$A:$AE,VLOOKUP($BFV$2,[2]ARBOR_REAJUSTE18!$A:$B,2,0),0))),""))),4)</f>
        <v>#VALUE!</v>
      </c>
      <c r="BGI5" s="44" t="e">
        <f>ROUNDUP(IF(IFERROR(IF($BFV5="","",IF($BFV5=0,1,1-$BFV5/HLOOKUP(BGI$3,[2]ARBOR_REAJUSTE18!$A:$AE,VLOOKUP($BFV$2,[2]ARBOR_REAJUSTE18!$A:$B,2,0),0))),"")&lt;0.01%,0.01%,(IFERROR(IF($BFV5="","",IF($BFV5=0,1,1-$BFV5/HLOOKUP(BGI$3,[2]ARBOR_REAJUSTE18!$A:$AE,VLOOKUP($BFV$2,[2]ARBOR_REAJUSTE18!$A:$B,2,0),0))),""))),4)</f>
        <v>#VALUE!</v>
      </c>
      <c r="BGJ5" s="44" t="e">
        <f>ROUNDUP(IF(IFERROR(IF($BFV5="","",IF($BFV5=0,1,1-$BFV5/HLOOKUP(BGJ$3,[2]ARBOR_REAJUSTE18!$A:$AE,VLOOKUP($BFV$2,[2]ARBOR_REAJUSTE18!$A:$B,2,0),0))),"")&lt;0.01%,0.01%,(IFERROR(IF($BFV5="","",IF($BFV5=0,1,1-$BFV5/HLOOKUP(BGJ$3,[2]ARBOR_REAJUSTE18!$A:$AE,VLOOKUP($BFV$2,[2]ARBOR_REAJUSTE18!$A:$B,2,0),0))),""))),4)</f>
        <v>#VALUE!</v>
      </c>
      <c r="BGK5" s="44" t="e">
        <f>ROUNDUP(IF(IFERROR(IF($BFV5="","",IF($BFV5=0,1,1-$BFV5/HLOOKUP(BGK$3,[2]ARBOR_REAJUSTE18!$A:$AE,VLOOKUP($BFV$2,[2]ARBOR_REAJUSTE18!$A:$B,2,0),0))),"")&lt;0.01%,0.01%,(IFERROR(IF($BFV5="","",IF($BFV5=0,1,1-$BFV5/HLOOKUP(BGK$3,[2]ARBOR_REAJUSTE18!$A:$AE,VLOOKUP($BFV$2,[2]ARBOR_REAJUSTE18!$A:$B,2,0),0))),""))),4)</f>
        <v>#VALUE!</v>
      </c>
      <c r="BGL5" s="44" t="e">
        <f>ROUNDUP(IF(IFERROR(IF($BFV5="","",IF($BFV5=0,1,1-$BFV5/HLOOKUP(BGL$3,[2]ARBOR_REAJUSTE18!$A:$AE,VLOOKUP($BFV$2,[2]ARBOR_REAJUSTE18!$A:$B,2,0),0))),"")&lt;0.01%,0.01%,(IFERROR(IF($BFV5="","",IF($BFV5=0,1,1-$BFV5/HLOOKUP(BGL$3,[2]ARBOR_REAJUSTE18!$A:$AE,VLOOKUP($BFV$2,[2]ARBOR_REAJUSTE18!$A:$B,2,0),0))),""))),4)</f>
        <v>#VALUE!</v>
      </c>
      <c r="BGM5" s="44" t="e">
        <f>ROUNDUP(IF(IFERROR(IF($BFV5="","",IF($BFV5=0,1,1-$BFV5/HLOOKUP(BGM$3,[2]ARBOR_REAJUSTE18!$A:$AE,VLOOKUP($BFV$2,[2]ARBOR_REAJUSTE18!$A:$B,2,0),0))),"")&lt;0.01%,0.01%,(IFERROR(IF($BFV5="","",IF($BFV5=0,1,1-$BFV5/HLOOKUP(BGM$3,[2]ARBOR_REAJUSTE18!$A:$AE,VLOOKUP($BFV$2,[2]ARBOR_REAJUSTE18!$A:$B,2,0),0))),""))),4)</f>
        <v>#VALUE!</v>
      </c>
      <c r="BGN5" s="44" t="e">
        <f>ROUNDUP(IF(IFERROR(IF($BFV5="","",IF($BFV5=0,1,1-$BFV5/HLOOKUP(BGN$3,[2]ARBOR_REAJUSTE18!$A:$AE,VLOOKUP($BFV$2,[2]ARBOR_REAJUSTE18!$A:$B,2,0),0))),"")&lt;0.01%,0.01%,(IFERROR(IF($BFV5="","",IF($BFV5=0,1,1-$BFV5/HLOOKUP(BGN$3,[2]ARBOR_REAJUSTE18!$A:$AE,VLOOKUP($BFV$2,[2]ARBOR_REAJUSTE18!$A:$B,2,0),0))),""))),4)</f>
        <v>#VALUE!</v>
      </c>
      <c r="BGO5" s="44" t="e">
        <f>ROUNDUP(IF(IFERROR(IF($BFV5="","",IF($BFV5=0,1,1-$BFV5/HLOOKUP(BGO$3,[2]ARBOR_REAJUSTE18!$A:$AE,VLOOKUP($BFV$2,[2]ARBOR_REAJUSTE18!$A:$B,2,0),0))),"")&lt;0.01%,0.01%,(IFERROR(IF($BFV5="","",IF($BFV5=0,1,1-$BFV5/HLOOKUP(BGO$3,[2]ARBOR_REAJUSTE18!$A:$AE,VLOOKUP($BFV$2,[2]ARBOR_REAJUSTE18!$A:$B,2,0),0))),""))),4)</f>
        <v>#VALUE!</v>
      </c>
      <c r="BGP5" s="44" t="e">
        <f>ROUNDUP(IF(IFERROR(IF($BFV5="","",IF($BFV5=0,1,1-$BFV5/HLOOKUP(BGP$3,[2]ARBOR_REAJUSTE18!$A:$AE,VLOOKUP($BFV$2,[2]ARBOR_REAJUSTE18!$A:$B,2,0),0))),"")&lt;0.01%,0.01%,(IFERROR(IF($BFV5="","",IF($BFV5=0,1,1-$BFV5/HLOOKUP(BGP$3,[2]ARBOR_REAJUSTE18!$A:$AE,VLOOKUP($BFV$2,[2]ARBOR_REAJUSTE18!$A:$B,2,0),0))),""))),4)</f>
        <v>#VALUE!</v>
      </c>
      <c r="BGQ5" s="44" t="e">
        <f>ROUNDUP(IF(IFERROR(IF($BFV5="","",IF($BFV5=0,1,1-$BFV5/HLOOKUP(BGQ$3,[2]ARBOR_REAJUSTE18!$A:$AE,VLOOKUP($BFV$2,[2]ARBOR_REAJUSTE18!$A:$B,2,0),0))),"")&lt;0.01%,0.01%,(IFERROR(IF($BFV5="","",IF($BFV5=0,1,1-$BFV5/HLOOKUP(BGQ$3,[2]ARBOR_REAJUSTE18!$A:$AE,VLOOKUP($BFV$2,[2]ARBOR_REAJUSTE18!$A:$B,2,0),0))),""))),4)</f>
        <v>#VALUE!</v>
      </c>
      <c r="BGR5" s="44" t="e">
        <f>ROUNDUP(IF(IFERROR(IF($BFV5="","",IF($BFV5=0,1,1-$BFV5/HLOOKUP(BGR$3,[2]ARBOR_REAJUSTE18!$A:$AE,VLOOKUP($BFV$2,[2]ARBOR_REAJUSTE18!$A:$B,2,0),0))),"")&lt;0.01%,0.01%,(IFERROR(IF($BFV5="","",IF($BFV5=0,1,1-$BFV5/HLOOKUP(BGR$3,[2]ARBOR_REAJUSTE18!$A:$AE,VLOOKUP($BFV$2,[2]ARBOR_REAJUSTE18!$A:$B,2,0),0))),""))),4)</f>
        <v>#VALUE!</v>
      </c>
      <c r="BGS5" s="44" t="e">
        <f>ROUNDUP(IF(IFERROR(IF($BFV5="","",IF($BFV5=0,1,1-$BFV5/HLOOKUP(BGS$3,[2]ARBOR_REAJUSTE18!$A:$AE,VLOOKUP($BFV$2,[2]ARBOR_REAJUSTE18!$A:$B,2,0),0))),"")&lt;0.01%,0.01%,(IFERROR(IF($BFV5="","",IF($BFV5=0,1,1-$BFV5/HLOOKUP(BGS$3,[2]ARBOR_REAJUSTE18!$A:$AE,VLOOKUP($BFV$2,[2]ARBOR_REAJUSTE18!$A:$B,2,0),0))),""))),4)</f>
        <v>#VALUE!</v>
      </c>
      <c r="BGT5" s="44" t="e">
        <f>ROUNDUP(IF(IFERROR(IF($BFV5="","",IF($BFV5=0,1,1-$BFV5/HLOOKUP(BGT$3,[2]ARBOR_REAJUSTE18!$A:$AE,VLOOKUP($BFV$2,[2]ARBOR_REAJUSTE18!$A:$B,2,0),0))),"")&lt;0.01%,0.01%,(IFERROR(IF($BFV5="","",IF($BFV5=0,1,1-$BFV5/HLOOKUP(BGT$3,[2]ARBOR_REAJUSTE18!$A:$AE,VLOOKUP($BFV$2,[2]ARBOR_REAJUSTE18!$A:$B,2,0),0))),""))),4)</f>
        <v>#VALUE!</v>
      </c>
      <c r="BGU5" s="44" t="e">
        <f>ROUNDUP(IF(IFERROR(IF($BFV5="","",IF($BFV5=0,1,1-$BFV5/HLOOKUP(BGU$3,[2]ARBOR_REAJUSTE18!$A:$AE,VLOOKUP($BFV$2,[2]ARBOR_REAJUSTE18!$A:$B,2,0),0))),"")&lt;0.01%,0.01%,(IFERROR(IF($BFV5="","",IF($BFV5=0,1,1-$BFV5/HLOOKUP(BGU$3,[2]ARBOR_REAJUSTE18!$A:$AE,VLOOKUP($BFV$2,[2]ARBOR_REAJUSTE18!$A:$B,2,0),0))),""))),4)</f>
        <v>#VALUE!</v>
      </c>
      <c r="BGV5" s="44" t="e">
        <f>ROUNDUP(IF(IFERROR(IF($BFV5="","",IF($BFV5=0,1,1-$BFV5/HLOOKUP(BGV$3,[2]ARBOR_REAJUSTE18!$A:$AE,VLOOKUP($BFV$2,[2]ARBOR_REAJUSTE18!$A:$B,2,0),0))),"")&lt;0.01%,0.01%,(IFERROR(IF($BFV5="","",IF($BFV5=0,1,1-$BFV5/HLOOKUP(BGV$3,[2]ARBOR_REAJUSTE18!$A:$AE,VLOOKUP($BFV$2,[2]ARBOR_REAJUSTE18!$A:$B,2,0),0))),""))),4)</f>
        <v>#VALUE!</v>
      </c>
      <c r="BGW5" s="44" t="e">
        <f>ROUNDUP(IF(IFERROR(IF($BFV5="","",IF($BFV5=0,1,1-$BFV5/HLOOKUP(BGW$3,[2]ARBOR_REAJUSTE18!$A:$AE,VLOOKUP($BFV$2,[2]ARBOR_REAJUSTE18!$A:$B,2,0),0))),"")&lt;0.01%,0.01%,(IFERROR(IF($BFV5="","",IF($BFV5=0,1,1-$BFV5/HLOOKUP(BGW$3,[2]ARBOR_REAJUSTE18!$A:$AE,VLOOKUP($BFV$2,[2]ARBOR_REAJUSTE18!$A:$B,2,0),0))),""))),4)</f>
        <v>#VALUE!</v>
      </c>
      <c r="BGX5" s="44" t="e">
        <f>ROUNDUP(IF(IFERROR(IF($BFV5="","",IF($BFV5=0,1,1-$BFV5/HLOOKUP(BGX$3,[2]ARBOR_REAJUSTE18!$A:$AE,VLOOKUP($BFV$2,[2]ARBOR_REAJUSTE18!$A:$B,2,0),0))),"")&lt;0.01%,0.01%,(IFERROR(IF($BFV5="","",IF($BFV5=0,1,1-$BFV5/HLOOKUP(BGX$3,[2]ARBOR_REAJUSTE18!$A:$AE,VLOOKUP($BFV$2,[2]ARBOR_REAJUSTE18!$A:$B,2,0),0))),""))),4)</f>
        <v>#VALUE!</v>
      </c>
      <c r="BGY5" s="56">
        <v>249.79999999999998</v>
      </c>
      <c r="BGZ5" s="64" t="e">
        <f>VLOOKUP($AV5&amp;BHA5&amp;"Template desconto FLAT Plano Principal Oi TV nível conta",[2]BENEFICIOS!$A:$G,5,0)</f>
        <v>#VALUE!</v>
      </c>
      <c r="BHA5" s="44" t="e">
        <f>ROUNDUP(IF(IFERROR(IF($BGY5="","",IF($BGY5=0,1,1-$BGY5/HLOOKUP(BHA$3,[2]ARBOR_REAJUSTE18!$A:$AE,VLOOKUP($BGY$2,[2]ARBOR_REAJUSTE18!$A:$B,2,0),0))),"")&lt;0.01%,0.01%,(IFERROR(IF($BGY5="","",IF($BGY5=0,1,1-$BGY5/HLOOKUP(BHA$3,[2]ARBOR_REAJUSTE18!$A:$AE,VLOOKUP($BGY$2,[2]ARBOR_REAJUSTE18!$A:$B,2,0),0))),""))),4)</f>
        <v>#VALUE!</v>
      </c>
      <c r="BHB5" s="44" t="e">
        <f>ROUNDUP(IF(IFERROR(IF($BGY5="","",IF($BGY5=0,1,1-$BGY5/HLOOKUP(BHB$3,[2]ARBOR_REAJUSTE18!$A:$AE,VLOOKUP($BGY$2,[2]ARBOR_REAJUSTE18!$A:$B,2,0),0))),"")&lt;0.01%,0.01%,(IFERROR(IF($BGY5="","",IF($BGY5=0,1,1-$BGY5/HLOOKUP(BHB$3,[2]ARBOR_REAJUSTE18!$A:$AE,VLOOKUP($BGY$2,[2]ARBOR_REAJUSTE18!$A:$B,2,0),0))),""))),4)</f>
        <v>#VALUE!</v>
      </c>
      <c r="BHC5" s="44" t="e">
        <f>ROUNDUP(IF(IFERROR(IF($BGY5="","",IF($BGY5=0,1,1-$BGY5/HLOOKUP(BHC$3,[2]ARBOR_REAJUSTE18!$A:$AE,VLOOKUP($BGY$2,[2]ARBOR_REAJUSTE18!$A:$B,2,0),0))),"")&lt;0.01%,0.01%,(IFERROR(IF($BGY5="","",IF($BGY5=0,1,1-$BGY5/HLOOKUP(BHC$3,[2]ARBOR_REAJUSTE18!$A:$AE,VLOOKUP($BGY$2,[2]ARBOR_REAJUSTE18!$A:$B,2,0),0))),""))),4)</f>
        <v>#VALUE!</v>
      </c>
      <c r="BHD5" s="44" t="e">
        <f>ROUNDUP(IF(IFERROR(IF($BGY5="","",IF($BGY5=0,1,1-$BGY5/HLOOKUP(BHD$3,[2]ARBOR_REAJUSTE18!$A:$AE,VLOOKUP($BGY$2,[2]ARBOR_REAJUSTE18!$A:$B,2,0),0))),"")&lt;0.01%,0.01%,(IFERROR(IF($BGY5="","",IF($BGY5=0,1,1-$BGY5/HLOOKUP(BHD$3,[2]ARBOR_REAJUSTE18!$A:$AE,VLOOKUP($BGY$2,[2]ARBOR_REAJUSTE18!$A:$B,2,0),0))),""))),4)</f>
        <v>#VALUE!</v>
      </c>
      <c r="BHE5" s="44" t="e">
        <f>ROUNDUP(IF(IFERROR(IF($BGY5="","",IF($BGY5=0,1,1-$BGY5/HLOOKUP(BHE$3,[2]ARBOR_REAJUSTE18!$A:$AE,VLOOKUP($BGY$2,[2]ARBOR_REAJUSTE18!$A:$B,2,0),0))),"")&lt;0.01%,0.01%,(IFERROR(IF($BGY5="","",IF($BGY5=0,1,1-$BGY5/HLOOKUP(BHE$3,[2]ARBOR_REAJUSTE18!$A:$AE,VLOOKUP($BGY$2,[2]ARBOR_REAJUSTE18!$A:$B,2,0),0))),""))),4)</f>
        <v>#VALUE!</v>
      </c>
      <c r="BHF5" s="44" t="e">
        <f>ROUNDUP(IF(IFERROR(IF($BGY5="","",IF($BGY5=0,1,1-$BGY5/HLOOKUP(BHF$3,[2]ARBOR_REAJUSTE18!$A:$AE,VLOOKUP($BGY$2,[2]ARBOR_REAJUSTE18!$A:$B,2,0),0))),"")&lt;0.01%,0.01%,(IFERROR(IF($BGY5="","",IF($BGY5=0,1,1-$BGY5/HLOOKUP(BHF$3,[2]ARBOR_REAJUSTE18!$A:$AE,VLOOKUP($BGY$2,[2]ARBOR_REAJUSTE18!$A:$B,2,0),0))),""))),4)</f>
        <v>#VALUE!</v>
      </c>
      <c r="BHG5" s="44" t="e">
        <f>ROUNDUP(IF(IFERROR(IF($BGY5="","",IF($BGY5=0,1,1-$BGY5/HLOOKUP(BHG$3,[2]ARBOR_REAJUSTE18!$A:$AE,VLOOKUP($BGY$2,[2]ARBOR_REAJUSTE18!$A:$B,2,0),0))),"")&lt;0.01%,0.01%,(IFERROR(IF($BGY5="","",IF($BGY5=0,1,1-$BGY5/HLOOKUP(BHG$3,[2]ARBOR_REAJUSTE18!$A:$AE,VLOOKUP($BGY$2,[2]ARBOR_REAJUSTE18!$A:$B,2,0),0))),""))),4)</f>
        <v>#VALUE!</v>
      </c>
      <c r="BHH5" s="44" t="e">
        <f>ROUNDUP(IF(IFERROR(IF($BGY5="","",IF($BGY5=0,1,1-$BGY5/HLOOKUP(BHH$3,[2]ARBOR_REAJUSTE18!$A:$AE,VLOOKUP($BGY$2,[2]ARBOR_REAJUSTE18!$A:$B,2,0),0))),"")&lt;0.01%,0.01%,(IFERROR(IF($BGY5="","",IF($BGY5=0,1,1-$BGY5/HLOOKUP(BHH$3,[2]ARBOR_REAJUSTE18!$A:$AE,VLOOKUP($BGY$2,[2]ARBOR_REAJUSTE18!$A:$B,2,0),0))),""))),4)</f>
        <v>#VALUE!</v>
      </c>
      <c r="BHI5" s="44" t="e">
        <f>ROUNDUP(IF(IFERROR(IF($BGY5="","",IF($BGY5=0,1,1-$BGY5/HLOOKUP(BHI$3,[2]ARBOR_REAJUSTE18!$A:$AE,VLOOKUP($BGY$2,[2]ARBOR_REAJUSTE18!$A:$B,2,0),0))),"")&lt;0.01%,0.01%,(IFERROR(IF($BGY5="","",IF($BGY5=0,1,1-$BGY5/HLOOKUP(BHI$3,[2]ARBOR_REAJUSTE18!$A:$AE,VLOOKUP($BGY$2,[2]ARBOR_REAJUSTE18!$A:$B,2,0),0))),""))),4)</f>
        <v>#VALUE!</v>
      </c>
      <c r="BHJ5" s="44" t="e">
        <f>ROUNDUP(IF(IFERROR(IF($BGY5="","",IF($BGY5=0,1,1-$BGY5/HLOOKUP(BHJ$3,[2]ARBOR_REAJUSTE18!$A:$AE,VLOOKUP($BGY$2,[2]ARBOR_REAJUSTE18!$A:$B,2,0),0))),"")&lt;0.01%,0.01%,(IFERROR(IF($BGY5="","",IF($BGY5=0,1,1-$BGY5/HLOOKUP(BHJ$3,[2]ARBOR_REAJUSTE18!$A:$AE,VLOOKUP($BGY$2,[2]ARBOR_REAJUSTE18!$A:$B,2,0),0))),""))),4)</f>
        <v>#VALUE!</v>
      </c>
      <c r="BHK5" s="44" t="e">
        <f>ROUNDUP(IF(IFERROR(IF($BGY5="","",IF($BGY5=0,1,1-$BGY5/HLOOKUP(BHK$3,[2]ARBOR_REAJUSTE18!$A:$AE,VLOOKUP($BGY$2,[2]ARBOR_REAJUSTE18!$A:$B,2,0),0))),"")&lt;0.01%,0.01%,(IFERROR(IF($BGY5="","",IF($BGY5=0,1,1-$BGY5/HLOOKUP(BHK$3,[2]ARBOR_REAJUSTE18!$A:$AE,VLOOKUP($BGY$2,[2]ARBOR_REAJUSTE18!$A:$B,2,0),0))),""))),4)</f>
        <v>#VALUE!</v>
      </c>
      <c r="BHL5" s="44" t="e">
        <f>ROUNDUP(IF(IFERROR(IF($BGY5="","",IF($BGY5=0,1,1-$BGY5/HLOOKUP(BHL$3,[2]ARBOR_REAJUSTE18!$A:$AE,VLOOKUP($BGY$2,[2]ARBOR_REAJUSTE18!$A:$B,2,0),0))),"")&lt;0.01%,0.01%,(IFERROR(IF($BGY5="","",IF($BGY5=0,1,1-$BGY5/HLOOKUP(BHL$3,[2]ARBOR_REAJUSTE18!$A:$AE,VLOOKUP($BGY$2,[2]ARBOR_REAJUSTE18!$A:$B,2,0),0))),""))),4)</f>
        <v>#VALUE!</v>
      </c>
      <c r="BHM5" s="44" t="e">
        <f>ROUNDUP(IF(IFERROR(IF($BGY5="","",IF($BGY5=0,1,1-$BGY5/HLOOKUP(BHM$3,[2]ARBOR_REAJUSTE18!$A:$AE,VLOOKUP($BGY$2,[2]ARBOR_REAJUSTE18!$A:$B,2,0),0))),"")&lt;0.01%,0.01%,(IFERROR(IF($BGY5="","",IF($BGY5=0,1,1-$BGY5/HLOOKUP(BHM$3,[2]ARBOR_REAJUSTE18!$A:$AE,VLOOKUP($BGY$2,[2]ARBOR_REAJUSTE18!$A:$B,2,0),0))),""))),4)</f>
        <v>#VALUE!</v>
      </c>
      <c r="BHN5" s="44" t="e">
        <f>ROUNDUP(IF(IFERROR(IF($BGY5="","",IF($BGY5=0,1,1-$BGY5/HLOOKUP(BHN$3,[2]ARBOR_REAJUSTE18!$A:$AE,VLOOKUP($BGY$2,[2]ARBOR_REAJUSTE18!$A:$B,2,0),0))),"")&lt;0.01%,0.01%,(IFERROR(IF($BGY5="","",IF($BGY5=0,1,1-$BGY5/HLOOKUP(BHN$3,[2]ARBOR_REAJUSTE18!$A:$AE,VLOOKUP($BGY$2,[2]ARBOR_REAJUSTE18!$A:$B,2,0),0))),""))),4)</f>
        <v>#VALUE!</v>
      </c>
      <c r="BHO5" s="44" t="e">
        <f>ROUNDUP(IF(IFERROR(IF($BGY5="","",IF($BGY5=0,1,1-$BGY5/HLOOKUP(BHO$3,[2]ARBOR_REAJUSTE18!$A:$AE,VLOOKUP($BGY$2,[2]ARBOR_REAJUSTE18!$A:$B,2,0),0))),"")&lt;0.01%,0.01%,(IFERROR(IF($BGY5="","",IF($BGY5=0,1,1-$BGY5/HLOOKUP(BHO$3,[2]ARBOR_REAJUSTE18!$A:$AE,VLOOKUP($BGY$2,[2]ARBOR_REAJUSTE18!$A:$B,2,0),0))),""))),4)</f>
        <v>#VALUE!</v>
      </c>
      <c r="BHP5" s="44" t="e">
        <f>ROUNDUP(IF(IFERROR(IF($BGY5="","",IF($BGY5=0,1,1-$BGY5/HLOOKUP(BHP$3,[2]ARBOR_REAJUSTE18!$A:$AE,VLOOKUP($BGY$2,[2]ARBOR_REAJUSTE18!$A:$B,2,0),0))),"")&lt;0.01%,0.01%,(IFERROR(IF($BGY5="","",IF($BGY5=0,1,1-$BGY5/HLOOKUP(BHP$3,[2]ARBOR_REAJUSTE18!$A:$AE,VLOOKUP($BGY$2,[2]ARBOR_REAJUSTE18!$A:$B,2,0),0))),""))),4)</f>
        <v>#VALUE!</v>
      </c>
      <c r="BHQ5" s="44" t="e">
        <f>ROUNDUP(IF(IFERROR(IF($BGY5="","",IF($BGY5=0,1,1-$BGY5/HLOOKUP(BHQ$3,[2]ARBOR_REAJUSTE18!$A:$AE,VLOOKUP($BGY$2,[2]ARBOR_REAJUSTE18!$A:$B,2,0),0))),"")&lt;0.01%,0.01%,(IFERROR(IF($BGY5="","",IF($BGY5=0,1,1-$BGY5/HLOOKUP(BHQ$3,[2]ARBOR_REAJUSTE18!$A:$AE,VLOOKUP($BGY$2,[2]ARBOR_REAJUSTE18!$A:$B,2,0),0))),""))),4)</f>
        <v>#VALUE!</v>
      </c>
      <c r="BHR5" s="44" t="e">
        <f>ROUNDUP(IF(IFERROR(IF($BGY5="","",IF($BGY5=0,1,1-$BGY5/HLOOKUP(BHR$3,[2]ARBOR_REAJUSTE18!$A:$AE,VLOOKUP($BGY$2,[2]ARBOR_REAJUSTE18!$A:$B,2,0),0))),"")&lt;0.01%,0.01%,(IFERROR(IF($BGY5="","",IF($BGY5=0,1,1-$BGY5/HLOOKUP(BHR$3,[2]ARBOR_REAJUSTE18!$A:$AE,VLOOKUP($BGY$2,[2]ARBOR_REAJUSTE18!$A:$B,2,0),0))),""))),4)</f>
        <v>#VALUE!</v>
      </c>
      <c r="BHS5" s="44" t="e">
        <f>ROUNDUP(IF(IFERROR(IF($BGY5="","",IF($BGY5=0,1,1-$BGY5/HLOOKUP(BHS$3,[2]ARBOR_REAJUSTE18!$A:$AE,VLOOKUP($BGY$2,[2]ARBOR_REAJUSTE18!$A:$B,2,0),0))),"")&lt;0.01%,0.01%,(IFERROR(IF($BGY5="","",IF($BGY5=0,1,1-$BGY5/HLOOKUP(BHS$3,[2]ARBOR_REAJUSTE18!$A:$AE,VLOOKUP($BGY$2,[2]ARBOR_REAJUSTE18!$A:$B,2,0),0))),""))),4)</f>
        <v>#VALUE!</v>
      </c>
      <c r="BHT5" s="44" t="e">
        <f>ROUNDUP(IF(IFERROR(IF($BGY5="","",IF($BGY5=0,1,1-$BGY5/HLOOKUP(BHT$3,[2]ARBOR_REAJUSTE18!$A:$AE,VLOOKUP($BGY$2,[2]ARBOR_REAJUSTE18!$A:$B,2,0),0))),"")&lt;0.01%,0.01%,(IFERROR(IF($BGY5="","",IF($BGY5=0,1,1-$BGY5/HLOOKUP(BHT$3,[2]ARBOR_REAJUSTE18!$A:$AE,VLOOKUP($BGY$2,[2]ARBOR_REAJUSTE18!$A:$B,2,0),0))),""))),4)</f>
        <v>#VALUE!</v>
      </c>
      <c r="BHU5" s="44" t="e">
        <f>ROUNDUP(IF(IFERROR(IF($BGY5="","",IF($BGY5=0,1,1-$BGY5/HLOOKUP(BHU$3,[2]ARBOR_REAJUSTE18!$A:$AE,VLOOKUP($BGY$2,[2]ARBOR_REAJUSTE18!$A:$B,2,0),0))),"")&lt;0.01%,0.01%,(IFERROR(IF($BGY5="","",IF($BGY5=0,1,1-$BGY5/HLOOKUP(BHU$3,[2]ARBOR_REAJUSTE18!$A:$AE,VLOOKUP($BGY$2,[2]ARBOR_REAJUSTE18!$A:$B,2,0),0))),""))),4)</f>
        <v>#VALUE!</v>
      </c>
      <c r="BHV5" s="44" t="e">
        <f>ROUNDUP(IF(IFERROR(IF($BGY5="","",IF($BGY5=0,1,1-$BGY5/HLOOKUP(BHV$3,[2]ARBOR_REAJUSTE18!$A:$AE,VLOOKUP($BGY$2,[2]ARBOR_REAJUSTE18!$A:$B,2,0),0))),"")&lt;0.01%,0.01%,(IFERROR(IF($BGY5="","",IF($BGY5=0,1,1-$BGY5/HLOOKUP(BHV$3,[2]ARBOR_REAJUSTE18!$A:$AE,VLOOKUP($BGY$2,[2]ARBOR_REAJUSTE18!$A:$B,2,0),0))),""))),4)</f>
        <v>#VALUE!</v>
      </c>
      <c r="BHW5" s="44" t="e">
        <f>ROUNDUP(IF(IFERROR(IF($BGY5="","",IF($BGY5=0,1,1-$BGY5/HLOOKUP(BHW$3,[2]ARBOR_REAJUSTE18!$A:$AE,VLOOKUP($BGY$2,[2]ARBOR_REAJUSTE18!$A:$B,2,0),0))),"")&lt;0.01%,0.01%,(IFERROR(IF($BGY5="","",IF($BGY5=0,1,1-$BGY5/HLOOKUP(BHW$3,[2]ARBOR_REAJUSTE18!$A:$AE,VLOOKUP($BGY$2,[2]ARBOR_REAJUSTE18!$A:$B,2,0),0))),""))),4)</f>
        <v>#VALUE!</v>
      </c>
      <c r="BHX5" s="44" t="e">
        <f>ROUNDUP(IF(IFERROR(IF($BGY5="","",IF($BGY5=0,1,1-$BGY5/HLOOKUP(BHX$3,[2]ARBOR_REAJUSTE18!$A:$AE,VLOOKUP($BGY$2,[2]ARBOR_REAJUSTE18!$A:$B,2,0),0))),"")&lt;0.01%,0.01%,(IFERROR(IF($BGY5="","",IF($BGY5=0,1,1-$BGY5/HLOOKUP(BHX$3,[2]ARBOR_REAJUSTE18!$A:$AE,VLOOKUP($BGY$2,[2]ARBOR_REAJUSTE18!$A:$B,2,0),0))),""))),4)</f>
        <v>#VALUE!</v>
      </c>
      <c r="BHY5" s="44" t="e">
        <f>ROUNDUP(IF(IFERROR(IF($BGY5="","",IF($BGY5=0,1,1-$BGY5/HLOOKUP(BHY$3,[2]ARBOR_REAJUSTE18!$A:$AE,VLOOKUP($BGY$2,[2]ARBOR_REAJUSTE18!$A:$B,2,0),0))),"")&lt;0.01%,0.01%,(IFERROR(IF($BGY5="","",IF($BGY5=0,1,1-$BGY5/HLOOKUP(BHY$3,[2]ARBOR_REAJUSTE18!$A:$AE,VLOOKUP($BGY$2,[2]ARBOR_REAJUSTE18!$A:$B,2,0),0))),""))),4)</f>
        <v>#VALUE!</v>
      </c>
      <c r="BHZ5" s="44" t="e">
        <f>ROUNDUP(IF(IFERROR(IF($BGY5="","",IF($BGY5=0,1,1-$BGY5/HLOOKUP(BHZ$3,[2]ARBOR_REAJUSTE18!$A:$AE,VLOOKUP($BGY$2,[2]ARBOR_REAJUSTE18!$A:$B,2,0),0))),"")&lt;0.01%,0.01%,(IFERROR(IF($BGY5="","",IF($BGY5=0,1,1-$BGY5/HLOOKUP(BHZ$3,[2]ARBOR_REAJUSTE18!$A:$AE,VLOOKUP($BGY$2,[2]ARBOR_REAJUSTE18!$A:$B,2,0),0))),""))),4)</f>
        <v>#VALUE!</v>
      </c>
      <c r="BIA5" s="44" t="e">
        <f>ROUNDUP(IF(IFERROR(IF($BGY5="","",IF($BGY5=0,1,1-$BGY5/HLOOKUP(BIA$3,[2]ARBOR_REAJUSTE18!$A:$AE,VLOOKUP($BGY$2,[2]ARBOR_REAJUSTE18!$A:$B,2,0),0))),"")&lt;0.01%,0.01%,(IFERROR(IF($BGY5="","",IF($BGY5=0,1,1-$BGY5/HLOOKUP(BIA$3,[2]ARBOR_REAJUSTE18!$A:$AE,VLOOKUP($BGY$2,[2]ARBOR_REAJUSTE18!$A:$B,2,0),0))),""))),4)</f>
        <v>#VALUE!</v>
      </c>
      <c r="BIB5" s="56"/>
      <c r="BIC5" s="64"/>
      <c r="BID5" s="44" t="e">
        <f>ROUNDUP(IF(IFERROR(IF($BIB5="","",IF($BIB5=0,1,1-$BIB5/HLOOKUP(BID$3,[2]ARBOR_REAJUSTE18!$A:$AE,VLOOKUP($BIB$2,[2]ARBOR_REAJUSTE18!$A:$B,2,0),0))),"")&lt;0.01%,0.01%,(IFERROR(IF($BIB5="","",IF($BIB5=0,1,1-$BIB5/HLOOKUP(BID$3,[2]ARBOR_REAJUSTE18!$A:$AE,VLOOKUP($BIB$2,[2]ARBOR_REAJUSTE18!$A:$B,2,0),0))),""))),4)</f>
        <v>#VALUE!</v>
      </c>
      <c r="BIE5" s="44" t="e">
        <f>ROUNDUP(IF(IFERROR(IF($BIB5="","",IF($BIB5=0,1,1-$BIB5/HLOOKUP(BIE$3,[2]ARBOR_REAJUSTE18!$A:$AE,VLOOKUP($BIB$2,[2]ARBOR_REAJUSTE18!$A:$B,2,0),0))),"")&lt;0.01%,0.01%,(IFERROR(IF($BIB5="","",IF($BIB5=0,1,1-$BIB5/HLOOKUP(BIE$3,[2]ARBOR_REAJUSTE18!$A:$AE,VLOOKUP($BIB$2,[2]ARBOR_REAJUSTE18!$A:$B,2,0),0))),""))),4)</f>
        <v>#VALUE!</v>
      </c>
      <c r="BIF5" s="44" t="e">
        <f>ROUNDUP(IF(IFERROR(IF($BIB5="","",IF($BIB5=0,1,1-$BIB5/HLOOKUP(BIF$3,[2]ARBOR_REAJUSTE18!$A:$AE,VLOOKUP($BIB$2,[2]ARBOR_REAJUSTE18!$A:$B,2,0),0))),"")&lt;0.01%,0.01%,(IFERROR(IF($BIB5="","",IF($BIB5=0,1,1-$BIB5/HLOOKUP(BIF$3,[2]ARBOR_REAJUSTE18!$A:$AE,VLOOKUP($BIB$2,[2]ARBOR_REAJUSTE18!$A:$B,2,0),0))),""))),4)</f>
        <v>#VALUE!</v>
      </c>
      <c r="BIG5" s="44" t="e">
        <f>ROUNDUP(IF(IFERROR(IF($BIB5="","",IF($BIB5=0,1,1-$BIB5/HLOOKUP(BIG$3,[2]ARBOR_REAJUSTE18!$A:$AE,VLOOKUP($BIB$2,[2]ARBOR_REAJUSTE18!$A:$B,2,0),0))),"")&lt;0.01%,0.01%,(IFERROR(IF($BIB5="","",IF($BIB5=0,1,1-$BIB5/HLOOKUP(BIG$3,[2]ARBOR_REAJUSTE18!$A:$AE,VLOOKUP($BIB$2,[2]ARBOR_REAJUSTE18!$A:$B,2,0),0))),""))),4)</f>
        <v>#VALUE!</v>
      </c>
      <c r="BIH5" s="44" t="e">
        <f>ROUNDUP(IF(IFERROR(IF($BIB5="","",IF($BIB5=0,1,1-$BIB5/HLOOKUP(BIH$3,[2]ARBOR_REAJUSTE18!$A:$AE,VLOOKUP($BIB$2,[2]ARBOR_REAJUSTE18!$A:$B,2,0),0))),"")&lt;0.01%,0.01%,(IFERROR(IF($BIB5="","",IF($BIB5=0,1,1-$BIB5/HLOOKUP(BIH$3,[2]ARBOR_REAJUSTE18!$A:$AE,VLOOKUP($BIB$2,[2]ARBOR_REAJUSTE18!$A:$B,2,0),0))),""))),4)</f>
        <v>#VALUE!</v>
      </c>
      <c r="BII5" s="44" t="e">
        <f>ROUNDUP(IF(IFERROR(IF($BIB5="","",IF($BIB5=0,1,1-$BIB5/HLOOKUP(BII$3,[2]ARBOR_REAJUSTE18!$A:$AE,VLOOKUP($BIB$2,[2]ARBOR_REAJUSTE18!$A:$B,2,0),0))),"")&lt;0.01%,0.01%,(IFERROR(IF($BIB5="","",IF($BIB5=0,1,1-$BIB5/HLOOKUP(BII$3,[2]ARBOR_REAJUSTE18!$A:$AE,VLOOKUP($BIB$2,[2]ARBOR_REAJUSTE18!$A:$B,2,0),0))),""))),4)</f>
        <v>#VALUE!</v>
      </c>
      <c r="BIJ5" s="44" t="e">
        <f>ROUNDUP(IF(IFERROR(IF($BIB5="","",IF($BIB5=0,1,1-$BIB5/HLOOKUP(BIJ$3,[2]ARBOR_REAJUSTE18!$A:$AE,VLOOKUP($BIB$2,[2]ARBOR_REAJUSTE18!$A:$B,2,0),0))),"")&lt;0.01%,0.01%,(IFERROR(IF($BIB5="","",IF($BIB5=0,1,1-$BIB5/HLOOKUP(BIJ$3,[2]ARBOR_REAJUSTE18!$A:$AE,VLOOKUP($BIB$2,[2]ARBOR_REAJUSTE18!$A:$B,2,0),0))),""))),4)</f>
        <v>#VALUE!</v>
      </c>
      <c r="BIK5" s="44" t="e">
        <f>ROUNDUP(IF(IFERROR(IF($BIB5="","",IF($BIB5=0,1,1-$BIB5/HLOOKUP(BIK$3,[2]ARBOR_REAJUSTE18!$A:$AE,VLOOKUP($BIB$2,[2]ARBOR_REAJUSTE18!$A:$B,2,0),0))),"")&lt;0.01%,0.01%,(IFERROR(IF($BIB5="","",IF($BIB5=0,1,1-$BIB5/HLOOKUP(BIK$3,[2]ARBOR_REAJUSTE18!$A:$AE,VLOOKUP($BIB$2,[2]ARBOR_REAJUSTE18!$A:$B,2,0),0))),""))),4)</f>
        <v>#VALUE!</v>
      </c>
      <c r="BIL5" s="44" t="e">
        <f>ROUNDUP(IF(IFERROR(IF($BIB5="","",IF($BIB5=0,1,1-$BIB5/HLOOKUP(BIL$3,[2]ARBOR_REAJUSTE18!$A:$AE,VLOOKUP($BIB$2,[2]ARBOR_REAJUSTE18!$A:$B,2,0),0))),"")&lt;0.01%,0.01%,(IFERROR(IF($BIB5="","",IF($BIB5=0,1,1-$BIB5/HLOOKUP(BIL$3,[2]ARBOR_REAJUSTE18!$A:$AE,VLOOKUP($BIB$2,[2]ARBOR_REAJUSTE18!$A:$B,2,0),0))),""))),4)</f>
        <v>#VALUE!</v>
      </c>
      <c r="BIM5" s="44" t="e">
        <f>ROUNDUP(IF(IFERROR(IF($BIB5="","",IF($BIB5=0,1,1-$BIB5/HLOOKUP(BIM$3,[2]ARBOR_REAJUSTE18!$A:$AE,VLOOKUP($BIB$2,[2]ARBOR_REAJUSTE18!$A:$B,2,0),0))),"")&lt;0.01%,0.01%,(IFERROR(IF($BIB5="","",IF($BIB5=0,1,1-$BIB5/HLOOKUP(BIM$3,[2]ARBOR_REAJUSTE18!$A:$AE,VLOOKUP($BIB$2,[2]ARBOR_REAJUSTE18!$A:$B,2,0),0))),""))),4)</f>
        <v>#VALUE!</v>
      </c>
      <c r="BIN5" s="44" t="e">
        <f>ROUNDUP(IF(IFERROR(IF($BIB5="","",IF($BIB5=0,1,1-$BIB5/HLOOKUP(BIN$3,[2]ARBOR_REAJUSTE18!$A:$AE,VLOOKUP($BIB$2,[2]ARBOR_REAJUSTE18!$A:$B,2,0),0))),"")&lt;0.01%,0.01%,(IFERROR(IF($BIB5="","",IF($BIB5=0,1,1-$BIB5/HLOOKUP(BIN$3,[2]ARBOR_REAJUSTE18!$A:$AE,VLOOKUP($BIB$2,[2]ARBOR_REAJUSTE18!$A:$B,2,0),0))),""))),4)</f>
        <v>#VALUE!</v>
      </c>
      <c r="BIO5" s="44" t="e">
        <f>ROUNDUP(IF(IFERROR(IF($BIB5="","",IF($BIB5=0,1,1-$BIB5/HLOOKUP(BIO$3,[2]ARBOR_REAJUSTE18!$A:$AE,VLOOKUP($BIB$2,[2]ARBOR_REAJUSTE18!$A:$B,2,0),0))),"")&lt;0.01%,0.01%,(IFERROR(IF($BIB5="","",IF($BIB5=0,1,1-$BIB5/HLOOKUP(BIO$3,[2]ARBOR_REAJUSTE18!$A:$AE,VLOOKUP($BIB$2,[2]ARBOR_REAJUSTE18!$A:$B,2,0),0))),""))),4)</f>
        <v>#VALUE!</v>
      </c>
      <c r="BIP5" s="44" t="e">
        <f>ROUNDUP(IF(IFERROR(IF($BIB5="","",IF($BIB5=0,1,1-$BIB5/HLOOKUP(BIP$3,[2]ARBOR_REAJUSTE18!$A:$AE,VLOOKUP($BIB$2,[2]ARBOR_REAJUSTE18!$A:$B,2,0),0))),"")&lt;0.01%,0.01%,(IFERROR(IF($BIB5="","",IF($BIB5=0,1,1-$BIB5/HLOOKUP(BIP$3,[2]ARBOR_REAJUSTE18!$A:$AE,VLOOKUP($BIB$2,[2]ARBOR_REAJUSTE18!$A:$B,2,0),0))),""))),4)</f>
        <v>#VALUE!</v>
      </c>
      <c r="BIQ5" s="44" t="e">
        <f>ROUNDUP(IF(IFERROR(IF($BIB5="","",IF($BIB5=0,1,1-$BIB5/HLOOKUP(BIQ$3,[2]ARBOR_REAJUSTE18!$A:$AE,VLOOKUP($BIB$2,[2]ARBOR_REAJUSTE18!$A:$B,2,0),0))),"")&lt;0.01%,0.01%,(IFERROR(IF($BIB5="","",IF($BIB5=0,1,1-$BIB5/HLOOKUP(BIQ$3,[2]ARBOR_REAJUSTE18!$A:$AE,VLOOKUP($BIB$2,[2]ARBOR_REAJUSTE18!$A:$B,2,0),0))),""))),4)</f>
        <v>#VALUE!</v>
      </c>
      <c r="BIR5" s="44" t="e">
        <f>ROUNDUP(IF(IFERROR(IF($BIB5="","",IF($BIB5=0,1,1-$BIB5/HLOOKUP(BIR$3,[2]ARBOR_REAJUSTE18!$A:$AE,VLOOKUP($BIB$2,[2]ARBOR_REAJUSTE18!$A:$B,2,0),0))),"")&lt;0.01%,0.01%,(IFERROR(IF($BIB5="","",IF($BIB5=0,1,1-$BIB5/HLOOKUP(BIR$3,[2]ARBOR_REAJUSTE18!$A:$AE,VLOOKUP($BIB$2,[2]ARBOR_REAJUSTE18!$A:$B,2,0),0))),""))),4)</f>
        <v>#VALUE!</v>
      </c>
      <c r="BIS5" s="44" t="e">
        <f>ROUNDUP(IF(IFERROR(IF($BIB5="","",IF($BIB5=0,1,1-$BIB5/HLOOKUP(BIS$3,[2]ARBOR_REAJUSTE18!$A:$AE,VLOOKUP($BIB$2,[2]ARBOR_REAJUSTE18!$A:$B,2,0),0))),"")&lt;0.01%,0.01%,(IFERROR(IF($BIB5="","",IF($BIB5=0,1,1-$BIB5/HLOOKUP(BIS$3,[2]ARBOR_REAJUSTE18!$A:$AE,VLOOKUP($BIB$2,[2]ARBOR_REAJUSTE18!$A:$B,2,0),0))),""))),4)</f>
        <v>#VALUE!</v>
      </c>
      <c r="BIT5" s="44" t="e">
        <f>ROUNDUP(IF(IFERROR(IF($BIB5="","",IF($BIB5=0,1,1-$BIB5/HLOOKUP(BIT$3,[2]ARBOR_REAJUSTE18!$A:$AE,VLOOKUP($BIB$2,[2]ARBOR_REAJUSTE18!$A:$B,2,0),0))),"")&lt;0.01%,0.01%,(IFERROR(IF($BIB5="","",IF($BIB5=0,1,1-$BIB5/HLOOKUP(BIT$3,[2]ARBOR_REAJUSTE18!$A:$AE,VLOOKUP($BIB$2,[2]ARBOR_REAJUSTE18!$A:$B,2,0),0))),""))),4)</f>
        <v>#VALUE!</v>
      </c>
      <c r="BIU5" s="44" t="e">
        <f>ROUNDUP(IF(IFERROR(IF($BIB5="","",IF($BIB5=0,1,1-$BIB5/HLOOKUP(BIU$3,[2]ARBOR_REAJUSTE18!$A:$AE,VLOOKUP($BIB$2,[2]ARBOR_REAJUSTE18!$A:$B,2,0),0))),"")&lt;0.01%,0.01%,(IFERROR(IF($BIB5="","",IF($BIB5=0,1,1-$BIB5/HLOOKUP(BIU$3,[2]ARBOR_REAJUSTE18!$A:$AE,VLOOKUP($BIB$2,[2]ARBOR_REAJUSTE18!$A:$B,2,0),0))),""))),4)</f>
        <v>#VALUE!</v>
      </c>
      <c r="BIV5" s="44" t="e">
        <f>ROUNDUP(IF(IFERROR(IF($BIB5="","",IF($BIB5=0,1,1-$BIB5/HLOOKUP(BIV$3,[2]ARBOR_REAJUSTE18!$A:$AE,VLOOKUP($BIB$2,[2]ARBOR_REAJUSTE18!$A:$B,2,0),0))),"")&lt;0.01%,0.01%,(IFERROR(IF($BIB5="","",IF($BIB5=0,1,1-$BIB5/HLOOKUP(BIV$3,[2]ARBOR_REAJUSTE18!$A:$AE,VLOOKUP($BIB$2,[2]ARBOR_REAJUSTE18!$A:$B,2,0),0))),""))),4)</f>
        <v>#VALUE!</v>
      </c>
      <c r="BIW5" s="44" t="e">
        <f>ROUNDUP(IF(IFERROR(IF($BIB5="","",IF($BIB5=0,1,1-$BIB5/HLOOKUP(BIW$3,[2]ARBOR_REAJUSTE18!$A:$AE,VLOOKUP($BIB$2,[2]ARBOR_REAJUSTE18!$A:$B,2,0),0))),"")&lt;0.01%,0.01%,(IFERROR(IF($BIB5="","",IF($BIB5=0,1,1-$BIB5/HLOOKUP(BIW$3,[2]ARBOR_REAJUSTE18!$A:$AE,VLOOKUP($BIB$2,[2]ARBOR_REAJUSTE18!$A:$B,2,0),0))),""))),4)</f>
        <v>#VALUE!</v>
      </c>
      <c r="BIX5" s="44" t="e">
        <f>ROUNDUP(IF(IFERROR(IF($BIB5="","",IF($BIB5=0,1,1-$BIB5/HLOOKUP(BIX$3,[2]ARBOR_REAJUSTE18!$A:$AE,VLOOKUP($BIB$2,[2]ARBOR_REAJUSTE18!$A:$B,2,0),0))),"")&lt;0.01%,0.01%,(IFERROR(IF($BIB5="","",IF($BIB5=0,1,1-$BIB5/HLOOKUP(BIX$3,[2]ARBOR_REAJUSTE18!$A:$AE,VLOOKUP($BIB$2,[2]ARBOR_REAJUSTE18!$A:$B,2,0),0))),""))),4)</f>
        <v>#VALUE!</v>
      </c>
      <c r="BIY5" s="44" t="e">
        <f>ROUNDUP(IF(IFERROR(IF($BIB5="","",IF($BIB5=0,1,1-$BIB5/HLOOKUP(BIY$3,[2]ARBOR_REAJUSTE18!$A:$AE,VLOOKUP($BIB$2,[2]ARBOR_REAJUSTE18!$A:$B,2,0),0))),"")&lt;0.01%,0.01%,(IFERROR(IF($BIB5="","",IF($BIB5=0,1,1-$BIB5/HLOOKUP(BIY$3,[2]ARBOR_REAJUSTE18!$A:$AE,VLOOKUP($BIB$2,[2]ARBOR_REAJUSTE18!$A:$B,2,0),0))),""))),4)</f>
        <v>#VALUE!</v>
      </c>
      <c r="BIZ5" s="44" t="e">
        <f>ROUNDUP(IF(IFERROR(IF($BIB5="","",IF($BIB5=0,1,1-$BIB5/HLOOKUP(BIZ$3,[2]ARBOR_REAJUSTE18!$A:$AE,VLOOKUP($BIB$2,[2]ARBOR_REAJUSTE18!$A:$B,2,0),0))),"")&lt;0.01%,0.01%,(IFERROR(IF($BIB5="","",IF($BIB5=0,1,1-$BIB5/HLOOKUP(BIZ$3,[2]ARBOR_REAJUSTE18!$A:$AE,VLOOKUP($BIB$2,[2]ARBOR_REAJUSTE18!$A:$B,2,0),0))),""))),4)</f>
        <v>#VALUE!</v>
      </c>
      <c r="BJA5" s="44" t="e">
        <f>ROUNDUP(IF(IFERROR(IF($BIB5="","",IF($BIB5=0,1,1-$BIB5/HLOOKUP(BJA$3,[2]ARBOR_REAJUSTE18!$A:$AE,VLOOKUP($BIB$2,[2]ARBOR_REAJUSTE18!$A:$B,2,0),0))),"")&lt;0.01%,0.01%,(IFERROR(IF($BIB5="","",IF($BIB5=0,1,1-$BIB5/HLOOKUP(BJA$3,[2]ARBOR_REAJUSTE18!$A:$AE,VLOOKUP($BIB$2,[2]ARBOR_REAJUSTE18!$A:$B,2,0),0))),""))),4)</f>
        <v>#VALUE!</v>
      </c>
      <c r="BJB5" s="44" t="e">
        <f>ROUNDUP(IF(IFERROR(IF($BIB5="","",IF($BIB5=0,1,1-$BIB5/HLOOKUP(BJB$3,[2]ARBOR_REAJUSTE18!$A:$AE,VLOOKUP($BIB$2,[2]ARBOR_REAJUSTE18!$A:$B,2,0),0))),"")&lt;0.01%,0.01%,(IFERROR(IF($BIB5="","",IF($BIB5=0,1,1-$BIB5/HLOOKUP(BJB$3,[2]ARBOR_REAJUSTE18!$A:$AE,VLOOKUP($BIB$2,[2]ARBOR_REAJUSTE18!$A:$B,2,0),0))),""))),4)</f>
        <v>#VALUE!</v>
      </c>
      <c r="BJC5" s="44" t="e">
        <f>ROUNDUP(IF(IFERROR(IF($BIB5="","",IF($BIB5=0,1,1-$BIB5/HLOOKUP(BJC$3,[2]ARBOR_REAJUSTE18!$A:$AE,VLOOKUP($BIB$2,[2]ARBOR_REAJUSTE18!$A:$B,2,0),0))),"")&lt;0.01%,0.01%,(IFERROR(IF($BIB5="","",IF($BIB5=0,1,1-$BIB5/HLOOKUP(BJC$3,[2]ARBOR_REAJUSTE18!$A:$AE,VLOOKUP($BIB$2,[2]ARBOR_REAJUSTE18!$A:$B,2,0),0))),""))),4)</f>
        <v>#VALUE!</v>
      </c>
      <c r="BJD5" s="44" t="e">
        <f>ROUNDUP(IF(IFERROR(IF($BIB5="","",IF($BIB5=0,1,1-$BIB5/HLOOKUP(BJD$3,[2]ARBOR_REAJUSTE18!$A:$AE,VLOOKUP($BIB$2,[2]ARBOR_REAJUSTE18!$A:$B,2,0),0))),"")&lt;0.01%,0.01%,(IFERROR(IF($BIB5="","",IF($BIB5=0,1,1-$BIB5/HLOOKUP(BJD$3,[2]ARBOR_REAJUSTE18!$A:$AE,VLOOKUP($BIB$2,[2]ARBOR_REAJUSTE18!$A:$B,2,0),0))),""))),4)</f>
        <v>#VALUE!</v>
      </c>
      <c r="BJE5" s="56">
        <v>75</v>
      </c>
      <c r="BJF5" s="64" t="str">
        <f ca="1">VLOOKUP($AV5&amp;BJG5&amp;"Template desconto % Combate nível conta",[2]BENEFICIOS!$A:$G,5,0)</f>
        <v>MKT-1-10624232431</v>
      </c>
      <c r="BJG5" s="44">
        <f ca="1">ROUNDUP(IF(IFERROR(IF($BJE5="","",IF($BJE5=0,1,1-$BJE5/HLOOKUP(BJG$3,[2]ARBOR_REAJUSTE18!$A:$AE,VLOOKUP($BJE$2,[2]ARBOR_REAJUSTE18!$A:$B,2,0),0))),"")&lt;0.01%,0.01%,(IFERROR(IF($BJE5="","",IF($BJE5=0,1,1-$BJE5/HLOOKUP(BJG$3,[2]ARBOR_REAJUSTE18!$A:$AE,VLOOKUP($BJE$2,[2]ARBOR_REAJUSTE18!$A:$B,2,0),0))),""))),4)</f>
        <v>0.32029999999999997</v>
      </c>
      <c r="BJH5" s="44">
        <f ca="1">ROUNDUP(IF(IFERROR(IF($BJE5="","",IF($BJE5=0,1,1-$BJE5/HLOOKUP(BJH$3,[2]ARBOR_REAJUSTE18!$A:$AE,VLOOKUP($BJE$2,[2]ARBOR_REAJUSTE18!$A:$B,2,0),0))),"")&lt;0.01%,0.01%,(IFERROR(IF($BJE5="","",IF($BJE5=0,1,1-$BJE5/HLOOKUP(BJH$3,[2]ARBOR_REAJUSTE18!$A:$AE,VLOOKUP($BJE$2,[2]ARBOR_REAJUSTE18!$A:$B,2,0),0))),""))),4)</f>
        <v>0.32029999999999997</v>
      </c>
      <c r="BJI5" s="44">
        <f ca="1">ROUNDUP(IF(IFERROR(IF($BJE5="","",IF($BJE5=0,1,1-$BJE5/HLOOKUP(BJI$3,[2]ARBOR_REAJUSTE18!$A:$AE,VLOOKUP($BJE$2,[2]ARBOR_REAJUSTE18!$A:$B,2,0),0))),"")&lt;0.01%,0.01%,(IFERROR(IF($BJE5="","",IF($BJE5=0,1,1-$BJE5/HLOOKUP(BJI$3,[2]ARBOR_REAJUSTE18!$A:$AE,VLOOKUP($BJE$2,[2]ARBOR_REAJUSTE18!$A:$B,2,0),0))),""))),4)</f>
        <v>0.32029999999999997</v>
      </c>
      <c r="BJJ5" s="44">
        <f ca="1">ROUNDUP(IF(IFERROR(IF($BJE5="","",IF($BJE5=0,1,1-$BJE5/HLOOKUP(BJJ$3,[2]ARBOR_REAJUSTE18!$A:$AE,VLOOKUP($BJE$2,[2]ARBOR_REAJUSTE18!$A:$B,2,0),0))),"")&lt;0.01%,0.01%,(IFERROR(IF($BJE5="","",IF($BJE5=0,1,1-$BJE5/HLOOKUP(BJJ$3,[2]ARBOR_REAJUSTE18!$A:$AE,VLOOKUP($BJE$2,[2]ARBOR_REAJUSTE18!$A:$B,2,0),0))),""))),4)</f>
        <v>0.32029999999999997</v>
      </c>
      <c r="BJK5" s="44">
        <f ca="1">ROUNDUP(IF(IFERROR(IF($BJE5="","",IF($BJE5=0,1,1-$BJE5/HLOOKUP(BJK$3,[2]ARBOR_REAJUSTE18!$A:$AE,VLOOKUP($BJE$2,[2]ARBOR_REAJUSTE18!$A:$B,2,0),0))),"")&lt;0.01%,0.01%,(IFERROR(IF($BJE5="","",IF($BJE5=0,1,1-$BJE5/HLOOKUP(BJK$3,[2]ARBOR_REAJUSTE18!$A:$AE,VLOOKUP($BJE$2,[2]ARBOR_REAJUSTE18!$A:$B,2,0),0))),""))),4)</f>
        <v>0.32029999999999997</v>
      </c>
      <c r="BJL5" s="44">
        <f ca="1">ROUNDUP(IF(IFERROR(IF($BJE5="","",IF($BJE5=0,1,1-$BJE5/HLOOKUP(BJL$3,[2]ARBOR_REAJUSTE18!$A:$AE,VLOOKUP($BJE$2,[2]ARBOR_REAJUSTE18!$A:$B,2,0),0))),"")&lt;0.01%,0.01%,(IFERROR(IF($BJE5="","",IF($BJE5=0,1,1-$BJE5/HLOOKUP(BJL$3,[2]ARBOR_REAJUSTE18!$A:$AE,VLOOKUP($BJE$2,[2]ARBOR_REAJUSTE18!$A:$B,2,0),0))),""))),4)</f>
        <v>0.32029999999999997</v>
      </c>
      <c r="BJM5" s="44">
        <f ca="1">ROUNDUP(IF(IFERROR(IF($BJE5="","",IF($BJE5=0,1,1-$BJE5/HLOOKUP(BJM$3,[2]ARBOR_REAJUSTE18!$A:$AE,VLOOKUP($BJE$2,[2]ARBOR_REAJUSTE18!$A:$B,2,0),0))),"")&lt;0.01%,0.01%,(IFERROR(IF($BJE5="","",IF($BJE5=0,1,1-$BJE5/HLOOKUP(BJM$3,[2]ARBOR_REAJUSTE18!$A:$AE,VLOOKUP($BJE$2,[2]ARBOR_REAJUSTE18!$A:$B,2,0),0))),""))),4)</f>
        <v>0.32029999999999997</v>
      </c>
      <c r="BJN5" s="44">
        <f ca="1">ROUNDUP(IF(IFERROR(IF($BJE5="","",IF($BJE5=0,1,1-$BJE5/HLOOKUP(BJN$3,[2]ARBOR_REAJUSTE18!$A:$AE,VLOOKUP($BJE$2,[2]ARBOR_REAJUSTE18!$A:$B,2,0),0))),"")&lt;0.01%,0.01%,(IFERROR(IF($BJE5="","",IF($BJE5=0,1,1-$BJE5/HLOOKUP(BJN$3,[2]ARBOR_REAJUSTE18!$A:$AE,VLOOKUP($BJE$2,[2]ARBOR_REAJUSTE18!$A:$B,2,0),0))),""))),4)</f>
        <v>0.32029999999999997</v>
      </c>
      <c r="BJO5" s="44">
        <f ca="1">ROUNDUP(IF(IFERROR(IF($BJE5="","",IF($BJE5=0,1,1-$BJE5/HLOOKUP(BJO$3,[2]ARBOR_REAJUSTE18!$A:$AE,VLOOKUP($BJE$2,[2]ARBOR_REAJUSTE18!$A:$B,2,0),0))),"")&lt;0.01%,0.01%,(IFERROR(IF($BJE5="","",IF($BJE5=0,1,1-$BJE5/HLOOKUP(BJO$3,[2]ARBOR_REAJUSTE18!$A:$AE,VLOOKUP($BJE$2,[2]ARBOR_REAJUSTE18!$A:$B,2,0),0))),""))),4)</f>
        <v>0.32029999999999997</v>
      </c>
      <c r="BJP5" s="44">
        <f ca="1">ROUNDUP(IF(IFERROR(IF($BJE5="","",IF($BJE5=0,1,1-$BJE5/HLOOKUP(BJP$3,[2]ARBOR_REAJUSTE18!$A:$AE,VLOOKUP($BJE$2,[2]ARBOR_REAJUSTE18!$A:$B,2,0),0))),"")&lt;0.01%,0.01%,(IFERROR(IF($BJE5="","",IF($BJE5=0,1,1-$BJE5/HLOOKUP(BJP$3,[2]ARBOR_REAJUSTE18!$A:$AE,VLOOKUP($BJE$2,[2]ARBOR_REAJUSTE18!$A:$B,2,0),0))),""))),4)</f>
        <v>0.32029999999999997</v>
      </c>
      <c r="BJQ5" s="44">
        <f ca="1">ROUNDUP(IF(IFERROR(IF($BJE5="","",IF($BJE5=0,1,1-$BJE5/HLOOKUP(BJQ$3,[2]ARBOR_REAJUSTE18!$A:$AE,VLOOKUP($BJE$2,[2]ARBOR_REAJUSTE18!$A:$B,2,0),0))),"")&lt;0.01%,0.01%,(IFERROR(IF($BJE5="","",IF($BJE5=0,1,1-$BJE5/HLOOKUP(BJQ$3,[2]ARBOR_REAJUSTE18!$A:$AE,VLOOKUP($BJE$2,[2]ARBOR_REAJUSTE18!$A:$B,2,0),0))),""))),4)</f>
        <v>0.34449999999999997</v>
      </c>
      <c r="BJR5" s="44">
        <f ca="1">ROUNDUP(IF(IFERROR(IF($BJE5="","",IF($BJE5=0,1,1-$BJE5/HLOOKUP(BJR$3,[2]ARBOR_REAJUSTE18!$A:$AE,VLOOKUP($BJE$2,[2]ARBOR_REAJUSTE18!$A:$B,2,0),0))),"")&lt;0.01%,0.01%,(IFERROR(IF($BJE5="","",IF($BJE5=0,1,1-$BJE5/HLOOKUP(BJR$3,[2]ARBOR_REAJUSTE18!$A:$AE,VLOOKUP($BJE$2,[2]ARBOR_REAJUSTE18!$A:$B,2,0),0))),""))),4)</f>
        <v>0.32029999999999997</v>
      </c>
      <c r="BJS5" s="44">
        <f ca="1">ROUNDUP(IF(IFERROR(IF($BJE5="","",IF($BJE5=0,1,1-$BJE5/HLOOKUP(BJS$3,[2]ARBOR_REAJUSTE18!$A:$AE,VLOOKUP($BJE$2,[2]ARBOR_REAJUSTE18!$A:$B,2,0),0))),"")&lt;0.01%,0.01%,(IFERROR(IF($BJE5="","",IF($BJE5=0,1,1-$BJE5/HLOOKUP(BJS$3,[2]ARBOR_REAJUSTE18!$A:$AE,VLOOKUP($BJE$2,[2]ARBOR_REAJUSTE18!$A:$B,2,0),0))),""))),4)</f>
        <v>0.32029999999999997</v>
      </c>
      <c r="BJT5" s="44">
        <f ca="1">ROUNDUP(IF(IFERROR(IF($BJE5="","",IF($BJE5=0,1,1-$BJE5/HLOOKUP(BJT$3,[2]ARBOR_REAJUSTE18!$A:$AE,VLOOKUP($BJE$2,[2]ARBOR_REAJUSTE18!$A:$B,2,0),0))),"")&lt;0.01%,0.01%,(IFERROR(IF($BJE5="","",IF($BJE5=0,1,1-$BJE5/HLOOKUP(BJT$3,[2]ARBOR_REAJUSTE18!$A:$AE,VLOOKUP($BJE$2,[2]ARBOR_REAJUSTE18!$A:$B,2,0),0))),""))),4)</f>
        <v>0.32029999999999997</v>
      </c>
      <c r="BJU5" s="44">
        <f ca="1">ROUNDUP(IF(IFERROR(IF($BJE5="","",IF($BJE5=0,1,1-$BJE5/HLOOKUP(BJU$3,[2]ARBOR_REAJUSTE18!$A:$AE,VLOOKUP($BJE$2,[2]ARBOR_REAJUSTE18!$A:$B,2,0),0))),"")&lt;0.01%,0.01%,(IFERROR(IF($BJE5="","",IF($BJE5=0,1,1-$BJE5/HLOOKUP(BJU$3,[2]ARBOR_REAJUSTE18!$A:$AE,VLOOKUP($BJE$2,[2]ARBOR_REAJUSTE18!$A:$B,2,0),0))),""))),4)</f>
        <v>0.32029999999999997</v>
      </c>
      <c r="BJV5" s="44">
        <f ca="1">ROUNDUP(IF(IFERROR(IF($BJE5="","",IF($BJE5=0,1,1-$BJE5/HLOOKUP(BJV$3,[2]ARBOR_REAJUSTE18!$A:$AE,VLOOKUP($BJE$2,[2]ARBOR_REAJUSTE18!$A:$B,2,0),0))),"")&lt;0.01%,0.01%,(IFERROR(IF($BJE5="","",IF($BJE5=0,1,1-$BJE5/HLOOKUP(BJV$3,[2]ARBOR_REAJUSTE18!$A:$AE,VLOOKUP($BJE$2,[2]ARBOR_REAJUSTE18!$A:$B,2,0),0))),""))),4)</f>
        <v>0.32929999999999998</v>
      </c>
      <c r="BJW5" s="44">
        <f ca="1">ROUNDUP(IF(IFERROR(IF($BJE5="","",IF($BJE5=0,1,1-$BJE5/HLOOKUP(BJW$3,[2]ARBOR_REAJUSTE18!$A:$AE,VLOOKUP($BJE$2,[2]ARBOR_REAJUSTE18!$A:$B,2,0),0))),"")&lt;0.01%,0.01%,(IFERROR(IF($BJE5="","",IF($BJE5=0,1,1-$BJE5/HLOOKUP(BJW$3,[2]ARBOR_REAJUSTE18!$A:$AE,VLOOKUP($BJE$2,[2]ARBOR_REAJUSTE18!$A:$B,2,0),0))),""))),4)</f>
        <v>0.32029999999999997</v>
      </c>
      <c r="BJX5" s="44">
        <f ca="1">ROUNDUP(IF(IFERROR(IF($BJE5="","",IF($BJE5=0,1,1-$BJE5/HLOOKUP(BJX$3,[2]ARBOR_REAJUSTE18!$A:$AE,VLOOKUP($BJE$2,[2]ARBOR_REAJUSTE18!$A:$B,2,0),0))),"")&lt;0.01%,0.01%,(IFERROR(IF($BJE5="","",IF($BJE5=0,1,1-$BJE5/HLOOKUP(BJX$3,[2]ARBOR_REAJUSTE18!$A:$AE,VLOOKUP($BJE$2,[2]ARBOR_REAJUSTE18!$A:$B,2,0),0))),""))),4)</f>
        <v>0.32029999999999997</v>
      </c>
      <c r="BJY5" s="44">
        <f ca="1">ROUNDUP(IF(IFERROR(IF($BJE5="","",IF($BJE5=0,1,1-$BJE5/HLOOKUP(BJY$3,[2]ARBOR_REAJUSTE18!$A:$AE,VLOOKUP($BJE$2,[2]ARBOR_REAJUSTE18!$A:$B,2,0),0))),"")&lt;0.01%,0.01%,(IFERROR(IF($BJE5="","",IF($BJE5=0,1,1-$BJE5/HLOOKUP(BJY$3,[2]ARBOR_REAJUSTE18!$A:$AE,VLOOKUP($BJE$2,[2]ARBOR_REAJUSTE18!$A:$B,2,0),0))),""))),4)</f>
        <v>0.32029999999999997</v>
      </c>
      <c r="BJZ5" s="44">
        <f ca="1">ROUNDUP(IF(IFERROR(IF($BJE5="","",IF($BJE5=0,1,1-$BJE5/HLOOKUP(BJZ$3,[2]ARBOR_REAJUSTE18!$A:$AE,VLOOKUP($BJE$2,[2]ARBOR_REAJUSTE18!$A:$B,2,0),0))),"")&lt;0.01%,0.01%,(IFERROR(IF($BJE5="","",IF($BJE5=0,1,1-$BJE5/HLOOKUP(BJZ$3,[2]ARBOR_REAJUSTE18!$A:$AE,VLOOKUP($BJE$2,[2]ARBOR_REAJUSTE18!$A:$B,2,0),0))),""))),4)</f>
        <v>0.34449999999999997</v>
      </c>
      <c r="BKA5" s="44">
        <f ca="1">ROUNDUP(IF(IFERROR(IF($BJE5="","",IF($BJE5=0,1,1-$BJE5/HLOOKUP(BKA$3,[2]ARBOR_REAJUSTE18!$A:$AE,VLOOKUP($BJE$2,[2]ARBOR_REAJUSTE18!$A:$B,2,0),0))),"")&lt;0.01%,0.01%,(IFERROR(IF($BJE5="","",IF($BJE5=0,1,1-$BJE5/HLOOKUP(BKA$3,[2]ARBOR_REAJUSTE18!$A:$AE,VLOOKUP($BJE$2,[2]ARBOR_REAJUSTE18!$A:$B,2,0),0))),""))),4)</f>
        <v>0.32029999999999997</v>
      </c>
      <c r="BKB5" s="44">
        <f ca="1">ROUNDUP(IF(IFERROR(IF($BJE5="","",IF($BJE5=0,1,1-$BJE5/HLOOKUP(BKB$3,[2]ARBOR_REAJUSTE18!$A:$AE,VLOOKUP($BJE$2,[2]ARBOR_REAJUSTE18!$A:$B,2,0),0))),"")&lt;0.01%,0.01%,(IFERROR(IF($BJE5="","",IF($BJE5=0,1,1-$BJE5/HLOOKUP(BKB$3,[2]ARBOR_REAJUSTE18!$A:$AE,VLOOKUP($BJE$2,[2]ARBOR_REAJUSTE18!$A:$B,2,0),0))),""))),4)</f>
        <v>0.32029999999999997</v>
      </c>
      <c r="BKC5" s="44">
        <f ca="1">ROUNDUP(IF(IFERROR(IF($BJE5="","",IF($BJE5=0,1,1-$BJE5/HLOOKUP(BKC$3,[2]ARBOR_REAJUSTE18!$A:$AE,VLOOKUP($BJE$2,[2]ARBOR_REAJUSTE18!$A:$B,2,0),0))),"")&lt;0.01%,0.01%,(IFERROR(IF($BJE5="","",IF($BJE5=0,1,1-$BJE5/HLOOKUP(BKC$3,[2]ARBOR_REAJUSTE18!$A:$AE,VLOOKUP($BJE$2,[2]ARBOR_REAJUSTE18!$A:$B,2,0),0))),""))),4)</f>
        <v>0.32029999999999997</v>
      </c>
      <c r="BKD5" s="44">
        <f ca="1">ROUNDUP(IF(IFERROR(IF($BJE5="","",IF($BJE5=0,1,1-$BJE5/HLOOKUP(BKD$3,[2]ARBOR_REAJUSTE18!$A:$AE,VLOOKUP($BJE$2,[2]ARBOR_REAJUSTE18!$A:$B,2,0),0))),"")&lt;0.01%,0.01%,(IFERROR(IF($BJE5="","",IF($BJE5=0,1,1-$BJE5/HLOOKUP(BKD$3,[2]ARBOR_REAJUSTE18!$A:$AE,VLOOKUP($BJE$2,[2]ARBOR_REAJUSTE18!$A:$B,2,0),0))),""))),4)</f>
        <v>0.32029999999999997</v>
      </c>
      <c r="BKE5" s="44">
        <f ca="1">ROUNDUP(IF(IFERROR(IF($BJE5="","",IF($BJE5=0,1,1-$BJE5/HLOOKUP(BKE$3,[2]ARBOR_REAJUSTE18!$A:$AE,VLOOKUP($BJE$2,[2]ARBOR_REAJUSTE18!$A:$B,2,0),0))),"")&lt;0.01%,0.01%,(IFERROR(IF($BJE5="","",IF($BJE5=0,1,1-$BJE5/HLOOKUP(BKE$3,[2]ARBOR_REAJUSTE18!$A:$AE,VLOOKUP($BJE$2,[2]ARBOR_REAJUSTE18!$A:$B,2,0),0))),""))),4)</f>
        <v>0.32029999999999997</v>
      </c>
      <c r="BKF5" s="44">
        <f ca="1">ROUNDUP(IF(IFERROR(IF($BJE5="","",IF($BJE5=0,1,1-$BJE5/HLOOKUP(BKF$3,[2]ARBOR_REAJUSTE18!$A:$AE,VLOOKUP($BJE$2,[2]ARBOR_REAJUSTE18!$A:$B,2,0),0))),"")&lt;0.01%,0.01%,(IFERROR(IF($BJE5="","",IF($BJE5=0,1,1-$BJE5/HLOOKUP(BKF$3,[2]ARBOR_REAJUSTE18!$A:$AE,VLOOKUP($BJE$2,[2]ARBOR_REAJUSTE18!$A:$B,2,0),0))),""))),4)</f>
        <v>0.33610000000000001</v>
      </c>
      <c r="BKG5" s="44">
        <f ca="1">ROUNDUP(IF(IFERROR(IF($BJE5="","",IF($BJE5=0,1,1-$BJE5/HLOOKUP(BKG$3,[2]ARBOR_REAJUSTE18!$A:$AE,VLOOKUP($BJE$2,[2]ARBOR_REAJUSTE18!$A:$B,2,0),0))),"")&lt;0.01%,0.01%,(IFERROR(IF($BJE5="","",IF($BJE5=0,1,1-$BJE5/HLOOKUP(BKG$3,[2]ARBOR_REAJUSTE18!$A:$AE,VLOOKUP($BJE$2,[2]ARBOR_REAJUSTE18!$A:$B,2,0),0))),""))),4)</f>
        <v>0.32029999999999997</v>
      </c>
      <c r="BKH5" s="56">
        <v>19.899999999999999</v>
      </c>
      <c r="BKI5" s="64" t="str">
        <f ca="1">VLOOKUP($AV5&amp;BKJ5&amp;"Template desconto % Sexy Hot nível conta",[2]BENEFICIOS!$A:$G,5,0)</f>
        <v>MKT-1-10624227381</v>
      </c>
      <c r="BKJ5" s="44">
        <f ca="1">ROUNDUP(IF(IFERROR(IF($BKH5="","",IF($BKH5=0,1,1-$BKH5/HLOOKUP(BKJ$3,[2]ARBOR_REAJUSTE18!$A:$AE,VLOOKUP($BKH$2,[2]ARBOR_REAJUSTE18!$A:$B,2,0),0))),"")&lt;0.01%,0.01%,(IFERROR(IF($BKH5="","",IF($BKH5=0,1,1-$BKH5/HLOOKUP(BKJ$3,[2]ARBOR_REAJUSTE18!$A:$AE,VLOOKUP($BKH$2,[2]ARBOR_REAJUSTE18!$A:$B,2,0),0))),""))),4)</f>
        <v>9.3399999999999997E-2</v>
      </c>
      <c r="BKK5" s="44">
        <f ca="1">ROUNDUP(IF(IFERROR(IF($BKH5="","",IF($BKH5=0,1,1-$BKH5/HLOOKUP(BKK$3,[2]ARBOR_REAJUSTE18!$A:$AE,VLOOKUP($BKH$2,[2]ARBOR_REAJUSTE18!$A:$B,2,0),0))),"")&lt;0.01%,0.01%,(IFERROR(IF($BKH5="","",IF($BKH5=0,1,1-$BKH5/HLOOKUP(BKK$3,[2]ARBOR_REAJUSTE18!$A:$AE,VLOOKUP($BKH$2,[2]ARBOR_REAJUSTE18!$A:$B,2,0),0))),""))),4)</f>
        <v>9.3399999999999997E-2</v>
      </c>
      <c r="BKL5" s="44">
        <f ca="1">ROUNDUP(IF(IFERROR(IF($BKH5="","",IF($BKH5=0,1,1-$BKH5/HLOOKUP(BKL$3,[2]ARBOR_REAJUSTE18!$A:$AE,VLOOKUP($BKH$2,[2]ARBOR_REAJUSTE18!$A:$B,2,0),0))),"")&lt;0.01%,0.01%,(IFERROR(IF($BKH5="","",IF($BKH5=0,1,1-$BKH5/HLOOKUP(BKL$3,[2]ARBOR_REAJUSTE18!$A:$AE,VLOOKUP($BKH$2,[2]ARBOR_REAJUSTE18!$A:$B,2,0),0))),""))),4)</f>
        <v>9.3399999999999997E-2</v>
      </c>
      <c r="BKM5" s="44">
        <f ca="1">ROUNDUP(IF(IFERROR(IF($BKH5="","",IF($BKH5=0,1,1-$BKH5/HLOOKUP(BKM$3,[2]ARBOR_REAJUSTE18!$A:$AE,VLOOKUP($BKH$2,[2]ARBOR_REAJUSTE18!$A:$B,2,0),0))),"")&lt;0.01%,0.01%,(IFERROR(IF($BKH5="","",IF($BKH5=0,1,1-$BKH5/HLOOKUP(BKM$3,[2]ARBOR_REAJUSTE18!$A:$AE,VLOOKUP($BKH$2,[2]ARBOR_REAJUSTE18!$A:$B,2,0),0))),""))),4)</f>
        <v>9.3399999999999997E-2</v>
      </c>
      <c r="BKN5" s="44">
        <f ca="1">ROUNDUP(IF(IFERROR(IF($BKH5="","",IF($BKH5=0,1,1-$BKH5/HLOOKUP(BKN$3,[2]ARBOR_REAJUSTE18!$A:$AE,VLOOKUP($BKH$2,[2]ARBOR_REAJUSTE18!$A:$B,2,0),0))),"")&lt;0.01%,0.01%,(IFERROR(IF($BKH5="","",IF($BKH5=0,1,1-$BKH5/HLOOKUP(BKN$3,[2]ARBOR_REAJUSTE18!$A:$AE,VLOOKUP($BKH$2,[2]ARBOR_REAJUSTE18!$A:$B,2,0),0))),""))),4)</f>
        <v>9.3399999999999997E-2</v>
      </c>
      <c r="BKO5" s="44">
        <f ca="1">ROUNDUP(IF(IFERROR(IF($BKH5="","",IF($BKH5=0,1,1-$BKH5/HLOOKUP(BKO$3,[2]ARBOR_REAJUSTE18!$A:$AE,VLOOKUP($BKH$2,[2]ARBOR_REAJUSTE18!$A:$B,2,0),0))),"")&lt;0.01%,0.01%,(IFERROR(IF($BKH5="","",IF($BKH5=0,1,1-$BKH5/HLOOKUP(BKO$3,[2]ARBOR_REAJUSTE18!$A:$AE,VLOOKUP($BKH$2,[2]ARBOR_REAJUSTE18!$A:$B,2,0),0))),""))),4)</f>
        <v>9.3399999999999997E-2</v>
      </c>
      <c r="BKP5" s="44">
        <f ca="1">ROUNDUP(IF(IFERROR(IF($BKH5="","",IF($BKH5=0,1,1-$BKH5/HLOOKUP(BKP$3,[2]ARBOR_REAJUSTE18!$A:$AE,VLOOKUP($BKH$2,[2]ARBOR_REAJUSTE18!$A:$B,2,0),0))),"")&lt;0.01%,0.01%,(IFERROR(IF($BKH5="","",IF($BKH5=0,1,1-$BKH5/HLOOKUP(BKP$3,[2]ARBOR_REAJUSTE18!$A:$AE,VLOOKUP($BKH$2,[2]ARBOR_REAJUSTE18!$A:$B,2,0),0))),""))),4)</f>
        <v>9.2999999999999999E-2</v>
      </c>
      <c r="BKQ5" s="44">
        <f ca="1">ROUNDUP(IF(IFERROR(IF($BKH5="","",IF($BKH5=0,1,1-$BKH5/HLOOKUP(BKQ$3,[2]ARBOR_REAJUSTE18!$A:$AE,VLOOKUP($BKH$2,[2]ARBOR_REAJUSTE18!$A:$B,2,0),0))),"")&lt;0.01%,0.01%,(IFERROR(IF($BKH5="","",IF($BKH5=0,1,1-$BKH5/HLOOKUP(BKQ$3,[2]ARBOR_REAJUSTE18!$A:$AE,VLOOKUP($BKH$2,[2]ARBOR_REAJUSTE18!$A:$B,2,0),0))),""))),4)</f>
        <v>9.3399999999999997E-2</v>
      </c>
      <c r="BKR5" s="44">
        <f ca="1">ROUNDUP(IF(IFERROR(IF($BKH5="","",IF($BKH5=0,1,1-$BKH5/HLOOKUP(BKR$3,[2]ARBOR_REAJUSTE18!$A:$AE,VLOOKUP($BKH$2,[2]ARBOR_REAJUSTE18!$A:$B,2,0),0))),"")&lt;0.01%,0.01%,(IFERROR(IF($BKH5="","",IF($BKH5=0,1,1-$BKH5/HLOOKUP(BKR$3,[2]ARBOR_REAJUSTE18!$A:$AE,VLOOKUP($BKH$2,[2]ARBOR_REAJUSTE18!$A:$B,2,0),0))),""))),4)</f>
        <v>9.3399999999999997E-2</v>
      </c>
      <c r="BKS5" s="44">
        <f ca="1">ROUNDUP(IF(IFERROR(IF($BKH5="","",IF($BKH5=0,1,1-$BKH5/HLOOKUP(BKS$3,[2]ARBOR_REAJUSTE18!$A:$AE,VLOOKUP($BKH$2,[2]ARBOR_REAJUSTE18!$A:$B,2,0),0))),"")&lt;0.01%,0.01%,(IFERROR(IF($BKH5="","",IF($BKH5=0,1,1-$BKH5/HLOOKUP(BKS$3,[2]ARBOR_REAJUSTE18!$A:$AE,VLOOKUP($BKH$2,[2]ARBOR_REAJUSTE18!$A:$B,2,0),0))),""))),4)</f>
        <v>9.3399999999999997E-2</v>
      </c>
      <c r="BKT5" s="44">
        <f ca="1">ROUNDUP(IF(IFERROR(IF($BKH5="","",IF($BKH5=0,1,1-$BKH5/HLOOKUP(BKT$3,[2]ARBOR_REAJUSTE18!$A:$AE,VLOOKUP($BKH$2,[2]ARBOR_REAJUSTE18!$A:$B,2,0),0))),"")&lt;0.01%,0.01%,(IFERROR(IF($BKH5="","",IF($BKH5=0,1,1-$BKH5/HLOOKUP(BKT$3,[2]ARBOR_REAJUSTE18!$A:$AE,VLOOKUP($BKH$2,[2]ARBOR_REAJUSTE18!$A:$B,2,0),0))),""))),4)</f>
        <v>0.12529999999999999</v>
      </c>
      <c r="BKU5" s="44">
        <f ca="1">ROUNDUP(IF(IFERROR(IF($BKH5="","",IF($BKH5=0,1,1-$BKH5/HLOOKUP(BKU$3,[2]ARBOR_REAJUSTE18!$A:$AE,VLOOKUP($BKH$2,[2]ARBOR_REAJUSTE18!$A:$B,2,0),0))),"")&lt;0.01%,0.01%,(IFERROR(IF($BKH5="","",IF($BKH5=0,1,1-$BKH5/HLOOKUP(BKU$3,[2]ARBOR_REAJUSTE18!$A:$AE,VLOOKUP($BKH$2,[2]ARBOR_REAJUSTE18!$A:$B,2,0),0))),""))),4)</f>
        <v>9.3399999999999997E-2</v>
      </c>
      <c r="BKV5" s="44">
        <f ca="1">ROUNDUP(IF(IFERROR(IF($BKH5="","",IF($BKH5=0,1,1-$BKH5/HLOOKUP(BKV$3,[2]ARBOR_REAJUSTE18!$A:$AE,VLOOKUP($BKH$2,[2]ARBOR_REAJUSTE18!$A:$B,2,0),0))),"")&lt;0.01%,0.01%,(IFERROR(IF($BKH5="","",IF($BKH5=0,1,1-$BKH5/HLOOKUP(BKV$3,[2]ARBOR_REAJUSTE18!$A:$AE,VLOOKUP($BKH$2,[2]ARBOR_REAJUSTE18!$A:$B,2,0),0))),""))),4)</f>
        <v>9.3399999999999997E-2</v>
      </c>
      <c r="BKW5" s="44">
        <f ca="1">ROUNDUP(IF(IFERROR(IF($BKH5="","",IF($BKH5=0,1,1-$BKH5/HLOOKUP(BKW$3,[2]ARBOR_REAJUSTE18!$A:$AE,VLOOKUP($BKH$2,[2]ARBOR_REAJUSTE18!$A:$B,2,0),0))),"")&lt;0.01%,0.01%,(IFERROR(IF($BKH5="","",IF($BKH5=0,1,1-$BKH5/HLOOKUP(BKW$3,[2]ARBOR_REAJUSTE18!$A:$AE,VLOOKUP($BKH$2,[2]ARBOR_REAJUSTE18!$A:$B,2,0),0))),""))),4)</f>
        <v>9.3399999999999997E-2</v>
      </c>
      <c r="BKX5" s="44">
        <f ca="1">ROUNDUP(IF(IFERROR(IF($BKH5="","",IF($BKH5=0,1,1-$BKH5/HLOOKUP(BKX$3,[2]ARBOR_REAJUSTE18!$A:$AE,VLOOKUP($BKH$2,[2]ARBOR_REAJUSTE18!$A:$B,2,0),0))),"")&lt;0.01%,0.01%,(IFERROR(IF($BKH5="","",IF($BKH5=0,1,1-$BKH5/HLOOKUP(BKX$3,[2]ARBOR_REAJUSTE18!$A:$AE,VLOOKUP($BKH$2,[2]ARBOR_REAJUSTE18!$A:$B,2,0),0))),""))),4)</f>
        <v>9.3399999999999997E-2</v>
      </c>
      <c r="BKY5" s="44">
        <f ca="1">ROUNDUP(IF(IFERROR(IF($BKH5="","",IF($BKH5=0,1,1-$BKH5/HLOOKUP(BKY$3,[2]ARBOR_REAJUSTE18!$A:$AE,VLOOKUP($BKH$2,[2]ARBOR_REAJUSTE18!$A:$B,2,0),0))),"")&lt;0.01%,0.01%,(IFERROR(IF($BKH5="","",IF($BKH5=0,1,1-$BKH5/HLOOKUP(BKY$3,[2]ARBOR_REAJUSTE18!$A:$AE,VLOOKUP($BKH$2,[2]ARBOR_REAJUSTE18!$A:$B,2,0),0))),""))),4)</f>
        <v>0.1053</v>
      </c>
      <c r="BKZ5" s="44">
        <f ca="1">ROUNDUP(IF(IFERROR(IF($BKH5="","",IF($BKH5=0,1,1-$BKH5/HLOOKUP(BKZ$3,[2]ARBOR_REAJUSTE18!$A:$AE,VLOOKUP($BKH$2,[2]ARBOR_REAJUSTE18!$A:$B,2,0),0))),"")&lt;0.01%,0.01%,(IFERROR(IF($BKH5="","",IF($BKH5=0,1,1-$BKH5/HLOOKUP(BKZ$3,[2]ARBOR_REAJUSTE18!$A:$AE,VLOOKUP($BKH$2,[2]ARBOR_REAJUSTE18!$A:$B,2,0),0))),""))),4)</f>
        <v>9.3399999999999997E-2</v>
      </c>
      <c r="BLA5" s="44">
        <f ca="1">ROUNDUP(IF(IFERROR(IF($BKH5="","",IF($BKH5=0,1,1-$BKH5/HLOOKUP(BLA$3,[2]ARBOR_REAJUSTE18!$A:$AE,VLOOKUP($BKH$2,[2]ARBOR_REAJUSTE18!$A:$B,2,0),0))),"")&lt;0.01%,0.01%,(IFERROR(IF($BKH5="","",IF($BKH5=0,1,1-$BKH5/HLOOKUP(BLA$3,[2]ARBOR_REAJUSTE18!$A:$AE,VLOOKUP($BKH$2,[2]ARBOR_REAJUSTE18!$A:$B,2,0),0))),""))),4)</f>
        <v>9.3399999999999997E-2</v>
      </c>
      <c r="BLB5" s="44">
        <f ca="1">ROUNDUP(IF(IFERROR(IF($BKH5="","",IF($BKH5=0,1,1-$BKH5/HLOOKUP(BLB$3,[2]ARBOR_REAJUSTE18!$A:$AE,VLOOKUP($BKH$2,[2]ARBOR_REAJUSTE18!$A:$B,2,0),0))),"")&lt;0.01%,0.01%,(IFERROR(IF($BKH5="","",IF($BKH5=0,1,1-$BKH5/HLOOKUP(BLB$3,[2]ARBOR_REAJUSTE18!$A:$AE,VLOOKUP($BKH$2,[2]ARBOR_REAJUSTE18!$A:$B,2,0),0))),""))),4)</f>
        <v>9.3399999999999997E-2</v>
      </c>
      <c r="BLC5" s="44">
        <f ca="1">ROUNDUP(IF(IFERROR(IF($BKH5="","",IF($BKH5=0,1,1-$BKH5/HLOOKUP(BLC$3,[2]ARBOR_REAJUSTE18!$A:$AE,VLOOKUP($BKH$2,[2]ARBOR_REAJUSTE18!$A:$B,2,0),0))),"")&lt;0.01%,0.01%,(IFERROR(IF($BKH5="","",IF($BKH5=0,1,1-$BKH5/HLOOKUP(BLC$3,[2]ARBOR_REAJUSTE18!$A:$AE,VLOOKUP($BKH$2,[2]ARBOR_REAJUSTE18!$A:$B,2,0),0))),""))),4)</f>
        <v>0.12529999999999999</v>
      </c>
      <c r="BLD5" s="44">
        <f ca="1">ROUNDUP(IF(IFERROR(IF($BKH5="","",IF($BKH5=0,1,1-$BKH5/HLOOKUP(BLD$3,[2]ARBOR_REAJUSTE18!$A:$AE,VLOOKUP($BKH$2,[2]ARBOR_REAJUSTE18!$A:$B,2,0),0))),"")&lt;0.01%,0.01%,(IFERROR(IF($BKH5="","",IF($BKH5=0,1,1-$BKH5/HLOOKUP(BLD$3,[2]ARBOR_REAJUSTE18!$A:$AE,VLOOKUP($BKH$2,[2]ARBOR_REAJUSTE18!$A:$B,2,0),0))),""))),4)</f>
        <v>9.3399999999999997E-2</v>
      </c>
      <c r="BLE5" s="44">
        <f ca="1">ROUNDUP(IF(IFERROR(IF($BKH5="","",IF($BKH5=0,1,1-$BKH5/HLOOKUP(BLE$3,[2]ARBOR_REAJUSTE18!$A:$AE,VLOOKUP($BKH$2,[2]ARBOR_REAJUSTE18!$A:$B,2,0),0))),"")&lt;0.01%,0.01%,(IFERROR(IF($BKH5="","",IF($BKH5=0,1,1-$BKH5/HLOOKUP(BLE$3,[2]ARBOR_REAJUSTE18!$A:$AE,VLOOKUP($BKH$2,[2]ARBOR_REAJUSTE18!$A:$B,2,0),0))),""))),4)</f>
        <v>9.3399999999999997E-2</v>
      </c>
      <c r="BLF5" s="44">
        <f ca="1">ROUNDUP(IF(IFERROR(IF($BKH5="","",IF($BKH5=0,1,1-$BKH5/HLOOKUP(BLF$3,[2]ARBOR_REAJUSTE18!$A:$AE,VLOOKUP($BKH$2,[2]ARBOR_REAJUSTE18!$A:$B,2,0),0))),"")&lt;0.01%,0.01%,(IFERROR(IF($BKH5="","",IF($BKH5=0,1,1-$BKH5/HLOOKUP(BLF$3,[2]ARBOR_REAJUSTE18!$A:$AE,VLOOKUP($BKH$2,[2]ARBOR_REAJUSTE18!$A:$B,2,0),0))),""))),4)</f>
        <v>9.3399999999999997E-2</v>
      </c>
      <c r="BLG5" s="44">
        <f ca="1">ROUNDUP(IF(IFERROR(IF($BKH5="","",IF($BKH5=0,1,1-$BKH5/HLOOKUP(BLG$3,[2]ARBOR_REAJUSTE18!$A:$AE,VLOOKUP($BKH$2,[2]ARBOR_REAJUSTE18!$A:$B,2,0),0))),"")&lt;0.01%,0.01%,(IFERROR(IF($BKH5="","",IF($BKH5=0,1,1-$BKH5/HLOOKUP(BLG$3,[2]ARBOR_REAJUSTE18!$A:$AE,VLOOKUP($BKH$2,[2]ARBOR_REAJUSTE18!$A:$B,2,0),0))),""))),4)</f>
        <v>9.3399999999999997E-2</v>
      </c>
      <c r="BLH5" s="44">
        <f ca="1">ROUNDUP(IF(IFERROR(IF($BKH5="","",IF($BKH5=0,1,1-$BKH5/HLOOKUP(BLH$3,[2]ARBOR_REAJUSTE18!$A:$AE,VLOOKUP($BKH$2,[2]ARBOR_REAJUSTE18!$A:$B,2,0),0))),"")&lt;0.01%,0.01%,(IFERROR(IF($BKH5="","",IF($BKH5=0,1,1-$BKH5/HLOOKUP(BLH$3,[2]ARBOR_REAJUSTE18!$A:$AE,VLOOKUP($BKH$2,[2]ARBOR_REAJUSTE18!$A:$B,2,0),0))),""))),4)</f>
        <v>9.3399999999999997E-2</v>
      </c>
      <c r="BLI5" s="44">
        <f ca="1">ROUNDUP(IF(IFERROR(IF($BKH5="","",IF($BKH5=0,1,1-$BKH5/HLOOKUP(BLI$3,[2]ARBOR_REAJUSTE18!$A:$AE,VLOOKUP($BKH$2,[2]ARBOR_REAJUSTE18!$A:$B,2,0),0))),"")&lt;0.01%,0.01%,(IFERROR(IF($BKH5="","",IF($BKH5=0,1,1-$BKH5/HLOOKUP(BLI$3,[2]ARBOR_REAJUSTE18!$A:$AE,VLOOKUP($BKH$2,[2]ARBOR_REAJUSTE18!$A:$B,2,0),0))),""))),4)</f>
        <v>0.1144</v>
      </c>
      <c r="BLJ5" s="44">
        <f ca="1">ROUNDUP(IF(IFERROR(IF($BKH5="","",IF($BKH5=0,1,1-$BKH5/HLOOKUP(BLJ$3,[2]ARBOR_REAJUSTE18!$A:$AE,VLOOKUP($BKH$2,[2]ARBOR_REAJUSTE18!$A:$B,2,0),0))),"")&lt;0.01%,0.01%,(IFERROR(IF($BKH5="","",IF($BKH5=0,1,1-$BKH5/HLOOKUP(BLJ$3,[2]ARBOR_REAJUSTE18!$A:$AE,VLOOKUP($BKH$2,[2]ARBOR_REAJUSTE18!$A:$B,2,0),0))),""))),4)</f>
        <v>9.3399999999999997E-2</v>
      </c>
      <c r="BLK5" s="56">
        <v>19.899999999999999</v>
      </c>
      <c r="BLL5" s="64" t="str">
        <f ca="1">VLOOKUP($AV5&amp;BLM5&amp;"Template desconto % Playboy nível conta",[2]BENEFICIOS!$A:$G,5,0)</f>
        <v>MKT-1-10624289671</v>
      </c>
      <c r="BLM5" s="44">
        <f ca="1">ROUNDUP(IF(IFERROR(IF($BLK5="","",IF($BLK5=0,1,1-$BLK5/HLOOKUP(BLM$3,[2]ARBOR_REAJUSTE18!$A:$AE,VLOOKUP($BLK$2,[2]ARBOR_REAJUSTE18!$A:$B,2,0),0))),"")&lt;0.01%,0.01%,(IFERROR(IF($BLK5="","",IF($BLK5=0,1,1-$BLK5/HLOOKUP(BLM$3,[2]ARBOR_REAJUSTE18!$A:$AE,VLOOKUP($BLK$2,[2]ARBOR_REAJUSTE18!$A:$B,2,0),0))),""))),4)</f>
        <v>9.3399999999999997E-2</v>
      </c>
      <c r="BLN5" s="44">
        <f ca="1">ROUNDUP(IF(IFERROR(IF($BLK5="","",IF($BLK5=0,1,1-$BLK5/HLOOKUP(BLN$3,[2]ARBOR_REAJUSTE18!$A:$AE,VLOOKUP($BLK$2,[2]ARBOR_REAJUSTE18!$A:$B,2,0),0))),"")&lt;0.01%,0.01%,(IFERROR(IF($BLK5="","",IF($BLK5=0,1,1-$BLK5/HLOOKUP(BLN$3,[2]ARBOR_REAJUSTE18!$A:$AE,VLOOKUP($BLK$2,[2]ARBOR_REAJUSTE18!$A:$B,2,0),0))),""))),4)</f>
        <v>9.3399999999999997E-2</v>
      </c>
      <c r="BLO5" s="44">
        <f ca="1">ROUNDUP(IF(IFERROR(IF($BLK5="","",IF($BLK5=0,1,1-$BLK5/HLOOKUP(BLO$3,[2]ARBOR_REAJUSTE18!$A:$AE,VLOOKUP($BLK$2,[2]ARBOR_REAJUSTE18!$A:$B,2,0),0))),"")&lt;0.01%,0.01%,(IFERROR(IF($BLK5="","",IF($BLK5=0,1,1-$BLK5/HLOOKUP(BLO$3,[2]ARBOR_REAJUSTE18!$A:$AE,VLOOKUP($BLK$2,[2]ARBOR_REAJUSTE18!$A:$B,2,0),0))),""))),4)</f>
        <v>9.3399999999999997E-2</v>
      </c>
      <c r="BLP5" s="44">
        <f ca="1">ROUNDUP(IF(IFERROR(IF($BLK5="","",IF($BLK5=0,1,1-$BLK5/HLOOKUP(BLP$3,[2]ARBOR_REAJUSTE18!$A:$AE,VLOOKUP($BLK$2,[2]ARBOR_REAJUSTE18!$A:$B,2,0),0))),"")&lt;0.01%,0.01%,(IFERROR(IF($BLK5="","",IF($BLK5=0,1,1-$BLK5/HLOOKUP(BLP$3,[2]ARBOR_REAJUSTE18!$A:$AE,VLOOKUP($BLK$2,[2]ARBOR_REAJUSTE18!$A:$B,2,0),0))),""))),4)</f>
        <v>9.3399999999999997E-2</v>
      </c>
      <c r="BLQ5" s="44">
        <f ca="1">ROUNDUP(IF(IFERROR(IF($BLK5="","",IF($BLK5=0,1,1-$BLK5/HLOOKUP(BLQ$3,[2]ARBOR_REAJUSTE18!$A:$AE,VLOOKUP($BLK$2,[2]ARBOR_REAJUSTE18!$A:$B,2,0),0))),"")&lt;0.01%,0.01%,(IFERROR(IF($BLK5="","",IF($BLK5=0,1,1-$BLK5/HLOOKUP(BLQ$3,[2]ARBOR_REAJUSTE18!$A:$AE,VLOOKUP($BLK$2,[2]ARBOR_REAJUSTE18!$A:$B,2,0),0))),""))),4)</f>
        <v>9.3399999999999997E-2</v>
      </c>
      <c r="BLR5" s="44">
        <f ca="1">ROUNDUP(IF(IFERROR(IF($BLK5="","",IF($BLK5=0,1,1-$BLK5/HLOOKUP(BLR$3,[2]ARBOR_REAJUSTE18!$A:$AE,VLOOKUP($BLK$2,[2]ARBOR_REAJUSTE18!$A:$B,2,0),0))),"")&lt;0.01%,0.01%,(IFERROR(IF($BLK5="","",IF($BLK5=0,1,1-$BLK5/HLOOKUP(BLR$3,[2]ARBOR_REAJUSTE18!$A:$AE,VLOOKUP($BLK$2,[2]ARBOR_REAJUSTE18!$A:$B,2,0),0))),""))),4)</f>
        <v>9.3399999999999997E-2</v>
      </c>
      <c r="BLS5" s="44">
        <f ca="1">ROUNDUP(IF(IFERROR(IF($BLK5="","",IF($BLK5=0,1,1-$BLK5/HLOOKUP(BLS$3,[2]ARBOR_REAJUSTE18!$A:$AE,VLOOKUP($BLK$2,[2]ARBOR_REAJUSTE18!$A:$B,2,0),0))),"")&lt;0.01%,0.01%,(IFERROR(IF($BLK5="","",IF($BLK5=0,1,1-$BLK5/HLOOKUP(BLS$3,[2]ARBOR_REAJUSTE18!$A:$AE,VLOOKUP($BLK$2,[2]ARBOR_REAJUSTE18!$A:$B,2,0),0))),""))),4)</f>
        <v>9.2999999999999999E-2</v>
      </c>
      <c r="BLT5" s="44">
        <f ca="1">ROUNDUP(IF(IFERROR(IF($BLK5="","",IF($BLK5=0,1,1-$BLK5/HLOOKUP(BLT$3,[2]ARBOR_REAJUSTE18!$A:$AE,VLOOKUP($BLK$2,[2]ARBOR_REAJUSTE18!$A:$B,2,0),0))),"")&lt;0.01%,0.01%,(IFERROR(IF($BLK5="","",IF($BLK5=0,1,1-$BLK5/HLOOKUP(BLT$3,[2]ARBOR_REAJUSTE18!$A:$AE,VLOOKUP($BLK$2,[2]ARBOR_REAJUSTE18!$A:$B,2,0),0))),""))),4)</f>
        <v>9.3399999999999997E-2</v>
      </c>
      <c r="BLU5" s="44">
        <f ca="1">ROUNDUP(IF(IFERROR(IF($BLK5="","",IF($BLK5=0,1,1-$BLK5/HLOOKUP(BLU$3,[2]ARBOR_REAJUSTE18!$A:$AE,VLOOKUP($BLK$2,[2]ARBOR_REAJUSTE18!$A:$B,2,0),0))),"")&lt;0.01%,0.01%,(IFERROR(IF($BLK5="","",IF($BLK5=0,1,1-$BLK5/HLOOKUP(BLU$3,[2]ARBOR_REAJUSTE18!$A:$AE,VLOOKUP($BLK$2,[2]ARBOR_REAJUSTE18!$A:$B,2,0),0))),""))),4)</f>
        <v>9.3399999999999997E-2</v>
      </c>
      <c r="BLV5" s="44">
        <f ca="1">ROUNDUP(IF(IFERROR(IF($BLK5="","",IF($BLK5=0,1,1-$BLK5/HLOOKUP(BLV$3,[2]ARBOR_REAJUSTE18!$A:$AE,VLOOKUP($BLK$2,[2]ARBOR_REAJUSTE18!$A:$B,2,0),0))),"")&lt;0.01%,0.01%,(IFERROR(IF($BLK5="","",IF($BLK5=0,1,1-$BLK5/HLOOKUP(BLV$3,[2]ARBOR_REAJUSTE18!$A:$AE,VLOOKUP($BLK$2,[2]ARBOR_REAJUSTE18!$A:$B,2,0),0))),""))),4)</f>
        <v>9.3399999999999997E-2</v>
      </c>
      <c r="BLW5" s="44">
        <f ca="1">ROUNDUP(IF(IFERROR(IF($BLK5="","",IF($BLK5=0,1,1-$BLK5/HLOOKUP(BLW$3,[2]ARBOR_REAJUSTE18!$A:$AE,VLOOKUP($BLK$2,[2]ARBOR_REAJUSTE18!$A:$B,2,0),0))),"")&lt;0.01%,0.01%,(IFERROR(IF($BLK5="","",IF($BLK5=0,1,1-$BLK5/HLOOKUP(BLW$3,[2]ARBOR_REAJUSTE18!$A:$AE,VLOOKUP($BLK$2,[2]ARBOR_REAJUSTE18!$A:$B,2,0),0))),""))),4)</f>
        <v>0.12529999999999999</v>
      </c>
      <c r="BLX5" s="44">
        <f ca="1">ROUNDUP(IF(IFERROR(IF($BLK5="","",IF($BLK5=0,1,1-$BLK5/HLOOKUP(BLX$3,[2]ARBOR_REAJUSTE18!$A:$AE,VLOOKUP($BLK$2,[2]ARBOR_REAJUSTE18!$A:$B,2,0),0))),"")&lt;0.01%,0.01%,(IFERROR(IF($BLK5="","",IF($BLK5=0,1,1-$BLK5/HLOOKUP(BLX$3,[2]ARBOR_REAJUSTE18!$A:$AE,VLOOKUP($BLK$2,[2]ARBOR_REAJUSTE18!$A:$B,2,0),0))),""))),4)</f>
        <v>9.3399999999999997E-2</v>
      </c>
      <c r="BLY5" s="44">
        <f ca="1">ROUNDUP(IF(IFERROR(IF($BLK5="","",IF($BLK5=0,1,1-$BLK5/HLOOKUP(BLY$3,[2]ARBOR_REAJUSTE18!$A:$AE,VLOOKUP($BLK$2,[2]ARBOR_REAJUSTE18!$A:$B,2,0),0))),"")&lt;0.01%,0.01%,(IFERROR(IF($BLK5="","",IF($BLK5=0,1,1-$BLK5/HLOOKUP(BLY$3,[2]ARBOR_REAJUSTE18!$A:$AE,VLOOKUP($BLK$2,[2]ARBOR_REAJUSTE18!$A:$B,2,0),0))),""))),4)</f>
        <v>9.3399999999999997E-2</v>
      </c>
      <c r="BLZ5" s="44">
        <f ca="1">ROUNDUP(IF(IFERROR(IF($BLK5="","",IF($BLK5=0,1,1-$BLK5/HLOOKUP(BLZ$3,[2]ARBOR_REAJUSTE18!$A:$AE,VLOOKUP($BLK$2,[2]ARBOR_REAJUSTE18!$A:$B,2,0),0))),"")&lt;0.01%,0.01%,(IFERROR(IF($BLK5="","",IF($BLK5=0,1,1-$BLK5/HLOOKUP(BLZ$3,[2]ARBOR_REAJUSTE18!$A:$AE,VLOOKUP($BLK$2,[2]ARBOR_REAJUSTE18!$A:$B,2,0),0))),""))),4)</f>
        <v>9.3399999999999997E-2</v>
      </c>
      <c r="BMA5" s="44">
        <f ca="1">ROUNDUP(IF(IFERROR(IF($BLK5="","",IF($BLK5=0,1,1-$BLK5/HLOOKUP(BMA$3,[2]ARBOR_REAJUSTE18!$A:$AE,VLOOKUP($BLK$2,[2]ARBOR_REAJUSTE18!$A:$B,2,0),0))),"")&lt;0.01%,0.01%,(IFERROR(IF($BLK5="","",IF($BLK5=0,1,1-$BLK5/HLOOKUP(BMA$3,[2]ARBOR_REAJUSTE18!$A:$AE,VLOOKUP($BLK$2,[2]ARBOR_REAJUSTE18!$A:$B,2,0),0))),""))),4)</f>
        <v>9.3399999999999997E-2</v>
      </c>
      <c r="BMB5" s="44">
        <f ca="1">ROUNDUP(IF(IFERROR(IF($BLK5="","",IF($BLK5=0,1,1-$BLK5/HLOOKUP(BMB$3,[2]ARBOR_REAJUSTE18!$A:$AE,VLOOKUP($BLK$2,[2]ARBOR_REAJUSTE18!$A:$B,2,0),0))),"")&lt;0.01%,0.01%,(IFERROR(IF($BLK5="","",IF($BLK5=0,1,1-$BLK5/HLOOKUP(BMB$3,[2]ARBOR_REAJUSTE18!$A:$AE,VLOOKUP($BLK$2,[2]ARBOR_REAJUSTE18!$A:$B,2,0),0))),""))),4)</f>
        <v>0.1053</v>
      </c>
      <c r="BMC5" s="44">
        <f ca="1">ROUNDUP(IF(IFERROR(IF($BLK5="","",IF($BLK5=0,1,1-$BLK5/HLOOKUP(BMC$3,[2]ARBOR_REAJUSTE18!$A:$AE,VLOOKUP($BLK$2,[2]ARBOR_REAJUSTE18!$A:$B,2,0),0))),"")&lt;0.01%,0.01%,(IFERROR(IF($BLK5="","",IF($BLK5=0,1,1-$BLK5/HLOOKUP(BMC$3,[2]ARBOR_REAJUSTE18!$A:$AE,VLOOKUP($BLK$2,[2]ARBOR_REAJUSTE18!$A:$B,2,0),0))),""))),4)</f>
        <v>9.3399999999999997E-2</v>
      </c>
      <c r="BMD5" s="44">
        <f ca="1">ROUNDUP(IF(IFERROR(IF($BLK5="","",IF($BLK5=0,1,1-$BLK5/HLOOKUP(BMD$3,[2]ARBOR_REAJUSTE18!$A:$AE,VLOOKUP($BLK$2,[2]ARBOR_REAJUSTE18!$A:$B,2,0),0))),"")&lt;0.01%,0.01%,(IFERROR(IF($BLK5="","",IF($BLK5=0,1,1-$BLK5/HLOOKUP(BMD$3,[2]ARBOR_REAJUSTE18!$A:$AE,VLOOKUP($BLK$2,[2]ARBOR_REAJUSTE18!$A:$B,2,0),0))),""))),4)</f>
        <v>9.3399999999999997E-2</v>
      </c>
      <c r="BME5" s="44">
        <f ca="1">ROUNDUP(IF(IFERROR(IF($BLK5="","",IF($BLK5=0,1,1-$BLK5/HLOOKUP(BME$3,[2]ARBOR_REAJUSTE18!$A:$AE,VLOOKUP($BLK$2,[2]ARBOR_REAJUSTE18!$A:$B,2,0),0))),"")&lt;0.01%,0.01%,(IFERROR(IF($BLK5="","",IF($BLK5=0,1,1-$BLK5/HLOOKUP(BME$3,[2]ARBOR_REAJUSTE18!$A:$AE,VLOOKUP($BLK$2,[2]ARBOR_REAJUSTE18!$A:$B,2,0),0))),""))),4)</f>
        <v>9.3399999999999997E-2</v>
      </c>
      <c r="BMF5" s="44">
        <f ca="1">ROUNDUP(IF(IFERROR(IF($BLK5="","",IF($BLK5=0,1,1-$BLK5/HLOOKUP(BMF$3,[2]ARBOR_REAJUSTE18!$A:$AE,VLOOKUP($BLK$2,[2]ARBOR_REAJUSTE18!$A:$B,2,0),0))),"")&lt;0.01%,0.01%,(IFERROR(IF($BLK5="","",IF($BLK5=0,1,1-$BLK5/HLOOKUP(BMF$3,[2]ARBOR_REAJUSTE18!$A:$AE,VLOOKUP($BLK$2,[2]ARBOR_REAJUSTE18!$A:$B,2,0),0))),""))),4)</f>
        <v>0.12529999999999999</v>
      </c>
      <c r="BMG5" s="44">
        <f ca="1">ROUNDUP(IF(IFERROR(IF($BLK5="","",IF($BLK5=0,1,1-$BLK5/HLOOKUP(BMG$3,[2]ARBOR_REAJUSTE18!$A:$AE,VLOOKUP($BLK$2,[2]ARBOR_REAJUSTE18!$A:$B,2,0),0))),"")&lt;0.01%,0.01%,(IFERROR(IF($BLK5="","",IF($BLK5=0,1,1-$BLK5/HLOOKUP(BMG$3,[2]ARBOR_REAJUSTE18!$A:$AE,VLOOKUP($BLK$2,[2]ARBOR_REAJUSTE18!$A:$B,2,0),0))),""))),4)</f>
        <v>9.3399999999999997E-2</v>
      </c>
      <c r="BMH5" s="44">
        <f ca="1">ROUNDUP(IF(IFERROR(IF($BLK5="","",IF($BLK5=0,1,1-$BLK5/HLOOKUP(BMH$3,[2]ARBOR_REAJUSTE18!$A:$AE,VLOOKUP($BLK$2,[2]ARBOR_REAJUSTE18!$A:$B,2,0),0))),"")&lt;0.01%,0.01%,(IFERROR(IF($BLK5="","",IF($BLK5=0,1,1-$BLK5/HLOOKUP(BMH$3,[2]ARBOR_REAJUSTE18!$A:$AE,VLOOKUP($BLK$2,[2]ARBOR_REAJUSTE18!$A:$B,2,0),0))),""))),4)</f>
        <v>9.3399999999999997E-2</v>
      </c>
      <c r="BMI5" s="44">
        <f ca="1">ROUNDUP(IF(IFERROR(IF($BLK5="","",IF($BLK5=0,1,1-$BLK5/HLOOKUP(BMI$3,[2]ARBOR_REAJUSTE18!$A:$AE,VLOOKUP($BLK$2,[2]ARBOR_REAJUSTE18!$A:$B,2,0),0))),"")&lt;0.01%,0.01%,(IFERROR(IF($BLK5="","",IF($BLK5=0,1,1-$BLK5/HLOOKUP(BMI$3,[2]ARBOR_REAJUSTE18!$A:$AE,VLOOKUP($BLK$2,[2]ARBOR_REAJUSTE18!$A:$B,2,0),0))),""))),4)</f>
        <v>9.3399999999999997E-2</v>
      </c>
      <c r="BMJ5" s="44">
        <f ca="1">ROUNDUP(IF(IFERROR(IF($BLK5="","",IF($BLK5=0,1,1-$BLK5/HLOOKUP(BMJ$3,[2]ARBOR_REAJUSTE18!$A:$AE,VLOOKUP($BLK$2,[2]ARBOR_REAJUSTE18!$A:$B,2,0),0))),"")&lt;0.01%,0.01%,(IFERROR(IF($BLK5="","",IF($BLK5=0,1,1-$BLK5/HLOOKUP(BMJ$3,[2]ARBOR_REAJUSTE18!$A:$AE,VLOOKUP($BLK$2,[2]ARBOR_REAJUSTE18!$A:$B,2,0),0))),""))),4)</f>
        <v>9.3399999999999997E-2</v>
      </c>
      <c r="BMK5" s="44">
        <f ca="1">ROUNDUP(IF(IFERROR(IF($BLK5="","",IF($BLK5=0,1,1-$BLK5/HLOOKUP(BMK$3,[2]ARBOR_REAJUSTE18!$A:$AE,VLOOKUP($BLK$2,[2]ARBOR_REAJUSTE18!$A:$B,2,0),0))),"")&lt;0.01%,0.01%,(IFERROR(IF($BLK5="","",IF($BLK5=0,1,1-$BLK5/HLOOKUP(BMK$3,[2]ARBOR_REAJUSTE18!$A:$AE,VLOOKUP($BLK$2,[2]ARBOR_REAJUSTE18!$A:$B,2,0),0))),""))),4)</f>
        <v>9.3399999999999997E-2</v>
      </c>
      <c r="BML5" s="44">
        <f ca="1">ROUNDUP(IF(IFERROR(IF($BLK5="","",IF($BLK5=0,1,1-$BLK5/HLOOKUP(BML$3,[2]ARBOR_REAJUSTE18!$A:$AE,VLOOKUP($BLK$2,[2]ARBOR_REAJUSTE18!$A:$B,2,0),0))),"")&lt;0.01%,0.01%,(IFERROR(IF($BLK5="","",IF($BLK5=0,1,1-$BLK5/HLOOKUP(BML$3,[2]ARBOR_REAJUSTE18!$A:$AE,VLOOKUP($BLK$2,[2]ARBOR_REAJUSTE18!$A:$B,2,0),0))),""))),4)</f>
        <v>0.1144</v>
      </c>
      <c r="BMM5" s="44">
        <f ca="1">ROUNDUP(IF(IFERROR(IF($BLK5="","",IF($BLK5=0,1,1-$BLK5/HLOOKUP(BMM$3,[2]ARBOR_REAJUSTE18!$A:$AE,VLOOKUP($BLK$2,[2]ARBOR_REAJUSTE18!$A:$B,2,0),0))),"")&lt;0.01%,0.01%,(IFERROR(IF($BLK5="","",IF($BLK5=0,1,1-$BLK5/HLOOKUP(BMM$3,[2]ARBOR_REAJUSTE18!$A:$AE,VLOOKUP($BLK$2,[2]ARBOR_REAJUSTE18!$A:$B,2,0),0))),""))),4)</f>
        <v>9.3399999999999997E-2</v>
      </c>
      <c r="BMN5" s="56">
        <v>29.9</v>
      </c>
      <c r="BMO5" s="64" t="str">
        <f ca="1">VLOOKUP($AV5&amp;BMP5&amp;"Template desconto % Sexy Hot + Playboy nível conta",[2]BENEFICIOS!$A:$G,5,0)</f>
        <v>MKT-1-10624276721</v>
      </c>
      <c r="BMP5" s="44">
        <f ca="1">ROUNDUP(IF(IFERROR(IF($BMN5="","",IF($BMN5=0,1,1-$BMN5/HLOOKUP(BMP$3,[2]ARBOR_REAJUSTE18!$A:$AE,VLOOKUP($BMN$2,[2]ARBOR_REAJUSTE18!$A:$B,2,0),0))),"")&lt;0.01%,0.01%,(IFERROR(IF($BMN5="","",IF($BMN5=0,1,1-$BMN5/HLOOKUP(BMP$3,[2]ARBOR_REAJUSTE18!$A:$AE,VLOOKUP($BMN$2,[2]ARBOR_REAJUSTE18!$A:$B,2,0),0))),""))),4)</f>
        <v>9.3399999999999997E-2</v>
      </c>
      <c r="BMQ5" s="44">
        <f ca="1">ROUNDUP(IF(IFERROR(IF($BMN5="","",IF($BMN5=0,1,1-$BMN5/HLOOKUP(BMQ$3,[2]ARBOR_REAJUSTE18!$A:$AE,VLOOKUP($BMN$2,[2]ARBOR_REAJUSTE18!$A:$B,2,0),0))),"")&lt;0.01%,0.01%,(IFERROR(IF($BMN5="","",IF($BMN5=0,1,1-$BMN5/HLOOKUP(BMQ$3,[2]ARBOR_REAJUSTE18!$A:$AE,VLOOKUP($BMN$2,[2]ARBOR_REAJUSTE18!$A:$B,2,0),0))),""))),4)</f>
        <v>9.3399999999999997E-2</v>
      </c>
      <c r="BMR5" s="44">
        <f ca="1">ROUNDUP(IF(IFERROR(IF($BMN5="","",IF($BMN5=0,1,1-$BMN5/HLOOKUP(BMR$3,[2]ARBOR_REAJUSTE18!$A:$AE,VLOOKUP($BMN$2,[2]ARBOR_REAJUSTE18!$A:$B,2,0),0))),"")&lt;0.01%,0.01%,(IFERROR(IF($BMN5="","",IF($BMN5=0,1,1-$BMN5/HLOOKUP(BMR$3,[2]ARBOR_REAJUSTE18!$A:$AE,VLOOKUP($BMN$2,[2]ARBOR_REAJUSTE18!$A:$B,2,0),0))),""))),4)</f>
        <v>9.3399999999999997E-2</v>
      </c>
      <c r="BMS5" s="44">
        <f ca="1">ROUNDUP(IF(IFERROR(IF($BMN5="","",IF($BMN5=0,1,1-$BMN5/HLOOKUP(BMS$3,[2]ARBOR_REAJUSTE18!$A:$AE,VLOOKUP($BMN$2,[2]ARBOR_REAJUSTE18!$A:$B,2,0),0))),"")&lt;0.01%,0.01%,(IFERROR(IF($BMN5="","",IF($BMN5=0,1,1-$BMN5/HLOOKUP(BMS$3,[2]ARBOR_REAJUSTE18!$A:$AE,VLOOKUP($BMN$2,[2]ARBOR_REAJUSTE18!$A:$B,2,0),0))),""))),4)</f>
        <v>9.3399999999999997E-2</v>
      </c>
      <c r="BMT5" s="44">
        <f ca="1">ROUNDUP(IF(IFERROR(IF($BMN5="","",IF($BMN5=0,1,1-$BMN5/HLOOKUP(BMT$3,[2]ARBOR_REAJUSTE18!$A:$AE,VLOOKUP($BMN$2,[2]ARBOR_REAJUSTE18!$A:$B,2,0),0))),"")&lt;0.01%,0.01%,(IFERROR(IF($BMN5="","",IF($BMN5=0,1,1-$BMN5/HLOOKUP(BMT$3,[2]ARBOR_REAJUSTE18!$A:$AE,VLOOKUP($BMN$2,[2]ARBOR_REAJUSTE18!$A:$B,2,0),0))),""))),4)</f>
        <v>9.3399999999999997E-2</v>
      </c>
      <c r="BMU5" s="44">
        <f ca="1">ROUNDUP(IF(IFERROR(IF($BMN5="","",IF($BMN5=0,1,1-$BMN5/HLOOKUP(BMU$3,[2]ARBOR_REAJUSTE18!$A:$AE,VLOOKUP($BMN$2,[2]ARBOR_REAJUSTE18!$A:$B,2,0),0))),"")&lt;0.01%,0.01%,(IFERROR(IF($BMN5="","",IF($BMN5=0,1,1-$BMN5/HLOOKUP(BMU$3,[2]ARBOR_REAJUSTE18!$A:$AE,VLOOKUP($BMN$2,[2]ARBOR_REAJUSTE18!$A:$B,2,0),0))),""))),4)</f>
        <v>9.3399999999999997E-2</v>
      </c>
      <c r="BMV5" s="44">
        <f ca="1">ROUNDUP(IF(IFERROR(IF($BMN5="","",IF($BMN5=0,1,1-$BMN5/HLOOKUP(BMV$3,[2]ARBOR_REAJUSTE18!$A:$AE,VLOOKUP($BMN$2,[2]ARBOR_REAJUSTE18!$A:$B,2,0),0))),"")&lt;0.01%,0.01%,(IFERROR(IF($BMN5="","",IF($BMN5=0,1,1-$BMN5/HLOOKUP(BMV$3,[2]ARBOR_REAJUSTE18!$A:$AE,VLOOKUP($BMN$2,[2]ARBOR_REAJUSTE18!$A:$B,2,0),0))),""))),4)</f>
        <v>9.3200000000000005E-2</v>
      </c>
      <c r="BMW5" s="44">
        <f ca="1">ROUNDUP(IF(IFERROR(IF($BMN5="","",IF($BMN5=0,1,1-$BMN5/HLOOKUP(BMW$3,[2]ARBOR_REAJUSTE18!$A:$AE,VLOOKUP($BMN$2,[2]ARBOR_REAJUSTE18!$A:$B,2,0),0))),"")&lt;0.01%,0.01%,(IFERROR(IF($BMN5="","",IF($BMN5=0,1,1-$BMN5/HLOOKUP(BMW$3,[2]ARBOR_REAJUSTE18!$A:$AE,VLOOKUP($BMN$2,[2]ARBOR_REAJUSTE18!$A:$B,2,0),0))),""))),4)</f>
        <v>9.3399999999999997E-2</v>
      </c>
      <c r="BMX5" s="44">
        <f ca="1">ROUNDUP(IF(IFERROR(IF($BMN5="","",IF($BMN5=0,1,1-$BMN5/HLOOKUP(BMX$3,[2]ARBOR_REAJUSTE18!$A:$AE,VLOOKUP($BMN$2,[2]ARBOR_REAJUSTE18!$A:$B,2,0),0))),"")&lt;0.01%,0.01%,(IFERROR(IF($BMN5="","",IF($BMN5=0,1,1-$BMN5/HLOOKUP(BMX$3,[2]ARBOR_REAJUSTE18!$A:$AE,VLOOKUP($BMN$2,[2]ARBOR_REAJUSTE18!$A:$B,2,0),0))),""))),4)</f>
        <v>9.3399999999999997E-2</v>
      </c>
      <c r="BMY5" s="44">
        <f ca="1">ROUNDUP(IF(IFERROR(IF($BMN5="","",IF($BMN5=0,1,1-$BMN5/HLOOKUP(BMY$3,[2]ARBOR_REAJUSTE18!$A:$AE,VLOOKUP($BMN$2,[2]ARBOR_REAJUSTE18!$A:$B,2,0),0))),"")&lt;0.01%,0.01%,(IFERROR(IF($BMN5="","",IF($BMN5=0,1,1-$BMN5/HLOOKUP(BMY$3,[2]ARBOR_REAJUSTE18!$A:$AE,VLOOKUP($BMN$2,[2]ARBOR_REAJUSTE18!$A:$B,2,0),0))),""))),4)</f>
        <v>9.3399999999999997E-2</v>
      </c>
      <c r="BMZ5" s="44">
        <f ca="1">ROUNDUP(IF(IFERROR(IF($BMN5="","",IF($BMN5=0,1,1-$BMN5/HLOOKUP(BMZ$3,[2]ARBOR_REAJUSTE18!$A:$AE,VLOOKUP($BMN$2,[2]ARBOR_REAJUSTE18!$A:$B,2,0),0))),"")&lt;0.01%,0.01%,(IFERROR(IF($BMN5="","",IF($BMN5=0,1,1-$BMN5/HLOOKUP(BMZ$3,[2]ARBOR_REAJUSTE18!$A:$AE,VLOOKUP($BMN$2,[2]ARBOR_REAJUSTE18!$A:$B,2,0),0))),""))),4)</f>
        <v>0.1258</v>
      </c>
      <c r="BNA5" s="44">
        <f ca="1">ROUNDUP(IF(IFERROR(IF($BMN5="","",IF($BMN5=0,1,1-$BMN5/HLOOKUP(BNA$3,[2]ARBOR_REAJUSTE18!$A:$AE,VLOOKUP($BMN$2,[2]ARBOR_REAJUSTE18!$A:$B,2,0),0))),"")&lt;0.01%,0.01%,(IFERROR(IF($BMN5="","",IF($BMN5=0,1,1-$BMN5/HLOOKUP(BNA$3,[2]ARBOR_REAJUSTE18!$A:$AE,VLOOKUP($BMN$2,[2]ARBOR_REAJUSTE18!$A:$B,2,0),0))),""))),4)</f>
        <v>9.3399999999999997E-2</v>
      </c>
      <c r="BNB5" s="44">
        <f ca="1">ROUNDUP(IF(IFERROR(IF($BMN5="","",IF($BMN5=0,1,1-$BMN5/HLOOKUP(BNB$3,[2]ARBOR_REAJUSTE18!$A:$AE,VLOOKUP($BMN$2,[2]ARBOR_REAJUSTE18!$A:$B,2,0),0))),"")&lt;0.01%,0.01%,(IFERROR(IF($BMN5="","",IF($BMN5=0,1,1-$BMN5/HLOOKUP(BNB$3,[2]ARBOR_REAJUSTE18!$A:$AE,VLOOKUP($BMN$2,[2]ARBOR_REAJUSTE18!$A:$B,2,0),0))),""))),4)</f>
        <v>9.3399999999999997E-2</v>
      </c>
      <c r="BNC5" s="44">
        <f ca="1">ROUNDUP(IF(IFERROR(IF($BMN5="","",IF($BMN5=0,1,1-$BMN5/HLOOKUP(BNC$3,[2]ARBOR_REAJUSTE18!$A:$AE,VLOOKUP($BMN$2,[2]ARBOR_REAJUSTE18!$A:$B,2,0),0))),"")&lt;0.01%,0.01%,(IFERROR(IF($BMN5="","",IF($BMN5=0,1,1-$BMN5/HLOOKUP(BNC$3,[2]ARBOR_REAJUSTE18!$A:$AE,VLOOKUP($BMN$2,[2]ARBOR_REAJUSTE18!$A:$B,2,0),0))),""))),4)</f>
        <v>9.3399999999999997E-2</v>
      </c>
      <c r="BND5" s="44">
        <f ca="1">ROUNDUP(IF(IFERROR(IF($BMN5="","",IF($BMN5=0,1,1-$BMN5/HLOOKUP(BND$3,[2]ARBOR_REAJUSTE18!$A:$AE,VLOOKUP($BMN$2,[2]ARBOR_REAJUSTE18!$A:$B,2,0),0))),"")&lt;0.01%,0.01%,(IFERROR(IF($BMN5="","",IF($BMN5=0,1,1-$BMN5/HLOOKUP(BND$3,[2]ARBOR_REAJUSTE18!$A:$AE,VLOOKUP($BMN$2,[2]ARBOR_REAJUSTE18!$A:$B,2,0),0))),""))),4)</f>
        <v>9.3399999999999997E-2</v>
      </c>
      <c r="BNE5" s="44">
        <f ca="1">ROUNDUP(IF(IFERROR(IF($BMN5="","",IF($BMN5=0,1,1-$BMN5/HLOOKUP(BNE$3,[2]ARBOR_REAJUSTE18!$A:$AE,VLOOKUP($BMN$2,[2]ARBOR_REAJUSTE18!$A:$B,2,0),0))),"")&lt;0.01%,0.01%,(IFERROR(IF($BMN5="","",IF($BMN5=0,1,1-$BMN5/HLOOKUP(BNE$3,[2]ARBOR_REAJUSTE18!$A:$AE,VLOOKUP($BMN$2,[2]ARBOR_REAJUSTE18!$A:$B,2,0),0))),""))),4)</f>
        <v>0.1051</v>
      </c>
      <c r="BNF5" s="44">
        <f ca="1">ROUNDUP(IF(IFERROR(IF($BMN5="","",IF($BMN5=0,1,1-$BMN5/HLOOKUP(BNF$3,[2]ARBOR_REAJUSTE18!$A:$AE,VLOOKUP($BMN$2,[2]ARBOR_REAJUSTE18!$A:$B,2,0),0))),"")&lt;0.01%,0.01%,(IFERROR(IF($BMN5="","",IF($BMN5=0,1,1-$BMN5/HLOOKUP(BNF$3,[2]ARBOR_REAJUSTE18!$A:$AE,VLOOKUP($BMN$2,[2]ARBOR_REAJUSTE18!$A:$B,2,0),0))),""))),4)</f>
        <v>9.3399999999999997E-2</v>
      </c>
      <c r="BNG5" s="44">
        <f ca="1">ROUNDUP(IF(IFERROR(IF($BMN5="","",IF($BMN5=0,1,1-$BMN5/HLOOKUP(BNG$3,[2]ARBOR_REAJUSTE18!$A:$AE,VLOOKUP($BMN$2,[2]ARBOR_REAJUSTE18!$A:$B,2,0),0))),"")&lt;0.01%,0.01%,(IFERROR(IF($BMN5="","",IF($BMN5=0,1,1-$BMN5/HLOOKUP(BNG$3,[2]ARBOR_REAJUSTE18!$A:$AE,VLOOKUP($BMN$2,[2]ARBOR_REAJUSTE18!$A:$B,2,0),0))),""))),4)</f>
        <v>9.3399999999999997E-2</v>
      </c>
      <c r="BNH5" s="44">
        <f ca="1">ROUNDUP(IF(IFERROR(IF($BMN5="","",IF($BMN5=0,1,1-$BMN5/HLOOKUP(BNH$3,[2]ARBOR_REAJUSTE18!$A:$AE,VLOOKUP($BMN$2,[2]ARBOR_REAJUSTE18!$A:$B,2,0),0))),"")&lt;0.01%,0.01%,(IFERROR(IF($BMN5="","",IF($BMN5=0,1,1-$BMN5/HLOOKUP(BNH$3,[2]ARBOR_REAJUSTE18!$A:$AE,VLOOKUP($BMN$2,[2]ARBOR_REAJUSTE18!$A:$B,2,0),0))),""))),4)</f>
        <v>9.3399999999999997E-2</v>
      </c>
      <c r="BNI5" s="44">
        <f ca="1">ROUNDUP(IF(IFERROR(IF($BMN5="","",IF($BMN5=0,1,1-$BMN5/HLOOKUP(BNI$3,[2]ARBOR_REAJUSTE18!$A:$AE,VLOOKUP($BMN$2,[2]ARBOR_REAJUSTE18!$A:$B,2,0),0))),"")&lt;0.01%,0.01%,(IFERROR(IF($BMN5="","",IF($BMN5=0,1,1-$BMN5/HLOOKUP(BNI$3,[2]ARBOR_REAJUSTE18!$A:$AE,VLOOKUP($BMN$2,[2]ARBOR_REAJUSTE18!$A:$B,2,0),0))),""))),4)</f>
        <v>0.1255</v>
      </c>
      <c r="BNJ5" s="44">
        <f ca="1">ROUNDUP(IF(IFERROR(IF($BMN5="","",IF($BMN5=0,1,1-$BMN5/HLOOKUP(BNJ$3,[2]ARBOR_REAJUSTE18!$A:$AE,VLOOKUP($BMN$2,[2]ARBOR_REAJUSTE18!$A:$B,2,0),0))),"")&lt;0.01%,0.01%,(IFERROR(IF($BMN5="","",IF($BMN5=0,1,1-$BMN5/HLOOKUP(BNJ$3,[2]ARBOR_REAJUSTE18!$A:$AE,VLOOKUP($BMN$2,[2]ARBOR_REAJUSTE18!$A:$B,2,0),0))),""))),4)</f>
        <v>9.3399999999999997E-2</v>
      </c>
      <c r="BNK5" s="44">
        <f ca="1">ROUNDUP(IF(IFERROR(IF($BMN5="","",IF($BMN5=0,1,1-$BMN5/HLOOKUP(BNK$3,[2]ARBOR_REAJUSTE18!$A:$AE,VLOOKUP($BMN$2,[2]ARBOR_REAJUSTE18!$A:$B,2,0),0))),"")&lt;0.01%,0.01%,(IFERROR(IF($BMN5="","",IF($BMN5=0,1,1-$BMN5/HLOOKUP(BNK$3,[2]ARBOR_REAJUSTE18!$A:$AE,VLOOKUP($BMN$2,[2]ARBOR_REAJUSTE18!$A:$B,2,0),0))),""))),4)</f>
        <v>9.3399999999999997E-2</v>
      </c>
      <c r="BNL5" s="44">
        <f ca="1">ROUNDUP(IF(IFERROR(IF($BMN5="","",IF($BMN5=0,1,1-$BMN5/HLOOKUP(BNL$3,[2]ARBOR_REAJUSTE18!$A:$AE,VLOOKUP($BMN$2,[2]ARBOR_REAJUSTE18!$A:$B,2,0),0))),"")&lt;0.01%,0.01%,(IFERROR(IF($BMN5="","",IF($BMN5=0,1,1-$BMN5/HLOOKUP(BNL$3,[2]ARBOR_REAJUSTE18!$A:$AE,VLOOKUP($BMN$2,[2]ARBOR_REAJUSTE18!$A:$B,2,0),0))),""))),4)</f>
        <v>9.3399999999999997E-2</v>
      </c>
      <c r="BNM5" s="44">
        <f ca="1">ROUNDUP(IF(IFERROR(IF($BMN5="","",IF($BMN5=0,1,1-$BMN5/HLOOKUP(BNM$3,[2]ARBOR_REAJUSTE18!$A:$AE,VLOOKUP($BMN$2,[2]ARBOR_REAJUSTE18!$A:$B,2,0),0))),"")&lt;0.01%,0.01%,(IFERROR(IF($BMN5="","",IF($BMN5=0,1,1-$BMN5/HLOOKUP(BNM$3,[2]ARBOR_REAJUSTE18!$A:$AE,VLOOKUP($BMN$2,[2]ARBOR_REAJUSTE18!$A:$B,2,0),0))),""))),4)</f>
        <v>9.3399999999999997E-2</v>
      </c>
      <c r="BNN5" s="44">
        <f ca="1">ROUNDUP(IF(IFERROR(IF($BMN5="","",IF($BMN5=0,1,1-$BMN5/HLOOKUP(BNN$3,[2]ARBOR_REAJUSTE18!$A:$AE,VLOOKUP($BMN$2,[2]ARBOR_REAJUSTE18!$A:$B,2,0),0))),"")&lt;0.01%,0.01%,(IFERROR(IF($BMN5="","",IF($BMN5=0,1,1-$BMN5/HLOOKUP(BNN$3,[2]ARBOR_REAJUSTE18!$A:$AE,VLOOKUP($BMN$2,[2]ARBOR_REAJUSTE18!$A:$B,2,0),0))),""))),4)</f>
        <v>9.3399999999999997E-2</v>
      </c>
      <c r="BNO5" s="44">
        <f ca="1">ROUNDUP(IF(IFERROR(IF($BMN5="","",IF($BMN5=0,1,1-$BMN5/HLOOKUP(BNO$3,[2]ARBOR_REAJUSTE18!$A:$AE,VLOOKUP($BMN$2,[2]ARBOR_REAJUSTE18!$A:$B,2,0),0))),"")&lt;0.01%,0.01%,(IFERROR(IF($BMN5="","",IF($BMN5=0,1,1-$BMN5/HLOOKUP(BNO$3,[2]ARBOR_REAJUSTE18!$A:$AE,VLOOKUP($BMN$2,[2]ARBOR_REAJUSTE18!$A:$B,2,0),0))),""))),4)</f>
        <v>0.11410000000000001</v>
      </c>
      <c r="BNP5" s="44">
        <f ca="1">ROUNDUP(IF(IFERROR(IF($BMN5="","",IF($BMN5=0,1,1-$BMN5/HLOOKUP(BNP$3,[2]ARBOR_REAJUSTE18!$A:$AE,VLOOKUP($BMN$2,[2]ARBOR_REAJUSTE18!$A:$B,2,0),0))),"")&lt;0.01%,0.01%,(IFERROR(IF($BMN5="","",IF($BMN5=0,1,1-$BMN5/HLOOKUP(BNP$3,[2]ARBOR_REAJUSTE18!$A:$AE,VLOOKUP($BMN$2,[2]ARBOR_REAJUSTE18!$A:$B,2,0),0))),""))),4)</f>
        <v>9.3399999999999997E-2</v>
      </c>
      <c r="BNQ5" s="56">
        <v>14.9</v>
      </c>
      <c r="BNR5" s="64" t="str">
        <f ca="1">VLOOKUP($AV5&amp;BNS5&amp;"Template desconto % SexPrivê nível conta",[2]BENEFICIOS!$A:$G,5,0)</f>
        <v>MKT-1-10624289961</v>
      </c>
      <c r="BNS5" s="44">
        <f ca="1">ROUNDUP(IF(IFERROR(IF($BNQ5="","",IF($BNQ5=0,1,1-$BNQ5/HLOOKUP(BNS$3,[2]ARBOR_REAJUSTE18!$A:$AE,VLOOKUP($BNQ$2,[2]ARBOR_REAJUSTE18!$A:$B,2,0),0))),"")&lt;0.01%,0.01%,(IFERROR(IF($BNQ5="","",IF($BNQ5=0,1,1-$BNQ5/HLOOKUP(BNS$3,[2]ARBOR_REAJUSTE18!$A:$AE,VLOOKUP($BNQ$2,[2]ARBOR_REAJUSTE18!$A:$B,2,0),0))),""))),4)</f>
        <v>9.3200000000000005E-2</v>
      </c>
      <c r="BNT5" s="44">
        <f ca="1">ROUNDUP(IF(IFERROR(IF($BNQ5="","",IF($BNQ5=0,1,1-$BNQ5/HLOOKUP(BNT$3,[2]ARBOR_REAJUSTE18!$A:$AE,VLOOKUP($BNQ$2,[2]ARBOR_REAJUSTE18!$A:$B,2,0),0))),"")&lt;0.01%,0.01%,(IFERROR(IF($BNQ5="","",IF($BNQ5=0,1,1-$BNQ5/HLOOKUP(BNT$3,[2]ARBOR_REAJUSTE18!$A:$AE,VLOOKUP($BNQ$2,[2]ARBOR_REAJUSTE18!$A:$B,2,0),0))),""))),4)</f>
        <v>9.3200000000000005E-2</v>
      </c>
      <c r="BNU5" s="44">
        <f ca="1">ROUNDUP(IF(IFERROR(IF($BNQ5="","",IF($BNQ5=0,1,1-$BNQ5/HLOOKUP(BNU$3,[2]ARBOR_REAJUSTE18!$A:$AE,VLOOKUP($BNQ$2,[2]ARBOR_REAJUSTE18!$A:$B,2,0),0))),"")&lt;0.01%,0.01%,(IFERROR(IF($BNQ5="","",IF($BNQ5=0,1,1-$BNQ5/HLOOKUP(BNU$3,[2]ARBOR_REAJUSTE18!$A:$AE,VLOOKUP($BNQ$2,[2]ARBOR_REAJUSTE18!$A:$B,2,0),0))),""))),4)</f>
        <v>9.3200000000000005E-2</v>
      </c>
      <c r="BNV5" s="44">
        <f ca="1">ROUNDUP(IF(IFERROR(IF($BNQ5="","",IF($BNQ5=0,1,1-$BNQ5/HLOOKUP(BNV$3,[2]ARBOR_REAJUSTE18!$A:$AE,VLOOKUP($BNQ$2,[2]ARBOR_REAJUSTE18!$A:$B,2,0),0))),"")&lt;0.01%,0.01%,(IFERROR(IF($BNQ5="","",IF($BNQ5=0,1,1-$BNQ5/HLOOKUP(BNV$3,[2]ARBOR_REAJUSTE18!$A:$AE,VLOOKUP($BNQ$2,[2]ARBOR_REAJUSTE18!$A:$B,2,0),0))),""))),4)</f>
        <v>9.3200000000000005E-2</v>
      </c>
      <c r="BNW5" s="44">
        <f ca="1">ROUNDUP(IF(IFERROR(IF($BNQ5="","",IF($BNQ5=0,1,1-$BNQ5/HLOOKUP(BNW$3,[2]ARBOR_REAJUSTE18!$A:$AE,VLOOKUP($BNQ$2,[2]ARBOR_REAJUSTE18!$A:$B,2,0),0))),"")&lt;0.01%,0.01%,(IFERROR(IF($BNQ5="","",IF($BNQ5=0,1,1-$BNQ5/HLOOKUP(BNW$3,[2]ARBOR_REAJUSTE18!$A:$AE,VLOOKUP($BNQ$2,[2]ARBOR_REAJUSTE18!$A:$B,2,0),0))),""))),4)</f>
        <v>9.3200000000000005E-2</v>
      </c>
      <c r="BNX5" s="44">
        <f ca="1">ROUNDUP(IF(IFERROR(IF($BNQ5="","",IF($BNQ5=0,1,1-$BNQ5/HLOOKUP(BNX$3,[2]ARBOR_REAJUSTE18!$A:$AE,VLOOKUP($BNQ$2,[2]ARBOR_REAJUSTE18!$A:$B,2,0),0))),"")&lt;0.01%,0.01%,(IFERROR(IF($BNQ5="","",IF($BNQ5=0,1,1-$BNQ5/HLOOKUP(BNX$3,[2]ARBOR_REAJUSTE18!$A:$AE,VLOOKUP($BNQ$2,[2]ARBOR_REAJUSTE18!$A:$B,2,0),0))),""))),4)</f>
        <v>9.3200000000000005E-2</v>
      </c>
      <c r="BNY5" s="44">
        <f ca="1">ROUNDUP(IF(IFERROR(IF($BNQ5="","",IF($BNQ5=0,1,1-$BNQ5/HLOOKUP(BNY$3,[2]ARBOR_REAJUSTE18!$A:$AE,VLOOKUP($BNQ$2,[2]ARBOR_REAJUSTE18!$A:$B,2,0),0))),"")&lt;0.01%,0.01%,(IFERROR(IF($BNQ5="","",IF($BNQ5=0,1,1-$BNQ5/HLOOKUP(BNY$3,[2]ARBOR_REAJUSTE18!$A:$AE,VLOOKUP($BNQ$2,[2]ARBOR_REAJUSTE18!$A:$B,2,0),0))),""))),4)</f>
        <v>9.2600000000000002E-2</v>
      </c>
      <c r="BNZ5" s="44">
        <f ca="1">ROUNDUP(IF(IFERROR(IF($BNQ5="","",IF($BNQ5=0,1,1-$BNQ5/HLOOKUP(BNZ$3,[2]ARBOR_REAJUSTE18!$A:$AE,VLOOKUP($BNQ$2,[2]ARBOR_REAJUSTE18!$A:$B,2,0),0))),"")&lt;0.01%,0.01%,(IFERROR(IF($BNQ5="","",IF($BNQ5=0,1,1-$BNQ5/HLOOKUP(BNZ$3,[2]ARBOR_REAJUSTE18!$A:$AE,VLOOKUP($BNQ$2,[2]ARBOR_REAJUSTE18!$A:$B,2,0),0))),""))),4)</f>
        <v>9.3200000000000005E-2</v>
      </c>
      <c r="BOA5" s="44">
        <f ca="1">ROUNDUP(IF(IFERROR(IF($BNQ5="","",IF($BNQ5=0,1,1-$BNQ5/HLOOKUP(BOA$3,[2]ARBOR_REAJUSTE18!$A:$AE,VLOOKUP($BNQ$2,[2]ARBOR_REAJUSTE18!$A:$B,2,0),0))),"")&lt;0.01%,0.01%,(IFERROR(IF($BNQ5="","",IF($BNQ5=0,1,1-$BNQ5/HLOOKUP(BOA$3,[2]ARBOR_REAJUSTE18!$A:$AE,VLOOKUP($BNQ$2,[2]ARBOR_REAJUSTE18!$A:$B,2,0),0))),""))),4)</f>
        <v>9.3200000000000005E-2</v>
      </c>
      <c r="BOB5" s="44">
        <f ca="1">ROUNDUP(IF(IFERROR(IF($BNQ5="","",IF($BNQ5=0,1,1-$BNQ5/HLOOKUP(BOB$3,[2]ARBOR_REAJUSTE18!$A:$AE,VLOOKUP($BNQ$2,[2]ARBOR_REAJUSTE18!$A:$B,2,0),0))),"")&lt;0.01%,0.01%,(IFERROR(IF($BNQ5="","",IF($BNQ5=0,1,1-$BNQ5/HLOOKUP(BOB$3,[2]ARBOR_REAJUSTE18!$A:$AE,VLOOKUP($BNQ$2,[2]ARBOR_REAJUSTE18!$A:$B,2,0),0))),""))),4)</f>
        <v>9.3200000000000005E-2</v>
      </c>
      <c r="BOC5" s="44">
        <f ca="1">ROUNDUP(IF(IFERROR(IF($BNQ5="","",IF($BNQ5=0,1,1-$BNQ5/HLOOKUP(BOC$3,[2]ARBOR_REAJUSTE18!$A:$AE,VLOOKUP($BNQ$2,[2]ARBOR_REAJUSTE18!$A:$B,2,0),0))),"")&lt;0.01%,0.01%,(IFERROR(IF($BNQ5="","",IF($BNQ5=0,1,1-$BNQ5/HLOOKUP(BOC$3,[2]ARBOR_REAJUSTE18!$A:$AE,VLOOKUP($BNQ$2,[2]ARBOR_REAJUSTE18!$A:$B,2,0),0))),""))),4)</f>
        <v>0.12509999999999999</v>
      </c>
      <c r="BOD5" s="44">
        <f ca="1">ROUNDUP(IF(IFERROR(IF($BNQ5="","",IF($BNQ5=0,1,1-$BNQ5/HLOOKUP(BOD$3,[2]ARBOR_REAJUSTE18!$A:$AE,VLOOKUP($BNQ$2,[2]ARBOR_REAJUSTE18!$A:$B,2,0),0))),"")&lt;0.01%,0.01%,(IFERROR(IF($BNQ5="","",IF($BNQ5=0,1,1-$BNQ5/HLOOKUP(BOD$3,[2]ARBOR_REAJUSTE18!$A:$AE,VLOOKUP($BNQ$2,[2]ARBOR_REAJUSTE18!$A:$B,2,0),0))),""))),4)</f>
        <v>9.3200000000000005E-2</v>
      </c>
      <c r="BOE5" s="44">
        <f ca="1">ROUNDUP(IF(IFERROR(IF($BNQ5="","",IF($BNQ5=0,1,1-$BNQ5/HLOOKUP(BOE$3,[2]ARBOR_REAJUSTE18!$A:$AE,VLOOKUP($BNQ$2,[2]ARBOR_REAJUSTE18!$A:$B,2,0),0))),"")&lt;0.01%,0.01%,(IFERROR(IF($BNQ5="","",IF($BNQ5=0,1,1-$BNQ5/HLOOKUP(BOE$3,[2]ARBOR_REAJUSTE18!$A:$AE,VLOOKUP($BNQ$2,[2]ARBOR_REAJUSTE18!$A:$B,2,0),0))),""))),4)</f>
        <v>9.3200000000000005E-2</v>
      </c>
      <c r="BOF5" s="44">
        <f ca="1">ROUNDUP(IF(IFERROR(IF($BNQ5="","",IF($BNQ5=0,1,1-$BNQ5/HLOOKUP(BOF$3,[2]ARBOR_REAJUSTE18!$A:$AE,VLOOKUP($BNQ$2,[2]ARBOR_REAJUSTE18!$A:$B,2,0),0))),"")&lt;0.01%,0.01%,(IFERROR(IF($BNQ5="","",IF($BNQ5=0,1,1-$BNQ5/HLOOKUP(BOF$3,[2]ARBOR_REAJUSTE18!$A:$AE,VLOOKUP($BNQ$2,[2]ARBOR_REAJUSTE18!$A:$B,2,0),0))),""))),4)</f>
        <v>9.3200000000000005E-2</v>
      </c>
      <c r="BOG5" s="44">
        <f ca="1">ROUNDUP(IF(IFERROR(IF($BNQ5="","",IF($BNQ5=0,1,1-$BNQ5/HLOOKUP(BOG$3,[2]ARBOR_REAJUSTE18!$A:$AE,VLOOKUP($BNQ$2,[2]ARBOR_REAJUSTE18!$A:$B,2,0),0))),"")&lt;0.01%,0.01%,(IFERROR(IF($BNQ5="","",IF($BNQ5=0,1,1-$BNQ5/HLOOKUP(BOG$3,[2]ARBOR_REAJUSTE18!$A:$AE,VLOOKUP($BNQ$2,[2]ARBOR_REAJUSTE18!$A:$B,2,0),0))),""))),4)</f>
        <v>9.3200000000000005E-2</v>
      </c>
      <c r="BOH5" s="44">
        <f ca="1">ROUNDUP(IF(IFERROR(IF($BNQ5="","",IF($BNQ5=0,1,1-$BNQ5/HLOOKUP(BOH$3,[2]ARBOR_REAJUSTE18!$A:$AE,VLOOKUP($BNQ$2,[2]ARBOR_REAJUSTE18!$A:$B,2,0),0))),"")&lt;0.01%,0.01%,(IFERROR(IF($BNQ5="","",IF($BNQ5=0,1,1-$BNQ5/HLOOKUP(BOH$3,[2]ARBOR_REAJUSTE18!$A:$AE,VLOOKUP($BNQ$2,[2]ARBOR_REAJUSTE18!$A:$B,2,0),0))),""))),4)</f>
        <v>0.1046</v>
      </c>
      <c r="BOI5" s="44">
        <f ca="1">ROUNDUP(IF(IFERROR(IF($BNQ5="","",IF($BNQ5=0,1,1-$BNQ5/HLOOKUP(BOI$3,[2]ARBOR_REAJUSTE18!$A:$AE,VLOOKUP($BNQ$2,[2]ARBOR_REAJUSTE18!$A:$B,2,0),0))),"")&lt;0.01%,0.01%,(IFERROR(IF($BNQ5="","",IF($BNQ5=0,1,1-$BNQ5/HLOOKUP(BOI$3,[2]ARBOR_REAJUSTE18!$A:$AE,VLOOKUP($BNQ$2,[2]ARBOR_REAJUSTE18!$A:$B,2,0),0))),""))),4)</f>
        <v>9.3200000000000005E-2</v>
      </c>
      <c r="BOJ5" s="44">
        <f ca="1">ROUNDUP(IF(IFERROR(IF($BNQ5="","",IF($BNQ5=0,1,1-$BNQ5/HLOOKUP(BOJ$3,[2]ARBOR_REAJUSTE18!$A:$AE,VLOOKUP($BNQ$2,[2]ARBOR_REAJUSTE18!$A:$B,2,0),0))),"")&lt;0.01%,0.01%,(IFERROR(IF($BNQ5="","",IF($BNQ5=0,1,1-$BNQ5/HLOOKUP(BOJ$3,[2]ARBOR_REAJUSTE18!$A:$AE,VLOOKUP($BNQ$2,[2]ARBOR_REAJUSTE18!$A:$B,2,0),0))),""))),4)</f>
        <v>9.3200000000000005E-2</v>
      </c>
      <c r="BOK5" s="44">
        <f ca="1">ROUNDUP(IF(IFERROR(IF($BNQ5="","",IF($BNQ5=0,1,1-$BNQ5/HLOOKUP(BOK$3,[2]ARBOR_REAJUSTE18!$A:$AE,VLOOKUP($BNQ$2,[2]ARBOR_REAJUSTE18!$A:$B,2,0),0))),"")&lt;0.01%,0.01%,(IFERROR(IF($BNQ5="","",IF($BNQ5=0,1,1-$BNQ5/HLOOKUP(BOK$3,[2]ARBOR_REAJUSTE18!$A:$AE,VLOOKUP($BNQ$2,[2]ARBOR_REAJUSTE18!$A:$B,2,0),0))),""))),4)</f>
        <v>9.3200000000000005E-2</v>
      </c>
      <c r="BOL5" s="44">
        <f ca="1">ROUNDUP(IF(IFERROR(IF($BNQ5="","",IF($BNQ5=0,1,1-$BNQ5/HLOOKUP(BOL$3,[2]ARBOR_REAJUSTE18!$A:$AE,VLOOKUP($BNQ$2,[2]ARBOR_REAJUSTE18!$A:$B,2,0),0))),"")&lt;0.01%,0.01%,(IFERROR(IF($BNQ5="","",IF($BNQ5=0,1,1-$BNQ5/HLOOKUP(BOL$3,[2]ARBOR_REAJUSTE18!$A:$AE,VLOOKUP($BNQ$2,[2]ARBOR_REAJUSTE18!$A:$B,2,0),0))),""))),4)</f>
        <v>0.12509999999999999</v>
      </c>
      <c r="BOM5" s="44">
        <f ca="1">ROUNDUP(IF(IFERROR(IF($BNQ5="","",IF($BNQ5=0,1,1-$BNQ5/HLOOKUP(BOM$3,[2]ARBOR_REAJUSTE18!$A:$AE,VLOOKUP($BNQ$2,[2]ARBOR_REAJUSTE18!$A:$B,2,0),0))),"")&lt;0.01%,0.01%,(IFERROR(IF($BNQ5="","",IF($BNQ5=0,1,1-$BNQ5/HLOOKUP(BOM$3,[2]ARBOR_REAJUSTE18!$A:$AE,VLOOKUP($BNQ$2,[2]ARBOR_REAJUSTE18!$A:$B,2,0),0))),""))),4)</f>
        <v>9.3200000000000005E-2</v>
      </c>
      <c r="BON5" s="44">
        <f ca="1">ROUNDUP(IF(IFERROR(IF($BNQ5="","",IF($BNQ5=0,1,1-$BNQ5/HLOOKUP(BON$3,[2]ARBOR_REAJUSTE18!$A:$AE,VLOOKUP($BNQ$2,[2]ARBOR_REAJUSTE18!$A:$B,2,0),0))),"")&lt;0.01%,0.01%,(IFERROR(IF($BNQ5="","",IF($BNQ5=0,1,1-$BNQ5/HLOOKUP(BON$3,[2]ARBOR_REAJUSTE18!$A:$AE,VLOOKUP($BNQ$2,[2]ARBOR_REAJUSTE18!$A:$B,2,0),0))),""))),4)</f>
        <v>9.3200000000000005E-2</v>
      </c>
      <c r="BOO5" s="44">
        <f ca="1">ROUNDUP(IF(IFERROR(IF($BNQ5="","",IF($BNQ5=0,1,1-$BNQ5/HLOOKUP(BOO$3,[2]ARBOR_REAJUSTE18!$A:$AE,VLOOKUP($BNQ$2,[2]ARBOR_REAJUSTE18!$A:$B,2,0),0))),"")&lt;0.01%,0.01%,(IFERROR(IF($BNQ5="","",IF($BNQ5=0,1,1-$BNQ5/HLOOKUP(BOO$3,[2]ARBOR_REAJUSTE18!$A:$AE,VLOOKUP($BNQ$2,[2]ARBOR_REAJUSTE18!$A:$B,2,0),0))),""))),4)</f>
        <v>9.3200000000000005E-2</v>
      </c>
      <c r="BOP5" s="44">
        <f ca="1">ROUNDUP(IF(IFERROR(IF($BNQ5="","",IF($BNQ5=0,1,1-$BNQ5/HLOOKUP(BOP$3,[2]ARBOR_REAJUSTE18!$A:$AE,VLOOKUP($BNQ$2,[2]ARBOR_REAJUSTE18!$A:$B,2,0),0))),"")&lt;0.01%,0.01%,(IFERROR(IF($BNQ5="","",IF($BNQ5=0,1,1-$BNQ5/HLOOKUP(BOP$3,[2]ARBOR_REAJUSTE18!$A:$AE,VLOOKUP($BNQ$2,[2]ARBOR_REAJUSTE18!$A:$B,2,0),0))),""))),4)</f>
        <v>9.3200000000000005E-2</v>
      </c>
      <c r="BOQ5" s="44">
        <f ca="1">ROUNDUP(IF(IFERROR(IF($BNQ5="","",IF($BNQ5=0,1,1-$BNQ5/HLOOKUP(BOQ$3,[2]ARBOR_REAJUSTE18!$A:$AE,VLOOKUP($BNQ$2,[2]ARBOR_REAJUSTE18!$A:$B,2,0),0))),"")&lt;0.01%,0.01%,(IFERROR(IF($BNQ5="","",IF($BNQ5=0,1,1-$BNQ5/HLOOKUP(BOQ$3,[2]ARBOR_REAJUSTE18!$A:$AE,VLOOKUP($BNQ$2,[2]ARBOR_REAJUSTE18!$A:$B,2,0),0))),""))),4)</f>
        <v>9.3200000000000005E-2</v>
      </c>
      <c r="BOR5" s="44">
        <f ca="1">ROUNDUP(IF(IFERROR(IF($BNQ5="","",IF($BNQ5=0,1,1-$BNQ5/HLOOKUP(BOR$3,[2]ARBOR_REAJUSTE18!$A:$AE,VLOOKUP($BNQ$2,[2]ARBOR_REAJUSTE18!$A:$B,2,0),0))),"")&lt;0.01%,0.01%,(IFERROR(IF($BNQ5="","",IF($BNQ5=0,1,1-$BNQ5/HLOOKUP(BOR$3,[2]ARBOR_REAJUSTE18!$A:$AE,VLOOKUP($BNQ$2,[2]ARBOR_REAJUSTE18!$A:$B,2,0),0))),""))),4)</f>
        <v>0.1142</v>
      </c>
      <c r="BOS5" s="44">
        <f ca="1">ROUNDUP(IF(IFERROR(IF($BNQ5="","",IF($BNQ5=0,1,1-$BNQ5/HLOOKUP(BOS$3,[2]ARBOR_REAJUSTE18!$A:$AE,VLOOKUP($BNQ$2,[2]ARBOR_REAJUSTE18!$A:$B,2,0),0))),"")&lt;0.01%,0.01%,(IFERROR(IF($BNQ5="","",IF($BNQ5=0,1,1-$BNQ5/HLOOKUP(BOS$3,[2]ARBOR_REAJUSTE18!$A:$AE,VLOOKUP($BNQ$2,[2]ARBOR_REAJUSTE18!$A:$B,2,0),0))),""))),4)</f>
        <v>9.3200000000000005E-2</v>
      </c>
      <c r="BOT5" s="56"/>
      <c r="BOU5" s="56" t="s">
        <v>261</v>
      </c>
      <c r="BOV5" s="44" t="e">
        <f>ROUNDUP(IF(IFERROR(IF($BOT5="","",IF($BOT5=0,1,1-$BOT5/HLOOKUP(BOV$3,[2]ARBOR_REAJUSTE18!$A:$AE,VLOOKUP($BOT$2,[2]ARBOR_REAJUSTE18!$A:$B,2,0),0))),"")&lt;0.01%,0.01%,(IFERROR(IF($BOT5="","",IF($BOT5=0,1,1-$BOT5/HLOOKUP(BOV$3,[2]ARBOR_REAJUSTE18!$A:$AE,VLOOKUP($BOT$2,[2]ARBOR_REAJUSTE18!$A:$B,2,0),0))),""))),4)</f>
        <v>#VALUE!</v>
      </c>
      <c r="BOW5" s="44" t="e">
        <f>ROUNDUP(IF(IFERROR(IF($BOT5="","",IF($BOT5=0,1,1-$BOT5/HLOOKUP(BOW$3,[2]ARBOR_REAJUSTE18!$A:$AE,VLOOKUP($BOT$2,[2]ARBOR_REAJUSTE18!$A:$B,2,0),0))),"")&lt;0.01%,0.01%,(IFERROR(IF($BOT5="","",IF($BOT5=0,1,1-$BOT5/HLOOKUP(BOW$3,[2]ARBOR_REAJUSTE18!$A:$AE,VLOOKUP($BOT$2,[2]ARBOR_REAJUSTE18!$A:$B,2,0),0))),""))),4)</f>
        <v>#VALUE!</v>
      </c>
      <c r="BOX5" s="44" t="e">
        <f>ROUNDUP(IF(IFERROR(IF($BOT5="","",IF($BOT5=0,1,1-$BOT5/HLOOKUP(BOX$3,[2]ARBOR_REAJUSTE18!$A:$AE,VLOOKUP($BOT$2,[2]ARBOR_REAJUSTE18!$A:$B,2,0),0))),"")&lt;0.01%,0.01%,(IFERROR(IF($BOT5="","",IF($BOT5=0,1,1-$BOT5/HLOOKUP(BOX$3,[2]ARBOR_REAJUSTE18!$A:$AE,VLOOKUP($BOT$2,[2]ARBOR_REAJUSTE18!$A:$B,2,0),0))),""))),4)</f>
        <v>#VALUE!</v>
      </c>
      <c r="BOY5" s="44" t="e">
        <f>ROUNDUP(IF(IFERROR(IF($BOT5="","",IF($BOT5=0,1,1-$BOT5/HLOOKUP(BOY$3,[2]ARBOR_REAJUSTE18!$A:$AE,VLOOKUP($BOT$2,[2]ARBOR_REAJUSTE18!$A:$B,2,0),0))),"")&lt;0.01%,0.01%,(IFERROR(IF($BOT5="","",IF($BOT5=0,1,1-$BOT5/HLOOKUP(BOY$3,[2]ARBOR_REAJUSTE18!$A:$AE,VLOOKUP($BOT$2,[2]ARBOR_REAJUSTE18!$A:$B,2,0),0))),""))),4)</f>
        <v>#VALUE!</v>
      </c>
      <c r="BOZ5" s="44" t="e">
        <f>ROUNDUP(IF(IFERROR(IF($BOT5="","",IF($BOT5=0,1,1-$BOT5/HLOOKUP(BOZ$3,[2]ARBOR_REAJUSTE18!$A:$AE,VLOOKUP($BOT$2,[2]ARBOR_REAJUSTE18!$A:$B,2,0),0))),"")&lt;0.01%,0.01%,(IFERROR(IF($BOT5="","",IF($BOT5=0,1,1-$BOT5/HLOOKUP(BOZ$3,[2]ARBOR_REAJUSTE18!$A:$AE,VLOOKUP($BOT$2,[2]ARBOR_REAJUSTE18!$A:$B,2,0),0))),""))),4)</f>
        <v>#VALUE!</v>
      </c>
      <c r="BPA5" s="44" t="e">
        <f>ROUNDUP(IF(IFERROR(IF($BOT5="","",IF($BOT5=0,1,1-$BOT5/HLOOKUP(BPA$3,[2]ARBOR_REAJUSTE18!$A:$AE,VLOOKUP($BOT$2,[2]ARBOR_REAJUSTE18!$A:$B,2,0),0))),"")&lt;0.01%,0.01%,(IFERROR(IF($BOT5="","",IF($BOT5=0,1,1-$BOT5/HLOOKUP(BPA$3,[2]ARBOR_REAJUSTE18!$A:$AE,VLOOKUP($BOT$2,[2]ARBOR_REAJUSTE18!$A:$B,2,0),0))),""))),4)</f>
        <v>#VALUE!</v>
      </c>
      <c r="BPB5" s="44" t="e">
        <f>ROUNDUP(IF(IFERROR(IF($BOT5="","",IF($BOT5=0,1,1-$BOT5/HLOOKUP(BPB$3,[2]ARBOR_REAJUSTE18!$A:$AE,VLOOKUP($BOT$2,[2]ARBOR_REAJUSTE18!$A:$B,2,0),0))),"")&lt;0.01%,0.01%,(IFERROR(IF($BOT5="","",IF($BOT5=0,1,1-$BOT5/HLOOKUP(BPB$3,[2]ARBOR_REAJUSTE18!$A:$AE,VLOOKUP($BOT$2,[2]ARBOR_REAJUSTE18!$A:$B,2,0),0))),""))),4)</f>
        <v>#VALUE!</v>
      </c>
      <c r="BPC5" s="44" t="e">
        <f>ROUNDUP(IF(IFERROR(IF($BOT5="","",IF($BOT5=0,1,1-$BOT5/HLOOKUP(BPC$3,[2]ARBOR_REAJUSTE18!$A:$AE,VLOOKUP($BOT$2,[2]ARBOR_REAJUSTE18!$A:$B,2,0),0))),"")&lt;0.01%,0.01%,(IFERROR(IF($BOT5="","",IF($BOT5=0,1,1-$BOT5/HLOOKUP(BPC$3,[2]ARBOR_REAJUSTE18!$A:$AE,VLOOKUP($BOT$2,[2]ARBOR_REAJUSTE18!$A:$B,2,0),0))),""))),4)</f>
        <v>#VALUE!</v>
      </c>
      <c r="BPD5" s="44" t="e">
        <f>ROUNDUP(IF(IFERROR(IF($BOT5="","",IF($BOT5=0,1,1-$BOT5/HLOOKUP(BPD$3,[2]ARBOR_REAJUSTE18!$A:$AE,VLOOKUP($BOT$2,[2]ARBOR_REAJUSTE18!$A:$B,2,0),0))),"")&lt;0.01%,0.01%,(IFERROR(IF($BOT5="","",IF($BOT5=0,1,1-$BOT5/HLOOKUP(BPD$3,[2]ARBOR_REAJUSTE18!$A:$AE,VLOOKUP($BOT$2,[2]ARBOR_REAJUSTE18!$A:$B,2,0),0))),""))),4)</f>
        <v>#VALUE!</v>
      </c>
      <c r="BPE5" s="44" t="e">
        <f>ROUNDUP(IF(IFERROR(IF($BOT5="","",IF($BOT5=0,1,1-$BOT5/HLOOKUP(BPE$3,[2]ARBOR_REAJUSTE18!$A:$AE,VLOOKUP($BOT$2,[2]ARBOR_REAJUSTE18!$A:$B,2,0),0))),"")&lt;0.01%,0.01%,(IFERROR(IF($BOT5="","",IF($BOT5=0,1,1-$BOT5/HLOOKUP(BPE$3,[2]ARBOR_REAJUSTE18!$A:$AE,VLOOKUP($BOT$2,[2]ARBOR_REAJUSTE18!$A:$B,2,0),0))),""))),4)</f>
        <v>#VALUE!</v>
      </c>
      <c r="BPF5" s="44" t="e">
        <f>ROUNDUP(IF(IFERROR(IF($BOT5="","",IF($BOT5=0,1,1-$BOT5/HLOOKUP(BPF$3,[2]ARBOR_REAJUSTE18!$A:$AE,VLOOKUP($BOT$2,[2]ARBOR_REAJUSTE18!$A:$B,2,0),0))),"")&lt;0.01%,0.01%,(IFERROR(IF($BOT5="","",IF($BOT5=0,1,1-$BOT5/HLOOKUP(BPF$3,[2]ARBOR_REAJUSTE18!$A:$AE,VLOOKUP($BOT$2,[2]ARBOR_REAJUSTE18!$A:$B,2,0),0))),""))),4)</f>
        <v>#VALUE!</v>
      </c>
      <c r="BPG5" s="44" t="e">
        <f>ROUNDUP(IF(IFERROR(IF($BOT5="","",IF($BOT5=0,1,1-$BOT5/HLOOKUP(BPG$3,[2]ARBOR_REAJUSTE18!$A:$AE,VLOOKUP($BOT$2,[2]ARBOR_REAJUSTE18!$A:$B,2,0),0))),"")&lt;0.01%,0.01%,(IFERROR(IF($BOT5="","",IF($BOT5=0,1,1-$BOT5/HLOOKUP(BPG$3,[2]ARBOR_REAJUSTE18!$A:$AE,VLOOKUP($BOT$2,[2]ARBOR_REAJUSTE18!$A:$B,2,0),0))),""))),4)</f>
        <v>#VALUE!</v>
      </c>
      <c r="BPH5" s="44" t="e">
        <f>ROUNDUP(IF(IFERROR(IF($BOT5="","",IF($BOT5=0,1,1-$BOT5/HLOOKUP(BPH$3,[2]ARBOR_REAJUSTE18!$A:$AE,VLOOKUP($BOT$2,[2]ARBOR_REAJUSTE18!$A:$B,2,0),0))),"")&lt;0.01%,0.01%,(IFERROR(IF($BOT5="","",IF($BOT5=0,1,1-$BOT5/HLOOKUP(BPH$3,[2]ARBOR_REAJUSTE18!$A:$AE,VLOOKUP($BOT$2,[2]ARBOR_REAJUSTE18!$A:$B,2,0),0))),""))),4)</f>
        <v>#VALUE!</v>
      </c>
      <c r="BPI5" s="44" t="e">
        <f>ROUNDUP(IF(IFERROR(IF($BOT5="","",IF($BOT5=0,1,1-$BOT5/HLOOKUP(BPI$3,[2]ARBOR_REAJUSTE18!$A:$AE,VLOOKUP($BOT$2,[2]ARBOR_REAJUSTE18!$A:$B,2,0),0))),"")&lt;0.01%,0.01%,(IFERROR(IF($BOT5="","",IF($BOT5=0,1,1-$BOT5/HLOOKUP(BPI$3,[2]ARBOR_REAJUSTE18!$A:$AE,VLOOKUP($BOT$2,[2]ARBOR_REAJUSTE18!$A:$B,2,0),0))),""))),4)</f>
        <v>#VALUE!</v>
      </c>
      <c r="BPJ5" s="44" t="e">
        <f>ROUNDUP(IF(IFERROR(IF($BOT5="","",IF($BOT5=0,1,1-$BOT5/HLOOKUP(BPJ$3,[2]ARBOR_REAJUSTE18!$A:$AE,VLOOKUP($BOT$2,[2]ARBOR_REAJUSTE18!$A:$B,2,0),0))),"")&lt;0.01%,0.01%,(IFERROR(IF($BOT5="","",IF($BOT5=0,1,1-$BOT5/HLOOKUP(BPJ$3,[2]ARBOR_REAJUSTE18!$A:$AE,VLOOKUP($BOT$2,[2]ARBOR_REAJUSTE18!$A:$B,2,0),0))),""))),4)</f>
        <v>#VALUE!</v>
      </c>
      <c r="BPK5" s="44" t="e">
        <f>ROUNDUP(IF(IFERROR(IF($BOT5="","",IF($BOT5=0,1,1-$BOT5/HLOOKUP(BPK$3,[2]ARBOR_REAJUSTE18!$A:$AE,VLOOKUP($BOT$2,[2]ARBOR_REAJUSTE18!$A:$B,2,0),0))),"")&lt;0.01%,0.01%,(IFERROR(IF($BOT5="","",IF($BOT5=0,1,1-$BOT5/HLOOKUP(BPK$3,[2]ARBOR_REAJUSTE18!$A:$AE,VLOOKUP($BOT$2,[2]ARBOR_REAJUSTE18!$A:$B,2,0),0))),""))),4)</f>
        <v>#VALUE!</v>
      </c>
      <c r="BPL5" s="44" t="e">
        <f>ROUNDUP(IF(IFERROR(IF($BOT5="","",IF($BOT5=0,1,1-$BOT5/HLOOKUP(BPL$3,[2]ARBOR_REAJUSTE18!$A:$AE,VLOOKUP($BOT$2,[2]ARBOR_REAJUSTE18!$A:$B,2,0),0))),"")&lt;0.01%,0.01%,(IFERROR(IF($BOT5="","",IF($BOT5=0,1,1-$BOT5/HLOOKUP(BPL$3,[2]ARBOR_REAJUSTE18!$A:$AE,VLOOKUP($BOT$2,[2]ARBOR_REAJUSTE18!$A:$B,2,0),0))),""))),4)</f>
        <v>#VALUE!</v>
      </c>
      <c r="BPM5" s="44" t="e">
        <f>ROUNDUP(IF(IFERROR(IF($BOT5="","",IF($BOT5=0,1,1-$BOT5/HLOOKUP(BPM$3,[2]ARBOR_REAJUSTE18!$A:$AE,VLOOKUP($BOT$2,[2]ARBOR_REAJUSTE18!$A:$B,2,0),0))),"")&lt;0.01%,0.01%,(IFERROR(IF($BOT5="","",IF($BOT5=0,1,1-$BOT5/HLOOKUP(BPM$3,[2]ARBOR_REAJUSTE18!$A:$AE,VLOOKUP($BOT$2,[2]ARBOR_REAJUSTE18!$A:$B,2,0),0))),""))),4)</f>
        <v>#VALUE!</v>
      </c>
      <c r="BPN5" s="44" t="e">
        <f>ROUNDUP(IF(IFERROR(IF($BOT5="","",IF($BOT5=0,1,1-$BOT5/HLOOKUP(BPN$3,[2]ARBOR_REAJUSTE18!$A:$AE,VLOOKUP($BOT$2,[2]ARBOR_REAJUSTE18!$A:$B,2,0),0))),"")&lt;0.01%,0.01%,(IFERROR(IF($BOT5="","",IF($BOT5=0,1,1-$BOT5/HLOOKUP(BPN$3,[2]ARBOR_REAJUSTE18!$A:$AE,VLOOKUP($BOT$2,[2]ARBOR_REAJUSTE18!$A:$B,2,0),0))),""))),4)</f>
        <v>#VALUE!</v>
      </c>
      <c r="BPO5" s="44" t="e">
        <f>ROUNDUP(IF(IFERROR(IF($BOT5="","",IF($BOT5=0,1,1-$BOT5/HLOOKUP(BPO$3,[2]ARBOR_REAJUSTE18!$A:$AE,VLOOKUP($BOT$2,[2]ARBOR_REAJUSTE18!$A:$B,2,0),0))),"")&lt;0.01%,0.01%,(IFERROR(IF($BOT5="","",IF($BOT5=0,1,1-$BOT5/HLOOKUP(BPO$3,[2]ARBOR_REAJUSTE18!$A:$AE,VLOOKUP($BOT$2,[2]ARBOR_REAJUSTE18!$A:$B,2,0),0))),""))),4)</f>
        <v>#VALUE!</v>
      </c>
      <c r="BPP5" s="44" t="e">
        <f>ROUNDUP(IF(IFERROR(IF($BOT5="","",IF($BOT5=0,1,1-$BOT5/HLOOKUP(BPP$3,[2]ARBOR_REAJUSTE18!$A:$AE,VLOOKUP($BOT$2,[2]ARBOR_REAJUSTE18!$A:$B,2,0),0))),"")&lt;0.01%,0.01%,(IFERROR(IF($BOT5="","",IF($BOT5=0,1,1-$BOT5/HLOOKUP(BPP$3,[2]ARBOR_REAJUSTE18!$A:$AE,VLOOKUP($BOT$2,[2]ARBOR_REAJUSTE18!$A:$B,2,0),0))),""))),4)</f>
        <v>#VALUE!</v>
      </c>
      <c r="BPQ5" s="44" t="e">
        <f>ROUNDUP(IF(IFERROR(IF($BOT5="","",IF($BOT5=0,1,1-$BOT5/HLOOKUP(BPQ$3,[2]ARBOR_REAJUSTE18!$A:$AE,VLOOKUP($BOT$2,[2]ARBOR_REAJUSTE18!$A:$B,2,0),0))),"")&lt;0.01%,0.01%,(IFERROR(IF($BOT5="","",IF($BOT5=0,1,1-$BOT5/HLOOKUP(BPQ$3,[2]ARBOR_REAJUSTE18!$A:$AE,VLOOKUP($BOT$2,[2]ARBOR_REAJUSTE18!$A:$B,2,0),0))),""))),4)</f>
        <v>#VALUE!</v>
      </c>
      <c r="BPR5" s="44" t="e">
        <f>ROUNDUP(IF(IFERROR(IF($BOT5="","",IF($BOT5=0,1,1-$BOT5/HLOOKUP(BPR$3,[2]ARBOR_REAJUSTE18!$A:$AE,VLOOKUP($BOT$2,[2]ARBOR_REAJUSTE18!$A:$B,2,0),0))),"")&lt;0.01%,0.01%,(IFERROR(IF($BOT5="","",IF($BOT5=0,1,1-$BOT5/HLOOKUP(BPR$3,[2]ARBOR_REAJUSTE18!$A:$AE,VLOOKUP($BOT$2,[2]ARBOR_REAJUSTE18!$A:$B,2,0),0))),""))),4)</f>
        <v>#VALUE!</v>
      </c>
      <c r="BPS5" s="44" t="e">
        <f>ROUNDUP(IF(IFERROR(IF($BOT5="","",IF($BOT5=0,1,1-$BOT5/HLOOKUP(BPS$3,[2]ARBOR_REAJUSTE18!$A:$AE,VLOOKUP($BOT$2,[2]ARBOR_REAJUSTE18!$A:$B,2,0),0))),"")&lt;0.01%,0.01%,(IFERROR(IF($BOT5="","",IF($BOT5=0,1,1-$BOT5/HLOOKUP(BPS$3,[2]ARBOR_REAJUSTE18!$A:$AE,VLOOKUP($BOT$2,[2]ARBOR_REAJUSTE18!$A:$B,2,0),0))),""))),4)</f>
        <v>#VALUE!</v>
      </c>
      <c r="BPT5" s="44" t="e">
        <f>ROUNDUP(IF(IFERROR(IF($BOT5="","",IF($BOT5=0,1,1-$BOT5/HLOOKUP(BPT$3,[2]ARBOR_REAJUSTE18!$A:$AE,VLOOKUP($BOT$2,[2]ARBOR_REAJUSTE18!$A:$B,2,0),0))),"")&lt;0.01%,0.01%,(IFERROR(IF($BOT5="","",IF($BOT5=0,1,1-$BOT5/HLOOKUP(BPT$3,[2]ARBOR_REAJUSTE18!$A:$AE,VLOOKUP($BOT$2,[2]ARBOR_REAJUSTE18!$A:$B,2,0),0))),""))),4)</f>
        <v>#VALUE!</v>
      </c>
      <c r="BPU5" s="44" t="e">
        <f>ROUNDUP(IF(IFERROR(IF($BOT5="","",IF($BOT5=0,1,1-$BOT5/HLOOKUP(BPU$3,[2]ARBOR_REAJUSTE18!$A:$AE,VLOOKUP($BOT$2,[2]ARBOR_REAJUSTE18!$A:$B,2,0),0))),"")&lt;0.01%,0.01%,(IFERROR(IF($BOT5="","",IF($BOT5=0,1,1-$BOT5/HLOOKUP(BPU$3,[2]ARBOR_REAJUSTE18!$A:$AE,VLOOKUP($BOT$2,[2]ARBOR_REAJUSTE18!$A:$B,2,0),0))),""))),4)</f>
        <v>#VALUE!</v>
      </c>
      <c r="BPV5" s="44" t="e">
        <f>ROUNDUP(IF(IFERROR(IF($BOT5="","",IF($BOT5=0,1,1-$BOT5/HLOOKUP(BPV$3,[2]ARBOR_REAJUSTE18!$A:$AE,VLOOKUP($BOT$2,[2]ARBOR_REAJUSTE18!$A:$B,2,0),0))),"")&lt;0.01%,0.01%,(IFERROR(IF($BOT5="","",IF($BOT5=0,1,1-$BOT5/HLOOKUP(BPV$3,[2]ARBOR_REAJUSTE18!$A:$AE,VLOOKUP($BOT$2,[2]ARBOR_REAJUSTE18!$A:$B,2,0),0))),""))),4)</f>
        <v>#VALUE!</v>
      </c>
      <c r="BPW5" s="56"/>
      <c r="BPX5" s="56" t="s">
        <v>262</v>
      </c>
      <c r="BPY5" s="44" t="e">
        <f>ROUNDUP(IF(IFERROR(IF($BPW5="","",IF($BPW5=0,1,1-$BPW5/HLOOKUP(BPY$3,[2]ARBOR_REAJUSTE18!$A:$AE,VLOOKUP($BPW$2,[2]ARBOR_REAJUSTE18!$A:$B,2,0),0))),"")&lt;0.01%,0.01%,(IFERROR(IF($BPW5="","",IF($BPW5=0,1,1-$BPW5/HLOOKUP(BPY$3,[2]ARBOR_REAJUSTE18!$A:$AE,VLOOKUP($BPW$2,[2]ARBOR_REAJUSTE18!$A:$B,2,0),0))),""))),4)</f>
        <v>#VALUE!</v>
      </c>
      <c r="BPZ5" s="44" t="e">
        <f>ROUNDUP(IF(IFERROR(IF($BPW5="","",IF($BPW5=0,1,1-$BPW5/HLOOKUP(BPZ$3,[2]ARBOR_REAJUSTE18!$A:$AE,VLOOKUP($BPW$2,[2]ARBOR_REAJUSTE18!$A:$B,2,0),0))),"")&lt;0.01%,0.01%,(IFERROR(IF($BPW5="","",IF($BPW5=0,1,1-$BPW5/HLOOKUP(BPZ$3,[2]ARBOR_REAJUSTE18!$A:$AE,VLOOKUP($BPW$2,[2]ARBOR_REAJUSTE18!$A:$B,2,0),0))),""))),4)</f>
        <v>#VALUE!</v>
      </c>
      <c r="BQA5" s="44" t="e">
        <f>ROUNDUP(IF(IFERROR(IF($BPW5="","",IF($BPW5=0,1,1-$BPW5/HLOOKUP(BQA$3,[2]ARBOR_REAJUSTE18!$A:$AE,VLOOKUP($BPW$2,[2]ARBOR_REAJUSTE18!$A:$B,2,0),0))),"")&lt;0.01%,0.01%,(IFERROR(IF($BPW5="","",IF($BPW5=0,1,1-$BPW5/HLOOKUP(BQA$3,[2]ARBOR_REAJUSTE18!$A:$AE,VLOOKUP($BPW$2,[2]ARBOR_REAJUSTE18!$A:$B,2,0),0))),""))),4)</f>
        <v>#VALUE!</v>
      </c>
      <c r="BQB5" s="44" t="e">
        <f>ROUNDUP(IF(IFERROR(IF($BPW5="","",IF($BPW5=0,1,1-$BPW5/HLOOKUP(BQB$3,[2]ARBOR_REAJUSTE18!$A:$AE,VLOOKUP($BPW$2,[2]ARBOR_REAJUSTE18!$A:$B,2,0),0))),"")&lt;0.01%,0.01%,(IFERROR(IF($BPW5="","",IF($BPW5=0,1,1-$BPW5/HLOOKUP(BQB$3,[2]ARBOR_REAJUSTE18!$A:$AE,VLOOKUP($BPW$2,[2]ARBOR_REAJUSTE18!$A:$B,2,0),0))),""))),4)</f>
        <v>#VALUE!</v>
      </c>
      <c r="BQC5" s="44" t="e">
        <f>ROUNDUP(IF(IFERROR(IF($BPW5="","",IF($BPW5=0,1,1-$BPW5/HLOOKUP(BQC$3,[2]ARBOR_REAJUSTE18!$A:$AE,VLOOKUP($BPW$2,[2]ARBOR_REAJUSTE18!$A:$B,2,0),0))),"")&lt;0.01%,0.01%,(IFERROR(IF($BPW5="","",IF($BPW5=0,1,1-$BPW5/HLOOKUP(BQC$3,[2]ARBOR_REAJUSTE18!$A:$AE,VLOOKUP($BPW$2,[2]ARBOR_REAJUSTE18!$A:$B,2,0),0))),""))),4)</f>
        <v>#VALUE!</v>
      </c>
      <c r="BQD5" s="44" t="e">
        <f>ROUNDUP(IF(IFERROR(IF($BPW5="","",IF($BPW5=0,1,1-$BPW5/HLOOKUP(BQD$3,[2]ARBOR_REAJUSTE18!$A:$AE,VLOOKUP($BPW$2,[2]ARBOR_REAJUSTE18!$A:$B,2,0),0))),"")&lt;0.01%,0.01%,(IFERROR(IF($BPW5="","",IF($BPW5=0,1,1-$BPW5/HLOOKUP(BQD$3,[2]ARBOR_REAJUSTE18!$A:$AE,VLOOKUP($BPW$2,[2]ARBOR_REAJUSTE18!$A:$B,2,0),0))),""))),4)</f>
        <v>#VALUE!</v>
      </c>
      <c r="BQE5" s="44" t="e">
        <f>ROUNDUP(IF(IFERROR(IF($BPW5="","",IF($BPW5=0,1,1-$BPW5/HLOOKUP(BQE$3,[2]ARBOR_REAJUSTE18!$A:$AE,VLOOKUP($BPW$2,[2]ARBOR_REAJUSTE18!$A:$B,2,0),0))),"")&lt;0.01%,0.01%,(IFERROR(IF($BPW5="","",IF($BPW5=0,1,1-$BPW5/HLOOKUP(BQE$3,[2]ARBOR_REAJUSTE18!$A:$AE,VLOOKUP($BPW$2,[2]ARBOR_REAJUSTE18!$A:$B,2,0),0))),""))),4)</f>
        <v>#VALUE!</v>
      </c>
      <c r="BQF5" s="44" t="e">
        <f>ROUNDUP(IF(IFERROR(IF($BPW5="","",IF($BPW5=0,1,1-$BPW5/HLOOKUP(BQF$3,[2]ARBOR_REAJUSTE18!$A:$AE,VLOOKUP($BPW$2,[2]ARBOR_REAJUSTE18!$A:$B,2,0),0))),"")&lt;0.01%,0.01%,(IFERROR(IF($BPW5="","",IF($BPW5=0,1,1-$BPW5/HLOOKUP(BQF$3,[2]ARBOR_REAJUSTE18!$A:$AE,VLOOKUP($BPW$2,[2]ARBOR_REAJUSTE18!$A:$B,2,0),0))),""))),4)</f>
        <v>#VALUE!</v>
      </c>
      <c r="BQG5" s="44" t="e">
        <f>ROUNDUP(IF(IFERROR(IF($BPW5="","",IF($BPW5=0,1,1-$BPW5/HLOOKUP(BQG$3,[2]ARBOR_REAJUSTE18!$A:$AE,VLOOKUP($BPW$2,[2]ARBOR_REAJUSTE18!$A:$B,2,0),0))),"")&lt;0.01%,0.01%,(IFERROR(IF($BPW5="","",IF($BPW5=0,1,1-$BPW5/HLOOKUP(BQG$3,[2]ARBOR_REAJUSTE18!$A:$AE,VLOOKUP($BPW$2,[2]ARBOR_REAJUSTE18!$A:$B,2,0),0))),""))),4)</f>
        <v>#VALUE!</v>
      </c>
      <c r="BQH5" s="44" t="e">
        <f>ROUNDUP(IF(IFERROR(IF($BPW5="","",IF($BPW5=0,1,1-$BPW5/HLOOKUP(BQH$3,[2]ARBOR_REAJUSTE18!$A:$AE,VLOOKUP($BPW$2,[2]ARBOR_REAJUSTE18!$A:$B,2,0),0))),"")&lt;0.01%,0.01%,(IFERROR(IF($BPW5="","",IF($BPW5=0,1,1-$BPW5/HLOOKUP(BQH$3,[2]ARBOR_REAJUSTE18!$A:$AE,VLOOKUP($BPW$2,[2]ARBOR_REAJUSTE18!$A:$B,2,0),0))),""))),4)</f>
        <v>#VALUE!</v>
      </c>
      <c r="BQI5" s="44" t="e">
        <f>ROUNDUP(IF(IFERROR(IF($BPW5="","",IF($BPW5=0,1,1-$BPW5/HLOOKUP(BQI$3,[2]ARBOR_REAJUSTE18!$A:$AE,VLOOKUP($BPW$2,[2]ARBOR_REAJUSTE18!$A:$B,2,0),0))),"")&lt;0.01%,0.01%,(IFERROR(IF($BPW5="","",IF($BPW5=0,1,1-$BPW5/HLOOKUP(BQI$3,[2]ARBOR_REAJUSTE18!$A:$AE,VLOOKUP($BPW$2,[2]ARBOR_REAJUSTE18!$A:$B,2,0),0))),""))),4)</f>
        <v>#VALUE!</v>
      </c>
      <c r="BQJ5" s="44" t="e">
        <f>ROUNDUP(IF(IFERROR(IF($BPW5="","",IF($BPW5=0,1,1-$BPW5/HLOOKUP(BQJ$3,[2]ARBOR_REAJUSTE18!$A:$AE,VLOOKUP($BPW$2,[2]ARBOR_REAJUSTE18!$A:$B,2,0),0))),"")&lt;0.01%,0.01%,(IFERROR(IF($BPW5="","",IF($BPW5=0,1,1-$BPW5/HLOOKUP(BQJ$3,[2]ARBOR_REAJUSTE18!$A:$AE,VLOOKUP($BPW$2,[2]ARBOR_REAJUSTE18!$A:$B,2,0),0))),""))),4)</f>
        <v>#VALUE!</v>
      </c>
      <c r="BQK5" s="44" t="e">
        <f>ROUNDUP(IF(IFERROR(IF($BPW5="","",IF($BPW5=0,1,1-$BPW5/HLOOKUP(BQK$3,[2]ARBOR_REAJUSTE18!$A:$AE,VLOOKUP($BPW$2,[2]ARBOR_REAJUSTE18!$A:$B,2,0),0))),"")&lt;0.01%,0.01%,(IFERROR(IF($BPW5="","",IF($BPW5=0,1,1-$BPW5/HLOOKUP(BQK$3,[2]ARBOR_REAJUSTE18!$A:$AE,VLOOKUP($BPW$2,[2]ARBOR_REAJUSTE18!$A:$B,2,0),0))),""))),4)</f>
        <v>#VALUE!</v>
      </c>
      <c r="BQL5" s="44" t="e">
        <f>ROUNDUP(IF(IFERROR(IF($BPW5="","",IF($BPW5=0,1,1-$BPW5/HLOOKUP(BQL$3,[2]ARBOR_REAJUSTE18!$A:$AE,VLOOKUP($BPW$2,[2]ARBOR_REAJUSTE18!$A:$B,2,0),0))),"")&lt;0.01%,0.01%,(IFERROR(IF($BPW5="","",IF($BPW5=0,1,1-$BPW5/HLOOKUP(BQL$3,[2]ARBOR_REAJUSTE18!$A:$AE,VLOOKUP($BPW$2,[2]ARBOR_REAJUSTE18!$A:$B,2,0),0))),""))),4)</f>
        <v>#VALUE!</v>
      </c>
      <c r="BQM5" s="44" t="e">
        <f>ROUNDUP(IF(IFERROR(IF($BPW5="","",IF($BPW5=0,1,1-$BPW5/HLOOKUP(BQM$3,[2]ARBOR_REAJUSTE18!$A:$AE,VLOOKUP($BPW$2,[2]ARBOR_REAJUSTE18!$A:$B,2,0),0))),"")&lt;0.01%,0.01%,(IFERROR(IF($BPW5="","",IF($BPW5=0,1,1-$BPW5/HLOOKUP(BQM$3,[2]ARBOR_REAJUSTE18!$A:$AE,VLOOKUP($BPW$2,[2]ARBOR_REAJUSTE18!$A:$B,2,0),0))),""))),4)</f>
        <v>#VALUE!</v>
      </c>
      <c r="BQN5" s="44" t="e">
        <f>ROUNDUP(IF(IFERROR(IF($BPW5="","",IF($BPW5=0,1,1-$BPW5/HLOOKUP(BQN$3,[2]ARBOR_REAJUSTE18!$A:$AE,VLOOKUP($BPW$2,[2]ARBOR_REAJUSTE18!$A:$B,2,0),0))),"")&lt;0.01%,0.01%,(IFERROR(IF($BPW5="","",IF($BPW5=0,1,1-$BPW5/HLOOKUP(BQN$3,[2]ARBOR_REAJUSTE18!$A:$AE,VLOOKUP($BPW$2,[2]ARBOR_REAJUSTE18!$A:$B,2,0),0))),""))),4)</f>
        <v>#VALUE!</v>
      </c>
      <c r="BQO5" s="44" t="e">
        <f>ROUNDUP(IF(IFERROR(IF($BPW5="","",IF($BPW5=0,1,1-$BPW5/HLOOKUP(BQO$3,[2]ARBOR_REAJUSTE18!$A:$AE,VLOOKUP($BPW$2,[2]ARBOR_REAJUSTE18!$A:$B,2,0),0))),"")&lt;0.01%,0.01%,(IFERROR(IF($BPW5="","",IF($BPW5=0,1,1-$BPW5/HLOOKUP(BQO$3,[2]ARBOR_REAJUSTE18!$A:$AE,VLOOKUP($BPW$2,[2]ARBOR_REAJUSTE18!$A:$B,2,0),0))),""))),4)</f>
        <v>#VALUE!</v>
      </c>
      <c r="BQP5" s="44" t="e">
        <f>ROUNDUP(IF(IFERROR(IF($BPW5="","",IF($BPW5=0,1,1-$BPW5/HLOOKUP(BQP$3,[2]ARBOR_REAJUSTE18!$A:$AE,VLOOKUP($BPW$2,[2]ARBOR_REAJUSTE18!$A:$B,2,0),0))),"")&lt;0.01%,0.01%,(IFERROR(IF($BPW5="","",IF($BPW5=0,1,1-$BPW5/HLOOKUP(BQP$3,[2]ARBOR_REAJUSTE18!$A:$AE,VLOOKUP($BPW$2,[2]ARBOR_REAJUSTE18!$A:$B,2,0),0))),""))),4)</f>
        <v>#VALUE!</v>
      </c>
      <c r="BQQ5" s="44" t="e">
        <f>ROUNDUP(IF(IFERROR(IF($BPW5="","",IF($BPW5=0,1,1-$BPW5/HLOOKUP(BQQ$3,[2]ARBOR_REAJUSTE18!$A:$AE,VLOOKUP($BPW$2,[2]ARBOR_REAJUSTE18!$A:$B,2,0),0))),"")&lt;0.01%,0.01%,(IFERROR(IF($BPW5="","",IF($BPW5=0,1,1-$BPW5/HLOOKUP(BQQ$3,[2]ARBOR_REAJUSTE18!$A:$AE,VLOOKUP($BPW$2,[2]ARBOR_REAJUSTE18!$A:$B,2,0),0))),""))),4)</f>
        <v>#VALUE!</v>
      </c>
      <c r="BQR5" s="44" t="e">
        <f>ROUNDUP(IF(IFERROR(IF($BPW5="","",IF($BPW5=0,1,1-$BPW5/HLOOKUP(BQR$3,[2]ARBOR_REAJUSTE18!$A:$AE,VLOOKUP($BPW$2,[2]ARBOR_REAJUSTE18!$A:$B,2,0),0))),"")&lt;0.01%,0.01%,(IFERROR(IF($BPW5="","",IF($BPW5=0,1,1-$BPW5/HLOOKUP(BQR$3,[2]ARBOR_REAJUSTE18!$A:$AE,VLOOKUP($BPW$2,[2]ARBOR_REAJUSTE18!$A:$B,2,0),0))),""))),4)</f>
        <v>#VALUE!</v>
      </c>
      <c r="BQS5" s="44" t="e">
        <f>ROUNDUP(IF(IFERROR(IF($BPW5="","",IF($BPW5=0,1,1-$BPW5/HLOOKUP(BQS$3,[2]ARBOR_REAJUSTE18!$A:$AE,VLOOKUP($BPW$2,[2]ARBOR_REAJUSTE18!$A:$B,2,0),0))),"")&lt;0.01%,0.01%,(IFERROR(IF($BPW5="","",IF($BPW5=0,1,1-$BPW5/HLOOKUP(BQS$3,[2]ARBOR_REAJUSTE18!$A:$AE,VLOOKUP($BPW$2,[2]ARBOR_REAJUSTE18!$A:$B,2,0),0))),""))),4)</f>
        <v>#VALUE!</v>
      </c>
      <c r="BQT5" s="44" t="e">
        <f>ROUNDUP(IF(IFERROR(IF($BPW5="","",IF($BPW5=0,1,1-$BPW5/HLOOKUP(BQT$3,[2]ARBOR_REAJUSTE18!$A:$AE,VLOOKUP($BPW$2,[2]ARBOR_REAJUSTE18!$A:$B,2,0),0))),"")&lt;0.01%,0.01%,(IFERROR(IF($BPW5="","",IF($BPW5=0,1,1-$BPW5/HLOOKUP(BQT$3,[2]ARBOR_REAJUSTE18!$A:$AE,VLOOKUP($BPW$2,[2]ARBOR_REAJUSTE18!$A:$B,2,0),0))),""))),4)</f>
        <v>#VALUE!</v>
      </c>
      <c r="BQU5" s="44" t="e">
        <f>ROUNDUP(IF(IFERROR(IF($BPW5="","",IF($BPW5=0,1,1-$BPW5/HLOOKUP(BQU$3,[2]ARBOR_REAJUSTE18!$A:$AE,VLOOKUP($BPW$2,[2]ARBOR_REAJUSTE18!$A:$B,2,0),0))),"")&lt;0.01%,0.01%,(IFERROR(IF($BPW5="","",IF($BPW5=0,1,1-$BPW5/HLOOKUP(BQU$3,[2]ARBOR_REAJUSTE18!$A:$AE,VLOOKUP($BPW$2,[2]ARBOR_REAJUSTE18!$A:$B,2,0),0))),""))),4)</f>
        <v>#VALUE!</v>
      </c>
      <c r="BQV5" s="44" t="e">
        <f>ROUNDUP(IF(IFERROR(IF($BPW5="","",IF($BPW5=0,1,1-$BPW5/HLOOKUP(BQV$3,[2]ARBOR_REAJUSTE18!$A:$AE,VLOOKUP($BPW$2,[2]ARBOR_REAJUSTE18!$A:$B,2,0),0))),"")&lt;0.01%,0.01%,(IFERROR(IF($BPW5="","",IF($BPW5=0,1,1-$BPW5/HLOOKUP(BQV$3,[2]ARBOR_REAJUSTE18!$A:$AE,VLOOKUP($BPW$2,[2]ARBOR_REAJUSTE18!$A:$B,2,0),0))),""))),4)</f>
        <v>#VALUE!</v>
      </c>
      <c r="BQW5" s="44" t="e">
        <f>ROUNDUP(IF(IFERROR(IF($BPW5="","",IF($BPW5=0,1,1-$BPW5/HLOOKUP(BQW$3,[2]ARBOR_REAJUSTE18!$A:$AE,VLOOKUP($BPW$2,[2]ARBOR_REAJUSTE18!$A:$B,2,0),0))),"")&lt;0.01%,0.01%,(IFERROR(IF($BPW5="","",IF($BPW5=0,1,1-$BPW5/HLOOKUP(BQW$3,[2]ARBOR_REAJUSTE18!$A:$AE,VLOOKUP($BPW$2,[2]ARBOR_REAJUSTE18!$A:$B,2,0),0))),""))),4)</f>
        <v>#VALUE!</v>
      </c>
      <c r="BQX5" s="44" t="e">
        <f>ROUNDUP(IF(IFERROR(IF($BPW5="","",IF($BPW5=0,1,1-$BPW5/HLOOKUP(BQX$3,[2]ARBOR_REAJUSTE18!$A:$AE,VLOOKUP($BPW$2,[2]ARBOR_REAJUSTE18!$A:$B,2,0),0))),"")&lt;0.01%,0.01%,(IFERROR(IF($BPW5="","",IF($BPW5=0,1,1-$BPW5/HLOOKUP(BQX$3,[2]ARBOR_REAJUSTE18!$A:$AE,VLOOKUP($BPW$2,[2]ARBOR_REAJUSTE18!$A:$B,2,0),0))),""))),4)</f>
        <v>#VALUE!</v>
      </c>
      <c r="BQY5" s="44" t="e">
        <f>ROUNDUP(IF(IFERROR(IF($BPW5="","",IF($BPW5=0,1,1-$BPW5/HLOOKUP(BQY$3,[2]ARBOR_REAJUSTE18!$A:$AE,VLOOKUP($BPW$2,[2]ARBOR_REAJUSTE18!$A:$B,2,0),0))),"")&lt;0.01%,0.01%,(IFERROR(IF($BPW5="","",IF($BPW5=0,1,1-$BPW5/HLOOKUP(BQY$3,[2]ARBOR_REAJUSTE18!$A:$AE,VLOOKUP($BPW$2,[2]ARBOR_REAJUSTE18!$A:$B,2,0),0))),""))),4)</f>
        <v>#VALUE!</v>
      </c>
      <c r="BQZ5" s="56"/>
      <c r="BRA5" s="56" t="s">
        <v>296</v>
      </c>
      <c r="BRB5" s="44" t="e">
        <f>ROUNDUP(IF(IFERROR(IF($BQZ5="","",IF($BQZ5=0,1,1-$BQZ5/HLOOKUP(BRB$3,[2]ARBOR_REAJUSTE18!$A:$AE,VLOOKUP($BQZ$2,[2]ARBOR_REAJUSTE18!$A:$B,2,0),0))),"")&lt;0.01%,0.01%,(IFERROR(IF($BQZ5="","",IF($BQZ5=0,1,1-$BQZ5/HLOOKUP(BRB$3,[2]ARBOR_REAJUSTE18!$A:$AE,VLOOKUP($BQZ$2,[2]ARBOR_REAJUSTE18!$A:$B,2,0),0))),""))),4)</f>
        <v>#VALUE!</v>
      </c>
      <c r="BRC5" s="44" t="e">
        <f>ROUNDUP(IF(IFERROR(IF($BQZ5="","",IF($BQZ5=0,1,1-$BQZ5/HLOOKUP(BRC$3,[2]ARBOR_REAJUSTE18!$A:$AE,VLOOKUP($BQZ$2,[2]ARBOR_REAJUSTE18!$A:$B,2,0),0))),"")&lt;0.01%,0.01%,(IFERROR(IF($BQZ5="","",IF($BQZ5=0,1,1-$BQZ5/HLOOKUP(BRC$3,[2]ARBOR_REAJUSTE18!$A:$AE,VLOOKUP($BQZ$2,[2]ARBOR_REAJUSTE18!$A:$B,2,0),0))),""))),4)</f>
        <v>#VALUE!</v>
      </c>
      <c r="BRD5" s="44" t="e">
        <f>ROUNDUP(IF(IFERROR(IF($BQZ5="","",IF($BQZ5=0,1,1-$BQZ5/HLOOKUP(BRD$3,[2]ARBOR_REAJUSTE18!$A:$AE,VLOOKUP($BQZ$2,[2]ARBOR_REAJUSTE18!$A:$B,2,0),0))),"")&lt;0.01%,0.01%,(IFERROR(IF($BQZ5="","",IF($BQZ5=0,1,1-$BQZ5/HLOOKUP(BRD$3,[2]ARBOR_REAJUSTE18!$A:$AE,VLOOKUP($BQZ$2,[2]ARBOR_REAJUSTE18!$A:$B,2,0),0))),""))),4)</f>
        <v>#VALUE!</v>
      </c>
      <c r="BRE5" s="44" t="e">
        <f>ROUNDUP(IF(IFERROR(IF($BQZ5="","",IF($BQZ5=0,1,1-$BQZ5/HLOOKUP(BRE$3,[2]ARBOR_REAJUSTE18!$A:$AE,VLOOKUP($BQZ$2,[2]ARBOR_REAJUSTE18!$A:$B,2,0),0))),"")&lt;0.01%,0.01%,(IFERROR(IF($BQZ5="","",IF($BQZ5=0,1,1-$BQZ5/HLOOKUP(BRE$3,[2]ARBOR_REAJUSTE18!$A:$AE,VLOOKUP($BQZ$2,[2]ARBOR_REAJUSTE18!$A:$B,2,0),0))),""))),4)</f>
        <v>#VALUE!</v>
      </c>
      <c r="BRF5" s="44" t="e">
        <f>ROUNDUP(IF(IFERROR(IF($BQZ5="","",IF($BQZ5=0,1,1-$BQZ5/HLOOKUP(BRF$3,[2]ARBOR_REAJUSTE18!$A:$AE,VLOOKUP($BQZ$2,[2]ARBOR_REAJUSTE18!$A:$B,2,0),0))),"")&lt;0.01%,0.01%,(IFERROR(IF($BQZ5="","",IF($BQZ5=0,1,1-$BQZ5/HLOOKUP(BRF$3,[2]ARBOR_REAJUSTE18!$A:$AE,VLOOKUP($BQZ$2,[2]ARBOR_REAJUSTE18!$A:$B,2,0),0))),""))),4)</f>
        <v>#VALUE!</v>
      </c>
      <c r="BRG5" s="44" t="e">
        <f>ROUNDUP(IF(IFERROR(IF($BQZ5="","",IF($BQZ5=0,1,1-$BQZ5/HLOOKUP(BRG$3,[2]ARBOR_REAJUSTE18!$A:$AE,VLOOKUP($BQZ$2,[2]ARBOR_REAJUSTE18!$A:$B,2,0),0))),"")&lt;0.01%,0.01%,(IFERROR(IF($BQZ5="","",IF($BQZ5=0,1,1-$BQZ5/HLOOKUP(BRG$3,[2]ARBOR_REAJUSTE18!$A:$AE,VLOOKUP($BQZ$2,[2]ARBOR_REAJUSTE18!$A:$B,2,0),0))),""))),4)</f>
        <v>#VALUE!</v>
      </c>
      <c r="BRH5" s="44" t="e">
        <f>ROUNDUP(IF(IFERROR(IF($BQZ5="","",IF($BQZ5=0,1,1-$BQZ5/HLOOKUP(BRH$3,[2]ARBOR_REAJUSTE18!$A:$AE,VLOOKUP($BQZ$2,[2]ARBOR_REAJUSTE18!$A:$B,2,0),0))),"")&lt;0.01%,0.01%,(IFERROR(IF($BQZ5="","",IF($BQZ5=0,1,1-$BQZ5/HLOOKUP(BRH$3,[2]ARBOR_REAJUSTE18!$A:$AE,VLOOKUP($BQZ$2,[2]ARBOR_REAJUSTE18!$A:$B,2,0),0))),""))),4)</f>
        <v>#VALUE!</v>
      </c>
      <c r="BRI5" s="44" t="e">
        <f>ROUNDUP(IF(IFERROR(IF($BQZ5="","",IF($BQZ5=0,1,1-$BQZ5/HLOOKUP(BRI$3,[2]ARBOR_REAJUSTE18!$A:$AE,VLOOKUP($BQZ$2,[2]ARBOR_REAJUSTE18!$A:$B,2,0),0))),"")&lt;0.01%,0.01%,(IFERROR(IF($BQZ5="","",IF($BQZ5=0,1,1-$BQZ5/HLOOKUP(BRI$3,[2]ARBOR_REAJUSTE18!$A:$AE,VLOOKUP($BQZ$2,[2]ARBOR_REAJUSTE18!$A:$B,2,0),0))),""))),4)</f>
        <v>#VALUE!</v>
      </c>
      <c r="BRJ5" s="44" t="e">
        <f>ROUNDUP(IF(IFERROR(IF($BQZ5="","",IF($BQZ5=0,1,1-$BQZ5/HLOOKUP(BRJ$3,[2]ARBOR_REAJUSTE18!$A:$AE,VLOOKUP($BQZ$2,[2]ARBOR_REAJUSTE18!$A:$B,2,0),0))),"")&lt;0.01%,0.01%,(IFERROR(IF($BQZ5="","",IF($BQZ5=0,1,1-$BQZ5/HLOOKUP(BRJ$3,[2]ARBOR_REAJUSTE18!$A:$AE,VLOOKUP($BQZ$2,[2]ARBOR_REAJUSTE18!$A:$B,2,0),0))),""))),4)</f>
        <v>#VALUE!</v>
      </c>
      <c r="BRK5" s="44" t="e">
        <f>ROUNDUP(IF(IFERROR(IF($BQZ5="","",IF($BQZ5=0,1,1-$BQZ5/HLOOKUP(BRK$3,[2]ARBOR_REAJUSTE18!$A:$AE,VLOOKUP($BQZ$2,[2]ARBOR_REAJUSTE18!$A:$B,2,0),0))),"")&lt;0.01%,0.01%,(IFERROR(IF($BQZ5="","",IF($BQZ5=0,1,1-$BQZ5/HLOOKUP(BRK$3,[2]ARBOR_REAJUSTE18!$A:$AE,VLOOKUP($BQZ$2,[2]ARBOR_REAJUSTE18!$A:$B,2,0),0))),""))),4)</f>
        <v>#VALUE!</v>
      </c>
      <c r="BRL5" s="44" t="e">
        <f>ROUNDUP(IF(IFERROR(IF($BQZ5="","",IF($BQZ5=0,1,1-$BQZ5/HLOOKUP(BRL$3,[2]ARBOR_REAJUSTE18!$A:$AE,VLOOKUP($BQZ$2,[2]ARBOR_REAJUSTE18!$A:$B,2,0),0))),"")&lt;0.01%,0.01%,(IFERROR(IF($BQZ5="","",IF($BQZ5=0,1,1-$BQZ5/HLOOKUP(BRL$3,[2]ARBOR_REAJUSTE18!$A:$AE,VLOOKUP($BQZ$2,[2]ARBOR_REAJUSTE18!$A:$B,2,0),0))),""))),4)</f>
        <v>#VALUE!</v>
      </c>
      <c r="BRM5" s="44" t="e">
        <f>ROUNDUP(IF(IFERROR(IF($BQZ5="","",IF($BQZ5=0,1,1-$BQZ5/HLOOKUP(BRM$3,[2]ARBOR_REAJUSTE18!$A:$AE,VLOOKUP($BQZ$2,[2]ARBOR_REAJUSTE18!$A:$B,2,0),0))),"")&lt;0.01%,0.01%,(IFERROR(IF($BQZ5="","",IF($BQZ5=0,1,1-$BQZ5/HLOOKUP(BRM$3,[2]ARBOR_REAJUSTE18!$A:$AE,VLOOKUP($BQZ$2,[2]ARBOR_REAJUSTE18!$A:$B,2,0),0))),""))),4)</f>
        <v>#VALUE!</v>
      </c>
      <c r="BRN5" s="44" t="e">
        <f>ROUNDUP(IF(IFERROR(IF($BQZ5="","",IF($BQZ5=0,1,1-$BQZ5/HLOOKUP(BRN$3,[2]ARBOR_REAJUSTE18!$A:$AE,VLOOKUP($BQZ$2,[2]ARBOR_REAJUSTE18!$A:$B,2,0),0))),"")&lt;0.01%,0.01%,(IFERROR(IF($BQZ5="","",IF($BQZ5=0,1,1-$BQZ5/HLOOKUP(BRN$3,[2]ARBOR_REAJUSTE18!$A:$AE,VLOOKUP($BQZ$2,[2]ARBOR_REAJUSTE18!$A:$B,2,0),0))),""))),4)</f>
        <v>#VALUE!</v>
      </c>
      <c r="BRO5" s="44" t="e">
        <f>ROUNDUP(IF(IFERROR(IF($BQZ5="","",IF($BQZ5=0,1,1-$BQZ5/HLOOKUP(BRO$3,[2]ARBOR_REAJUSTE18!$A:$AE,VLOOKUP($BQZ$2,[2]ARBOR_REAJUSTE18!$A:$B,2,0),0))),"")&lt;0.01%,0.01%,(IFERROR(IF($BQZ5="","",IF($BQZ5=0,1,1-$BQZ5/HLOOKUP(BRO$3,[2]ARBOR_REAJUSTE18!$A:$AE,VLOOKUP($BQZ$2,[2]ARBOR_REAJUSTE18!$A:$B,2,0),0))),""))),4)</f>
        <v>#VALUE!</v>
      </c>
      <c r="BRP5" s="44" t="e">
        <f>ROUNDUP(IF(IFERROR(IF($BQZ5="","",IF($BQZ5=0,1,1-$BQZ5/HLOOKUP(BRP$3,[2]ARBOR_REAJUSTE18!$A:$AE,VLOOKUP($BQZ$2,[2]ARBOR_REAJUSTE18!$A:$B,2,0),0))),"")&lt;0.01%,0.01%,(IFERROR(IF($BQZ5="","",IF($BQZ5=0,1,1-$BQZ5/HLOOKUP(BRP$3,[2]ARBOR_REAJUSTE18!$A:$AE,VLOOKUP($BQZ$2,[2]ARBOR_REAJUSTE18!$A:$B,2,0),0))),""))),4)</f>
        <v>#VALUE!</v>
      </c>
      <c r="BRQ5" s="44" t="e">
        <f>ROUNDUP(IF(IFERROR(IF($BQZ5="","",IF($BQZ5=0,1,1-$BQZ5/HLOOKUP(BRQ$3,[2]ARBOR_REAJUSTE18!$A:$AE,VLOOKUP($BQZ$2,[2]ARBOR_REAJUSTE18!$A:$B,2,0),0))),"")&lt;0.01%,0.01%,(IFERROR(IF($BQZ5="","",IF($BQZ5=0,1,1-$BQZ5/HLOOKUP(BRQ$3,[2]ARBOR_REAJUSTE18!$A:$AE,VLOOKUP($BQZ$2,[2]ARBOR_REAJUSTE18!$A:$B,2,0),0))),""))),4)</f>
        <v>#VALUE!</v>
      </c>
      <c r="BRR5" s="44" t="e">
        <f>ROUNDUP(IF(IFERROR(IF($BQZ5="","",IF($BQZ5=0,1,1-$BQZ5/HLOOKUP(BRR$3,[2]ARBOR_REAJUSTE18!$A:$AE,VLOOKUP($BQZ$2,[2]ARBOR_REAJUSTE18!$A:$B,2,0),0))),"")&lt;0.01%,0.01%,(IFERROR(IF($BQZ5="","",IF($BQZ5=0,1,1-$BQZ5/HLOOKUP(BRR$3,[2]ARBOR_REAJUSTE18!$A:$AE,VLOOKUP($BQZ$2,[2]ARBOR_REAJUSTE18!$A:$B,2,0),0))),""))),4)</f>
        <v>#VALUE!</v>
      </c>
      <c r="BRS5" s="44" t="e">
        <f>ROUNDUP(IF(IFERROR(IF($BQZ5="","",IF($BQZ5=0,1,1-$BQZ5/HLOOKUP(BRS$3,[2]ARBOR_REAJUSTE18!$A:$AE,VLOOKUP($BQZ$2,[2]ARBOR_REAJUSTE18!$A:$B,2,0),0))),"")&lt;0.01%,0.01%,(IFERROR(IF($BQZ5="","",IF($BQZ5=0,1,1-$BQZ5/HLOOKUP(BRS$3,[2]ARBOR_REAJUSTE18!$A:$AE,VLOOKUP($BQZ$2,[2]ARBOR_REAJUSTE18!$A:$B,2,0),0))),""))),4)</f>
        <v>#VALUE!</v>
      </c>
      <c r="BRT5" s="44" t="e">
        <f>ROUNDUP(IF(IFERROR(IF($BQZ5="","",IF($BQZ5=0,1,1-$BQZ5/HLOOKUP(BRT$3,[2]ARBOR_REAJUSTE18!$A:$AE,VLOOKUP($BQZ$2,[2]ARBOR_REAJUSTE18!$A:$B,2,0),0))),"")&lt;0.01%,0.01%,(IFERROR(IF($BQZ5="","",IF($BQZ5=0,1,1-$BQZ5/HLOOKUP(BRT$3,[2]ARBOR_REAJUSTE18!$A:$AE,VLOOKUP($BQZ$2,[2]ARBOR_REAJUSTE18!$A:$B,2,0),0))),""))),4)</f>
        <v>#VALUE!</v>
      </c>
      <c r="BRU5" s="44" t="e">
        <f>ROUNDUP(IF(IFERROR(IF($BQZ5="","",IF($BQZ5=0,1,1-$BQZ5/HLOOKUP(BRU$3,[2]ARBOR_REAJUSTE18!$A:$AE,VLOOKUP($BQZ$2,[2]ARBOR_REAJUSTE18!$A:$B,2,0),0))),"")&lt;0.01%,0.01%,(IFERROR(IF($BQZ5="","",IF($BQZ5=0,1,1-$BQZ5/HLOOKUP(BRU$3,[2]ARBOR_REAJUSTE18!$A:$AE,VLOOKUP($BQZ$2,[2]ARBOR_REAJUSTE18!$A:$B,2,0),0))),""))),4)</f>
        <v>#VALUE!</v>
      </c>
      <c r="BRV5" s="44" t="e">
        <f>ROUNDUP(IF(IFERROR(IF($BQZ5="","",IF($BQZ5=0,1,1-$BQZ5/HLOOKUP(BRV$3,[2]ARBOR_REAJUSTE18!$A:$AE,VLOOKUP($BQZ$2,[2]ARBOR_REAJUSTE18!$A:$B,2,0),0))),"")&lt;0.01%,0.01%,(IFERROR(IF($BQZ5="","",IF($BQZ5=0,1,1-$BQZ5/HLOOKUP(BRV$3,[2]ARBOR_REAJUSTE18!$A:$AE,VLOOKUP($BQZ$2,[2]ARBOR_REAJUSTE18!$A:$B,2,0),0))),""))),4)</f>
        <v>#VALUE!</v>
      </c>
      <c r="BRW5" s="44" t="e">
        <f>ROUNDUP(IF(IFERROR(IF($BQZ5="","",IF($BQZ5=0,1,1-$BQZ5/HLOOKUP(BRW$3,[2]ARBOR_REAJUSTE18!$A:$AE,VLOOKUP($BQZ$2,[2]ARBOR_REAJUSTE18!$A:$B,2,0),0))),"")&lt;0.01%,0.01%,(IFERROR(IF($BQZ5="","",IF($BQZ5=0,1,1-$BQZ5/HLOOKUP(BRW$3,[2]ARBOR_REAJUSTE18!$A:$AE,VLOOKUP($BQZ$2,[2]ARBOR_REAJUSTE18!$A:$B,2,0),0))),""))),4)</f>
        <v>#VALUE!</v>
      </c>
      <c r="BRX5" s="44" t="e">
        <f>ROUNDUP(IF(IFERROR(IF($BQZ5="","",IF($BQZ5=0,1,1-$BQZ5/HLOOKUP(BRX$3,[2]ARBOR_REAJUSTE18!$A:$AE,VLOOKUP($BQZ$2,[2]ARBOR_REAJUSTE18!$A:$B,2,0),0))),"")&lt;0.01%,0.01%,(IFERROR(IF($BQZ5="","",IF($BQZ5=0,1,1-$BQZ5/HLOOKUP(BRX$3,[2]ARBOR_REAJUSTE18!$A:$AE,VLOOKUP($BQZ$2,[2]ARBOR_REAJUSTE18!$A:$B,2,0),0))),""))),4)</f>
        <v>#VALUE!</v>
      </c>
      <c r="BRY5" s="44" t="e">
        <f>ROUNDUP(IF(IFERROR(IF($BQZ5="","",IF($BQZ5=0,1,1-$BQZ5/HLOOKUP(BRY$3,[2]ARBOR_REAJUSTE18!$A:$AE,VLOOKUP($BQZ$2,[2]ARBOR_REAJUSTE18!$A:$B,2,0),0))),"")&lt;0.01%,0.01%,(IFERROR(IF($BQZ5="","",IF($BQZ5=0,1,1-$BQZ5/HLOOKUP(BRY$3,[2]ARBOR_REAJUSTE18!$A:$AE,VLOOKUP($BQZ$2,[2]ARBOR_REAJUSTE18!$A:$B,2,0),0))),""))),4)</f>
        <v>#VALUE!</v>
      </c>
      <c r="BRZ5" s="44" t="e">
        <f>ROUNDUP(IF(IFERROR(IF($BQZ5="","",IF($BQZ5=0,1,1-$BQZ5/HLOOKUP(BRZ$3,[2]ARBOR_REAJUSTE18!$A:$AE,VLOOKUP($BQZ$2,[2]ARBOR_REAJUSTE18!$A:$B,2,0),0))),"")&lt;0.01%,0.01%,(IFERROR(IF($BQZ5="","",IF($BQZ5=0,1,1-$BQZ5/HLOOKUP(BRZ$3,[2]ARBOR_REAJUSTE18!$A:$AE,VLOOKUP($BQZ$2,[2]ARBOR_REAJUSTE18!$A:$B,2,0),0))),""))),4)</f>
        <v>#VALUE!</v>
      </c>
      <c r="BSA5" s="44" t="e">
        <f>ROUNDUP(IF(IFERROR(IF($BQZ5="","",IF($BQZ5=0,1,1-$BQZ5/HLOOKUP(BSA$3,[2]ARBOR_REAJUSTE18!$A:$AE,VLOOKUP($BQZ$2,[2]ARBOR_REAJUSTE18!$A:$B,2,0),0))),"")&lt;0.01%,0.01%,(IFERROR(IF($BQZ5="","",IF($BQZ5=0,1,1-$BQZ5/HLOOKUP(BSA$3,[2]ARBOR_REAJUSTE18!$A:$AE,VLOOKUP($BQZ$2,[2]ARBOR_REAJUSTE18!$A:$B,2,0),0))),""))),4)</f>
        <v>#VALUE!</v>
      </c>
      <c r="BSB5" s="44" t="e">
        <f>ROUNDUP(IF(IFERROR(IF($BQZ5="","",IF($BQZ5=0,1,1-$BQZ5/HLOOKUP(BSB$3,[2]ARBOR_REAJUSTE18!$A:$AE,VLOOKUP($BQZ$2,[2]ARBOR_REAJUSTE18!$A:$B,2,0),0))),"")&lt;0.01%,0.01%,(IFERROR(IF($BQZ5="","",IF($BQZ5=0,1,1-$BQZ5/HLOOKUP(BSB$3,[2]ARBOR_REAJUSTE18!$A:$AE,VLOOKUP($BQZ$2,[2]ARBOR_REAJUSTE18!$A:$B,2,0),0))),""))),4)</f>
        <v>#VALUE!</v>
      </c>
      <c r="BSC5" s="56"/>
      <c r="BSD5" s="56" t="s">
        <v>264</v>
      </c>
      <c r="BSE5" s="44" t="e">
        <f>ROUNDUP(IF(IFERROR(IF($BSC5="","",IF($BSC5=0,1,1-$BSC5/HLOOKUP(BSE$3,[2]ARBOR_REAJUSTE18!$A:$AE,VLOOKUP($BSC$2,[2]ARBOR_REAJUSTE18!$A:$B,2,0),0))),"")&lt;0.01%,0.01%,(IFERROR(IF($BSC5="","",IF($BSC5=0,1,1-$BSC5/HLOOKUP(BSE$3,[2]ARBOR_REAJUSTE18!$A:$AE,VLOOKUP($BSC$2,[2]ARBOR_REAJUSTE18!$A:$B,2,0),0))),""))),4)</f>
        <v>#VALUE!</v>
      </c>
      <c r="BSF5" s="44" t="e">
        <f>ROUNDUP(IF(IFERROR(IF($BSC5="","",IF($BSC5=0,1,1-$BSC5/HLOOKUP(BSF$3,[2]ARBOR_REAJUSTE18!$A:$AE,VLOOKUP($BSC$2,[2]ARBOR_REAJUSTE18!$A:$B,2,0),0))),"")&lt;0.01%,0.01%,(IFERROR(IF($BSC5="","",IF($BSC5=0,1,1-$BSC5/HLOOKUP(BSF$3,[2]ARBOR_REAJUSTE18!$A:$AE,VLOOKUP($BSC$2,[2]ARBOR_REAJUSTE18!$A:$B,2,0),0))),""))),4)</f>
        <v>#VALUE!</v>
      </c>
      <c r="BSG5" s="44" t="e">
        <f>ROUNDUP(IF(IFERROR(IF($BSC5="","",IF($BSC5=0,1,1-$BSC5/HLOOKUP(BSG$3,[2]ARBOR_REAJUSTE18!$A:$AE,VLOOKUP($BSC$2,[2]ARBOR_REAJUSTE18!$A:$B,2,0),0))),"")&lt;0.01%,0.01%,(IFERROR(IF($BSC5="","",IF($BSC5=0,1,1-$BSC5/HLOOKUP(BSG$3,[2]ARBOR_REAJUSTE18!$A:$AE,VLOOKUP($BSC$2,[2]ARBOR_REAJUSTE18!$A:$B,2,0),0))),""))),4)</f>
        <v>#VALUE!</v>
      </c>
      <c r="BSH5" s="44" t="e">
        <f>ROUNDUP(IF(IFERROR(IF($BSC5="","",IF($BSC5=0,1,1-$BSC5/HLOOKUP(BSH$3,[2]ARBOR_REAJUSTE18!$A:$AE,VLOOKUP($BSC$2,[2]ARBOR_REAJUSTE18!$A:$B,2,0),0))),"")&lt;0.01%,0.01%,(IFERROR(IF($BSC5="","",IF($BSC5=0,1,1-$BSC5/HLOOKUP(BSH$3,[2]ARBOR_REAJUSTE18!$A:$AE,VLOOKUP($BSC$2,[2]ARBOR_REAJUSTE18!$A:$B,2,0),0))),""))),4)</f>
        <v>#VALUE!</v>
      </c>
      <c r="BSI5" s="44" t="e">
        <f>ROUNDUP(IF(IFERROR(IF($BSC5="","",IF($BSC5=0,1,1-$BSC5/HLOOKUP(BSI$3,[2]ARBOR_REAJUSTE18!$A:$AE,VLOOKUP($BSC$2,[2]ARBOR_REAJUSTE18!$A:$B,2,0),0))),"")&lt;0.01%,0.01%,(IFERROR(IF($BSC5="","",IF($BSC5=0,1,1-$BSC5/HLOOKUP(BSI$3,[2]ARBOR_REAJUSTE18!$A:$AE,VLOOKUP($BSC$2,[2]ARBOR_REAJUSTE18!$A:$B,2,0),0))),""))),4)</f>
        <v>#VALUE!</v>
      </c>
      <c r="BSJ5" s="44" t="e">
        <f>ROUNDUP(IF(IFERROR(IF($BSC5="","",IF($BSC5=0,1,1-$BSC5/HLOOKUP(BSJ$3,[2]ARBOR_REAJUSTE18!$A:$AE,VLOOKUP($BSC$2,[2]ARBOR_REAJUSTE18!$A:$B,2,0),0))),"")&lt;0.01%,0.01%,(IFERROR(IF($BSC5="","",IF($BSC5=0,1,1-$BSC5/HLOOKUP(BSJ$3,[2]ARBOR_REAJUSTE18!$A:$AE,VLOOKUP($BSC$2,[2]ARBOR_REAJUSTE18!$A:$B,2,0),0))),""))),4)</f>
        <v>#VALUE!</v>
      </c>
      <c r="BSK5" s="44" t="e">
        <f>ROUNDUP(IF(IFERROR(IF($BSC5="","",IF($BSC5=0,1,1-$BSC5/HLOOKUP(BSK$3,[2]ARBOR_REAJUSTE18!$A:$AE,VLOOKUP($BSC$2,[2]ARBOR_REAJUSTE18!$A:$B,2,0),0))),"")&lt;0.01%,0.01%,(IFERROR(IF($BSC5="","",IF($BSC5=0,1,1-$BSC5/HLOOKUP(BSK$3,[2]ARBOR_REAJUSTE18!$A:$AE,VLOOKUP($BSC$2,[2]ARBOR_REAJUSTE18!$A:$B,2,0),0))),""))),4)</f>
        <v>#VALUE!</v>
      </c>
      <c r="BSL5" s="44" t="e">
        <f>ROUNDUP(IF(IFERROR(IF($BSC5="","",IF($BSC5=0,1,1-$BSC5/HLOOKUP(BSL$3,[2]ARBOR_REAJUSTE18!$A:$AE,VLOOKUP($BSC$2,[2]ARBOR_REAJUSTE18!$A:$B,2,0),0))),"")&lt;0.01%,0.01%,(IFERROR(IF($BSC5="","",IF($BSC5=0,1,1-$BSC5/HLOOKUP(BSL$3,[2]ARBOR_REAJUSTE18!$A:$AE,VLOOKUP($BSC$2,[2]ARBOR_REAJUSTE18!$A:$B,2,0),0))),""))),4)</f>
        <v>#VALUE!</v>
      </c>
      <c r="BSM5" s="44" t="e">
        <f>ROUNDUP(IF(IFERROR(IF($BSC5="","",IF($BSC5=0,1,1-$BSC5/HLOOKUP(BSM$3,[2]ARBOR_REAJUSTE18!$A:$AE,VLOOKUP($BSC$2,[2]ARBOR_REAJUSTE18!$A:$B,2,0),0))),"")&lt;0.01%,0.01%,(IFERROR(IF($BSC5="","",IF($BSC5=0,1,1-$BSC5/HLOOKUP(BSM$3,[2]ARBOR_REAJUSTE18!$A:$AE,VLOOKUP($BSC$2,[2]ARBOR_REAJUSTE18!$A:$B,2,0),0))),""))),4)</f>
        <v>#VALUE!</v>
      </c>
      <c r="BSN5" s="44" t="e">
        <f>ROUNDUP(IF(IFERROR(IF($BSC5="","",IF($BSC5=0,1,1-$BSC5/HLOOKUP(BSN$3,[2]ARBOR_REAJUSTE18!$A:$AE,VLOOKUP($BSC$2,[2]ARBOR_REAJUSTE18!$A:$B,2,0),0))),"")&lt;0.01%,0.01%,(IFERROR(IF($BSC5="","",IF($BSC5=0,1,1-$BSC5/HLOOKUP(BSN$3,[2]ARBOR_REAJUSTE18!$A:$AE,VLOOKUP($BSC$2,[2]ARBOR_REAJUSTE18!$A:$B,2,0),0))),""))),4)</f>
        <v>#VALUE!</v>
      </c>
      <c r="BSO5" s="44" t="e">
        <f>ROUNDUP(IF(IFERROR(IF($BSC5="","",IF($BSC5=0,1,1-$BSC5/HLOOKUP(BSO$3,[2]ARBOR_REAJUSTE18!$A:$AE,VLOOKUP($BSC$2,[2]ARBOR_REAJUSTE18!$A:$B,2,0),0))),"")&lt;0.01%,0.01%,(IFERROR(IF($BSC5="","",IF($BSC5=0,1,1-$BSC5/HLOOKUP(BSO$3,[2]ARBOR_REAJUSTE18!$A:$AE,VLOOKUP($BSC$2,[2]ARBOR_REAJUSTE18!$A:$B,2,0),0))),""))),4)</f>
        <v>#VALUE!</v>
      </c>
      <c r="BSP5" s="44" t="e">
        <f>ROUNDUP(IF(IFERROR(IF($BSC5="","",IF($BSC5=0,1,1-$BSC5/HLOOKUP(BSP$3,[2]ARBOR_REAJUSTE18!$A:$AE,VLOOKUP($BSC$2,[2]ARBOR_REAJUSTE18!$A:$B,2,0),0))),"")&lt;0.01%,0.01%,(IFERROR(IF($BSC5="","",IF($BSC5=0,1,1-$BSC5/HLOOKUP(BSP$3,[2]ARBOR_REAJUSTE18!$A:$AE,VLOOKUP($BSC$2,[2]ARBOR_REAJUSTE18!$A:$B,2,0),0))),""))),4)</f>
        <v>#VALUE!</v>
      </c>
      <c r="BSQ5" s="44" t="e">
        <f>ROUNDUP(IF(IFERROR(IF($BSC5="","",IF($BSC5=0,1,1-$BSC5/HLOOKUP(BSQ$3,[2]ARBOR_REAJUSTE18!$A:$AE,VLOOKUP($BSC$2,[2]ARBOR_REAJUSTE18!$A:$B,2,0),0))),"")&lt;0.01%,0.01%,(IFERROR(IF($BSC5="","",IF($BSC5=0,1,1-$BSC5/HLOOKUP(BSQ$3,[2]ARBOR_REAJUSTE18!$A:$AE,VLOOKUP($BSC$2,[2]ARBOR_REAJUSTE18!$A:$B,2,0),0))),""))),4)</f>
        <v>#VALUE!</v>
      </c>
      <c r="BSR5" s="44" t="e">
        <f>ROUNDUP(IF(IFERROR(IF($BSC5="","",IF($BSC5=0,1,1-$BSC5/HLOOKUP(BSR$3,[2]ARBOR_REAJUSTE18!$A:$AE,VLOOKUP($BSC$2,[2]ARBOR_REAJUSTE18!$A:$B,2,0),0))),"")&lt;0.01%,0.01%,(IFERROR(IF($BSC5="","",IF($BSC5=0,1,1-$BSC5/HLOOKUP(BSR$3,[2]ARBOR_REAJUSTE18!$A:$AE,VLOOKUP($BSC$2,[2]ARBOR_REAJUSTE18!$A:$B,2,0),0))),""))),4)</f>
        <v>#VALUE!</v>
      </c>
      <c r="BSS5" s="44" t="e">
        <f>ROUNDUP(IF(IFERROR(IF($BSC5="","",IF($BSC5=0,1,1-$BSC5/HLOOKUP(BSS$3,[2]ARBOR_REAJUSTE18!$A:$AE,VLOOKUP($BSC$2,[2]ARBOR_REAJUSTE18!$A:$B,2,0),0))),"")&lt;0.01%,0.01%,(IFERROR(IF($BSC5="","",IF($BSC5=0,1,1-$BSC5/HLOOKUP(BSS$3,[2]ARBOR_REAJUSTE18!$A:$AE,VLOOKUP($BSC$2,[2]ARBOR_REAJUSTE18!$A:$B,2,0),0))),""))),4)</f>
        <v>#VALUE!</v>
      </c>
      <c r="BST5" s="44" t="e">
        <f>ROUNDUP(IF(IFERROR(IF($BSC5="","",IF($BSC5=0,1,1-$BSC5/HLOOKUP(BST$3,[2]ARBOR_REAJUSTE18!$A:$AE,VLOOKUP($BSC$2,[2]ARBOR_REAJUSTE18!$A:$B,2,0),0))),"")&lt;0.01%,0.01%,(IFERROR(IF($BSC5="","",IF($BSC5=0,1,1-$BSC5/HLOOKUP(BST$3,[2]ARBOR_REAJUSTE18!$A:$AE,VLOOKUP($BSC$2,[2]ARBOR_REAJUSTE18!$A:$B,2,0),0))),""))),4)</f>
        <v>#VALUE!</v>
      </c>
      <c r="BSU5" s="44" t="e">
        <f>ROUNDUP(IF(IFERROR(IF($BSC5="","",IF($BSC5=0,1,1-$BSC5/HLOOKUP(BSU$3,[2]ARBOR_REAJUSTE18!$A:$AE,VLOOKUP($BSC$2,[2]ARBOR_REAJUSTE18!$A:$B,2,0),0))),"")&lt;0.01%,0.01%,(IFERROR(IF($BSC5="","",IF($BSC5=0,1,1-$BSC5/HLOOKUP(BSU$3,[2]ARBOR_REAJUSTE18!$A:$AE,VLOOKUP($BSC$2,[2]ARBOR_REAJUSTE18!$A:$B,2,0),0))),""))),4)</f>
        <v>#VALUE!</v>
      </c>
      <c r="BSV5" s="44" t="e">
        <f>ROUNDUP(IF(IFERROR(IF($BSC5="","",IF($BSC5=0,1,1-$BSC5/HLOOKUP(BSV$3,[2]ARBOR_REAJUSTE18!$A:$AE,VLOOKUP($BSC$2,[2]ARBOR_REAJUSTE18!$A:$B,2,0),0))),"")&lt;0.01%,0.01%,(IFERROR(IF($BSC5="","",IF($BSC5=0,1,1-$BSC5/HLOOKUP(BSV$3,[2]ARBOR_REAJUSTE18!$A:$AE,VLOOKUP($BSC$2,[2]ARBOR_REAJUSTE18!$A:$B,2,0),0))),""))),4)</f>
        <v>#VALUE!</v>
      </c>
      <c r="BSW5" s="44" t="e">
        <f>ROUNDUP(IF(IFERROR(IF($BSC5="","",IF($BSC5=0,1,1-$BSC5/HLOOKUP(BSW$3,[2]ARBOR_REAJUSTE18!$A:$AE,VLOOKUP($BSC$2,[2]ARBOR_REAJUSTE18!$A:$B,2,0),0))),"")&lt;0.01%,0.01%,(IFERROR(IF($BSC5="","",IF($BSC5=0,1,1-$BSC5/HLOOKUP(BSW$3,[2]ARBOR_REAJUSTE18!$A:$AE,VLOOKUP($BSC$2,[2]ARBOR_REAJUSTE18!$A:$B,2,0),0))),""))),4)</f>
        <v>#VALUE!</v>
      </c>
      <c r="BSX5" s="44" t="e">
        <f>ROUNDUP(IF(IFERROR(IF($BSC5="","",IF($BSC5=0,1,1-$BSC5/HLOOKUP(BSX$3,[2]ARBOR_REAJUSTE18!$A:$AE,VLOOKUP($BSC$2,[2]ARBOR_REAJUSTE18!$A:$B,2,0),0))),"")&lt;0.01%,0.01%,(IFERROR(IF($BSC5="","",IF($BSC5=0,1,1-$BSC5/HLOOKUP(BSX$3,[2]ARBOR_REAJUSTE18!$A:$AE,VLOOKUP($BSC$2,[2]ARBOR_REAJUSTE18!$A:$B,2,0),0))),""))),4)</f>
        <v>#VALUE!</v>
      </c>
      <c r="BSY5" s="44" t="e">
        <f>ROUNDUP(IF(IFERROR(IF($BSC5="","",IF($BSC5=0,1,1-$BSC5/HLOOKUP(BSY$3,[2]ARBOR_REAJUSTE18!$A:$AE,VLOOKUP($BSC$2,[2]ARBOR_REAJUSTE18!$A:$B,2,0),0))),"")&lt;0.01%,0.01%,(IFERROR(IF($BSC5="","",IF($BSC5=0,1,1-$BSC5/HLOOKUP(BSY$3,[2]ARBOR_REAJUSTE18!$A:$AE,VLOOKUP($BSC$2,[2]ARBOR_REAJUSTE18!$A:$B,2,0),0))),""))),4)</f>
        <v>#VALUE!</v>
      </c>
      <c r="BSZ5" s="44" t="e">
        <f>ROUNDUP(IF(IFERROR(IF($BSC5="","",IF($BSC5=0,1,1-$BSC5/HLOOKUP(BSZ$3,[2]ARBOR_REAJUSTE18!$A:$AE,VLOOKUP($BSC$2,[2]ARBOR_REAJUSTE18!$A:$B,2,0),0))),"")&lt;0.01%,0.01%,(IFERROR(IF($BSC5="","",IF($BSC5=0,1,1-$BSC5/HLOOKUP(BSZ$3,[2]ARBOR_REAJUSTE18!$A:$AE,VLOOKUP($BSC$2,[2]ARBOR_REAJUSTE18!$A:$B,2,0),0))),""))),4)</f>
        <v>#VALUE!</v>
      </c>
      <c r="BTA5" s="44" t="e">
        <f>ROUNDUP(IF(IFERROR(IF($BSC5="","",IF($BSC5=0,1,1-$BSC5/HLOOKUP(BTA$3,[2]ARBOR_REAJUSTE18!$A:$AE,VLOOKUP($BSC$2,[2]ARBOR_REAJUSTE18!$A:$B,2,0),0))),"")&lt;0.01%,0.01%,(IFERROR(IF($BSC5="","",IF($BSC5=0,1,1-$BSC5/HLOOKUP(BTA$3,[2]ARBOR_REAJUSTE18!$A:$AE,VLOOKUP($BSC$2,[2]ARBOR_REAJUSTE18!$A:$B,2,0),0))),""))),4)</f>
        <v>#VALUE!</v>
      </c>
      <c r="BTB5" s="44" t="e">
        <f>ROUNDUP(IF(IFERROR(IF($BSC5="","",IF($BSC5=0,1,1-$BSC5/HLOOKUP(BTB$3,[2]ARBOR_REAJUSTE18!$A:$AE,VLOOKUP($BSC$2,[2]ARBOR_REAJUSTE18!$A:$B,2,0),0))),"")&lt;0.01%,0.01%,(IFERROR(IF($BSC5="","",IF($BSC5=0,1,1-$BSC5/HLOOKUP(BTB$3,[2]ARBOR_REAJUSTE18!$A:$AE,VLOOKUP($BSC$2,[2]ARBOR_REAJUSTE18!$A:$B,2,0),0))),""))),4)</f>
        <v>#VALUE!</v>
      </c>
      <c r="BTC5" s="44" t="e">
        <f>ROUNDUP(IF(IFERROR(IF($BSC5="","",IF($BSC5=0,1,1-$BSC5/HLOOKUP(BTC$3,[2]ARBOR_REAJUSTE18!$A:$AE,VLOOKUP($BSC$2,[2]ARBOR_REAJUSTE18!$A:$B,2,0),0))),"")&lt;0.01%,0.01%,(IFERROR(IF($BSC5="","",IF($BSC5=0,1,1-$BSC5/HLOOKUP(BTC$3,[2]ARBOR_REAJUSTE18!$A:$AE,VLOOKUP($BSC$2,[2]ARBOR_REAJUSTE18!$A:$B,2,0),0))),""))),4)</f>
        <v>#VALUE!</v>
      </c>
      <c r="BTD5" s="44" t="e">
        <f>ROUNDUP(IF(IFERROR(IF($BSC5="","",IF($BSC5=0,1,1-$BSC5/HLOOKUP(BTD$3,[2]ARBOR_REAJUSTE18!$A:$AE,VLOOKUP($BSC$2,[2]ARBOR_REAJUSTE18!$A:$B,2,0),0))),"")&lt;0.01%,0.01%,(IFERROR(IF($BSC5="","",IF($BSC5=0,1,1-$BSC5/HLOOKUP(BTD$3,[2]ARBOR_REAJUSTE18!$A:$AE,VLOOKUP($BSC$2,[2]ARBOR_REAJUSTE18!$A:$B,2,0),0))),""))),4)</f>
        <v>#VALUE!</v>
      </c>
      <c r="BTE5" s="44" t="e">
        <f>ROUNDUP(IF(IFERROR(IF($BSC5="","",IF($BSC5=0,1,1-$BSC5/HLOOKUP(BTE$3,[2]ARBOR_REAJUSTE18!$A:$AE,VLOOKUP($BSC$2,[2]ARBOR_REAJUSTE18!$A:$B,2,0),0))),"")&lt;0.01%,0.01%,(IFERROR(IF($BSC5="","",IF($BSC5=0,1,1-$BSC5/HLOOKUP(BTE$3,[2]ARBOR_REAJUSTE18!$A:$AE,VLOOKUP($BSC$2,[2]ARBOR_REAJUSTE18!$A:$B,2,0),0))),""))),4)</f>
        <v>#VALUE!</v>
      </c>
      <c r="BTF5" s="56"/>
      <c r="BTG5" s="56" t="s">
        <v>265</v>
      </c>
      <c r="BTH5" s="44" t="e">
        <f>ROUNDUP(IF(IFERROR(IF($BTF5="","",IF($BTF5=0,1,1-$BTF5/HLOOKUP(BTH$3,[2]ARBOR_REAJUSTE18!$A:$AE,VLOOKUP($BTF$2,[2]ARBOR_REAJUSTE18!$A:$B,2,0),0))),"")&lt;0.01%,0.01%,(IFERROR(IF($BTF5="","",IF($BTF5=0,1,1-$BTF5/HLOOKUP(BTH$3,[2]ARBOR_REAJUSTE18!$A:$AE,VLOOKUP($BTF$2,[2]ARBOR_REAJUSTE18!$A:$B,2,0),0))),""))),4)</f>
        <v>#VALUE!</v>
      </c>
      <c r="BTI5" s="44" t="e">
        <f>ROUNDUP(IF(IFERROR(IF($BTF5="","",IF($BTF5=0,1,1-$BTF5/HLOOKUP(BTI$3,[2]ARBOR_REAJUSTE18!$A:$AE,VLOOKUP($BTF$2,[2]ARBOR_REAJUSTE18!$A:$B,2,0),0))),"")&lt;0.01%,0.01%,(IFERROR(IF($BTF5="","",IF($BTF5=0,1,1-$BTF5/HLOOKUP(BTI$3,[2]ARBOR_REAJUSTE18!$A:$AE,VLOOKUP($BTF$2,[2]ARBOR_REAJUSTE18!$A:$B,2,0),0))),""))),4)</f>
        <v>#VALUE!</v>
      </c>
      <c r="BTJ5" s="44" t="e">
        <f>ROUNDUP(IF(IFERROR(IF($BTF5="","",IF($BTF5=0,1,1-$BTF5/HLOOKUP(BTJ$3,[2]ARBOR_REAJUSTE18!$A:$AE,VLOOKUP($BTF$2,[2]ARBOR_REAJUSTE18!$A:$B,2,0),0))),"")&lt;0.01%,0.01%,(IFERROR(IF($BTF5="","",IF($BTF5=0,1,1-$BTF5/HLOOKUP(BTJ$3,[2]ARBOR_REAJUSTE18!$A:$AE,VLOOKUP($BTF$2,[2]ARBOR_REAJUSTE18!$A:$B,2,0),0))),""))),4)</f>
        <v>#VALUE!</v>
      </c>
      <c r="BTK5" s="44" t="e">
        <f>ROUNDUP(IF(IFERROR(IF($BTF5="","",IF($BTF5=0,1,1-$BTF5/HLOOKUP(BTK$3,[2]ARBOR_REAJUSTE18!$A:$AE,VLOOKUP($BTF$2,[2]ARBOR_REAJUSTE18!$A:$B,2,0),0))),"")&lt;0.01%,0.01%,(IFERROR(IF($BTF5="","",IF($BTF5=0,1,1-$BTF5/HLOOKUP(BTK$3,[2]ARBOR_REAJUSTE18!$A:$AE,VLOOKUP($BTF$2,[2]ARBOR_REAJUSTE18!$A:$B,2,0),0))),""))),4)</f>
        <v>#VALUE!</v>
      </c>
      <c r="BTL5" s="44" t="e">
        <f>ROUNDUP(IF(IFERROR(IF($BTF5="","",IF($BTF5=0,1,1-$BTF5/HLOOKUP(BTL$3,[2]ARBOR_REAJUSTE18!$A:$AE,VLOOKUP($BTF$2,[2]ARBOR_REAJUSTE18!$A:$B,2,0),0))),"")&lt;0.01%,0.01%,(IFERROR(IF($BTF5="","",IF($BTF5=0,1,1-$BTF5/HLOOKUP(BTL$3,[2]ARBOR_REAJUSTE18!$A:$AE,VLOOKUP($BTF$2,[2]ARBOR_REAJUSTE18!$A:$B,2,0),0))),""))),4)</f>
        <v>#VALUE!</v>
      </c>
      <c r="BTM5" s="44" t="e">
        <f>ROUNDUP(IF(IFERROR(IF($BTF5="","",IF($BTF5=0,1,1-$BTF5/HLOOKUP(BTM$3,[2]ARBOR_REAJUSTE18!$A:$AE,VLOOKUP($BTF$2,[2]ARBOR_REAJUSTE18!$A:$B,2,0),0))),"")&lt;0.01%,0.01%,(IFERROR(IF($BTF5="","",IF($BTF5=0,1,1-$BTF5/HLOOKUP(BTM$3,[2]ARBOR_REAJUSTE18!$A:$AE,VLOOKUP($BTF$2,[2]ARBOR_REAJUSTE18!$A:$B,2,0),0))),""))),4)</f>
        <v>#VALUE!</v>
      </c>
      <c r="BTN5" s="44" t="e">
        <f>ROUNDUP(IF(IFERROR(IF($BTF5="","",IF($BTF5=0,1,1-$BTF5/HLOOKUP(BTN$3,[2]ARBOR_REAJUSTE18!$A:$AE,VLOOKUP($BTF$2,[2]ARBOR_REAJUSTE18!$A:$B,2,0),0))),"")&lt;0.01%,0.01%,(IFERROR(IF($BTF5="","",IF($BTF5=0,1,1-$BTF5/HLOOKUP(BTN$3,[2]ARBOR_REAJUSTE18!$A:$AE,VLOOKUP($BTF$2,[2]ARBOR_REAJUSTE18!$A:$B,2,0),0))),""))),4)</f>
        <v>#VALUE!</v>
      </c>
      <c r="BTO5" s="44" t="e">
        <f>ROUNDUP(IF(IFERROR(IF($BTF5="","",IF($BTF5=0,1,1-$BTF5/HLOOKUP(BTO$3,[2]ARBOR_REAJUSTE18!$A:$AE,VLOOKUP($BTF$2,[2]ARBOR_REAJUSTE18!$A:$B,2,0),0))),"")&lt;0.01%,0.01%,(IFERROR(IF($BTF5="","",IF($BTF5=0,1,1-$BTF5/HLOOKUP(BTO$3,[2]ARBOR_REAJUSTE18!$A:$AE,VLOOKUP($BTF$2,[2]ARBOR_REAJUSTE18!$A:$B,2,0),0))),""))),4)</f>
        <v>#VALUE!</v>
      </c>
      <c r="BTP5" s="44" t="e">
        <f>ROUNDUP(IF(IFERROR(IF($BTF5="","",IF($BTF5=0,1,1-$BTF5/HLOOKUP(BTP$3,[2]ARBOR_REAJUSTE18!$A:$AE,VLOOKUP($BTF$2,[2]ARBOR_REAJUSTE18!$A:$B,2,0),0))),"")&lt;0.01%,0.01%,(IFERROR(IF($BTF5="","",IF($BTF5=0,1,1-$BTF5/HLOOKUP(BTP$3,[2]ARBOR_REAJUSTE18!$A:$AE,VLOOKUP($BTF$2,[2]ARBOR_REAJUSTE18!$A:$B,2,0),0))),""))),4)</f>
        <v>#VALUE!</v>
      </c>
      <c r="BTQ5" s="44" t="e">
        <f>ROUNDUP(IF(IFERROR(IF($BTF5="","",IF($BTF5=0,1,1-$BTF5/HLOOKUP(BTQ$3,[2]ARBOR_REAJUSTE18!$A:$AE,VLOOKUP($BTF$2,[2]ARBOR_REAJUSTE18!$A:$B,2,0),0))),"")&lt;0.01%,0.01%,(IFERROR(IF($BTF5="","",IF($BTF5=0,1,1-$BTF5/HLOOKUP(BTQ$3,[2]ARBOR_REAJUSTE18!$A:$AE,VLOOKUP($BTF$2,[2]ARBOR_REAJUSTE18!$A:$B,2,0),0))),""))),4)</f>
        <v>#VALUE!</v>
      </c>
      <c r="BTR5" s="44" t="e">
        <f>ROUNDUP(IF(IFERROR(IF($BTF5="","",IF($BTF5=0,1,1-$BTF5/HLOOKUP(BTR$3,[2]ARBOR_REAJUSTE18!$A:$AE,VLOOKUP($BTF$2,[2]ARBOR_REAJUSTE18!$A:$B,2,0),0))),"")&lt;0.01%,0.01%,(IFERROR(IF($BTF5="","",IF($BTF5=0,1,1-$BTF5/HLOOKUP(BTR$3,[2]ARBOR_REAJUSTE18!$A:$AE,VLOOKUP($BTF$2,[2]ARBOR_REAJUSTE18!$A:$B,2,0),0))),""))),4)</f>
        <v>#VALUE!</v>
      </c>
      <c r="BTS5" s="44" t="e">
        <f>ROUNDUP(IF(IFERROR(IF($BTF5="","",IF($BTF5=0,1,1-$BTF5/HLOOKUP(BTS$3,[2]ARBOR_REAJUSTE18!$A:$AE,VLOOKUP($BTF$2,[2]ARBOR_REAJUSTE18!$A:$B,2,0),0))),"")&lt;0.01%,0.01%,(IFERROR(IF($BTF5="","",IF($BTF5=0,1,1-$BTF5/HLOOKUP(BTS$3,[2]ARBOR_REAJUSTE18!$A:$AE,VLOOKUP($BTF$2,[2]ARBOR_REAJUSTE18!$A:$B,2,0),0))),""))),4)</f>
        <v>#VALUE!</v>
      </c>
      <c r="BTT5" s="44" t="e">
        <f>ROUNDUP(IF(IFERROR(IF($BTF5="","",IF($BTF5=0,1,1-$BTF5/HLOOKUP(BTT$3,[2]ARBOR_REAJUSTE18!$A:$AE,VLOOKUP($BTF$2,[2]ARBOR_REAJUSTE18!$A:$B,2,0),0))),"")&lt;0.01%,0.01%,(IFERROR(IF($BTF5="","",IF($BTF5=0,1,1-$BTF5/HLOOKUP(BTT$3,[2]ARBOR_REAJUSTE18!$A:$AE,VLOOKUP($BTF$2,[2]ARBOR_REAJUSTE18!$A:$B,2,0),0))),""))),4)</f>
        <v>#VALUE!</v>
      </c>
      <c r="BTU5" s="44" t="e">
        <f>ROUNDUP(IF(IFERROR(IF($BTF5="","",IF($BTF5=0,1,1-$BTF5/HLOOKUP(BTU$3,[2]ARBOR_REAJUSTE18!$A:$AE,VLOOKUP($BTF$2,[2]ARBOR_REAJUSTE18!$A:$B,2,0),0))),"")&lt;0.01%,0.01%,(IFERROR(IF($BTF5="","",IF($BTF5=0,1,1-$BTF5/HLOOKUP(BTU$3,[2]ARBOR_REAJUSTE18!$A:$AE,VLOOKUP($BTF$2,[2]ARBOR_REAJUSTE18!$A:$B,2,0),0))),""))),4)</f>
        <v>#VALUE!</v>
      </c>
      <c r="BTV5" s="44" t="e">
        <f>ROUNDUP(IF(IFERROR(IF($BTF5="","",IF($BTF5=0,1,1-$BTF5/HLOOKUP(BTV$3,[2]ARBOR_REAJUSTE18!$A:$AE,VLOOKUP($BTF$2,[2]ARBOR_REAJUSTE18!$A:$B,2,0),0))),"")&lt;0.01%,0.01%,(IFERROR(IF($BTF5="","",IF($BTF5=0,1,1-$BTF5/HLOOKUP(BTV$3,[2]ARBOR_REAJUSTE18!$A:$AE,VLOOKUP($BTF$2,[2]ARBOR_REAJUSTE18!$A:$B,2,0),0))),""))),4)</f>
        <v>#VALUE!</v>
      </c>
      <c r="BTW5" s="44" t="e">
        <f>ROUNDUP(IF(IFERROR(IF($BTF5="","",IF($BTF5=0,1,1-$BTF5/HLOOKUP(BTW$3,[2]ARBOR_REAJUSTE18!$A:$AE,VLOOKUP($BTF$2,[2]ARBOR_REAJUSTE18!$A:$B,2,0),0))),"")&lt;0.01%,0.01%,(IFERROR(IF($BTF5="","",IF($BTF5=0,1,1-$BTF5/HLOOKUP(BTW$3,[2]ARBOR_REAJUSTE18!$A:$AE,VLOOKUP($BTF$2,[2]ARBOR_REAJUSTE18!$A:$B,2,0),0))),""))),4)</f>
        <v>#VALUE!</v>
      </c>
      <c r="BTX5" s="44" t="e">
        <f>ROUNDUP(IF(IFERROR(IF($BTF5="","",IF($BTF5=0,1,1-$BTF5/HLOOKUP(BTX$3,[2]ARBOR_REAJUSTE18!$A:$AE,VLOOKUP($BTF$2,[2]ARBOR_REAJUSTE18!$A:$B,2,0),0))),"")&lt;0.01%,0.01%,(IFERROR(IF($BTF5="","",IF($BTF5=0,1,1-$BTF5/HLOOKUP(BTX$3,[2]ARBOR_REAJUSTE18!$A:$AE,VLOOKUP($BTF$2,[2]ARBOR_REAJUSTE18!$A:$B,2,0),0))),""))),4)</f>
        <v>#VALUE!</v>
      </c>
      <c r="BTY5" s="44" t="e">
        <f>ROUNDUP(IF(IFERROR(IF($BTF5="","",IF($BTF5=0,1,1-$BTF5/HLOOKUP(BTY$3,[2]ARBOR_REAJUSTE18!$A:$AE,VLOOKUP($BTF$2,[2]ARBOR_REAJUSTE18!$A:$B,2,0),0))),"")&lt;0.01%,0.01%,(IFERROR(IF($BTF5="","",IF($BTF5=0,1,1-$BTF5/HLOOKUP(BTY$3,[2]ARBOR_REAJUSTE18!$A:$AE,VLOOKUP($BTF$2,[2]ARBOR_REAJUSTE18!$A:$B,2,0),0))),""))),4)</f>
        <v>#VALUE!</v>
      </c>
      <c r="BTZ5" s="44" t="e">
        <f>ROUNDUP(IF(IFERROR(IF($BTF5="","",IF($BTF5=0,1,1-$BTF5/HLOOKUP(BTZ$3,[2]ARBOR_REAJUSTE18!$A:$AE,VLOOKUP($BTF$2,[2]ARBOR_REAJUSTE18!$A:$B,2,0),0))),"")&lt;0.01%,0.01%,(IFERROR(IF($BTF5="","",IF($BTF5=0,1,1-$BTF5/HLOOKUP(BTZ$3,[2]ARBOR_REAJUSTE18!$A:$AE,VLOOKUP($BTF$2,[2]ARBOR_REAJUSTE18!$A:$B,2,0),0))),""))),4)</f>
        <v>#VALUE!</v>
      </c>
      <c r="BUA5" s="44" t="e">
        <f>ROUNDUP(IF(IFERROR(IF($BTF5="","",IF($BTF5=0,1,1-$BTF5/HLOOKUP(BUA$3,[2]ARBOR_REAJUSTE18!$A:$AE,VLOOKUP($BTF$2,[2]ARBOR_REAJUSTE18!$A:$B,2,0),0))),"")&lt;0.01%,0.01%,(IFERROR(IF($BTF5="","",IF($BTF5=0,1,1-$BTF5/HLOOKUP(BUA$3,[2]ARBOR_REAJUSTE18!$A:$AE,VLOOKUP($BTF$2,[2]ARBOR_REAJUSTE18!$A:$B,2,0),0))),""))),4)</f>
        <v>#VALUE!</v>
      </c>
      <c r="BUB5" s="44" t="e">
        <f>ROUNDUP(IF(IFERROR(IF($BTF5="","",IF($BTF5=0,1,1-$BTF5/HLOOKUP(BUB$3,[2]ARBOR_REAJUSTE18!$A:$AE,VLOOKUP($BTF$2,[2]ARBOR_REAJUSTE18!$A:$B,2,0),0))),"")&lt;0.01%,0.01%,(IFERROR(IF($BTF5="","",IF($BTF5=0,1,1-$BTF5/HLOOKUP(BUB$3,[2]ARBOR_REAJUSTE18!$A:$AE,VLOOKUP($BTF$2,[2]ARBOR_REAJUSTE18!$A:$B,2,0),0))),""))),4)</f>
        <v>#VALUE!</v>
      </c>
      <c r="BUC5" s="44" t="e">
        <f>ROUNDUP(IF(IFERROR(IF($BTF5="","",IF($BTF5=0,1,1-$BTF5/HLOOKUP(BUC$3,[2]ARBOR_REAJUSTE18!$A:$AE,VLOOKUP($BTF$2,[2]ARBOR_REAJUSTE18!$A:$B,2,0),0))),"")&lt;0.01%,0.01%,(IFERROR(IF($BTF5="","",IF($BTF5=0,1,1-$BTF5/HLOOKUP(BUC$3,[2]ARBOR_REAJUSTE18!$A:$AE,VLOOKUP($BTF$2,[2]ARBOR_REAJUSTE18!$A:$B,2,0),0))),""))),4)</f>
        <v>#VALUE!</v>
      </c>
      <c r="BUD5" s="44" t="e">
        <f>ROUNDUP(IF(IFERROR(IF($BTF5="","",IF($BTF5=0,1,1-$BTF5/HLOOKUP(BUD$3,[2]ARBOR_REAJUSTE18!$A:$AE,VLOOKUP($BTF$2,[2]ARBOR_REAJUSTE18!$A:$B,2,0),0))),"")&lt;0.01%,0.01%,(IFERROR(IF($BTF5="","",IF($BTF5=0,1,1-$BTF5/HLOOKUP(BUD$3,[2]ARBOR_REAJUSTE18!$A:$AE,VLOOKUP($BTF$2,[2]ARBOR_REAJUSTE18!$A:$B,2,0),0))),""))),4)</f>
        <v>#VALUE!</v>
      </c>
      <c r="BUE5" s="44" t="e">
        <f>ROUNDUP(IF(IFERROR(IF($BTF5="","",IF($BTF5=0,1,1-$BTF5/HLOOKUP(BUE$3,[2]ARBOR_REAJUSTE18!$A:$AE,VLOOKUP($BTF$2,[2]ARBOR_REAJUSTE18!$A:$B,2,0),0))),"")&lt;0.01%,0.01%,(IFERROR(IF($BTF5="","",IF($BTF5=0,1,1-$BTF5/HLOOKUP(BUE$3,[2]ARBOR_REAJUSTE18!$A:$AE,VLOOKUP($BTF$2,[2]ARBOR_REAJUSTE18!$A:$B,2,0),0))),""))),4)</f>
        <v>#VALUE!</v>
      </c>
      <c r="BUF5" s="44" t="e">
        <f>ROUNDUP(IF(IFERROR(IF($BTF5="","",IF($BTF5=0,1,1-$BTF5/HLOOKUP(BUF$3,[2]ARBOR_REAJUSTE18!$A:$AE,VLOOKUP($BTF$2,[2]ARBOR_REAJUSTE18!$A:$B,2,0),0))),"")&lt;0.01%,0.01%,(IFERROR(IF($BTF5="","",IF($BTF5=0,1,1-$BTF5/HLOOKUP(BUF$3,[2]ARBOR_REAJUSTE18!$A:$AE,VLOOKUP($BTF$2,[2]ARBOR_REAJUSTE18!$A:$B,2,0),0))),""))),4)</f>
        <v>#VALUE!</v>
      </c>
      <c r="BUG5" s="44" t="e">
        <f>ROUNDUP(IF(IFERROR(IF($BTF5="","",IF($BTF5=0,1,1-$BTF5/HLOOKUP(BUG$3,[2]ARBOR_REAJUSTE18!$A:$AE,VLOOKUP($BTF$2,[2]ARBOR_REAJUSTE18!$A:$B,2,0),0))),"")&lt;0.01%,0.01%,(IFERROR(IF($BTF5="","",IF($BTF5=0,1,1-$BTF5/HLOOKUP(BUG$3,[2]ARBOR_REAJUSTE18!$A:$AE,VLOOKUP($BTF$2,[2]ARBOR_REAJUSTE18!$A:$B,2,0),0))),""))),4)</f>
        <v>#VALUE!</v>
      </c>
      <c r="BUH5" s="44" t="e">
        <f>ROUNDUP(IF(IFERROR(IF($BTF5="","",IF($BTF5=0,1,1-$BTF5/HLOOKUP(BUH$3,[2]ARBOR_REAJUSTE18!$A:$AE,VLOOKUP($BTF$2,[2]ARBOR_REAJUSTE18!$A:$B,2,0),0))),"")&lt;0.01%,0.01%,(IFERROR(IF($BTF5="","",IF($BTF5=0,1,1-$BTF5/HLOOKUP(BUH$3,[2]ARBOR_REAJUSTE18!$A:$AE,VLOOKUP($BTF$2,[2]ARBOR_REAJUSTE18!$A:$B,2,0),0))),""))),4)</f>
        <v>#VALUE!</v>
      </c>
      <c r="BUI5" s="56"/>
      <c r="BUJ5" s="56" t="s">
        <v>266</v>
      </c>
      <c r="BUK5" s="44" t="e">
        <f>ROUNDUP(IF(IFERROR(IF($BUI5="","",IF($BUI5=0,1,1-$BUI5/HLOOKUP(BUK$3,[2]ARBOR_REAJUSTE18!$A:$AE,VLOOKUP($BUI$2,[2]ARBOR_REAJUSTE18!$A:$B,2,0),0))),"")&lt;0.01%,0.01%,(IFERROR(IF($BUI5="","",IF($BUI5=0,1,1-$BUI5/HLOOKUP(BUK$3,[2]ARBOR_REAJUSTE18!$A:$AE,VLOOKUP($BUI$2,[2]ARBOR_REAJUSTE18!$A:$B,2,0),0))),""))),4)</f>
        <v>#VALUE!</v>
      </c>
      <c r="BUL5" s="44" t="e">
        <f>ROUNDUP(IF(IFERROR(IF($BUI5="","",IF($BUI5=0,1,1-$BUI5/HLOOKUP(BUL$3,[2]ARBOR_REAJUSTE18!$A:$AE,VLOOKUP($BUI$2,[2]ARBOR_REAJUSTE18!$A:$B,2,0),0))),"")&lt;0.01%,0.01%,(IFERROR(IF($BUI5="","",IF($BUI5=0,1,1-$BUI5/HLOOKUP(BUL$3,[2]ARBOR_REAJUSTE18!$A:$AE,VLOOKUP($BUI$2,[2]ARBOR_REAJUSTE18!$A:$B,2,0),0))),""))),4)</f>
        <v>#VALUE!</v>
      </c>
      <c r="BUM5" s="44" t="e">
        <f>ROUNDUP(IF(IFERROR(IF($BUI5="","",IF($BUI5=0,1,1-$BUI5/HLOOKUP(BUM$3,[2]ARBOR_REAJUSTE18!$A:$AE,VLOOKUP($BUI$2,[2]ARBOR_REAJUSTE18!$A:$B,2,0),0))),"")&lt;0.01%,0.01%,(IFERROR(IF($BUI5="","",IF($BUI5=0,1,1-$BUI5/HLOOKUP(BUM$3,[2]ARBOR_REAJUSTE18!$A:$AE,VLOOKUP($BUI$2,[2]ARBOR_REAJUSTE18!$A:$B,2,0),0))),""))),4)</f>
        <v>#VALUE!</v>
      </c>
      <c r="BUN5" s="44" t="e">
        <f>ROUNDUP(IF(IFERROR(IF($BUI5="","",IF($BUI5=0,1,1-$BUI5/HLOOKUP(BUN$3,[2]ARBOR_REAJUSTE18!$A:$AE,VLOOKUP($BUI$2,[2]ARBOR_REAJUSTE18!$A:$B,2,0),0))),"")&lt;0.01%,0.01%,(IFERROR(IF($BUI5="","",IF($BUI5=0,1,1-$BUI5/HLOOKUP(BUN$3,[2]ARBOR_REAJUSTE18!$A:$AE,VLOOKUP($BUI$2,[2]ARBOR_REAJUSTE18!$A:$B,2,0),0))),""))),4)</f>
        <v>#VALUE!</v>
      </c>
      <c r="BUO5" s="44" t="e">
        <f>ROUNDUP(IF(IFERROR(IF($BUI5="","",IF($BUI5=0,1,1-$BUI5/HLOOKUP(BUO$3,[2]ARBOR_REAJUSTE18!$A:$AE,VLOOKUP($BUI$2,[2]ARBOR_REAJUSTE18!$A:$B,2,0),0))),"")&lt;0.01%,0.01%,(IFERROR(IF($BUI5="","",IF($BUI5=0,1,1-$BUI5/HLOOKUP(BUO$3,[2]ARBOR_REAJUSTE18!$A:$AE,VLOOKUP($BUI$2,[2]ARBOR_REAJUSTE18!$A:$B,2,0),0))),""))),4)</f>
        <v>#VALUE!</v>
      </c>
      <c r="BUP5" s="44" t="e">
        <f>ROUNDUP(IF(IFERROR(IF($BUI5="","",IF($BUI5=0,1,1-$BUI5/HLOOKUP(BUP$3,[2]ARBOR_REAJUSTE18!$A:$AE,VLOOKUP($BUI$2,[2]ARBOR_REAJUSTE18!$A:$B,2,0),0))),"")&lt;0.01%,0.01%,(IFERROR(IF($BUI5="","",IF($BUI5=0,1,1-$BUI5/HLOOKUP(BUP$3,[2]ARBOR_REAJUSTE18!$A:$AE,VLOOKUP($BUI$2,[2]ARBOR_REAJUSTE18!$A:$B,2,0),0))),""))),4)</f>
        <v>#VALUE!</v>
      </c>
      <c r="BUQ5" s="44" t="e">
        <f>ROUNDUP(IF(IFERROR(IF($BUI5="","",IF($BUI5=0,1,1-$BUI5/HLOOKUP(BUQ$3,[2]ARBOR_REAJUSTE18!$A:$AE,VLOOKUP($BUI$2,[2]ARBOR_REAJUSTE18!$A:$B,2,0),0))),"")&lt;0.01%,0.01%,(IFERROR(IF($BUI5="","",IF($BUI5=0,1,1-$BUI5/HLOOKUP(BUQ$3,[2]ARBOR_REAJUSTE18!$A:$AE,VLOOKUP($BUI$2,[2]ARBOR_REAJUSTE18!$A:$B,2,0),0))),""))),4)</f>
        <v>#VALUE!</v>
      </c>
      <c r="BUR5" s="44" t="e">
        <f>ROUNDUP(IF(IFERROR(IF($BUI5="","",IF($BUI5=0,1,1-$BUI5/HLOOKUP(BUR$3,[2]ARBOR_REAJUSTE18!$A:$AE,VLOOKUP($BUI$2,[2]ARBOR_REAJUSTE18!$A:$B,2,0),0))),"")&lt;0.01%,0.01%,(IFERROR(IF($BUI5="","",IF($BUI5=0,1,1-$BUI5/HLOOKUP(BUR$3,[2]ARBOR_REAJUSTE18!$A:$AE,VLOOKUP($BUI$2,[2]ARBOR_REAJUSTE18!$A:$B,2,0),0))),""))),4)</f>
        <v>#VALUE!</v>
      </c>
      <c r="BUS5" s="44" t="e">
        <f>ROUNDUP(IF(IFERROR(IF($BUI5="","",IF($BUI5=0,1,1-$BUI5/HLOOKUP(BUS$3,[2]ARBOR_REAJUSTE18!$A:$AE,VLOOKUP($BUI$2,[2]ARBOR_REAJUSTE18!$A:$B,2,0),0))),"")&lt;0.01%,0.01%,(IFERROR(IF($BUI5="","",IF($BUI5=0,1,1-$BUI5/HLOOKUP(BUS$3,[2]ARBOR_REAJUSTE18!$A:$AE,VLOOKUP($BUI$2,[2]ARBOR_REAJUSTE18!$A:$B,2,0),0))),""))),4)</f>
        <v>#VALUE!</v>
      </c>
      <c r="BUT5" s="44" t="e">
        <f>ROUNDUP(IF(IFERROR(IF($BUI5="","",IF($BUI5=0,1,1-$BUI5/HLOOKUP(BUT$3,[2]ARBOR_REAJUSTE18!$A:$AE,VLOOKUP($BUI$2,[2]ARBOR_REAJUSTE18!$A:$B,2,0),0))),"")&lt;0.01%,0.01%,(IFERROR(IF($BUI5="","",IF($BUI5=0,1,1-$BUI5/HLOOKUP(BUT$3,[2]ARBOR_REAJUSTE18!$A:$AE,VLOOKUP($BUI$2,[2]ARBOR_REAJUSTE18!$A:$B,2,0),0))),""))),4)</f>
        <v>#VALUE!</v>
      </c>
      <c r="BUU5" s="44" t="e">
        <f>ROUNDUP(IF(IFERROR(IF($BUI5="","",IF($BUI5=0,1,1-$BUI5/HLOOKUP(BUU$3,[2]ARBOR_REAJUSTE18!$A:$AE,VLOOKUP($BUI$2,[2]ARBOR_REAJUSTE18!$A:$B,2,0),0))),"")&lt;0.01%,0.01%,(IFERROR(IF($BUI5="","",IF($BUI5=0,1,1-$BUI5/HLOOKUP(BUU$3,[2]ARBOR_REAJUSTE18!$A:$AE,VLOOKUP($BUI$2,[2]ARBOR_REAJUSTE18!$A:$B,2,0),0))),""))),4)</f>
        <v>#VALUE!</v>
      </c>
      <c r="BUV5" s="44" t="e">
        <f>ROUNDUP(IF(IFERROR(IF($BUI5="","",IF($BUI5=0,1,1-$BUI5/HLOOKUP(BUV$3,[2]ARBOR_REAJUSTE18!$A:$AE,VLOOKUP($BUI$2,[2]ARBOR_REAJUSTE18!$A:$B,2,0),0))),"")&lt;0.01%,0.01%,(IFERROR(IF($BUI5="","",IF($BUI5=0,1,1-$BUI5/HLOOKUP(BUV$3,[2]ARBOR_REAJUSTE18!$A:$AE,VLOOKUP($BUI$2,[2]ARBOR_REAJUSTE18!$A:$B,2,0),0))),""))),4)</f>
        <v>#VALUE!</v>
      </c>
      <c r="BUW5" s="44" t="e">
        <f>ROUNDUP(IF(IFERROR(IF($BUI5="","",IF($BUI5=0,1,1-$BUI5/HLOOKUP(BUW$3,[2]ARBOR_REAJUSTE18!$A:$AE,VLOOKUP($BUI$2,[2]ARBOR_REAJUSTE18!$A:$B,2,0),0))),"")&lt;0.01%,0.01%,(IFERROR(IF($BUI5="","",IF($BUI5=0,1,1-$BUI5/HLOOKUP(BUW$3,[2]ARBOR_REAJUSTE18!$A:$AE,VLOOKUP($BUI$2,[2]ARBOR_REAJUSTE18!$A:$B,2,0),0))),""))),4)</f>
        <v>#VALUE!</v>
      </c>
      <c r="BUX5" s="44" t="e">
        <f>ROUNDUP(IF(IFERROR(IF($BUI5="","",IF($BUI5=0,1,1-$BUI5/HLOOKUP(BUX$3,[2]ARBOR_REAJUSTE18!$A:$AE,VLOOKUP($BUI$2,[2]ARBOR_REAJUSTE18!$A:$B,2,0),0))),"")&lt;0.01%,0.01%,(IFERROR(IF($BUI5="","",IF($BUI5=0,1,1-$BUI5/HLOOKUP(BUX$3,[2]ARBOR_REAJUSTE18!$A:$AE,VLOOKUP($BUI$2,[2]ARBOR_REAJUSTE18!$A:$B,2,0),0))),""))),4)</f>
        <v>#VALUE!</v>
      </c>
      <c r="BUY5" s="44" t="e">
        <f>ROUNDUP(IF(IFERROR(IF($BUI5="","",IF($BUI5=0,1,1-$BUI5/HLOOKUP(BUY$3,[2]ARBOR_REAJUSTE18!$A:$AE,VLOOKUP($BUI$2,[2]ARBOR_REAJUSTE18!$A:$B,2,0),0))),"")&lt;0.01%,0.01%,(IFERROR(IF($BUI5="","",IF($BUI5=0,1,1-$BUI5/HLOOKUP(BUY$3,[2]ARBOR_REAJUSTE18!$A:$AE,VLOOKUP($BUI$2,[2]ARBOR_REAJUSTE18!$A:$B,2,0),0))),""))),4)</f>
        <v>#VALUE!</v>
      </c>
      <c r="BUZ5" s="44" t="e">
        <f>ROUNDUP(IF(IFERROR(IF($BUI5="","",IF($BUI5=0,1,1-$BUI5/HLOOKUP(BUZ$3,[2]ARBOR_REAJUSTE18!$A:$AE,VLOOKUP($BUI$2,[2]ARBOR_REAJUSTE18!$A:$B,2,0),0))),"")&lt;0.01%,0.01%,(IFERROR(IF($BUI5="","",IF($BUI5=0,1,1-$BUI5/HLOOKUP(BUZ$3,[2]ARBOR_REAJUSTE18!$A:$AE,VLOOKUP($BUI$2,[2]ARBOR_REAJUSTE18!$A:$B,2,0),0))),""))),4)</f>
        <v>#VALUE!</v>
      </c>
      <c r="BVA5" s="44" t="e">
        <f>ROUNDUP(IF(IFERROR(IF($BUI5="","",IF($BUI5=0,1,1-$BUI5/HLOOKUP(BVA$3,[2]ARBOR_REAJUSTE18!$A:$AE,VLOOKUP($BUI$2,[2]ARBOR_REAJUSTE18!$A:$B,2,0),0))),"")&lt;0.01%,0.01%,(IFERROR(IF($BUI5="","",IF($BUI5=0,1,1-$BUI5/HLOOKUP(BVA$3,[2]ARBOR_REAJUSTE18!$A:$AE,VLOOKUP($BUI$2,[2]ARBOR_REAJUSTE18!$A:$B,2,0),0))),""))),4)</f>
        <v>#VALUE!</v>
      </c>
      <c r="BVB5" s="44" t="e">
        <f>ROUNDUP(IF(IFERROR(IF($BUI5="","",IF($BUI5=0,1,1-$BUI5/HLOOKUP(BVB$3,[2]ARBOR_REAJUSTE18!$A:$AE,VLOOKUP($BUI$2,[2]ARBOR_REAJUSTE18!$A:$B,2,0),0))),"")&lt;0.01%,0.01%,(IFERROR(IF($BUI5="","",IF($BUI5=0,1,1-$BUI5/HLOOKUP(BVB$3,[2]ARBOR_REAJUSTE18!$A:$AE,VLOOKUP($BUI$2,[2]ARBOR_REAJUSTE18!$A:$B,2,0),0))),""))),4)</f>
        <v>#VALUE!</v>
      </c>
      <c r="BVC5" s="44" t="e">
        <f>ROUNDUP(IF(IFERROR(IF($BUI5="","",IF($BUI5=0,1,1-$BUI5/HLOOKUP(BVC$3,[2]ARBOR_REAJUSTE18!$A:$AE,VLOOKUP($BUI$2,[2]ARBOR_REAJUSTE18!$A:$B,2,0),0))),"")&lt;0.01%,0.01%,(IFERROR(IF($BUI5="","",IF($BUI5=0,1,1-$BUI5/HLOOKUP(BVC$3,[2]ARBOR_REAJUSTE18!$A:$AE,VLOOKUP($BUI$2,[2]ARBOR_REAJUSTE18!$A:$B,2,0),0))),""))),4)</f>
        <v>#VALUE!</v>
      </c>
      <c r="BVD5" s="44" t="e">
        <f>ROUNDUP(IF(IFERROR(IF($BUI5="","",IF($BUI5=0,1,1-$BUI5/HLOOKUP(BVD$3,[2]ARBOR_REAJUSTE18!$A:$AE,VLOOKUP($BUI$2,[2]ARBOR_REAJUSTE18!$A:$B,2,0),0))),"")&lt;0.01%,0.01%,(IFERROR(IF($BUI5="","",IF($BUI5=0,1,1-$BUI5/HLOOKUP(BVD$3,[2]ARBOR_REAJUSTE18!$A:$AE,VLOOKUP($BUI$2,[2]ARBOR_REAJUSTE18!$A:$B,2,0),0))),""))),4)</f>
        <v>#VALUE!</v>
      </c>
      <c r="BVE5" s="44" t="e">
        <f>ROUNDUP(IF(IFERROR(IF($BUI5="","",IF($BUI5=0,1,1-$BUI5/HLOOKUP(BVE$3,[2]ARBOR_REAJUSTE18!$A:$AE,VLOOKUP($BUI$2,[2]ARBOR_REAJUSTE18!$A:$B,2,0),0))),"")&lt;0.01%,0.01%,(IFERROR(IF($BUI5="","",IF($BUI5=0,1,1-$BUI5/HLOOKUP(BVE$3,[2]ARBOR_REAJUSTE18!$A:$AE,VLOOKUP($BUI$2,[2]ARBOR_REAJUSTE18!$A:$B,2,0),0))),""))),4)</f>
        <v>#VALUE!</v>
      </c>
      <c r="BVF5" s="44" t="e">
        <f>ROUNDUP(IF(IFERROR(IF($BUI5="","",IF($BUI5=0,1,1-$BUI5/HLOOKUP(BVF$3,[2]ARBOR_REAJUSTE18!$A:$AE,VLOOKUP($BUI$2,[2]ARBOR_REAJUSTE18!$A:$B,2,0),0))),"")&lt;0.01%,0.01%,(IFERROR(IF($BUI5="","",IF($BUI5=0,1,1-$BUI5/HLOOKUP(BVF$3,[2]ARBOR_REAJUSTE18!$A:$AE,VLOOKUP($BUI$2,[2]ARBOR_REAJUSTE18!$A:$B,2,0),0))),""))),4)</f>
        <v>#VALUE!</v>
      </c>
      <c r="BVG5" s="44" t="e">
        <f>ROUNDUP(IF(IFERROR(IF($BUI5="","",IF($BUI5=0,1,1-$BUI5/HLOOKUP(BVG$3,[2]ARBOR_REAJUSTE18!$A:$AE,VLOOKUP($BUI$2,[2]ARBOR_REAJUSTE18!$A:$B,2,0),0))),"")&lt;0.01%,0.01%,(IFERROR(IF($BUI5="","",IF($BUI5=0,1,1-$BUI5/HLOOKUP(BVG$3,[2]ARBOR_REAJUSTE18!$A:$AE,VLOOKUP($BUI$2,[2]ARBOR_REAJUSTE18!$A:$B,2,0),0))),""))),4)</f>
        <v>#VALUE!</v>
      </c>
      <c r="BVH5" s="44" t="e">
        <f>ROUNDUP(IF(IFERROR(IF($BUI5="","",IF($BUI5=0,1,1-$BUI5/HLOOKUP(BVH$3,[2]ARBOR_REAJUSTE18!$A:$AE,VLOOKUP($BUI$2,[2]ARBOR_REAJUSTE18!$A:$B,2,0),0))),"")&lt;0.01%,0.01%,(IFERROR(IF($BUI5="","",IF($BUI5=0,1,1-$BUI5/HLOOKUP(BVH$3,[2]ARBOR_REAJUSTE18!$A:$AE,VLOOKUP($BUI$2,[2]ARBOR_REAJUSTE18!$A:$B,2,0),0))),""))),4)</f>
        <v>#VALUE!</v>
      </c>
      <c r="BVI5" s="44" t="e">
        <f>ROUNDUP(IF(IFERROR(IF($BUI5="","",IF($BUI5=0,1,1-$BUI5/HLOOKUP(BVI$3,[2]ARBOR_REAJUSTE18!$A:$AE,VLOOKUP($BUI$2,[2]ARBOR_REAJUSTE18!$A:$B,2,0),0))),"")&lt;0.01%,0.01%,(IFERROR(IF($BUI5="","",IF($BUI5=0,1,1-$BUI5/HLOOKUP(BVI$3,[2]ARBOR_REAJUSTE18!$A:$AE,VLOOKUP($BUI$2,[2]ARBOR_REAJUSTE18!$A:$B,2,0),0))),""))),4)</f>
        <v>#VALUE!</v>
      </c>
      <c r="BVJ5" s="44" t="e">
        <f>ROUNDUP(IF(IFERROR(IF($BUI5="","",IF($BUI5=0,1,1-$BUI5/HLOOKUP(BVJ$3,[2]ARBOR_REAJUSTE18!$A:$AE,VLOOKUP($BUI$2,[2]ARBOR_REAJUSTE18!$A:$B,2,0),0))),"")&lt;0.01%,0.01%,(IFERROR(IF($BUI5="","",IF($BUI5=0,1,1-$BUI5/HLOOKUP(BVJ$3,[2]ARBOR_REAJUSTE18!$A:$AE,VLOOKUP($BUI$2,[2]ARBOR_REAJUSTE18!$A:$B,2,0),0))),""))),4)</f>
        <v>#VALUE!</v>
      </c>
      <c r="BVK5" s="44" t="e">
        <f>ROUNDUP(IF(IFERROR(IF($BUI5="","",IF($BUI5=0,1,1-$BUI5/HLOOKUP(BVK$3,[2]ARBOR_REAJUSTE18!$A:$AE,VLOOKUP($BUI$2,[2]ARBOR_REAJUSTE18!$A:$B,2,0),0))),"")&lt;0.01%,0.01%,(IFERROR(IF($BUI5="","",IF($BUI5=0,1,1-$BUI5/HLOOKUP(BVK$3,[2]ARBOR_REAJUSTE18!$A:$AE,VLOOKUP($BUI$2,[2]ARBOR_REAJUSTE18!$A:$B,2,0),0))),""))),4)</f>
        <v>#VALUE!</v>
      </c>
      <c r="BVL5" s="56"/>
      <c r="BVM5" s="64"/>
      <c r="BVN5" s="44" t="e">
        <f>ROUNDUP(IF(IFERROR(IF($BVL5="","",IF($BVL5=0,1,1-$BVL5/HLOOKUP(BVN$3,[2]ARBOR_REAJUSTE18!$A:$AE,VLOOKUP($BVL$2,[2]ARBOR_REAJUSTE18!$A:$B,2,0),0))),"")&lt;0.01%,0.01%,(IFERROR(IF($BVL5="","",IF($BVL5=0,1,1-$BVL5/HLOOKUP(BVN$3,[2]ARBOR_REAJUSTE18!$A:$AE,VLOOKUP($BVL$2,[2]ARBOR_REAJUSTE18!$A:$B,2,0),0))),""))),4)</f>
        <v>#VALUE!</v>
      </c>
      <c r="BVO5" s="44" t="e">
        <f>ROUNDUP(IF(IFERROR(IF($BVL5="","",IF($BVL5=0,1,1-$BVL5/HLOOKUP(BVO$3,[2]ARBOR_REAJUSTE18!$A:$AE,VLOOKUP($BVL$2,[2]ARBOR_REAJUSTE18!$A:$B,2,0),0))),"")&lt;0.01%,0.01%,(IFERROR(IF($BVL5="","",IF($BVL5=0,1,1-$BVL5/HLOOKUP(BVO$3,[2]ARBOR_REAJUSTE18!$A:$AE,VLOOKUP($BVL$2,[2]ARBOR_REAJUSTE18!$A:$B,2,0),0))),""))),4)</f>
        <v>#VALUE!</v>
      </c>
      <c r="BVP5" s="44" t="e">
        <f>ROUNDUP(IF(IFERROR(IF($BVL5="","",IF($BVL5=0,1,1-$BVL5/HLOOKUP(BVP$3,[2]ARBOR_REAJUSTE18!$A:$AE,VLOOKUP($BVL$2,[2]ARBOR_REAJUSTE18!$A:$B,2,0),0))),"")&lt;0.01%,0.01%,(IFERROR(IF($BVL5="","",IF($BVL5=0,1,1-$BVL5/HLOOKUP(BVP$3,[2]ARBOR_REAJUSTE18!$A:$AE,VLOOKUP($BVL$2,[2]ARBOR_REAJUSTE18!$A:$B,2,0),0))),""))),4)</f>
        <v>#VALUE!</v>
      </c>
      <c r="BVQ5" s="44" t="e">
        <f>ROUNDUP(IF(IFERROR(IF($BVL5="","",IF($BVL5=0,1,1-$BVL5/HLOOKUP(BVQ$3,[2]ARBOR_REAJUSTE18!$A:$AE,VLOOKUP($BVL$2,[2]ARBOR_REAJUSTE18!$A:$B,2,0),0))),"")&lt;0.01%,0.01%,(IFERROR(IF($BVL5="","",IF($BVL5=0,1,1-$BVL5/HLOOKUP(BVQ$3,[2]ARBOR_REAJUSTE18!$A:$AE,VLOOKUP($BVL$2,[2]ARBOR_REAJUSTE18!$A:$B,2,0),0))),""))),4)</f>
        <v>#VALUE!</v>
      </c>
      <c r="BVR5" s="44" t="e">
        <f>ROUNDUP(IF(IFERROR(IF($BVL5="","",IF($BVL5=0,1,1-$BVL5/HLOOKUP(BVR$3,[2]ARBOR_REAJUSTE18!$A:$AE,VLOOKUP($BVL$2,[2]ARBOR_REAJUSTE18!$A:$B,2,0),0))),"")&lt;0.01%,0.01%,(IFERROR(IF($BVL5="","",IF($BVL5=0,1,1-$BVL5/HLOOKUP(BVR$3,[2]ARBOR_REAJUSTE18!$A:$AE,VLOOKUP($BVL$2,[2]ARBOR_REAJUSTE18!$A:$B,2,0),0))),""))),4)</f>
        <v>#VALUE!</v>
      </c>
      <c r="BVS5" s="44" t="e">
        <f>ROUNDUP(IF(IFERROR(IF($BVL5="","",IF($BVL5=0,1,1-$BVL5/HLOOKUP(BVS$3,[2]ARBOR_REAJUSTE18!$A:$AE,VLOOKUP($BVL$2,[2]ARBOR_REAJUSTE18!$A:$B,2,0),0))),"")&lt;0.01%,0.01%,(IFERROR(IF($BVL5="","",IF($BVL5=0,1,1-$BVL5/HLOOKUP(BVS$3,[2]ARBOR_REAJUSTE18!$A:$AE,VLOOKUP($BVL$2,[2]ARBOR_REAJUSTE18!$A:$B,2,0),0))),""))),4)</f>
        <v>#VALUE!</v>
      </c>
      <c r="BVT5" s="44" t="e">
        <f>ROUNDUP(IF(IFERROR(IF($BVL5="","",IF($BVL5=0,1,1-$BVL5/HLOOKUP(BVT$3,[2]ARBOR_REAJUSTE18!$A:$AE,VLOOKUP($BVL$2,[2]ARBOR_REAJUSTE18!$A:$B,2,0),0))),"")&lt;0.01%,0.01%,(IFERROR(IF($BVL5="","",IF($BVL5=0,1,1-$BVL5/HLOOKUP(BVT$3,[2]ARBOR_REAJUSTE18!$A:$AE,VLOOKUP($BVL$2,[2]ARBOR_REAJUSTE18!$A:$B,2,0),0))),""))),4)</f>
        <v>#VALUE!</v>
      </c>
      <c r="BVU5" s="44" t="e">
        <f>ROUNDUP(IF(IFERROR(IF($BVL5="","",IF($BVL5=0,1,1-$BVL5/HLOOKUP(BVU$3,[2]ARBOR_REAJUSTE18!$A:$AE,VLOOKUP($BVL$2,[2]ARBOR_REAJUSTE18!$A:$B,2,0),0))),"")&lt;0.01%,0.01%,(IFERROR(IF($BVL5="","",IF($BVL5=0,1,1-$BVL5/HLOOKUP(BVU$3,[2]ARBOR_REAJUSTE18!$A:$AE,VLOOKUP($BVL$2,[2]ARBOR_REAJUSTE18!$A:$B,2,0),0))),""))),4)</f>
        <v>#VALUE!</v>
      </c>
      <c r="BVV5" s="44" t="e">
        <f>ROUNDUP(IF(IFERROR(IF($BVL5="","",IF($BVL5=0,1,1-$BVL5/HLOOKUP(BVV$3,[2]ARBOR_REAJUSTE18!$A:$AE,VLOOKUP($BVL$2,[2]ARBOR_REAJUSTE18!$A:$B,2,0),0))),"")&lt;0.01%,0.01%,(IFERROR(IF($BVL5="","",IF($BVL5=0,1,1-$BVL5/HLOOKUP(BVV$3,[2]ARBOR_REAJUSTE18!$A:$AE,VLOOKUP($BVL$2,[2]ARBOR_REAJUSTE18!$A:$B,2,0),0))),""))),4)</f>
        <v>#VALUE!</v>
      </c>
      <c r="BVW5" s="44" t="e">
        <f>ROUNDUP(IF(IFERROR(IF($BVL5="","",IF($BVL5=0,1,1-$BVL5/HLOOKUP(BVW$3,[2]ARBOR_REAJUSTE18!$A:$AE,VLOOKUP($BVL$2,[2]ARBOR_REAJUSTE18!$A:$B,2,0),0))),"")&lt;0.01%,0.01%,(IFERROR(IF($BVL5="","",IF($BVL5=0,1,1-$BVL5/HLOOKUP(BVW$3,[2]ARBOR_REAJUSTE18!$A:$AE,VLOOKUP($BVL$2,[2]ARBOR_REAJUSTE18!$A:$B,2,0),0))),""))),4)</f>
        <v>#VALUE!</v>
      </c>
      <c r="BVX5" s="44" t="e">
        <f>ROUNDUP(IF(IFERROR(IF($BVL5="","",IF($BVL5=0,1,1-$BVL5/HLOOKUP(BVX$3,[2]ARBOR_REAJUSTE18!$A:$AE,VLOOKUP($BVL$2,[2]ARBOR_REAJUSTE18!$A:$B,2,0),0))),"")&lt;0.01%,0.01%,(IFERROR(IF($BVL5="","",IF($BVL5=0,1,1-$BVL5/HLOOKUP(BVX$3,[2]ARBOR_REAJUSTE18!$A:$AE,VLOOKUP($BVL$2,[2]ARBOR_REAJUSTE18!$A:$B,2,0),0))),""))),4)</f>
        <v>#VALUE!</v>
      </c>
      <c r="BVY5" s="44" t="e">
        <f>ROUNDUP(IF(IFERROR(IF($BVL5="","",IF($BVL5=0,1,1-$BVL5/HLOOKUP(BVY$3,[2]ARBOR_REAJUSTE18!$A:$AE,VLOOKUP($BVL$2,[2]ARBOR_REAJUSTE18!$A:$B,2,0),0))),"")&lt;0.01%,0.01%,(IFERROR(IF($BVL5="","",IF($BVL5=0,1,1-$BVL5/HLOOKUP(BVY$3,[2]ARBOR_REAJUSTE18!$A:$AE,VLOOKUP($BVL$2,[2]ARBOR_REAJUSTE18!$A:$B,2,0),0))),""))),4)</f>
        <v>#VALUE!</v>
      </c>
      <c r="BVZ5" s="44" t="e">
        <f>ROUNDUP(IF(IFERROR(IF($BVL5="","",IF($BVL5=0,1,1-$BVL5/HLOOKUP(BVZ$3,[2]ARBOR_REAJUSTE18!$A:$AE,VLOOKUP($BVL$2,[2]ARBOR_REAJUSTE18!$A:$B,2,0),0))),"")&lt;0.01%,0.01%,(IFERROR(IF($BVL5="","",IF($BVL5=0,1,1-$BVL5/HLOOKUP(BVZ$3,[2]ARBOR_REAJUSTE18!$A:$AE,VLOOKUP($BVL$2,[2]ARBOR_REAJUSTE18!$A:$B,2,0),0))),""))),4)</f>
        <v>#VALUE!</v>
      </c>
      <c r="BWA5" s="44" t="e">
        <f>ROUNDUP(IF(IFERROR(IF($BVL5="","",IF($BVL5=0,1,1-$BVL5/HLOOKUP(BWA$3,[2]ARBOR_REAJUSTE18!$A:$AE,VLOOKUP($BVL$2,[2]ARBOR_REAJUSTE18!$A:$B,2,0),0))),"")&lt;0.01%,0.01%,(IFERROR(IF($BVL5="","",IF($BVL5=0,1,1-$BVL5/HLOOKUP(BWA$3,[2]ARBOR_REAJUSTE18!$A:$AE,VLOOKUP($BVL$2,[2]ARBOR_REAJUSTE18!$A:$B,2,0),0))),""))),4)</f>
        <v>#VALUE!</v>
      </c>
      <c r="BWB5" s="44" t="e">
        <f>ROUNDUP(IF(IFERROR(IF($BVL5="","",IF($BVL5=0,1,1-$BVL5/HLOOKUP(BWB$3,[2]ARBOR_REAJUSTE18!$A:$AE,VLOOKUP($BVL$2,[2]ARBOR_REAJUSTE18!$A:$B,2,0),0))),"")&lt;0.01%,0.01%,(IFERROR(IF($BVL5="","",IF($BVL5=0,1,1-$BVL5/HLOOKUP(BWB$3,[2]ARBOR_REAJUSTE18!$A:$AE,VLOOKUP($BVL$2,[2]ARBOR_REAJUSTE18!$A:$B,2,0),0))),""))),4)</f>
        <v>#VALUE!</v>
      </c>
      <c r="BWC5" s="44" t="e">
        <f>ROUNDUP(IF(IFERROR(IF($BVL5="","",IF($BVL5=0,1,1-$BVL5/HLOOKUP(BWC$3,[2]ARBOR_REAJUSTE18!$A:$AE,VLOOKUP($BVL$2,[2]ARBOR_REAJUSTE18!$A:$B,2,0),0))),"")&lt;0.01%,0.01%,(IFERROR(IF($BVL5="","",IF($BVL5=0,1,1-$BVL5/HLOOKUP(BWC$3,[2]ARBOR_REAJUSTE18!$A:$AE,VLOOKUP($BVL$2,[2]ARBOR_REAJUSTE18!$A:$B,2,0),0))),""))),4)</f>
        <v>#VALUE!</v>
      </c>
      <c r="BWD5" s="44" t="e">
        <f>ROUNDUP(IF(IFERROR(IF($BVL5="","",IF($BVL5=0,1,1-$BVL5/HLOOKUP(BWD$3,[2]ARBOR_REAJUSTE18!$A:$AE,VLOOKUP($BVL$2,[2]ARBOR_REAJUSTE18!$A:$B,2,0),0))),"")&lt;0.01%,0.01%,(IFERROR(IF($BVL5="","",IF($BVL5=0,1,1-$BVL5/HLOOKUP(BWD$3,[2]ARBOR_REAJUSTE18!$A:$AE,VLOOKUP($BVL$2,[2]ARBOR_REAJUSTE18!$A:$B,2,0),0))),""))),4)</f>
        <v>#VALUE!</v>
      </c>
      <c r="BWE5" s="44" t="e">
        <f>ROUNDUP(IF(IFERROR(IF($BVL5="","",IF($BVL5=0,1,1-$BVL5/HLOOKUP(BWE$3,[2]ARBOR_REAJUSTE18!$A:$AE,VLOOKUP($BVL$2,[2]ARBOR_REAJUSTE18!$A:$B,2,0),0))),"")&lt;0.01%,0.01%,(IFERROR(IF($BVL5="","",IF($BVL5=0,1,1-$BVL5/HLOOKUP(BWE$3,[2]ARBOR_REAJUSTE18!$A:$AE,VLOOKUP($BVL$2,[2]ARBOR_REAJUSTE18!$A:$B,2,0),0))),""))),4)</f>
        <v>#VALUE!</v>
      </c>
      <c r="BWF5" s="44" t="e">
        <f>ROUNDUP(IF(IFERROR(IF($BVL5="","",IF($BVL5=0,1,1-$BVL5/HLOOKUP(BWF$3,[2]ARBOR_REAJUSTE18!$A:$AE,VLOOKUP($BVL$2,[2]ARBOR_REAJUSTE18!$A:$B,2,0),0))),"")&lt;0.01%,0.01%,(IFERROR(IF($BVL5="","",IF($BVL5=0,1,1-$BVL5/HLOOKUP(BWF$3,[2]ARBOR_REAJUSTE18!$A:$AE,VLOOKUP($BVL$2,[2]ARBOR_REAJUSTE18!$A:$B,2,0),0))),""))),4)</f>
        <v>#VALUE!</v>
      </c>
      <c r="BWG5" s="44" t="e">
        <f>ROUNDUP(IF(IFERROR(IF($BVL5="","",IF($BVL5=0,1,1-$BVL5/HLOOKUP(BWG$3,[2]ARBOR_REAJUSTE18!$A:$AE,VLOOKUP($BVL$2,[2]ARBOR_REAJUSTE18!$A:$B,2,0),0))),"")&lt;0.01%,0.01%,(IFERROR(IF($BVL5="","",IF($BVL5=0,1,1-$BVL5/HLOOKUP(BWG$3,[2]ARBOR_REAJUSTE18!$A:$AE,VLOOKUP($BVL$2,[2]ARBOR_REAJUSTE18!$A:$B,2,0),0))),""))),4)</f>
        <v>#VALUE!</v>
      </c>
      <c r="BWH5" s="44" t="e">
        <f>ROUNDUP(IF(IFERROR(IF($BVL5="","",IF($BVL5=0,1,1-$BVL5/HLOOKUP(BWH$3,[2]ARBOR_REAJUSTE18!$A:$AE,VLOOKUP($BVL$2,[2]ARBOR_REAJUSTE18!$A:$B,2,0),0))),"")&lt;0.01%,0.01%,(IFERROR(IF($BVL5="","",IF($BVL5=0,1,1-$BVL5/HLOOKUP(BWH$3,[2]ARBOR_REAJUSTE18!$A:$AE,VLOOKUP($BVL$2,[2]ARBOR_REAJUSTE18!$A:$B,2,0),0))),""))),4)</f>
        <v>#VALUE!</v>
      </c>
      <c r="BWI5" s="44" t="e">
        <f>ROUNDUP(IF(IFERROR(IF($BVL5="","",IF($BVL5=0,1,1-$BVL5/HLOOKUP(BWI$3,[2]ARBOR_REAJUSTE18!$A:$AE,VLOOKUP($BVL$2,[2]ARBOR_REAJUSTE18!$A:$B,2,0),0))),"")&lt;0.01%,0.01%,(IFERROR(IF($BVL5="","",IF($BVL5=0,1,1-$BVL5/HLOOKUP(BWI$3,[2]ARBOR_REAJUSTE18!$A:$AE,VLOOKUP($BVL$2,[2]ARBOR_REAJUSTE18!$A:$B,2,0),0))),""))),4)</f>
        <v>#VALUE!</v>
      </c>
      <c r="BWJ5" s="44" t="e">
        <f>ROUNDUP(IF(IFERROR(IF($BVL5="","",IF($BVL5=0,1,1-$BVL5/HLOOKUP(BWJ$3,[2]ARBOR_REAJUSTE18!$A:$AE,VLOOKUP($BVL$2,[2]ARBOR_REAJUSTE18!$A:$B,2,0),0))),"")&lt;0.01%,0.01%,(IFERROR(IF($BVL5="","",IF($BVL5=0,1,1-$BVL5/HLOOKUP(BWJ$3,[2]ARBOR_REAJUSTE18!$A:$AE,VLOOKUP($BVL$2,[2]ARBOR_REAJUSTE18!$A:$B,2,0),0))),""))),4)</f>
        <v>#VALUE!</v>
      </c>
      <c r="BWK5" s="44" t="e">
        <f>ROUNDUP(IF(IFERROR(IF($BVL5="","",IF($BVL5=0,1,1-$BVL5/HLOOKUP(BWK$3,[2]ARBOR_REAJUSTE18!$A:$AE,VLOOKUP($BVL$2,[2]ARBOR_REAJUSTE18!$A:$B,2,0),0))),"")&lt;0.01%,0.01%,(IFERROR(IF($BVL5="","",IF($BVL5=0,1,1-$BVL5/HLOOKUP(BWK$3,[2]ARBOR_REAJUSTE18!$A:$AE,VLOOKUP($BVL$2,[2]ARBOR_REAJUSTE18!$A:$B,2,0),0))),""))),4)</f>
        <v>#VALUE!</v>
      </c>
      <c r="BWL5" s="44" t="e">
        <f>ROUNDUP(IF(IFERROR(IF($BVL5="","",IF($BVL5=0,1,1-$BVL5/HLOOKUP(BWL$3,[2]ARBOR_REAJUSTE18!$A:$AE,VLOOKUP($BVL$2,[2]ARBOR_REAJUSTE18!$A:$B,2,0),0))),"")&lt;0.01%,0.01%,(IFERROR(IF($BVL5="","",IF($BVL5=0,1,1-$BVL5/HLOOKUP(BWL$3,[2]ARBOR_REAJUSTE18!$A:$AE,VLOOKUP($BVL$2,[2]ARBOR_REAJUSTE18!$A:$B,2,0),0))),""))),4)</f>
        <v>#VALUE!</v>
      </c>
      <c r="BWM5" s="44" t="e">
        <f>ROUNDUP(IF(IFERROR(IF($BVL5="","",IF($BVL5=0,1,1-$BVL5/HLOOKUP(BWM$3,[2]ARBOR_REAJUSTE18!$A:$AE,VLOOKUP($BVL$2,[2]ARBOR_REAJUSTE18!$A:$B,2,0),0))),"")&lt;0.01%,0.01%,(IFERROR(IF($BVL5="","",IF($BVL5=0,1,1-$BVL5/HLOOKUP(BWM$3,[2]ARBOR_REAJUSTE18!$A:$AE,VLOOKUP($BVL$2,[2]ARBOR_REAJUSTE18!$A:$B,2,0),0))),""))),4)</f>
        <v>#VALUE!</v>
      </c>
      <c r="BWN5" s="44" t="e">
        <f>ROUNDUP(IF(IFERROR(IF($BVL5="","",IF($BVL5=0,1,1-$BVL5/HLOOKUP(BWN$3,[2]ARBOR_REAJUSTE18!$A:$AE,VLOOKUP($BVL$2,[2]ARBOR_REAJUSTE18!$A:$B,2,0),0))),"")&lt;0.01%,0.01%,(IFERROR(IF($BVL5="","",IF($BVL5=0,1,1-$BVL5/HLOOKUP(BWN$3,[2]ARBOR_REAJUSTE18!$A:$AE,VLOOKUP($BVL$2,[2]ARBOR_REAJUSTE18!$A:$B,2,0),0))),""))),4)</f>
        <v>#VALUE!</v>
      </c>
      <c r="BWO5" s="56"/>
      <c r="BWP5" s="64"/>
      <c r="BWQ5" s="44" t="e">
        <f>ROUNDUP(IF(IFERROR(IF($BWO5="","",IF($BWO5=0,1,1-$BWO5/HLOOKUP(BWQ$3,[2]ARBOR_REAJUSTE18!$A:$AE,VLOOKUP($BWO$2,[2]ARBOR_REAJUSTE18!$A:$B,2,0),0))),"")&lt;0.01%,0.01%,(IFERROR(IF($BWO5="","",IF($BWO5=0,1,1-$BWO5/HLOOKUP(BWQ$3,[2]ARBOR_REAJUSTE18!$A:$AE,VLOOKUP($BWO$2,[2]ARBOR_REAJUSTE18!$A:$B,2,0),0))),""))),4)</f>
        <v>#VALUE!</v>
      </c>
      <c r="BWR5" s="44" t="e">
        <f>ROUNDUP(IF(IFERROR(IF($BWO5="","",IF($BWO5=0,1,1-$BWO5/HLOOKUP(BWR$3,[2]ARBOR_REAJUSTE18!$A:$AE,VLOOKUP($BWO$2,[2]ARBOR_REAJUSTE18!$A:$B,2,0),0))),"")&lt;0.01%,0.01%,(IFERROR(IF($BWO5="","",IF($BWO5=0,1,1-$BWO5/HLOOKUP(BWR$3,[2]ARBOR_REAJUSTE18!$A:$AE,VLOOKUP($BWO$2,[2]ARBOR_REAJUSTE18!$A:$B,2,0),0))),""))),4)</f>
        <v>#VALUE!</v>
      </c>
      <c r="BWS5" s="44" t="e">
        <f>ROUNDUP(IF(IFERROR(IF($BWO5="","",IF($BWO5=0,1,1-$BWO5/HLOOKUP(BWS$3,[2]ARBOR_REAJUSTE18!$A:$AE,VLOOKUP($BWO$2,[2]ARBOR_REAJUSTE18!$A:$B,2,0),0))),"")&lt;0.01%,0.01%,(IFERROR(IF($BWO5="","",IF($BWO5=0,1,1-$BWO5/HLOOKUP(BWS$3,[2]ARBOR_REAJUSTE18!$A:$AE,VLOOKUP($BWO$2,[2]ARBOR_REAJUSTE18!$A:$B,2,0),0))),""))),4)</f>
        <v>#VALUE!</v>
      </c>
      <c r="BWT5" s="44" t="e">
        <f>ROUNDUP(IF(IFERROR(IF($BWO5="","",IF($BWO5=0,1,1-$BWO5/HLOOKUP(BWT$3,[2]ARBOR_REAJUSTE18!$A:$AE,VLOOKUP($BWO$2,[2]ARBOR_REAJUSTE18!$A:$B,2,0),0))),"")&lt;0.01%,0.01%,(IFERROR(IF($BWO5="","",IF($BWO5=0,1,1-$BWO5/HLOOKUP(BWT$3,[2]ARBOR_REAJUSTE18!$A:$AE,VLOOKUP($BWO$2,[2]ARBOR_REAJUSTE18!$A:$B,2,0),0))),""))),4)</f>
        <v>#VALUE!</v>
      </c>
      <c r="BWU5" s="44" t="e">
        <f>ROUNDUP(IF(IFERROR(IF($BWO5="","",IF($BWO5=0,1,1-$BWO5/HLOOKUP(BWU$3,[2]ARBOR_REAJUSTE18!$A:$AE,VLOOKUP($BWO$2,[2]ARBOR_REAJUSTE18!$A:$B,2,0),0))),"")&lt;0.01%,0.01%,(IFERROR(IF($BWO5="","",IF($BWO5=0,1,1-$BWO5/HLOOKUP(BWU$3,[2]ARBOR_REAJUSTE18!$A:$AE,VLOOKUP($BWO$2,[2]ARBOR_REAJUSTE18!$A:$B,2,0),0))),""))),4)</f>
        <v>#VALUE!</v>
      </c>
      <c r="BWV5" s="44" t="e">
        <f>ROUNDUP(IF(IFERROR(IF($BWO5="","",IF($BWO5=0,1,1-$BWO5/HLOOKUP(BWV$3,[2]ARBOR_REAJUSTE18!$A:$AE,VLOOKUP($BWO$2,[2]ARBOR_REAJUSTE18!$A:$B,2,0),0))),"")&lt;0.01%,0.01%,(IFERROR(IF($BWO5="","",IF($BWO5=0,1,1-$BWO5/HLOOKUP(BWV$3,[2]ARBOR_REAJUSTE18!$A:$AE,VLOOKUP($BWO$2,[2]ARBOR_REAJUSTE18!$A:$B,2,0),0))),""))),4)</f>
        <v>#VALUE!</v>
      </c>
      <c r="BWW5" s="44" t="e">
        <f>ROUNDUP(IF(IFERROR(IF($BWO5="","",IF($BWO5=0,1,1-$BWO5/HLOOKUP(BWW$3,[2]ARBOR_REAJUSTE18!$A:$AE,VLOOKUP($BWO$2,[2]ARBOR_REAJUSTE18!$A:$B,2,0),0))),"")&lt;0.01%,0.01%,(IFERROR(IF($BWO5="","",IF($BWO5=0,1,1-$BWO5/HLOOKUP(BWW$3,[2]ARBOR_REAJUSTE18!$A:$AE,VLOOKUP($BWO$2,[2]ARBOR_REAJUSTE18!$A:$B,2,0),0))),""))),4)</f>
        <v>#VALUE!</v>
      </c>
      <c r="BWX5" s="44" t="e">
        <f>ROUNDUP(IF(IFERROR(IF($BWO5="","",IF($BWO5=0,1,1-$BWO5/HLOOKUP(BWX$3,[2]ARBOR_REAJUSTE18!$A:$AE,VLOOKUP($BWO$2,[2]ARBOR_REAJUSTE18!$A:$B,2,0),0))),"")&lt;0.01%,0.01%,(IFERROR(IF($BWO5="","",IF($BWO5=0,1,1-$BWO5/HLOOKUP(BWX$3,[2]ARBOR_REAJUSTE18!$A:$AE,VLOOKUP($BWO$2,[2]ARBOR_REAJUSTE18!$A:$B,2,0),0))),""))),4)</f>
        <v>#VALUE!</v>
      </c>
      <c r="BWY5" s="44" t="e">
        <f>ROUNDUP(IF(IFERROR(IF($BWO5="","",IF($BWO5=0,1,1-$BWO5/HLOOKUP(BWY$3,[2]ARBOR_REAJUSTE18!$A:$AE,VLOOKUP($BWO$2,[2]ARBOR_REAJUSTE18!$A:$B,2,0),0))),"")&lt;0.01%,0.01%,(IFERROR(IF($BWO5="","",IF($BWO5=0,1,1-$BWO5/HLOOKUP(BWY$3,[2]ARBOR_REAJUSTE18!$A:$AE,VLOOKUP($BWO$2,[2]ARBOR_REAJUSTE18!$A:$B,2,0),0))),""))),4)</f>
        <v>#VALUE!</v>
      </c>
      <c r="BWZ5" s="44" t="e">
        <f>ROUNDUP(IF(IFERROR(IF($BWO5="","",IF($BWO5=0,1,1-$BWO5/HLOOKUP(BWZ$3,[2]ARBOR_REAJUSTE18!$A:$AE,VLOOKUP($BWO$2,[2]ARBOR_REAJUSTE18!$A:$B,2,0),0))),"")&lt;0.01%,0.01%,(IFERROR(IF($BWO5="","",IF($BWO5=0,1,1-$BWO5/HLOOKUP(BWZ$3,[2]ARBOR_REAJUSTE18!$A:$AE,VLOOKUP($BWO$2,[2]ARBOR_REAJUSTE18!$A:$B,2,0),0))),""))),4)</f>
        <v>#VALUE!</v>
      </c>
      <c r="BXA5" s="44" t="e">
        <f>ROUNDUP(IF(IFERROR(IF($BWO5="","",IF($BWO5=0,1,1-$BWO5/HLOOKUP(BXA$3,[2]ARBOR_REAJUSTE18!$A:$AE,VLOOKUP($BWO$2,[2]ARBOR_REAJUSTE18!$A:$B,2,0),0))),"")&lt;0.01%,0.01%,(IFERROR(IF($BWO5="","",IF($BWO5=0,1,1-$BWO5/HLOOKUP(BXA$3,[2]ARBOR_REAJUSTE18!$A:$AE,VLOOKUP($BWO$2,[2]ARBOR_REAJUSTE18!$A:$B,2,0),0))),""))),4)</f>
        <v>#VALUE!</v>
      </c>
      <c r="BXB5" s="44" t="e">
        <f>ROUNDUP(IF(IFERROR(IF($BWO5="","",IF($BWO5=0,1,1-$BWO5/HLOOKUP(BXB$3,[2]ARBOR_REAJUSTE18!$A:$AE,VLOOKUP($BWO$2,[2]ARBOR_REAJUSTE18!$A:$B,2,0),0))),"")&lt;0.01%,0.01%,(IFERROR(IF($BWO5="","",IF($BWO5=0,1,1-$BWO5/HLOOKUP(BXB$3,[2]ARBOR_REAJUSTE18!$A:$AE,VLOOKUP($BWO$2,[2]ARBOR_REAJUSTE18!$A:$B,2,0),0))),""))),4)</f>
        <v>#VALUE!</v>
      </c>
      <c r="BXC5" s="44" t="e">
        <f>ROUNDUP(IF(IFERROR(IF($BWO5="","",IF($BWO5=0,1,1-$BWO5/HLOOKUP(BXC$3,[2]ARBOR_REAJUSTE18!$A:$AE,VLOOKUP($BWO$2,[2]ARBOR_REAJUSTE18!$A:$B,2,0),0))),"")&lt;0.01%,0.01%,(IFERROR(IF($BWO5="","",IF($BWO5=0,1,1-$BWO5/HLOOKUP(BXC$3,[2]ARBOR_REAJUSTE18!$A:$AE,VLOOKUP($BWO$2,[2]ARBOR_REAJUSTE18!$A:$B,2,0),0))),""))),4)</f>
        <v>#VALUE!</v>
      </c>
      <c r="BXD5" s="44" t="e">
        <f>ROUNDUP(IF(IFERROR(IF($BWO5="","",IF($BWO5=0,1,1-$BWO5/HLOOKUP(BXD$3,[2]ARBOR_REAJUSTE18!$A:$AE,VLOOKUP($BWO$2,[2]ARBOR_REAJUSTE18!$A:$B,2,0),0))),"")&lt;0.01%,0.01%,(IFERROR(IF($BWO5="","",IF($BWO5=0,1,1-$BWO5/HLOOKUP(BXD$3,[2]ARBOR_REAJUSTE18!$A:$AE,VLOOKUP($BWO$2,[2]ARBOR_REAJUSTE18!$A:$B,2,0),0))),""))),4)</f>
        <v>#VALUE!</v>
      </c>
      <c r="BXE5" s="44" t="e">
        <f>ROUNDUP(IF(IFERROR(IF($BWO5="","",IF($BWO5=0,1,1-$BWO5/HLOOKUP(BXE$3,[2]ARBOR_REAJUSTE18!$A:$AE,VLOOKUP($BWO$2,[2]ARBOR_REAJUSTE18!$A:$B,2,0),0))),"")&lt;0.01%,0.01%,(IFERROR(IF($BWO5="","",IF($BWO5=0,1,1-$BWO5/HLOOKUP(BXE$3,[2]ARBOR_REAJUSTE18!$A:$AE,VLOOKUP($BWO$2,[2]ARBOR_REAJUSTE18!$A:$B,2,0),0))),""))),4)</f>
        <v>#VALUE!</v>
      </c>
      <c r="BXF5" s="44" t="e">
        <f>ROUNDUP(IF(IFERROR(IF($BWO5="","",IF($BWO5=0,1,1-$BWO5/HLOOKUP(BXF$3,[2]ARBOR_REAJUSTE18!$A:$AE,VLOOKUP($BWO$2,[2]ARBOR_REAJUSTE18!$A:$B,2,0),0))),"")&lt;0.01%,0.01%,(IFERROR(IF($BWO5="","",IF($BWO5=0,1,1-$BWO5/HLOOKUP(BXF$3,[2]ARBOR_REAJUSTE18!$A:$AE,VLOOKUP($BWO$2,[2]ARBOR_REAJUSTE18!$A:$B,2,0),0))),""))),4)</f>
        <v>#VALUE!</v>
      </c>
      <c r="BXG5" s="44" t="e">
        <f>ROUNDUP(IF(IFERROR(IF($BWO5="","",IF($BWO5=0,1,1-$BWO5/HLOOKUP(BXG$3,[2]ARBOR_REAJUSTE18!$A:$AE,VLOOKUP($BWO$2,[2]ARBOR_REAJUSTE18!$A:$B,2,0),0))),"")&lt;0.01%,0.01%,(IFERROR(IF($BWO5="","",IF($BWO5=0,1,1-$BWO5/HLOOKUP(BXG$3,[2]ARBOR_REAJUSTE18!$A:$AE,VLOOKUP($BWO$2,[2]ARBOR_REAJUSTE18!$A:$B,2,0),0))),""))),4)</f>
        <v>#VALUE!</v>
      </c>
      <c r="BXH5" s="44" t="e">
        <f>ROUNDUP(IF(IFERROR(IF($BWO5="","",IF($BWO5=0,1,1-$BWO5/HLOOKUP(BXH$3,[2]ARBOR_REAJUSTE18!$A:$AE,VLOOKUP($BWO$2,[2]ARBOR_REAJUSTE18!$A:$B,2,0),0))),"")&lt;0.01%,0.01%,(IFERROR(IF($BWO5="","",IF($BWO5=0,1,1-$BWO5/HLOOKUP(BXH$3,[2]ARBOR_REAJUSTE18!$A:$AE,VLOOKUP($BWO$2,[2]ARBOR_REAJUSTE18!$A:$B,2,0),0))),""))),4)</f>
        <v>#VALUE!</v>
      </c>
      <c r="BXI5" s="44" t="e">
        <f>ROUNDUP(IF(IFERROR(IF($BWO5="","",IF($BWO5=0,1,1-$BWO5/HLOOKUP(BXI$3,[2]ARBOR_REAJUSTE18!$A:$AE,VLOOKUP($BWO$2,[2]ARBOR_REAJUSTE18!$A:$B,2,0),0))),"")&lt;0.01%,0.01%,(IFERROR(IF($BWO5="","",IF($BWO5=0,1,1-$BWO5/HLOOKUP(BXI$3,[2]ARBOR_REAJUSTE18!$A:$AE,VLOOKUP($BWO$2,[2]ARBOR_REAJUSTE18!$A:$B,2,0),0))),""))),4)</f>
        <v>#VALUE!</v>
      </c>
      <c r="BXJ5" s="44" t="e">
        <f>ROUNDUP(IF(IFERROR(IF($BWO5="","",IF($BWO5=0,1,1-$BWO5/HLOOKUP(BXJ$3,[2]ARBOR_REAJUSTE18!$A:$AE,VLOOKUP($BWO$2,[2]ARBOR_REAJUSTE18!$A:$B,2,0),0))),"")&lt;0.01%,0.01%,(IFERROR(IF($BWO5="","",IF($BWO5=0,1,1-$BWO5/HLOOKUP(BXJ$3,[2]ARBOR_REAJUSTE18!$A:$AE,VLOOKUP($BWO$2,[2]ARBOR_REAJUSTE18!$A:$B,2,0),0))),""))),4)</f>
        <v>#VALUE!</v>
      </c>
      <c r="BXK5" s="44" t="e">
        <f>ROUNDUP(IF(IFERROR(IF($BWO5="","",IF($BWO5=0,1,1-$BWO5/HLOOKUP(BXK$3,[2]ARBOR_REAJUSTE18!$A:$AE,VLOOKUP($BWO$2,[2]ARBOR_REAJUSTE18!$A:$B,2,0),0))),"")&lt;0.01%,0.01%,(IFERROR(IF($BWO5="","",IF($BWO5=0,1,1-$BWO5/HLOOKUP(BXK$3,[2]ARBOR_REAJUSTE18!$A:$AE,VLOOKUP($BWO$2,[2]ARBOR_REAJUSTE18!$A:$B,2,0),0))),""))),4)</f>
        <v>#VALUE!</v>
      </c>
      <c r="BXL5" s="44" t="e">
        <f>ROUNDUP(IF(IFERROR(IF($BWO5="","",IF($BWO5=0,1,1-$BWO5/HLOOKUP(BXL$3,[2]ARBOR_REAJUSTE18!$A:$AE,VLOOKUP($BWO$2,[2]ARBOR_REAJUSTE18!$A:$B,2,0),0))),"")&lt;0.01%,0.01%,(IFERROR(IF($BWO5="","",IF($BWO5=0,1,1-$BWO5/HLOOKUP(BXL$3,[2]ARBOR_REAJUSTE18!$A:$AE,VLOOKUP($BWO$2,[2]ARBOR_REAJUSTE18!$A:$B,2,0),0))),""))),4)</f>
        <v>#VALUE!</v>
      </c>
      <c r="BXM5" s="44" t="e">
        <f>ROUNDUP(IF(IFERROR(IF($BWO5="","",IF($BWO5=0,1,1-$BWO5/HLOOKUP(BXM$3,[2]ARBOR_REAJUSTE18!$A:$AE,VLOOKUP($BWO$2,[2]ARBOR_REAJUSTE18!$A:$B,2,0),0))),"")&lt;0.01%,0.01%,(IFERROR(IF($BWO5="","",IF($BWO5=0,1,1-$BWO5/HLOOKUP(BXM$3,[2]ARBOR_REAJUSTE18!$A:$AE,VLOOKUP($BWO$2,[2]ARBOR_REAJUSTE18!$A:$B,2,0),0))),""))),4)</f>
        <v>#VALUE!</v>
      </c>
      <c r="BXN5" s="44" t="e">
        <f>ROUNDUP(IF(IFERROR(IF($BWO5="","",IF($BWO5=0,1,1-$BWO5/HLOOKUP(BXN$3,[2]ARBOR_REAJUSTE18!$A:$AE,VLOOKUP($BWO$2,[2]ARBOR_REAJUSTE18!$A:$B,2,0),0))),"")&lt;0.01%,0.01%,(IFERROR(IF($BWO5="","",IF($BWO5=0,1,1-$BWO5/HLOOKUP(BXN$3,[2]ARBOR_REAJUSTE18!$A:$AE,VLOOKUP($BWO$2,[2]ARBOR_REAJUSTE18!$A:$B,2,0),0))),""))),4)</f>
        <v>#VALUE!</v>
      </c>
      <c r="BXO5" s="44" t="e">
        <f>ROUNDUP(IF(IFERROR(IF($BWO5="","",IF($BWO5=0,1,1-$BWO5/HLOOKUP(BXO$3,[2]ARBOR_REAJUSTE18!$A:$AE,VLOOKUP($BWO$2,[2]ARBOR_REAJUSTE18!$A:$B,2,0),0))),"")&lt;0.01%,0.01%,(IFERROR(IF($BWO5="","",IF($BWO5=0,1,1-$BWO5/HLOOKUP(BXO$3,[2]ARBOR_REAJUSTE18!$A:$AE,VLOOKUP($BWO$2,[2]ARBOR_REAJUSTE18!$A:$B,2,0),0))),""))),4)</f>
        <v>#VALUE!</v>
      </c>
      <c r="BXP5" s="44" t="e">
        <f>ROUNDUP(IF(IFERROR(IF($BWO5="","",IF($BWO5=0,1,1-$BWO5/HLOOKUP(BXP$3,[2]ARBOR_REAJUSTE18!$A:$AE,VLOOKUP($BWO$2,[2]ARBOR_REAJUSTE18!$A:$B,2,0),0))),"")&lt;0.01%,0.01%,(IFERROR(IF($BWO5="","",IF($BWO5=0,1,1-$BWO5/HLOOKUP(BXP$3,[2]ARBOR_REAJUSTE18!$A:$AE,VLOOKUP($BWO$2,[2]ARBOR_REAJUSTE18!$A:$B,2,0),0))),""))),4)</f>
        <v>#VALUE!</v>
      </c>
      <c r="BXQ5" s="44" t="e">
        <f>ROUNDUP(IF(IFERROR(IF($BWO5="","",IF($BWO5=0,1,1-$BWO5/HLOOKUP(BXQ$3,[2]ARBOR_REAJUSTE18!$A:$AE,VLOOKUP($BWO$2,[2]ARBOR_REAJUSTE18!$A:$B,2,0),0))),"")&lt;0.01%,0.01%,(IFERROR(IF($BWO5="","",IF($BWO5=0,1,1-$BWO5/HLOOKUP(BXQ$3,[2]ARBOR_REAJUSTE18!$A:$AE,VLOOKUP($BWO$2,[2]ARBOR_REAJUSTE18!$A:$B,2,0),0))),""))),4)</f>
        <v>#VALUE!</v>
      </c>
      <c r="BXR5" s="56"/>
      <c r="BXS5" s="64"/>
      <c r="BXT5" s="44" t="e">
        <f>ROUNDUP(IF(IFERROR(IF($BXR5="","",IF($BXR5=0,1,1-$BXR5/HLOOKUP(BXT$3,[2]ARBOR_REAJUSTE18!$A:$AE,VLOOKUP($BXR$2,[2]ARBOR_REAJUSTE18!$A:$B,2,0),0))),"")&lt;0.01%,0.01%,(IFERROR(IF($BXR5="","",IF($BXR5=0,1,1-$BXR5/HLOOKUP(BXT$3,[2]ARBOR_REAJUSTE18!$A:$AE,VLOOKUP($BXR$2,[2]ARBOR_REAJUSTE18!$A:$B,2,0),0))),""))),4)</f>
        <v>#VALUE!</v>
      </c>
      <c r="BXU5" s="44" t="e">
        <f>ROUNDUP(IF(IFERROR(IF($BXR5="","",IF($BXR5=0,1,1-$BXR5/HLOOKUP(BXU$3,[2]ARBOR_REAJUSTE18!$A:$AE,VLOOKUP($BXR$2,[2]ARBOR_REAJUSTE18!$A:$B,2,0),0))),"")&lt;0.01%,0.01%,(IFERROR(IF($BXR5="","",IF($BXR5=0,1,1-$BXR5/HLOOKUP(BXU$3,[2]ARBOR_REAJUSTE18!$A:$AE,VLOOKUP($BXR$2,[2]ARBOR_REAJUSTE18!$A:$B,2,0),0))),""))),4)</f>
        <v>#VALUE!</v>
      </c>
      <c r="BXV5" s="44" t="e">
        <f>ROUNDUP(IF(IFERROR(IF($BXR5="","",IF($BXR5=0,1,1-$BXR5/HLOOKUP(BXV$3,[2]ARBOR_REAJUSTE18!$A:$AE,VLOOKUP($BXR$2,[2]ARBOR_REAJUSTE18!$A:$B,2,0),0))),"")&lt;0.01%,0.01%,(IFERROR(IF($BXR5="","",IF($BXR5=0,1,1-$BXR5/HLOOKUP(BXV$3,[2]ARBOR_REAJUSTE18!$A:$AE,VLOOKUP($BXR$2,[2]ARBOR_REAJUSTE18!$A:$B,2,0),0))),""))),4)</f>
        <v>#VALUE!</v>
      </c>
      <c r="BXW5" s="44" t="e">
        <f>ROUNDUP(IF(IFERROR(IF($BXR5="","",IF($BXR5=0,1,1-$BXR5/HLOOKUP(BXW$3,[2]ARBOR_REAJUSTE18!$A:$AE,VLOOKUP($BXR$2,[2]ARBOR_REAJUSTE18!$A:$B,2,0),0))),"")&lt;0.01%,0.01%,(IFERROR(IF($BXR5="","",IF($BXR5=0,1,1-$BXR5/HLOOKUP(BXW$3,[2]ARBOR_REAJUSTE18!$A:$AE,VLOOKUP($BXR$2,[2]ARBOR_REAJUSTE18!$A:$B,2,0),0))),""))),4)</f>
        <v>#VALUE!</v>
      </c>
      <c r="BXX5" s="44" t="e">
        <f>ROUNDUP(IF(IFERROR(IF($BXR5="","",IF($BXR5=0,1,1-$BXR5/HLOOKUP(BXX$3,[2]ARBOR_REAJUSTE18!$A:$AE,VLOOKUP($BXR$2,[2]ARBOR_REAJUSTE18!$A:$B,2,0),0))),"")&lt;0.01%,0.01%,(IFERROR(IF($BXR5="","",IF($BXR5=0,1,1-$BXR5/HLOOKUP(BXX$3,[2]ARBOR_REAJUSTE18!$A:$AE,VLOOKUP($BXR$2,[2]ARBOR_REAJUSTE18!$A:$B,2,0),0))),""))),4)</f>
        <v>#VALUE!</v>
      </c>
      <c r="BXY5" s="44" t="e">
        <f>ROUNDUP(IF(IFERROR(IF($BXR5="","",IF($BXR5=0,1,1-$BXR5/HLOOKUP(BXY$3,[2]ARBOR_REAJUSTE18!$A:$AE,VLOOKUP($BXR$2,[2]ARBOR_REAJUSTE18!$A:$B,2,0),0))),"")&lt;0.01%,0.01%,(IFERROR(IF($BXR5="","",IF($BXR5=0,1,1-$BXR5/HLOOKUP(BXY$3,[2]ARBOR_REAJUSTE18!$A:$AE,VLOOKUP($BXR$2,[2]ARBOR_REAJUSTE18!$A:$B,2,0),0))),""))),4)</f>
        <v>#VALUE!</v>
      </c>
      <c r="BXZ5" s="44" t="e">
        <f>ROUNDUP(IF(IFERROR(IF($BXR5="","",IF($BXR5=0,1,1-$BXR5/HLOOKUP(BXZ$3,[2]ARBOR_REAJUSTE18!$A:$AE,VLOOKUP($BXR$2,[2]ARBOR_REAJUSTE18!$A:$B,2,0),0))),"")&lt;0.01%,0.01%,(IFERROR(IF($BXR5="","",IF($BXR5=0,1,1-$BXR5/HLOOKUP(BXZ$3,[2]ARBOR_REAJUSTE18!$A:$AE,VLOOKUP($BXR$2,[2]ARBOR_REAJUSTE18!$A:$B,2,0),0))),""))),4)</f>
        <v>#VALUE!</v>
      </c>
      <c r="BYA5" s="44" t="e">
        <f>ROUNDUP(IF(IFERROR(IF($BXR5="","",IF($BXR5=0,1,1-$BXR5/HLOOKUP(BYA$3,[2]ARBOR_REAJUSTE18!$A:$AE,VLOOKUP($BXR$2,[2]ARBOR_REAJUSTE18!$A:$B,2,0),0))),"")&lt;0.01%,0.01%,(IFERROR(IF($BXR5="","",IF($BXR5=0,1,1-$BXR5/HLOOKUP(BYA$3,[2]ARBOR_REAJUSTE18!$A:$AE,VLOOKUP($BXR$2,[2]ARBOR_REAJUSTE18!$A:$B,2,0),0))),""))),4)</f>
        <v>#VALUE!</v>
      </c>
      <c r="BYB5" s="44" t="e">
        <f>ROUNDUP(IF(IFERROR(IF($BXR5="","",IF($BXR5=0,1,1-$BXR5/HLOOKUP(BYB$3,[2]ARBOR_REAJUSTE18!$A:$AE,VLOOKUP($BXR$2,[2]ARBOR_REAJUSTE18!$A:$B,2,0),0))),"")&lt;0.01%,0.01%,(IFERROR(IF($BXR5="","",IF($BXR5=0,1,1-$BXR5/HLOOKUP(BYB$3,[2]ARBOR_REAJUSTE18!$A:$AE,VLOOKUP($BXR$2,[2]ARBOR_REAJUSTE18!$A:$B,2,0),0))),""))),4)</f>
        <v>#VALUE!</v>
      </c>
      <c r="BYC5" s="44" t="e">
        <f>ROUNDUP(IF(IFERROR(IF($BXR5="","",IF($BXR5=0,1,1-$BXR5/HLOOKUP(BYC$3,[2]ARBOR_REAJUSTE18!$A:$AE,VLOOKUP($BXR$2,[2]ARBOR_REAJUSTE18!$A:$B,2,0),0))),"")&lt;0.01%,0.01%,(IFERROR(IF($BXR5="","",IF($BXR5=0,1,1-$BXR5/HLOOKUP(BYC$3,[2]ARBOR_REAJUSTE18!$A:$AE,VLOOKUP($BXR$2,[2]ARBOR_REAJUSTE18!$A:$B,2,0),0))),""))),4)</f>
        <v>#VALUE!</v>
      </c>
      <c r="BYD5" s="44" t="e">
        <f>ROUNDUP(IF(IFERROR(IF($BXR5="","",IF($BXR5=0,1,1-$BXR5/HLOOKUP(BYD$3,[2]ARBOR_REAJUSTE18!$A:$AE,VLOOKUP($BXR$2,[2]ARBOR_REAJUSTE18!$A:$B,2,0),0))),"")&lt;0.01%,0.01%,(IFERROR(IF($BXR5="","",IF($BXR5=0,1,1-$BXR5/HLOOKUP(BYD$3,[2]ARBOR_REAJUSTE18!$A:$AE,VLOOKUP($BXR$2,[2]ARBOR_REAJUSTE18!$A:$B,2,0),0))),""))),4)</f>
        <v>#VALUE!</v>
      </c>
      <c r="BYE5" s="44" t="e">
        <f>ROUNDUP(IF(IFERROR(IF($BXR5="","",IF($BXR5=0,1,1-$BXR5/HLOOKUP(BYE$3,[2]ARBOR_REAJUSTE18!$A:$AE,VLOOKUP($BXR$2,[2]ARBOR_REAJUSTE18!$A:$B,2,0),0))),"")&lt;0.01%,0.01%,(IFERROR(IF($BXR5="","",IF($BXR5=0,1,1-$BXR5/HLOOKUP(BYE$3,[2]ARBOR_REAJUSTE18!$A:$AE,VLOOKUP($BXR$2,[2]ARBOR_REAJUSTE18!$A:$B,2,0),0))),""))),4)</f>
        <v>#VALUE!</v>
      </c>
      <c r="BYF5" s="44" t="e">
        <f>ROUNDUP(IF(IFERROR(IF($BXR5="","",IF($BXR5=0,1,1-$BXR5/HLOOKUP(BYF$3,[2]ARBOR_REAJUSTE18!$A:$AE,VLOOKUP($BXR$2,[2]ARBOR_REAJUSTE18!$A:$B,2,0),0))),"")&lt;0.01%,0.01%,(IFERROR(IF($BXR5="","",IF($BXR5=0,1,1-$BXR5/HLOOKUP(BYF$3,[2]ARBOR_REAJUSTE18!$A:$AE,VLOOKUP($BXR$2,[2]ARBOR_REAJUSTE18!$A:$B,2,0),0))),""))),4)</f>
        <v>#VALUE!</v>
      </c>
      <c r="BYG5" s="44" t="e">
        <f>ROUNDUP(IF(IFERROR(IF($BXR5="","",IF($BXR5=0,1,1-$BXR5/HLOOKUP(BYG$3,[2]ARBOR_REAJUSTE18!$A:$AE,VLOOKUP($BXR$2,[2]ARBOR_REAJUSTE18!$A:$B,2,0),0))),"")&lt;0.01%,0.01%,(IFERROR(IF($BXR5="","",IF($BXR5=0,1,1-$BXR5/HLOOKUP(BYG$3,[2]ARBOR_REAJUSTE18!$A:$AE,VLOOKUP($BXR$2,[2]ARBOR_REAJUSTE18!$A:$B,2,0),0))),""))),4)</f>
        <v>#VALUE!</v>
      </c>
      <c r="BYH5" s="44" t="e">
        <f>ROUNDUP(IF(IFERROR(IF($BXR5="","",IF($BXR5=0,1,1-$BXR5/HLOOKUP(BYH$3,[2]ARBOR_REAJUSTE18!$A:$AE,VLOOKUP($BXR$2,[2]ARBOR_REAJUSTE18!$A:$B,2,0),0))),"")&lt;0.01%,0.01%,(IFERROR(IF($BXR5="","",IF($BXR5=0,1,1-$BXR5/HLOOKUP(BYH$3,[2]ARBOR_REAJUSTE18!$A:$AE,VLOOKUP($BXR$2,[2]ARBOR_REAJUSTE18!$A:$B,2,0),0))),""))),4)</f>
        <v>#VALUE!</v>
      </c>
      <c r="BYI5" s="44" t="e">
        <f>ROUNDUP(IF(IFERROR(IF($BXR5="","",IF($BXR5=0,1,1-$BXR5/HLOOKUP(BYI$3,[2]ARBOR_REAJUSTE18!$A:$AE,VLOOKUP($BXR$2,[2]ARBOR_REAJUSTE18!$A:$B,2,0),0))),"")&lt;0.01%,0.01%,(IFERROR(IF($BXR5="","",IF($BXR5=0,1,1-$BXR5/HLOOKUP(BYI$3,[2]ARBOR_REAJUSTE18!$A:$AE,VLOOKUP($BXR$2,[2]ARBOR_REAJUSTE18!$A:$B,2,0),0))),""))),4)</f>
        <v>#VALUE!</v>
      </c>
      <c r="BYJ5" s="44" t="e">
        <f>ROUNDUP(IF(IFERROR(IF($BXR5="","",IF($BXR5=0,1,1-$BXR5/HLOOKUP(BYJ$3,[2]ARBOR_REAJUSTE18!$A:$AE,VLOOKUP($BXR$2,[2]ARBOR_REAJUSTE18!$A:$B,2,0),0))),"")&lt;0.01%,0.01%,(IFERROR(IF($BXR5="","",IF($BXR5=0,1,1-$BXR5/HLOOKUP(BYJ$3,[2]ARBOR_REAJUSTE18!$A:$AE,VLOOKUP($BXR$2,[2]ARBOR_REAJUSTE18!$A:$B,2,0),0))),""))),4)</f>
        <v>#VALUE!</v>
      </c>
      <c r="BYK5" s="44" t="e">
        <f>ROUNDUP(IF(IFERROR(IF($BXR5="","",IF($BXR5=0,1,1-$BXR5/HLOOKUP(BYK$3,[2]ARBOR_REAJUSTE18!$A:$AE,VLOOKUP($BXR$2,[2]ARBOR_REAJUSTE18!$A:$B,2,0),0))),"")&lt;0.01%,0.01%,(IFERROR(IF($BXR5="","",IF($BXR5=0,1,1-$BXR5/HLOOKUP(BYK$3,[2]ARBOR_REAJUSTE18!$A:$AE,VLOOKUP($BXR$2,[2]ARBOR_REAJUSTE18!$A:$B,2,0),0))),""))),4)</f>
        <v>#VALUE!</v>
      </c>
      <c r="BYL5" s="44" t="e">
        <f>ROUNDUP(IF(IFERROR(IF($BXR5="","",IF($BXR5=0,1,1-$BXR5/HLOOKUP(BYL$3,[2]ARBOR_REAJUSTE18!$A:$AE,VLOOKUP($BXR$2,[2]ARBOR_REAJUSTE18!$A:$B,2,0),0))),"")&lt;0.01%,0.01%,(IFERROR(IF($BXR5="","",IF($BXR5=0,1,1-$BXR5/HLOOKUP(BYL$3,[2]ARBOR_REAJUSTE18!$A:$AE,VLOOKUP($BXR$2,[2]ARBOR_REAJUSTE18!$A:$B,2,0),0))),""))),4)</f>
        <v>#VALUE!</v>
      </c>
      <c r="BYM5" s="44" t="e">
        <f>ROUNDUP(IF(IFERROR(IF($BXR5="","",IF($BXR5=0,1,1-$BXR5/HLOOKUP(BYM$3,[2]ARBOR_REAJUSTE18!$A:$AE,VLOOKUP($BXR$2,[2]ARBOR_REAJUSTE18!$A:$B,2,0),0))),"")&lt;0.01%,0.01%,(IFERROR(IF($BXR5="","",IF($BXR5=0,1,1-$BXR5/HLOOKUP(BYM$3,[2]ARBOR_REAJUSTE18!$A:$AE,VLOOKUP($BXR$2,[2]ARBOR_REAJUSTE18!$A:$B,2,0),0))),""))),4)</f>
        <v>#VALUE!</v>
      </c>
      <c r="BYN5" s="44" t="e">
        <f>ROUNDUP(IF(IFERROR(IF($BXR5="","",IF($BXR5=0,1,1-$BXR5/HLOOKUP(BYN$3,[2]ARBOR_REAJUSTE18!$A:$AE,VLOOKUP($BXR$2,[2]ARBOR_REAJUSTE18!$A:$B,2,0),0))),"")&lt;0.01%,0.01%,(IFERROR(IF($BXR5="","",IF($BXR5=0,1,1-$BXR5/HLOOKUP(BYN$3,[2]ARBOR_REAJUSTE18!$A:$AE,VLOOKUP($BXR$2,[2]ARBOR_REAJUSTE18!$A:$B,2,0),0))),""))),4)</f>
        <v>#VALUE!</v>
      </c>
      <c r="BYO5" s="44" t="e">
        <f>ROUNDUP(IF(IFERROR(IF($BXR5="","",IF($BXR5=0,1,1-$BXR5/HLOOKUP(BYO$3,[2]ARBOR_REAJUSTE18!$A:$AE,VLOOKUP($BXR$2,[2]ARBOR_REAJUSTE18!$A:$B,2,0),0))),"")&lt;0.01%,0.01%,(IFERROR(IF($BXR5="","",IF($BXR5=0,1,1-$BXR5/HLOOKUP(BYO$3,[2]ARBOR_REAJUSTE18!$A:$AE,VLOOKUP($BXR$2,[2]ARBOR_REAJUSTE18!$A:$B,2,0),0))),""))),4)</f>
        <v>#VALUE!</v>
      </c>
      <c r="BYP5" s="44" t="e">
        <f>ROUNDUP(IF(IFERROR(IF($BXR5="","",IF($BXR5=0,1,1-$BXR5/HLOOKUP(BYP$3,[2]ARBOR_REAJUSTE18!$A:$AE,VLOOKUP($BXR$2,[2]ARBOR_REAJUSTE18!$A:$B,2,0),0))),"")&lt;0.01%,0.01%,(IFERROR(IF($BXR5="","",IF($BXR5=0,1,1-$BXR5/HLOOKUP(BYP$3,[2]ARBOR_REAJUSTE18!$A:$AE,VLOOKUP($BXR$2,[2]ARBOR_REAJUSTE18!$A:$B,2,0),0))),""))),4)</f>
        <v>#VALUE!</v>
      </c>
      <c r="BYQ5" s="44" t="e">
        <f>ROUNDUP(IF(IFERROR(IF($BXR5="","",IF($BXR5=0,1,1-$BXR5/HLOOKUP(BYQ$3,[2]ARBOR_REAJUSTE18!$A:$AE,VLOOKUP($BXR$2,[2]ARBOR_REAJUSTE18!$A:$B,2,0),0))),"")&lt;0.01%,0.01%,(IFERROR(IF($BXR5="","",IF($BXR5=0,1,1-$BXR5/HLOOKUP(BYQ$3,[2]ARBOR_REAJUSTE18!$A:$AE,VLOOKUP($BXR$2,[2]ARBOR_REAJUSTE18!$A:$B,2,0),0))),""))),4)</f>
        <v>#VALUE!</v>
      </c>
      <c r="BYR5" s="44" t="e">
        <f>ROUNDUP(IF(IFERROR(IF($BXR5="","",IF($BXR5=0,1,1-$BXR5/HLOOKUP(BYR$3,[2]ARBOR_REAJUSTE18!$A:$AE,VLOOKUP($BXR$2,[2]ARBOR_REAJUSTE18!$A:$B,2,0),0))),"")&lt;0.01%,0.01%,(IFERROR(IF($BXR5="","",IF($BXR5=0,1,1-$BXR5/HLOOKUP(BYR$3,[2]ARBOR_REAJUSTE18!$A:$AE,VLOOKUP($BXR$2,[2]ARBOR_REAJUSTE18!$A:$B,2,0),0))),""))),4)</f>
        <v>#VALUE!</v>
      </c>
      <c r="BYS5" s="44" t="e">
        <f>ROUNDUP(IF(IFERROR(IF($BXR5="","",IF($BXR5=0,1,1-$BXR5/HLOOKUP(BYS$3,[2]ARBOR_REAJUSTE18!$A:$AE,VLOOKUP($BXR$2,[2]ARBOR_REAJUSTE18!$A:$B,2,0),0))),"")&lt;0.01%,0.01%,(IFERROR(IF($BXR5="","",IF($BXR5=0,1,1-$BXR5/HLOOKUP(BYS$3,[2]ARBOR_REAJUSTE18!$A:$AE,VLOOKUP($BXR$2,[2]ARBOR_REAJUSTE18!$A:$B,2,0),0))),""))),4)</f>
        <v>#VALUE!</v>
      </c>
      <c r="BYT5" s="44" t="e">
        <f>ROUNDUP(IF(IFERROR(IF($BXR5="","",IF($BXR5=0,1,1-$BXR5/HLOOKUP(BYT$3,[2]ARBOR_REAJUSTE18!$A:$AE,VLOOKUP($BXR$2,[2]ARBOR_REAJUSTE18!$A:$B,2,0),0))),"")&lt;0.01%,0.01%,(IFERROR(IF($BXR5="","",IF($BXR5=0,1,1-$BXR5/HLOOKUP(BYT$3,[2]ARBOR_REAJUSTE18!$A:$AE,VLOOKUP($BXR$2,[2]ARBOR_REAJUSTE18!$A:$B,2,0),0))),""))),4)</f>
        <v>#VALUE!</v>
      </c>
      <c r="BYU5" s="65" t="s">
        <v>297</v>
      </c>
      <c r="BYV5" s="66"/>
      <c r="BYW5" s="66"/>
      <c r="BYX5" s="66"/>
      <c r="BYY5" s="66"/>
      <c r="BYZ5" s="66"/>
      <c r="BZA5" s="66"/>
      <c r="BZB5" s="66"/>
      <c r="BZC5" s="66"/>
      <c r="BZD5" s="66"/>
      <c r="BZE5" s="66"/>
      <c r="BZF5" s="66"/>
      <c r="BZG5" s="66"/>
      <c r="BZH5" s="66"/>
      <c r="BZI5" s="66"/>
      <c r="BZJ5" s="66"/>
      <c r="BZK5" s="66"/>
      <c r="BZL5" s="66"/>
      <c r="BZM5" s="66"/>
      <c r="BZN5" s="66"/>
      <c r="BZO5" s="66"/>
      <c r="BZP5" s="66"/>
      <c r="BZQ5" s="66"/>
      <c r="BZR5" s="66"/>
      <c r="BZS5" s="66"/>
      <c r="BZT5" s="66"/>
      <c r="BZU5" s="66"/>
      <c r="BZV5" s="66"/>
      <c r="BZW5" s="65">
        <v>24.9</v>
      </c>
      <c r="BZX5" s="66"/>
      <c r="BZY5" s="66"/>
      <c r="BZZ5" s="66"/>
      <c r="CAA5" s="66"/>
      <c r="CAB5" s="66"/>
      <c r="CAC5" s="66"/>
      <c r="CAD5" s="66"/>
      <c r="CAE5" s="66"/>
      <c r="CAF5" s="66"/>
      <c r="CAG5" s="66"/>
      <c r="CAH5" s="66"/>
      <c r="CAI5" s="66"/>
      <c r="CAJ5" s="66"/>
      <c r="CAK5" s="66"/>
      <c r="CAL5" s="66"/>
      <c r="CAM5" s="66"/>
      <c r="CAN5" s="66"/>
      <c r="CAO5" s="66"/>
      <c r="CAP5" s="66"/>
      <c r="CAQ5" s="66"/>
      <c r="CAR5" s="66"/>
      <c r="CAS5" s="66"/>
      <c r="CAT5" s="66"/>
      <c r="CAU5" s="66"/>
      <c r="CAV5" s="66"/>
      <c r="CAW5" s="66"/>
      <c r="CAX5" s="66"/>
      <c r="CAY5" s="65">
        <v>24.9</v>
      </c>
      <c r="CAZ5" s="66"/>
      <c r="CBA5" s="66"/>
      <c r="CBB5" s="66"/>
      <c r="CBC5" s="66"/>
      <c r="CBD5" s="66"/>
      <c r="CBE5" s="66"/>
      <c r="CBF5" s="66"/>
      <c r="CBG5" s="66"/>
      <c r="CBH5" s="66"/>
      <c r="CBI5" s="66"/>
      <c r="CBJ5" s="66"/>
      <c r="CBK5" s="66"/>
      <c r="CBL5" s="66"/>
      <c r="CBM5" s="66"/>
      <c r="CBN5" s="66"/>
      <c r="CBO5" s="66"/>
      <c r="CBP5" s="66"/>
      <c r="CBQ5" s="66"/>
      <c r="CBR5" s="66"/>
      <c r="CBS5" s="66"/>
      <c r="CBT5" s="66"/>
      <c r="CBU5" s="66"/>
      <c r="CBV5" s="66"/>
      <c r="CBW5" s="66"/>
      <c r="CBX5" s="66"/>
      <c r="CBY5" s="66"/>
      <c r="CBZ5" s="66"/>
      <c r="CCA5" s="65">
        <v>24.9</v>
      </c>
      <c r="CCB5" s="44">
        <f ca="1">ROUNDUP(IF(IFERROR(IF($CCA5="","",IF($CCA5=0,1,1-$CCA5/HLOOKUP(CCB$3,[2]ARBOR_REAJUSTE18!$A:$AE,VLOOKUP($BYU$2,[2]ARBOR_REAJUSTE18!$A:$B,2,0),0))),"")&lt;0.01%,0.01%,(IFERROR(IF($CCA5="","",IF($CCA5=0,1,1-$CCA5/HLOOKUP(CCB$3,[2]ARBOR_REAJUSTE18!$A:$AE,VLOOKUP($BYU$2,[2]ARBOR_REAJUSTE18!$A:$B,2,0),0))),""))),4)</f>
        <v>0.16729999999999998</v>
      </c>
      <c r="CCC5" s="44">
        <f ca="1">ROUNDUP(IF(IFERROR(IF($CCA5="","",IF($CCA5=0,1,1-$CCA5/HLOOKUP(CCC$3,[2]ARBOR_REAJUSTE18!$A:$AE,VLOOKUP($BYU$2,[2]ARBOR_REAJUSTE18!$A:$B,2,0),0))),"")&lt;0.01%,0.01%,(IFERROR(IF($CCA5="","",IF($CCA5=0,1,1-$CCA5/HLOOKUP(CCC$3,[2]ARBOR_REAJUSTE18!$A:$AE,VLOOKUP($BYU$2,[2]ARBOR_REAJUSTE18!$A:$B,2,0),0))),""))),4)</f>
        <v>0.16729999999999998</v>
      </c>
      <c r="CCD5" s="44">
        <f ca="1">ROUNDUP(IF(IFERROR(IF($CCA5="","",IF($CCA5=0,1,1-$CCA5/HLOOKUP(CCD$3,[2]ARBOR_REAJUSTE18!$A:$AE,VLOOKUP($BYU$2,[2]ARBOR_REAJUSTE18!$A:$B,2,0),0))),"")&lt;0.01%,0.01%,(IFERROR(IF($CCA5="","",IF($CCA5=0,1,1-$CCA5/HLOOKUP(CCD$3,[2]ARBOR_REAJUSTE18!$A:$AE,VLOOKUP($BYU$2,[2]ARBOR_REAJUSTE18!$A:$B,2,0),0))),""))),4)</f>
        <v>0.16729999999999998</v>
      </c>
      <c r="CCE5" s="44">
        <f ca="1">ROUNDUP(IF(IFERROR(IF($CCA5="","",IF($CCA5=0,1,1-$CCA5/HLOOKUP(CCE$3,[2]ARBOR_REAJUSTE18!$A:$AE,VLOOKUP($BYU$2,[2]ARBOR_REAJUSTE18!$A:$B,2,0),0))),"")&lt;0.01%,0.01%,(IFERROR(IF($CCA5="","",IF($CCA5=0,1,1-$CCA5/HLOOKUP(CCE$3,[2]ARBOR_REAJUSTE18!$A:$AE,VLOOKUP($BYU$2,[2]ARBOR_REAJUSTE18!$A:$B,2,0),0))),""))),4)</f>
        <v>0.16729999999999998</v>
      </c>
      <c r="CCF5" s="44">
        <f ca="1">ROUNDUP(IF(IFERROR(IF($CCA5="","",IF($CCA5=0,1,1-$CCA5/HLOOKUP(CCF$3,[2]ARBOR_REAJUSTE18!$A:$AE,VLOOKUP($BYU$2,[2]ARBOR_REAJUSTE18!$A:$B,2,0),0))),"")&lt;0.01%,0.01%,(IFERROR(IF($CCA5="","",IF($CCA5=0,1,1-$CCA5/HLOOKUP(CCF$3,[2]ARBOR_REAJUSTE18!$A:$AE,VLOOKUP($BYU$2,[2]ARBOR_REAJUSTE18!$A:$B,2,0),0))),""))),4)</f>
        <v>0.16729999999999998</v>
      </c>
      <c r="CCG5" s="44">
        <f ca="1">ROUNDUP(IF(IFERROR(IF($CCA5="","",IF($CCA5=0,1,1-$CCA5/HLOOKUP(CCG$3,[2]ARBOR_REAJUSTE18!$A:$AE,VLOOKUP($BYU$2,[2]ARBOR_REAJUSTE18!$A:$B,2,0),0))),"")&lt;0.01%,0.01%,(IFERROR(IF($CCA5="","",IF($CCA5=0,1,1-$CCA5/HLOOKUP(CCG$3,[2]ARBOR_REAJUSTE18!$A:$AE,VLOOKUP($BYU$2,[2]ARBOR_REAJUSTE18!$A:$B,2,0),0))),""))),4)</f>
        <v>0.16729999999999998</v>
      </c>
      <c r="CCH5" s="44">
        <f ca="1">ROUNDUP(IF(IFERROR(IF($CCA5="","",IF($CCA5=0,1,1-$CCA5/HLOOKUP(CCH$3,[2]ARBOR_REAJUSTE18!$A:$AE,VLOOKUP($BYU$2,[2]ARBOR_REAJUSTE18!$A:$B,2,0),0))),"")&lt;0.01%,0.01%,(IFERROR(IF($CCA5="","",IF($CCA5=0,1,1-$CCA5/HLOOKUP(CCH$3,[2]ARBOR_REAJUSTE18!$A:$AE,VLOOKUP($BYU$2,[2]ARBOR_REAJUSTE18!$A:$B,2,0),0))),""))),4)</f>
        <v>0.18469999999999998</v>
      </c>
      <c r="CCI5" s="44">
        <f ca="1">ROUNDUP(IF(IFERROR(IF($CCA5="","",IF($CCA5=0,1,1-$CCA5/HLOOKUP(CCI$3,[2]ARBOR_REAJUSTE18!$A:$AE,VLOOKUP($BYU$2,[2]ARBOR_REAJUSTE18!$A:$B,2,0),0))),"")&lt;0.01%,0.01%,(IFERROR(IF($CCA5="","",IF($CCA5=0,1,1-$CCA5/HLOOKUP(CCI$3,[2]ARBOR_REAJUSTE18!$A:$AE,VLOOKUP($BYU$2,[2]ARBOR_REAJUSTE18!$A:$B,2,0),0))),""))),4)</f>
        <v>0.16729999999999998</v>
      </c>
      <c r="CCJ5" s="44">
        <f ca="1">ROUNDUP(IF(IFERROR(IF($CCA5="","",IF($CCA5=0,1,1-$CCA5/HLOOKUP(CCJ$3,[2]ARBOR_REAJUSTE18!$A:$AE,VLOOKUP($BYU$2,[2]ARBOR_REAJUSTE18!$A:$B,2,0),0))),"")&lt;0.01%,0.01%,(IFERROR(IF($CCA5="","",IF($CCA5=0,1,1-$CCA5/HLOOKUP(CCJ$3,[2]ARBOR_REAJUSTE18!$A:$AE,VLOOKUP($BYU$2,[2]ARBOR_REAJUSTE18!$A:$B,2,0),0))),""))),4)</f>
        <v>0.16729999999999998</v>
      </c>
      <c r="CCK5" s="44">
        <f ca="1">ROUNDUP(IF(IFERROR(IF($CCA5="","",IF($CCA5=0,1,1-$CCA5/HLOOKUP(CCK$3,[2]ARBOR_REAJUSTE18!$A:$AE,VLOOKUP($BYU$2,[2]ARBOR_REAJUSTE18!$A:$B,2,0),0))),"")&lt;0.01%,0.01%,(IFERROR(IF($CCA5="","",IF($CCA5=0,1,1-$CCA5/HLOOKUP(CCK$3,[2]ARBOR_REAJUSTE18!$A:$AE,VLOOKUP($BYU$2,[2]ARBOR_REAJUSTE18!$A:$B,2,0),0))),""))),4)</f>
        <v>0.16729999999999998</v>
      </c>
      <c r="CCL5" s="44">
        <f ca="1">ROUNDUP(IF(IFERROR(IF($CCA5="","",IF($CCA5=0,1,1-$CCA5/HLOOKUP(CCL$3,[2]ARBOR_REAJUSTE18!$A:$AE,VLOOKUP($BYU$2,[2]ARBOR_REAJUSTE18!$A:$B,2,0),0))),"")&lt;0.01%,0.01%,(IFERROR(IF($CCA5="","",IF($CCA5=0,1,1-$CCA5/HLOOKUP(CCL$3,[2]ARBOR_REAJUSTE18!$A:$AE,VLOOKUP($BYU$2,[2]ARBOR_REAJUSTE18!$A:$B,2,0),0))),""))),4)</f>
        <v>0.1968</v>
      </c>
      <c r="CCM5" s="44">
        <f ca="1">ROUNDUP(IF(IFERROR(IF($CCA5="","",IF($CCA5=0,1,1-$CCA5/HLOOKUP(CCM$3,[2]ARBOR_REAJUSTE18!$A:$AE,VLOOKUP($BYU$2,[2]ARBOR_REAJUSTE18!$A:$B,2,0),0))),"")&lt;0.01%,0.01%,(IFERROR(IF($CCA5="","",IF($CCA5=0,1,1-$CCA5/HLOOKUP(CCM$3,[2]ARBOR_REAJUSTE18!$A:$AE,VLOOKUP($BYU$2,[2]ARBOR_REAJUSTE18!$A:$B,2,0),0))),""))),4)</f>
        <v>0.16729999999999998</v>
      </c>
      <c r="CCN5" s="44">
        <f ca="1">ROUNDUP(IF(IFERROR(IF($CCA5="","",IF($CCA5=0,1,1-$CCA5/HLOOKUP(CCN$3,[2]ARBOR_REAJUSTE18!$A:$AE,VLOOKUP($BYU$2,[2]ARBOR_REAJUSTE18!$A:$B,2,0),0))),"")&lt;0.01%,0.01%,(IFERROR(IF($CCA5="","",IF($CCA5=0,1,1-$CCA5/HLOOKUP(CCN$3,[2]ARBOR_REAJUSTE18!$A:$AE,VLOOKUP($BYU$2,[2]ARBOR_REAJUSTE18!$A:$B,2,0),0))),""))),4)</f>
        <v>0.16729999999999998</v>
      </c>
      <c r="CCO5" s="44">
        <f ca="1">ROUNDUP(IF(IFERROR(IF($CCA5="","",IF($CCA5=0,1,1-$CCA5/HLOOKUP(CCO$3,[2]ARBOR_REAJUSTE18!$A:$AE,VLOOKUP($BYU$2,[2]ARBOR_REAJUSTE18!$A:$B,2,0),0))),"")&lt;0.01%,0.01%,(IFERROR(IF($CCA5="","",IF($CCA5=0,1,1-$CCA5/HLOOKUP(CCO$3,[2]ARBOR_REAJUSTE18!$A:$AE,VLOOKUP($BYU$2,[2]ARBOR_REAJUSTE18!$A:$B,2,0),0))),""))),4)</f>
        <v>0.16729999999999998</v>
      </c>
      <c r="CCP5" s="44">
        <f ca="1">ROUNDUP(IF(IFERROR(IF($CCA5="","",IF($CCA5=0,1,1-$CCA5/HLOOKUP(CCP$3,[2]ARBOR_REAJUSTE18!$A:$AE,VLOOKUP($BYU$2,[2]ARBOR_REAJUSTE18!$A:$B,2,0),0))),"")&lt;0.01%,0.01%,(IFERROR(IF($CCA5="","",IF($CCA5=0,1,1-$CCA5/HLOOKUP(CCP$3,[2]ARBOR_REAJUSTE18!$A:$AE,VLOOKUP($BYU$2,[2]ARBOR_REAJUSTE18!$A:$B,2,0),0))),""))),4)</f>
        <v>0.16729999999999998</v>
      </c>
      <c r="CCQ5" s="44">
        <f ca="1">ROUNDUP(IF(IFERROR(IF($CCA5="","",IF($CCA5=0,1,1-$CCA5/HLOOKUP(CCQ$3,[2]ARBOR_REAJUSTE18!$A:$AE,VLOOKUP($BYU$2,[2]ARBOR_REAJUSTE18!$A:$B,2,0),0))),"")&lt;0.01%,0.01%,(IFERROR(IF($CCA5="","",IF($CCA5=0,1,1-$CCA5/HLOOKUP(CCQ$3,[2]ARBOR_REAJUSTE18!$A:$AE,VLOOKUP($BYU$2,[2]ARBOR_REAJUSTE18!$A:$B,2,0),0))),""))),4)</f>
        <v>0.17799999999999999</v>
      </c>
      <c r="CCR5" s="44">
        <f ca="1">ROUNDUP(IF(IFERROR(IF($CCA5="","",IF($CCA5=0,1,1-$CCA5/HLOOKUP(CCR$3,[2]ARBOR_REAJUSTE18!$A:$AE,VLOOKUP($BYU$2,[2]ARBOR_REAJUSTE18!$A:$B,2,0),0))),"")&lt;0.01%,0.01%,(IFERROR(IF($CCA5="","",IF($CCA5=0,1,1-$CCA5/HLOOKUP(CCR$3,[2]ARBOR_REAJUSTE18!$A:$AE,VLOOKUP($BYU$2,[2]ARBOR_REAJUSTE18!$A:$B,2,0),0))),""))),4)</f>
        <v>0.16729999999999998</v>
      </c>
      <c r="CCS5" s="44">
        <f ca="1">ROUNDUP(IF(IFERROR(IF($CCA5="","",IF($CCA5=0,1,1-$CCA5/HLOOKUP(CCS$3,[2]ARBOR_REAJUSTE18!$A:$AE,VLOOKUP($BYU$2,[2]ARBOR_REAJUSTE18!$A:$B,2,0),0))),"")&lt;0.01%,0.01%,(IFERROR(IF($CCA5="","",IF($CCA5=0,1,1-$CCA5/HLOOKUP(CCS$3,[2]ARBOR_REAJUSTE18!$A:$AE,VLOOKUP($BYU$2,[2]ARBOR_REAJUSTE18!$A:$B,2,0),0))),""))),4)</f>
        <v>0.16729999999999998</v>
      </c>
      <c r="CCT5" s="44">
        <f ca="1">ROUNDUP(IF(IFERROR(IF($CCA5="","",IF($CCA5=0,1,1-$CCA5/HLOOKUP(CCT$3,[2]ARBOR_REAJUSTE18!$A:$AE,VLOOKUP($BYU$2,[2]ARBOR_REAJUSTE18!$A:$B,2,0),0))),"")&lt;0.01%,0.01%,(IFERROR(IF($CCA5="","",IF($CCA5=0,1,1-$CCA5/HLOOKUP(CCT$3,[2]ARBOR_REAJUSTE18!$A:$AE,VLOOKUP($BYU$2,[2]ARBOR_REAJUSTE18!$A:$B,2,0),0))),""))),4)</f>
        <v>0.16729999999999998</v>
      </c>
      <c r="CCU5" s="44">
        <f ca="1">ROUNDUP(IF(IFERROR(IF($CCA5="","",IF($CCA5=0,1,1-$CCA5/HLOOKUP(CCU$3,[2]ARBOR_REAJUSTE18!$A:$AE,VLOOKUP($BYU$2,[2]ARBOR_REAJUSTE18!$A:$B,2,0),0))),"")&lt;0.01%,0.01%,(IFERROR(IF($CCA5="","",IF($CCA5=0,1,1-$CCA5/HLOOKUP(CCU$3,[2]ARBOR_REAJUSTE18!$A:$AE,VLOOKUP($BYU$2,[2]ARBOR_REAJUSTE18!$A:$B,2,0),0))),""))),4)</f>
        <v>0.1968</v>
      </c>
      <c r="CCV5" s="44">
        <f ca="1">ROUNDUP(IF(IFERROR(IF($CCA5="","",IF($CCA5=0,1,1-$CCA5/HLOOKUP(CCV$3,[2]ARBOR_REAJUSTE18!$A:$AE,VLOOKUP($BYU$2,[2]ARBOR_REAJUSTE18!$A:$B,2,0),0))),"")&lt;0.01%,0.01%,(IFERROR(IF($CCA5="","",IF($CCA5=0,1,1-$CCA5/HLOOKUP(CCV$3,[2]ARBOR_REAJUSTE18!$A:$AE,VLOOKUP($BYU$2,[2]ARBOR_REAJUSTE18!$A:$B,2,0),0))),""))),4)</f>
        <v>0.16729999999999998</v>
      </c>
      <c r="CCW5" s="44">
        <f ca="1">ROUNDUP(IF(IFERROR(IF($CCA5="","",IF($CCA5=0,1,1-$CCA5/HLOOKUP(CCW$3,[2]ARBOR_REAJUSTE18!$A:$AE,VLOOKUP($BYU$2,[2]ARBOR_REAJUSTE18!$A:$B,2,0),0))),"")&lt;0.01%,0.01%,(IFERROR(IF($CCA5="","",IF($CCA5=0,1,1-$CCA5/HLOOKUP(CCW$3,[2]ARBOR_REAJUSTE18!$A:$AE,VLOOKUP($BYU$2,[2]ARBOR_REAJUSTE18!$A:$B,2,0),0))),""))),4)</f>
        <v>0.16729999999999998</v>
      </c>
      <c r="CCX5" s="44">
        <f ca="1">ROUNDUP(IF(IFERROR(IF($CCA5="","",IF($CCA5=0,1,1-$CCA5/HLOOKUP(CCX$3,[2]ARBOR_REAJUSTE18!$A:$AE,VLOOKUP($BYU$2,[2]ARBOR_REAJUSTE18!$A:$B,2,0),0))),"")&lt;0.01%,0.01%,(IFERROR(IF($CCA5="","",IF($CCA5=0,1,1-$CCA5/HLOOKUP(CCX$3,[2]ARBOR_REAJUSTE18!$A:$AE,VLOOKUP($BYU$2,[2]ARBOR_REAJUSTE18!$A:$B,2,0),0))),""))),4)</f>
        <v>0.16729999999999998</v>
      </c>
      <c r="CCY5" s="44">
        <f ca="1">ROUNDUP(IF(IFERROR(IF($CCA5="","",IF($CCA5=0,1,1-$CCA5/HLOOKUP(CCY$3,[2]ARBOR_REAJUSTE18!$A:$AE,VLOOKUP($BYU$2,[2]ARBOR_REAJUSTE18!$A:$B,2,0),0))),"")&lt;0.01%,0.01%,(IFERROR(IF($CCA5="","",IF($CCA5=0,1,1-$CCA5/HLOOKUP(CCY$3,[2]ARBOR_REAJUSTE18!$A:$AE,VLOOKUP($BYU$2,[2]ARBOR_REAJUSTE18!$A:$B,2,0),0))),""))),4)</f>
        <v>0.16729999999999998</v>
      </c>
      <c r="CCZ5" s="44">
        <f ca="1">ROUNDUP(IF(IFERROR(IF($CCA5="","",IF($CCA5=0,1,1-$CCA5/HLOOKUP(CCZ$3,[2]ARBOR_REAJUSTE18!$A:$AE,VLOOKUP($BYU$2,[2]ARBOR_REAJUSTE18!$A:$B,2,0),0))),"")&lt;0.01%,0.01%,(IFERROR(IF($CCA5="","",IF($CCA5=0,1,1-$CCA5/HLOOKUP(CCZ$3,[2]ARBOR_REAJUSTE18!$A:$AE,VLOOKUP($BYU$2,[2]ARBOR_REAJUSTE18!$A:$B,2,0),0))),""))),4)</f>
        <v>0.16729999999999998</v>
      </c>
      <c r="CDA5" s="44">
        <f ca="1">ROUNDUP(IF(IFERROR(IF($CCA5="","",IF($CCA5=0,1,1-$CCA5/HLOOKUP(CDA$3,[2]ARBOR_REAJUSTE18!$A:$AE,VLOOKUP($BYU$2,[2]ARBOR_REAJUSTE18!$A:$B,2,0),0))),"")&lt;0.01%,0.01%,(IFERROR(IF($CCA5="","",IF($CCA5=0,1,1-$CCA5/HLOOKUP(CDA$3,[2]ARBOR_REAJUSTE18!$A:$AE,VLOOKUP($BYU$2,[2]ARBOR_REAJUSTE18!$A:$B,2,0),0))),""))),4)</f>
        <v>0.18629999999999999</v>
      </c>
      <c r="CDB5" s="44">
        <f ca="1">ROUNDUP(IF(IFERROR(IF($CCA5="","",IF($CCA5=0,1,1-$CCA5/HLOOKUP(CDB$3,[2]ARBOR_REAJUSTE18!$A:$AE,VLOOKUP($BYU$2,[2]ARBOR_REAJUSTE18!$A:$B,2,0),0))),"")&lt;0.01%,0.01%,(IFERROR(IF($CCA5="","",IF($CCA5=0,1,1-$CCA5/HLOOKUP(CDB$3,[2]ARBOR_REAJUSTE18!$A:$AE,VLOOKUP($BYU$2,[2]ARBOR_REAJUSTE18!$A:$B,2,0),0))),""))),4)</f>
        <v>0.16729999999999998</v>
      </c>
      <c r="CDC5" s="64" t="str">
        <f ca="1">VLOOKUP($AV5&amp;CCB5&amp;"Template desconto % Ponto adicional nível conta",[2]BENEFICIOS!$A:$G,5,0)</f>
        <v>MKT-1-10624277011</v>
      </c>
      <c r="CDD5" s="65"/>
      <c r="CDE5" s="67"/>
      <c r="CDF5" s="44"/>
      <c r="CDG5" s="44"/>
      <c r="CDH5" s="44"/>
      <c r="CDI5" s="44"/>
      <c r="CDJ5" s="44"/>
      <c r="CDK5" s="44"/>
      <c r="CDL5" s="44"/>
      <c r="CDM5" s="44"/>
      <c r="CDN5" s="44"/>
      <c r="CDO5" s="44"/>
      <c r="CDP5" s="44"/>
      <c r="CDQ5" s="44"/>
      <c r="CDR5" s="44"/>
      <c r="CDS5" s="44"/>
      <c r="CDT5" s="44"/>
      <c r="CDU5" s="44"/>
      <c r="CDV5" s="44"/>
      <c r="CDW5" s="44"/>
      <c r="CDX5" s="44"/>
      <c r="CDY5" s="44"/>
      <c r="CDZ5" s="44"/>
      <c r="CEA5" s="44"/>
      <c r="CEB5" s="44"/>
      <c r="CEC5" s="44"/>
      <c r="CED5" s="44"/>
      <c r="CEE5" s="44"/>
      <c r="CEF5" s="44"/>
      <c r="CEG5" s="44"/>
      <c r="CEH5" s="68"/>
      <c r="CEI5" s="44"/>
      <c r="CEJ5" s="44"/>
      <c r="CEK5" s="44"/>
      <c r="CEL5" s="44"/>
      <c r="CEM5" s="44"/>
      <c r="CEN5" s="44"/>
      <c r="CEO5" s="44"/>
      <c r="CEP5" s="44"/>
      <c r="CEQ5" s="44"/>
      <c r="CER5" s="44"/>
      <c r="CES5" s="44"/>
      <c r="CET5" s="44"/>
      <c r="CEU5" s="44"/>
      <c r="CEV5" s="44"/>
      <c r="CEW5" s="44"/>
      <c r="CEX5" s="44"/>
      <c r="CEY5" s="44"/>
      <c r="CEZ5" s="44"/>
      <c r="CFA5" s="44"/>
      <c r="CFB5" s="44"/>
      <c r="CFC5" s="44"/>
      <c r="CFD5" s="44"/>
      <c r="CFE5" s="44"/>
      <c r="CFF5" s="44"/>
      <c r="CFG5" s="44"/>
      <c r="CFH5" s="44"/>
      <c r="CFI5" s="44"/>
      <c r="CFJ5" s="44"/>
      <c r="CFK5" s="67"/>
      <c r="CFL5" s="44"/>
      <c r="CFM5" s="44"/>
      <c r="CFN5" s="44"/>
      <c r="CFO5" s="44"/>
      <c r="CFP5" s="44"/>
      <c r="CFQ5" s="44"/>
      <c r="CFR5" s="44"/>
      <c r="CFS5" s="44"/>
      <c r="CFT5" s="44"/>
      <c r="CFU5" s="44"/>
      <c r="CFV5" s="44"/>
      <c r="CFW5" s="44"/>
      <c r="CFX5" s="44"/>
      <c r="CFY5" s="44"/>
      <c r="CFZ5" s="44"/>
      <c r="CGA5" s="44"/>
      <c r="CGB5" s="44"/>
      <c r="CGC5" s="44"/>
      <c r="CGD5" s="44"/>
      <c r="CGE5" s="44"/>
      <c r="CGF5" s="44"/>
      <c r="CGG5" s="44"/>
      <c r="CGH5" s="44"/>
      <c r="CGI5" s="44"/>
      <c r="CGJ5" s="44"/>
      <c r="CGK5" s="44"/>
      <c r="CGL5" s="44"/>
      <c r="CGM5" s="44"/>
      <c r="CGN5" s="67"/>
      <c r="CGO5" s="67"/>
      <c r="CGP5" s="44"/>
      <c r="CGQ5" s="44"/>
      <c r="CGR5" s="44"/>
      <c r="CGS5" s="44"/>
      <c r="CGT5" s="44"/>
      <c r="CGU5" s="44"/>
      <c r="CGV5" s="44"/>
      <c r="CGW5" s="44"/>
      <c r="CGX5" s="44"/>
      <c r="CGY5" s="44"/>
      <c r="CGZ5" s="44"/>
      <c r="CHA5" s="44"/>
      <c r="CHB5" s="44"/>
      <c r="CHC5" s="44"/>
      <c r="CHD5" s="44"/>
      <c r="CHE5" s="44"/>
      <c r="CHF5" s="44"/>
      <c r="CHG5" s="44"/>
      <c r="CHH5" s="44"/>
      <c r="CHI5" s="44"/>
      <c r="CHJ5" s="44"/>
      <c r="CHK5" s="44"/>
      <c r="CHL5" s="44"/>
      <c r="CHM5" s="44"/>
      <c r="CHN5" s="44"/>
      <c r="CHO5" s="44"/>
      <c r="CHP5" s="44"/>
      <c r="CHQ5" s="44"/>
      <c r="CHR5" s="67"/>
      <c r="CHS5" s="69"/>
      <c r="CHT5" s="70"/>
      <c r="CHU5" s="70"/>
      <c r="CHV5" s="70"/>
      <c r="CHW5" s="70"/>
      <c r="CHX5" s="65"/>
      <c r="CHY5" s="67"/>
      <c r="CHZ5" s="71"/>
      <c r="CIA5" s="71"/>
      <c r="CIB5" s="71"/>
      <c r="CIC5" s="71"/>
      <c r="CID5" s="71"/>
      <c r="CIE5" s="71"/>
      <c r="CIF5" s="71"/>
      <c r="CIG5" s="71"/>
      <c r="CIH5" s="71"/>
      <c r="CII5" s="71"/>
      <c r="CIJ5" s="71"/>
      <c r="CIK5" s="71"/>
      <c r="CIL5" s="71"/>
      <c r="CIM5" s="71"/>
      <c r="CIN5" s="71"/>
      <c r="CIO5" s="71"/>
      <c r="CIP5" s="71"/>
      <c r="CIQ5" s="71"/>
      <c r="CIR5" s="71"/>
      <c r="CIS5" s="71"/>
      <c r="CIT5" s="71"/>
      <c r="CIU5" s="71"/>
      <c r="CIV5" s="71"/>
      <c r="CIW5" s="71"/>
      <c r="CIX5" s="71"/>
      <c r="CIY5" s="71"/>
      <c r="CIZ5" s="71"/>
      <c r="CJA5" s="72"/>
      <c r="CJB5" s="68"/>
      <c r="CJC5" s="44"/>
      <c r="CJD5" s="44"/>
      <c r="CJE5" s="44"/>
      <c r="CJF5" s="44"/>
      <c r="CJG5" s="44"/>
      <c r="CJH5" s="44"/>
      <c r="CJI5" s="44"/>
      <c r="CJJ5" s="44"/>
      <c r="CJK5" s="44"/>
      <c r="CJL5" s="44"/>
      <c r="CJM5" s="44"/>
      <c r="CJN5" s="44"/>
      <c r="CJO5" s="44"/>
      <c r="CJP5" s="44"/>
      <c r="CJQ5" s="44"/>
      <c r="CJR5" s="44"/>
      <c r="CJS5" s="44"/>
      <c r="CJT5" s="44"/>
      <c r="CJU5" s="44"/>
      <c r="CJV5" s="44"/>
      <c r="CJW5" s="44"/>
      <c r="CJX5" s="44"/>
      <c r="CJY5" s="44"/>
      <c r="CJZ5" s="44"/>
      <c r="CKA5" s="44"/>
      <c r="CKB5" s="44"/>
      <c r="CKC5" s="44"/>
      <c r="CKD5" s="73"/>
      <c r="CKE5" s="67"/>
      <c r="CKF5" s="44"/>
      <c r="CKG5" s="44"/>
      <c r="CKH5" s="44"/>
      <c r="CKI5" s="44"/>
      <c r="CKJ5" s="44"/>
      <c r="CKK5" s="44"/>
      <c r="CKL5" s="44"/>
      <c r="CKM5" s="44"/>
      <c r="CKN5" s="44"/>
      <c r="CKO5" s="44"/>
      <c r="CKP5" s="44"/>
      <c r="CKQ5" s="44"/>
      <c r="CKR5" s="44"/>
      <c r="CKS5" s="44"/>
      <c r="CKT5" s="44"/>
      <c r="CKU5" s="44"/>
      <c r="CKV5" s="44"/>
      <c r="CKW5" s="44"/>
      <c r="CKX5" s="44"/>
      <c r="CKY5" s="44"/>
      <c r="CKZ5" s="44"/>
      <c r="CLA5" s="44"/>
      <c r="CLB5" s="44"/>
      <c r="CLC5" s="44"/>
      <c r="CLD5" s="44"/>
      <c r="CLE5" s="44"/>
      <c r="CLF5" s="44"/>
      <c r="CLG5" s="73"/>
      <c r="CLH5" s="67"/>
      <c r="CLI5" s="67"/>
      <c r="CLJ5" s="44" t="s">
        <v>310</v>
      </c>
      <c r="CLK5" s="44" t="s">
        <v>302</v>
      </c>
      <c r="CLL5" s="44"/>
      <c r="CLM5" s="44"/>
      <c r="CLN5" s="44"/>
      <c r="CLO5" s="44"/>
      <c r="CLP5" s="44"/>
      <c r="CLQ5" s="44"/>
      <c r="CLR5" s="44"/>
      <c r="CLS5" s="44"/>
      <c r="CLT5" s="44"/>
      <c r="CLU5" s="44"/>
      <c r="CLV5" s="44"/>
      <c r="CLW5" s="44"/>
      <c r="CLX5" s="44"/>
      <c r="CLY5" s="44"/>
      <c r="CLZ5" s="44"/>
      <c r="CMA5" s="44"/>
      <c r="CMB5" s="44"/>
      <c r="CMC5" s="44"/>
      <c r="CMD5" s="44"/>
      <c r="CME5" s="44"/>
      <c r="CMF5" s="44"/>
      <c r="CMG5" s="44"/>
      <c r="CMH5" s="44"/>
      <c r="CMI5" s="44"/>
      <c r="CMJ5" s="44"/>
      <c r="CMK5" s="73"/>
      <c r="CML5" s="67"/>
      <c r="CMM5" s="74"/>
      <c r="CMN5" s="75"/>
      <c r="CMO5" s="76"/>
      <c r="CMP5" s="65"/>
      <c r="CMQ5" s="65"/>
      <c r="CMR5" s="65"/>
      <c r="CMS5" s="77"/>
      <c r="CMT5" s="77"/>
      <c r="CMU5" s="44"/>
      <c r="CMV5" s="44"/>
      <c r="CMW5" s="44"/>
      <c r="CMX5" s="44"/>
      <c r="CMY5" s="44"/>
      <c r="CMZ5" s="44"/>
      <c r="CNA5" s="44"/>
      <c r="CNB5" s="44"/>
      <c r="CNC5" s="44"/>
      <c r="CND5" s="44"/>
      <c r="CNE5" s="44"/>
      <c r="CNF5" s="44"/>
      <c r="CNG5" s="44"/>
      <c r="CNH5" s="44"/>
      <c r="CNI5" s="44"/>
      <c r="CNJ5" s="44"/>
      <c r="CNK5" s="44"/>
      <c r="CNL5" s="44"/>
      <c r="CNM5" s="44"/>
      <c r="CNN5" s="44"/>
      <c r="CNO5" s="44"/>
      <c r="CNP5" s="44"/>
      <c r="CNQ5" s="44"/>
      <c r="CNR5" s="44"/>
      <c r="CNS5" s="44"/>
      <c r="CNT5" s="44"/>
      <c r="CNU5" s="44"/>
      <c r="CNV5" s="44"/>
      <c r="CNW5" s="67"/>
      <c r="CNX5" s="44"/>
      <c r="CNY5" s="44"/>
      <c r="CNZ5" s="44"/>
      <c r="COA5" s="44"/>
      <c r="COB5" s="44"/>
      <c r="COC5" s="44"/>
      <c r="COD5" s="44"/>
      <c r="COE5" s="44"/>
      <c r="COF5" s="44"/>
      <c r="COG5" s="44"/>
      <c r="COH5" s="44"/>
      <c r="COI5" s="44"/>
      <c r="COJ5" s="44"/>
      <c r="COK5" s="44"/>
      <c r="COL5" s="44"/>
      <c r="COM5" s="44"/>
      <c r="CON5" s="44"/>
      <c r="COO5" s="44"/>
      <c r="COP5" s="44"/>
      <c r="COQ5" s="44"/>
      <c r="COR5" s="44"/>
      <c r="COS5" s="44"/>
      <c r="COT5" s="44"/>
      <c r="COU5" s="44"/>
      <c r="COV5" s="44"/>
      <c r="COW5" s="44"/>
      <c r="COX5" s="44"/>
      <c r="COY5" s="44"/>
      <c r="COZ5" s="67"/>
      <c r="CPA5" s="44"/>
      <c r="CPB5" s="44"/>
      <c r="CPC5" s="44"/>
      <c r="CPD5" s="44"/>
      <c r="CPE5" s="44"/>
      <c r="CPF5" s="44"/>
      <c r="CPG5" s="44"/>
      <c r="CPH5" s="44"/>
      <c r="CPI5" s="44"/>
      <c r="CPJ5" s="44"/>
      <c r="CPK5" s="44"/>
      <c r="CPL5" s="44"/>
      <c r="CPM5" s="44"/>
      <c r="CPN5" s="44"/>
      <c r="CPO5" s="44"/>
      <c r="CPP5" s="44"/>
      <c r="CPQ5" s="44"/>
      <c r="CPR5" s="44"/>
      <c r="CPS5" s="44"/>
      <c r="CPT5" s="44"/>
      <c r="CPU5" s="44"/>
      <c r="CPV5" s="44"/>
      <c r="CPW5" s="44"/>
      <c r="CPX5" s="44"/>
      <c r="CPY5" s="44"/>
      <c r="CPZ5" s="44"/>
      <c r="CQA5" s="44"/>
      <c r="CQB5" s="44"/>
      <c r="CQC5" s="67"/>
      <c r="CQD5" s="44"/>
      <c r="CQE5" s="44"/>
      <c r="CQF5" s="44"/>
      <c r="CQG5" s="44"/>
      <c r="CQH5" s="44"/>
      <c r="CQI5" s="44"/>
      <c r="CQJ5" s="44"/>
      <c r="CQK5" s="44"/>
      <c r="CQL5" s="44"/>
      <c r="CQM5" s="44"/>
      <c r="CQN5" s="44"/>
      <c r="CQO5" s="44"/>
      <c r="CQP5" s="44"/>
      <c r="CQQ5" s="44"/>
      <c r="CQR5" s="44"/>
      <c r="CQS5" s="44"/>
      <c r="CQT5" s="44"/>
      <c r="CQU5" s="44"/>
      <c r="CQV5" s="44"/>
      <c r="CQW5" s="44"/>
      <c r="CQX5" s="44"/>
      <c r="CQY5" s="44"/>
      <c r="CQZ5" s="44"/>
      <c r="CRA5" s="44"/>
      <c r="CRB5" s="44"/>
      <c r="CRC5" s="44"/>
      <c r="CRD5" s="44"/>
      <c r="CRE5" s="44"/>
      <c r="CRF5" s="67"/>
      <c r="CRG5" s="67"/>
      <c r="CRH5" s="67"/>
      <c r="CRI5" s="67"/>
      <c r="CRJ5" s="75" t="s">
        <v>281</v>
      </c>
      <c r="CRK5" s="74">
        <v>399</v>
      </c>
      <c r="CRL5" s="75">
        <v>12</v>
      </c>
      <c r="CRM5" s="75" t="s">
        <v>298</v>
      </c>
      <c r="CRN5" s="48" t="str">
        <f t="shared" si="6"/>
        <v>Oi benefício fidelização Multiprodutos</v>
      </c>
      <c r="CRO5" s="78" t="str">
        <f t="shared" si="7"/>
        <v>PCS-Fk83324</v>
      </c>
      <c r="CRP5" s="78" t="str">
        <f t="shared" si="8"/>
        <v>PCS-SBL553142</v>
      </c>
      <c r="CRQ5" s="75" t="s">
        <v>299</v>
      </c>
      <c r="CRR5" s="79"/>
      <c r="CRS5" s="80">
        <f t="shared" si="9"/>
        <v>35</v>
      </c>
      <c r="CRT5" s="81">
        <f t="shared" si="10"/>
        <v>35</v>
      </c>
      <c r="CRU5" s="81">
        <f t="shared" si="11"/>
        <v>124.80000000000001</v>
      </c>
      <c r="CRV5" s="81">
        <f t="shared" si="12"/>
        <v>154.80000000000001</v>
      </c>
      <c r="CRW5" s="81">
        <f t="shared" si="13"/>
        <v>169.79999999999998</v>
      </c>
      <c r="CRX5" s="81">
        <f t="shared" si="14"/>
        <v>184.8</v>
      </c>
      <c r="CRY5" s="81">
        <f t="shared" si="15"/>
        <v>264.79999999999995</v>
      </c>
      <c r="CRZ5" s="81">
        <f t="shared" si="16"/>
        <v>35</v>
      </c>
      <c r="CSA5" s="81">
        <f t="shared" si="17"/>
        <v>35</v>
      </c>
      <c r="CSB5" s="81">
        <f t="shared" si="18"/>
        <v>35</v>
      </c>
      <c r="CSC5" s="81">
        <f t="shared" si="19"/>
        <v>35</v>
      </c>
      <c r="CSD5" s="81">
        <f t="shared" si="20"/>
        <v>204.8</v>
      </c>
      <c r="CSE5" s="81">
        <f t="shared" si="21"/>
        <v>284.79999999999995</v>
      </c>
      <c r="CSF5" s="81">
        <f t="shared" si="22"/>
        <v>35</v>
      </c>
      <c r="CSG5" s="81">
        <f t="shared" si="23"/>
        <v>144.80000000000001</v>
      </c>
      <c r="CSH5" s="81">
        <f t="shared" si="24"/>
        <v>154.80000000000001</v>
      </c>
      <c r="CSI5" s="81">
        <f t="shared" si="25"/>
        <v>189.8</v>
      </c>
      <c r="CSJ5" s="81">
        <f t="shared" si="26"/>
        <v>204.8</v>
      </c>
      <c r="CSK5" s="81">
        <f t="shared" si="27"/>
        <v>284.8</v>
      </c>
      <c r="CSL5" s="81">
        <f t="shared" si="28"/>
        <v>35</v>
      </c>
      <c r="CSM5" s="81">
        <f t="shared" si="29"/>
        <v>154.79999999999998</v>
      </c>
      <c r="CSN5" s="81">
        <f t="shared" si="30"/>
        <v>154.79999999999998</v>
      </c>
      <c r="CSO5" s="81">
        <f t="shared" si="31"/>
        <v>189.79999999999998</v>
      </c>
      <c r="CSP5" s="81">
        <f t="shared" si="32"/>
        <v>224.8</v>
      </c>
      <c r="CSQ5" s="81">
        <f t="shared" si="33"/>
        <v>284.79999999999995</v>
      </c>
      <c r="CSR5" s="82"/>
      <c r="CSS5" s="14" t="s">
        <v>300</v>
      </c>
    </row>
    <row r="6" spans="1:2541" x14ac:dyDescent="0.25">
      <c r="A6" s="25" t="s">
        <v>280</v>
      </c>
      <c r="B6" s="25" t="s">
        <v>281</v>
      </c>
      <c r="C6" s="26" t="s">
        <v>282</v>
      </c>
      <c r="D6" s="26" t="s">
        <v>283</v>
      </c>
      <c r="E6" s="26" t="s">
        <v>284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8"/>
      <c r="AE6" s="27" t="s">
        <v>285</v>
      </c>
      <c r="AF6" s="29" t="s">
        <v>311</v>
      </c>
      <c r="AG6" s="30" t="s">
        <v>287</v>
      </c>
      <c r="AH6" s="31" t="s">
        <v>312</v>
      </c>
      <c r="AI6" s="32">
        <v>43238</v>
      </c>
      <c r="AJ6" s="32">
        <v>43281</v>
      </c>
      <c r="AK6" s="33" t="s">
        <v>289</v>
      </c>
      <c r="AL6" s="33" t="s">
        <v>289</v>
      </c>
      <c r="AM6" s="34"/>
      <c r="AN6" s="34" t="s">
        <v>290</v>
      </c>
      <c r="AO6" s="34">
        <v>20</v>
      </c>
      <c r="AP6" s="34">
        <v>10000</v>
      </c>
      <c r="AQ6" s="35" t="s">
        <v>291</v>
      </c>
      <c r="AR6" s="35" t="s">
        <v>281</v>
      </c>
      <c r="AS6" s="35" t="s">
        <v>284</v>
      </c>
      <c r="AT6" s="35" t="s">
        <v>284</v>
      </c>
      <c r="AU6" s="29" t="s">
        <v>311</v>
      </c>
      <c r="AV6" s="36" t="s">
        <v>292</v>
      </c>
      <c r="AW6" s="37" t="str">
        <f>IF(AV6="","",VLOOKUP(AV6,[2]PickList!A:B,2,0))</f>
        <v>CFG-2Plowpi</v>
      </c>
      <c r="AX6" s="38" t="s">
        <v>284</v>
      </c>
      <c r="AY6" s="37" t="str">
        <f t="shared" si="0"/>
        <v/>
      </c>
      <c r="AZ6" s="39"/>
      <c r="BA6" s="40"/>
      <c r="BB6" s="41">
        <v>35</v>
      </c>
      <c r="BC6" s="42">
        <f t="shared" si="1"/>
        <v>19.57</v>
      </c>
      <c r="BD6" s="42">
        <v>15.43</v>
      </c>
      <c r="BE6" s="43" t="e">
        <f ca="1">VLOOKUP($AV6&amp;BF6&amp;"Template de desconto FLAT bundle - Fixo - Varejo - Ganho Tributário",[2]BENEFICIOS!$A:$G,5,0)</f>
        <v>#N/A</v>
      </c>
      <c r="BF6" s="44">
        <f ca="1">ROUNDUP(IF(IFERROR(IF($BC6="","",IF($BC6=0,1,1-$BC6/HLOOKUP(BF$3,[2]ARBOR_REAJUSTE18!$1:$2,VLOOKUP($BB$2,[2]ARBOR_REAJUSTE18!$A:$B,2,0),0))),"")&lt;0.01%,0.01%,IFERROR(IF($BC6="","",IF($BC6=0,1,1-$BC6/HLOOKUP(BF$3,[2]ARBOR_REAJUSTE18!$1:$2,VLOOKUP($BB$2,[2]ARBOR_REAJUSTE18!$A:$B,2,0),0))),"")),4)</f>
        <v>0.72909999999999997</v>
      </c>
      <c r="BG6" s="44">
        <f ca="1">ROUNDUP(IF(IFERROR(IF($BC6="","",IF($BC6=0,1,1-$BC6/HLOOKUP(BG$3,[2]ARBOR_REAJUSTE18!$1:$2,VLOOKUP($BB$2,[2]ARBOR_REAJUSTE18!$A:$B,2,0),0))),"")&lt;0.01%,0.01%,IFERROR(IF($BC6="","",IF($BC6=0,1,1-$BC6/HLOOKUP(BG$3,[2]ARBOR_REAJUSTE18!$1:$2,VLOOKUP($BB$2,[2]ARBOR_REAJUSTE18!$A:$B,2,0),0))),"")),4)</f>
        <v>0.73270000000000002</v>
      </c>
      <c r="BH6" s="44">
        <f ca="1">ROUNDUP(IF(IFERROR(IF($BC6="","",IF($BC6=0,1,1-$BC6/HLOOKUP(BH$3,[2]ARBOR_REAJUSTE18!$1:$2,VLOOKUP($BB$2,[2]ARBOR_REAJUSTE18!$A:$B,2,0),0))),"")&lt;0.01%,0.01%,IFERROR(IF($BC6="","",IF($BC6=0,1,1-$BC6/HLOOKUP(BH$3,[2]ARBOR_REAJUSTE18!$1:$2,VLOOKUP($BB$2,[2]ARBOR_REAJUSTE18!$A:$B,2,0),0))),"")),4)</f>
        <v>0.73270000000000002</v>
      </c>
      <c r="BI6" s="44">
        <f ca="1">ROUNDUP(IF(IFERROR(IF($BC6="","",IF($BC6=0,1,1-$BC6/HLOOKUP(BI$3,[2]ARBOR_REAJUSTE18!$1:$2,VLOOKUP($BB$2,[2]ARBOR_REAJUSTE18!$A:$B,2,0),0))),"")&lt;0.01%,0.01%,IFERROR(IF($BC6="","",IF($BC6=0,1,1-$BC6/HLOOKUP(BI$3,[2]ARBOR_REAJUSTE18!$1:$2,VLOOKUP($BB$2,[2]ARBOR_REAJUSTE18!$A:$B,2,0),0))),"")),4)</f>
        <v>0.73080000000000001</v>
      </c>
      <c r="BJ6" s="44">
        <f ca="1">ROUNDUP(IF(IFERROR(IF($BC6="","",IF($BC6=0,1,1-$BC6/HLOOKUP(BJ$3,[2]ARBOR_REAJUSTE18!$1:$2,VLOOKUP($BB$2,[2]ARBOR_REAJUSTE18!$A:$B,2,0),0))),"")&lt;0.01%,0.01%,IFERROR(IF($BC6="","",IF($BC6=0,1,1-$BC6/HLOOKUP(BJ$3,[2]ARBOR_REAJUSTE18!$1:$2,VLOOKUP($BB$2,[2]ARBOR_REAJUSTE18!$A:$B,2,0),0))),"")),4)</f>
        <v>0.72899999999999998</v>
      </c>
      <c r="BK6" s="44">
        <f ca="1">ROUNDUP(IF(IFERROR(IF($BC6="","",IF($BC6=0,1,1-$BC6/HLOOKUP(BK$3,[2]ARBOR_REAJUSTE18!$1:$2,VLOOKUP($BB$2,[2]ARBOR_REAJUSTE18!$A:$B,2,0),0))),"")&lt;0.01%,0.01%,IFERROR(IF($BC6="","",IF($BC6=0,1,1-$BC6/HLOOKUP(BK$3,[2]ARBOR_REAJUSTE18!$1:$2,VLOOKUP($BB$2,[2]ARBOR_REAJUSTE18!$A:$B,2,0),0))),"")),4)</f>
        <v>0.68740000000000001</v>
      </c>
      <c r="BL6" s="44">
        <f ca="1">ROUNDUP(IF(IFERROR(IF($BC6="","",IF($BC6=0,1,1-$BC6/HLOOKUP(BL$3,[2]ARBOR_REAJUSTE18!$1:$2,VLOOKUP($BB$2,[2]ARBOR_REAJUSTE18!$A:$B,2,0),0))),"")&lt;0.01%,0.01%,IFERROR(IF($BC6="","",IF($BC6=0,1,1-$BC6/HLOOKUP(BL$3,[2]ARBOR_REAJUSTE18!$1:$2,VLOOKUP($BB$2,[2]ARBOR_REAJUSTE18!$A:$B,2,0),0))),"")),4)</f>
        <v>0.73429999999999995</v>
      </c>
      <c r="BM6" s="44">
        <f ca="1">ROUNDUP(IF(IFERROR(IF($BC6="","",IF($BC6=0,1,1-$BC6/HLOOKUP(BM$3,[2]ARBOR_REAJUSTE18!$1:$2,VLOOKUP($BB$2,[2]ARBOR_REAJUSTE18!$A:$B,2,0),0))),"")&lt;0.01%,0.01%,IFERROR(IF($BC6="","",IF($BC6=0,1,1-$BC6/HLOOKUP(BM$3,[2]ARBOR_REAJUSTE18!$1:$2,VLOOKUP($BB$2,[2]ARBOR_REAJUSTE18!$A:$B,2,0),0))),"")),4)</f>
        <v>0.72360000000000002</v>
      </c>
      <c r="BN6" s="44">
        <f ca="1">ROUNDUP(IF(IFERROR(IF($BC6="","",IF($BC6=0,1,1-$BC6/HLOOKUP(BN$3,[2]ARBOR_REAJUSTE18!$1:$2,VLOOKUP($BB$2,[2]ARBOR_REAJUSTE18!$A:$B,2,0),0))),"")&lt;0.01%,0.01%,IFERROR(IF($BC6="","",IF($BC6=0,1,1-$BC6/HLOOKUP(BN$3,[2]ARBOR_REAJUSTE18!$1:$2,VLOOKUP($BB$2,[2]ARBOR_REAJUSTE18!$A:$B,2,0),0))),"")),4)</f>
        <v>0.73609999999999998</v>
      </c>
      <c r="BO6" s="44">
        <f ca="1">ROUNDUP(IF(IFERROR(IF($BC6="","",IF($BC6=0,1,1-$BC6/HLOOKUP(BO$3,[2]ARBOR_REAJUSTE18!$1:$2,VLOOKUP($BB$2,[2]ARBOR_REAJUSTE18!$A:$B,2,0),0))),"")&lt;0.01%,0.01%,IFERROR(IF($BC6="","",IF($BC6=0,1,1-$BC6/HLOOKUP(BO$3,[2]ARBOR_REAJUSTE18!$1:$2,VLOOKUP($BB$2,[2]ARBOR_REAJUSTE18!$A:$B,2,0),0))),"")),4)</f>
        <v>0.6986</v>
      </c>
      <c r="BP6" s="44">
        <f ca="1">ROUNDUP(IF(IFERROR(IF($BC6="","",IF($BC6=0,1,1-$BC6/HLOOKUP(BP$3,[2]ARBOR_REAJUSTE18!$1:$2,VLOOKUP($BB$2,[2]ARBOR_REAJUSTE18!$A:$B,2,0),0))),"")&lt;0.01%,0.01%,IFERROR(IF($BC6="","",IF($BC6=0,1,1-$BC6/HLOOKUP(BP$3,[2]ARBOR_REAJUSTE18!$1:$2,VLOOKUP($BB$2,[2]ARBOR_REAJUSTE18!$A:$B,2,0),0))),"")),4)</f>
        <v>0.72709999999999997</v>
      </c>
      <c r="BQ6" s="44">
        <f ca="1">ROUNDUP(IF(IFERROR(IF($BC6="","",IF($BC6=0,1,1-$BC6/HLOOKUP(BQ$3,[2]ARBOR_REAJUSTE18!$1:$2,VLOOKUP($BB$2,[2]ARBOR_REAJUSTE18!$A:$B,2,0),0))),"")&lt;0.01%,0.01%,IFERROR(IF($BC6="","",IF($BC6=0,1,1-$BC6/HLOOKUP(BQ$3,[2]ARBOR_REAJUSTE18!$1:$2,VLOOKUP($BB$2,[2]ARBOR_REAJUSTE18!$A:$B,2,0),0))),"")),4)</f>
        <v>0.73609999999999998</v>
      </c>
      <c r="BR6" s="44">
        <f ca="1">ROUNDUP(IF(IFERROR(IF($BC6="","",IF($BC6=0,1,1-$BC6/HLOOKUP(BR$3,[2]ARBOR_REAJUSTE18!$1:$2,VLOOKUP($BB$2,[2]ARBOR_REAJUSTE18!$A:$B,2,0),0))),"")&lt;0.01%,0.01%,IFERROR(IF($BC6="","",IF($BC6=0,1,1-$BC6/HLOOKUP(BR$3,[2]ARBOR_REAJUSTE18!$1:$2,VLOOKUP($BB$2,[2]ARBOR_REAJUSTE18!$A:$B,2,0),0))),"")),4)</f>
        <v>0.73250000000000004</v>
      </c>
      <c r="BS6" s="44">
        <f ca="1">ROUNDUP(IF(IFERROR(IF($BC6="","",IF($BC6=0,1,1-$BC6/HLOOKUP(BS$3,[2]ARBOR_REAJUSTE18!$1:$2,VLOOKUP($BB$2,[2]ARBOR_REAJUSTE18!$A:$B,2,0),0))),"")&lt;0.01%,0.01%,IFERROR(IF($BC6="","",IF($BC6=0,1,1-$BC6/HLOOKUP(BS$3,[2]ARBOR_REAJUSTE18!$1:$2,VLOOKUP($BB$2,[2]ARBOR_REAJUSTE18!$A:$B,2,0),0))),"")),4)</f>
        <v>0.73270000000000002</v>
      </c>
      <c r="BT6" s="44">
        <f ca="1">ROUNDUP(IF(IFERROR(IF($BC6="","",IF($BC6=0,1,1-$BC6/HLOOKUP(BT$3,[2]ARBOR_REAJUSTE18!$1:$2,VLOOKUP($BB$2,[2]ARBOR_REAJUSTE18!$A:$B,2,0),0))),"")&lt;0.01%,0.01%,IFERROR(IF($BC6="","",IF($BC6=0,1,1-$BC6/HLOOKUP(BT$3,[2]ARBOR_REAJUSTE18!$1:$2,VLOOKUP($BB$2,[2]ARBOR_REAJUSTE18!$A:$B,2,0),0))),"")),4)</f>
        <v>0.68740000000000001</v>
      </c>
      <c r="BU6" s="44">
        <f ca="1">ROUNDUP(IF(IFERROR(IF($BC6="","",IF($BC6=0,1,1-$BC6/HLOOKUP(BU$3,[2]ARBOR_REAJUSTE18!$1:$2,VLOOKUP($BB$2,[2]ARBOR_REAJUSTE18!$A:$B,2,0),0))),"")&lt;0.01%,0.01%,IFERROR(IF($BC6="","",IF($BC6=0,1,1-$BC6/HLOOKUP(BU$3,[2]ARBOR_REAJUSTE18!$1:$2,VLOOKUP($BB$2,[2]ARBOR_REAJUSTE18!$A:$B,2,0),0))),"")),4)</f>
        <v>0.73270000000000002</v>
      </c>
      <c r="BV6" s="44">
        <f ca="1">ROUNDUP(IF(IFERROR(IF($BC6="","",IF($BC6=0,1,1-$BC6/HLOOKUP(BV$3,[2]ARBOR_REAJUSTE18!$1:$2,VLOOKUP($BB$2,[2]ARBOR_REAJUSTE18!$A:$B,2,0),0))),"")&lt;0.01%,0.01%,IFERROR(IF($BC6="","",IF($BC6=0,1,1-$BC6/HLOOKUP(BV$3,[2]ARBOR_REAJUSTE18!$1:$2,VLOOKUP($BB$2,[2]ARBOR_REAJUSTE18!$A:$B,2,0),0))),"")),4)</f>
        <v>0.71</v>
      </c>
      <c r="BW6" s="44">
        <f ca="1">ROUNDUP(IF(IFERROR(IF($BC6="","",IF($BC6=0,1,1-$BC6/HLOOKUP(BW$3,[2]ARBOR_REAJUSTE18!$1:$2,VLOOKUP($BB$2,[2]ARBOR_REAJUSTE18!$A:$B,2,0),0))),"")&lt;0.01%,0.01%,IFERROR(IF($BC6="","",IF($BC6=0,1,1-$BC6/HLOOKUP(BW$3,[2]ARBOR_REAJUSTE18!$1:$2,VLOOKUP($BB$2,[2]ARBOR_REAJUSTE18!$A:$B,2,0),0))),"")),4)</f>
        <v>0.73609999999999998</v>
      </c>
      <c r="BX6" s="44">
        <f ca="1">ROUNDUP(IF(IFERROR(IF($BC6="","",IF($BC6=0,1,1-$BC6/HLOOKUP(BX$3,[2]ARBOR_REAJUSTE18!$1:$2,VLOOKUP($BB$2,[2]ARBOR_REAJUSTE18!$A:$B,2,0),0))),"")&lt;0.01%,0.01%,IFERROR(IF($BC6="","",IF($BC6=0,1,1-$BC6/HLOOKUP(BX$3,[2]ARBOR_REAJUSTE18!$1:$2,VLOOKUP($BB$2,[2]ARBOR_REAJUSTE18!$A:$B,2,0),0))),"")),4)</f>
        <v>0.74109999999999998</v>
      </c>
      <c r="BY6" s="44">
        <f ca="1">ROUNDUP(IF(IFERROR(IF($BC6="","",IF($BC6=0,1,1-$BC6/HLOOKUP(BY$3,[2]ARBOR_REAJUSTE18!$1:$2,VLOOKUP($BB$2,[2]ARBOR_REAJUSTE18!$A:$B,2,0),0))),"")&lt;0.01%,0.01%,IFERROR(IF($BC6="","",IF($BC6=0,1,1-$BC6/HLOOKUP(BY$3,[2]ARBOR_REAJUSTE18!$1:$2,VLOOKUP($BB$2,[2]ARBOR_REAJUSTE18!$A:$B,2,0),0))),"")),4)</f>
        <v>0.73270000000000002</v>
      </c>
      <c r="BZ6" s="44">
        <f ca="1">ROUNDUP(IF(IFERROR(IF($BC6="","",IF($BC6=0,1,1-$BC6/HLOOKUP(BZ$3,[2]ARBOR_REAJUSTE18!$1:$2,VLOOKUP($BB$2,[2]ARBOR_REAJUSTE18!$A:$B,2,0),0))),"")&lt;0.01%,0.01%,IFERROR(IF($BC6="","",IF($BC6=0,1,1-$BC6/HLOOKUP(BZ$3,[2]ARBOR_REAJUSTE18!$1:$2,VLOOKUP($BB$2,[2]ARBOR_REAJUSTE18!$A:$B,2,0),0))),"")),4)</f>
        <v>0.7379</v>
      </c>
      <c r="CA6" s="44">
        <f ca="1">ROUNDUP(IF(IFERROR(IF($BC6="","",IF($BC6=0,1,1-$BC6/HLOOKUP(CA$3,[2]ARBOR_REAJUSTE18!$1:$2,VLOOKUP($BB$2,[2]ARBOR_REAJUSTE18!$A:$B,2,0),0))),"")&lt;0.01%,0.01%,IFERROR(IF($BC6="","",IF($BC6=0,1,1-$BC6/HLOOKUP(CA$3,[2]ARBOR_REAJUSTE18!$1:$2,VLOOKUP($BB$2,[2]ARBOR_REAJUSTE18!$A:$B,2,0),0))),"")),4)</f>
        <v>0.72360000000000002</v>
      </c>
      <c r="CB6" s="44">
        <f ca="1">ROUNDUP(IF(IFERROR(IF($BC6="","",IF($BC6=0,1,1-$BC6/HLOOKUP(CB$3,[2]ARBOR_REAJUSTE18!$1:$2,VLOOKUP($BB$2,[2]ARBOR_REAJUSTE18!$A:$B,2,0),0))),"")&lt;0.01%,0.01%,IFERROR(IF($BC6="","",IF($BC6=0,1,1-$BC6/HLOOKUP(CB$3,[2]ARBOR_REAJUSTE18!$1:$2,VLOOKUP($BB$2,[2]ARBOR_REAJUSTE18!$A:$B,2,0),0))),"")),4)</f>
        <v>0.7379</v>
      </c>
      <c r="CC6" s="44">
        <f ca="1">ROUNDUP(IF(IFERROR(IF($BC6="","",IF($BC6=0,1,1-$BC6/HLOOKUP(CC$3,[2]ARBOR_REAJUSTE18!$1:$2,VLOOKUP($BB$2,[2]ARBOR_REAJUSTE18!$A:$B,2,0),0))),"")&lt;0.01%,0.01%,IFERROR(IF($BC6="","",IF($BC6=0,1,1-$BC6/HLOOKUP(CC$3,[2]ARBOR_REAJUSTE18!$1:$2,VLOOKUP($BB$2,[2]ARBOR_REAJUSTE18!$A:$B,2,0),0))),"")),4)</f>
        <v>0.72909999999999997</v>
      </c>
      <c r="CD6" s="44">
        <f ca="1">ROUNDUP(IF(IFERROR(IF($BC6="","",IF($BC6=0,1,1-$BC6/HLOOKUP(CD$3,[2]ARBOR_REAJUSTE18!$1:$2,VLOOKUP($BB$2,[2]ARBOR_REAJUSTE18!$A:$B,2,0),0))),"")&lt;0.01%,0.01%,IFERROR(IF($BC6="","",IF($BC6=0,1,1-$BC6/HLOOKUP(CD$3,[2]ARBOR_REAJUSTE18!$1:$2,VLOOKUP($BB$2,[2]ARBOR_REAJUSTE18!$A:$B,2,0),0))),"")),4)</f>
        <v>0.73270000000000002</v>
      </c>
      <c r="CE6" s="44" t="e">
        <f ca="1">ROUNDUP(IF(IFERROR(IF($BC6="","",IF($BC6=0,1,1-$BC6/HLOOKUP(CE$3,[2]ARBOR_REAJUSTE18!$1:$2,VLOOKUP($BB$2,[2]ARBOR_REAJUSTE18!$A:$B,2,0),0))),"")&lt;0.01%,0.01%,IFERROR(IF($BC6="","",IF($BC6=0,1,1-$BC6/HLOOKUP(CE$3,[2]ARBOR_REAJUSTE18!$1:$2,VLOOKUP($BB$2,[2]ARBOR_REAJUSTE18!$A:$B,2,0),0))),"")),4)</f>
        <v>#VALUE!</v>
      </c>
      <c r="CF6" s="44">
        <f ca="1">ROUNDUP(IF(IFERROR(IF($BC6="","",IF($BC6=0,1,1-$BC6/HLOOKUP(CF$3,[2]ARBOR_REAJUSTE18!$1:$2,VLOOKUP($BB$2,[2]ARBOR_REAJUSTE18!$A:$B,2,0),0))),"")&lt;0.01%,0.01%,IFERROR(IF($BC6="","",IF($BC6=0,1,1-$BC6/HLOOKUP(CF$3,[2]ARBOR_REAJUSTE18!$1:$2,VLOOKUP($BB$2,[2]ARBOR_REAJUSTE18!$A:$B,2,0),0))),"")),4)</f>
        <v>0.73609999999999998</v>
      </c>
      <c r="CG6" s="45">
        <v>5</v>
      </c>
      <c r="CH6" s="46">
        <v>4</v>
      </c>
      <c r="CI6" s="42">
        <f t="shared" si="2"/>
        <v>30</v>
      </c>
      <c r="CJ6" s="42">
        <f t="shared" si="3"/>
        <v>14.57</v>
      </c>
      <c r="CK6" s="43" t="e">
        <f ca="1">VLOOKUP($AV6&amp;CL6&amp;"Template de desconto percentual Bundle - Fixo - Varejo - Ganho Tributário Cross",[2]BENEFICIOS!$A:$G,5,0)</f>
        <v>#N/A</v>
      </c>
      <c r="CL6" s="44">
        <f ca="1">ROUNDUP(IF(IFERROR(IF($CJ6="","",IF($CJ6=0,1,1-$CJ6/HLOOKUP(CL$3,[2]ARBOR_REAJUSTE18!$1:$2,VLOOKUP($BB$2,[2]ARBOR_REAJUSTE18!$A:$B,2,0),0))),"")&lt;0.01%,0.01%,(IFERROR(IF($CJ6="","",IF($CJ6=0,1,1-$CJ6/HLOOKUP(CL$3,[2]ARBOR_REAJUSTE18!$1:$2,VLOOKUP($BB$2,[2]ARBOR_REAJUSTE18!$A:$B,2,0),0))),""))),4)-BF6</f>
        <v>6.9200000000000039E-2</v>
      </c>
      <c r="CM6" s="44">
        <f ca="1">ROUNDUP(IF(IFERROR(IF($CJ6="","",IF($CJ6=0,1,1-$CJ6/HLOOKUP(CM$3,[2]ARBOR_REAJUSTE18!$1:$2,VLOOKUP($BB$2,[2]ARBOR_REAJUSTE18!$A:$B,2,0),0))),"")&lt;0.01%,0.01%,(IFERROR(IF($CJ6="","",IF($CJ6=0,1,1-$CJ6/HLOOKUP(CM$3,[2]ARBOR_REAJUSTE18!$1:$2,VLOOKUP($BB$2,[2]ARBOR_REAJUSTE18!$A:$B,2,0),0))),""))),4)-BG6</f>
        <v>6.8299999999999916E-2</v>
      </c>
      <c r="CN6" s="44">
        <f ca="1">ROUNDUP(IF(IFERROR(IF($CJ6="","",IF($CJ6=0,1,1-$CJ6/HLOOKUP(CN$3,[2]ARBOR_REAJUSTE18!$1:$2,VLOOKUP($BB$2,[2]ARBOR_REAJUSTE18!$A:$B,2,0),0))),"")&lt;0.01%,0.01%,(IFERROR(IF($CJ6="","",IF($CJ6=0,1,1-$CJ6/HLOOKUP(CN$3,[2]ARBOR_REAJUSTE18!$1:$2,VLOOKUP($BB$2,[2]ARBOR_REAJUSTE18!$A:$B,2,0),0))),""))),4)-BH6</f>
        <v>6.8299999999999916E-2</v>
      </c>
      <c r="CO6" s="44">
        <f ca="1">ROUNDUP(IF(IFERROR(IF($CJ6="","",IF($CJ6=0,1,1-$CJ6/HLOOKUP(CO$3,[2]ARBOR_REAJUSTE18!$1:$2,VLOOKUP($BB$2,[2]ARBOR_REAJUSTE18!$A:$B,2,0),0))),"")&lt;0.01%,0.01%,(IFERROR(IF($CJ6="","",IF($CJ6=0,1,1-$CJ6/HLOOKUP(CO$3,[2]ARBOR_REAJUSTE18!$1:$2,VLOOKUP($BB$2,[2]ARBOR_REAJUSTE18!$A:$B,2,0),0))),""))),4)-BI6</f>
        <v>6.8799999999999972E-2</v>
      </c>
      <c r="CP6" s="44">
        <f ca="1">ROUNDUP(IF(IFERROR(IF($CJ6="","",IF($CJ6=0,1,1-$CJ6/HLOOKUP(CP$3,[2]ARBOR_REAJUSTE18!$1:$2,VLOOKUP($BB$2,[2]ARBOR_REAJUSTE18!$A:$B,2,0),0))),"")&lt;0.01%,0.01%,(IFERROR(IF($CJ6="","",IF($CJ6=0,1,1-$CJ6/HLOOKUP(CP$3,[2]ARBOR_REAJUSTE18!$1:$2,VLOOKUP($BB$2,[2]ARBOR_REAJUSTE18!$A:$B,2,0),0))),""))),4)-BJ6</f>
        <v>6.9200000000000039E-2</v>
      </c>
      <c r="CQ6" s="44">
        <f ca="1">ROUNDUP(IF(IFERROR(IF($CJ6="","",IF($CJ6=0,1,1-$CJ6/HLOOKUP(CQ$3,[2]ARBOR_REAJUSTE18!$1:$2,VLOOKUP($BB$2,[2]ARBOR_REAJUSTE18!$A:$B,2,0),0))),"")&lt;0.01%,0.01%,(IFERROR(IF($CJ6="","",IF($CJ6=0,1,1-$CJ6/HLOOKUP(CQ$3,[2]ARBOR_REAJUSTE18!$1:$2,VLOOKUP($BB$2,[2]ARBOR_REAJUSTE18!$A:$B,2,0),0))),""))),4)-BK6</f>
        <v>7.9899999999999971E-2</v>
      </c>
      <c r="CR6" s="44">
        <f ca="1">ROUNDUP(IF(IFERROR(IF($CJ6="","",IF($CJ6=0,1,1-$CJ6/HLOOKUP(CR$3,[2]ARBOR_REAJUSTE18!$1:$2,VLOOKUP($BB$2,[2]ARBOR_REAJUSTE18!$A:$B,2,0),0))),"")&lt;0.01%,0.01%,(IFERROR(IF($CJ6="","",IF($CJ6=0,1,1-$CJ6/HLOOKUP(CR$3,[2]ARBOR_REAJUSTE18!$1:$2,VLOOKUP($BB$2,[2]ARBOR_REAJUSTE18!$A:$B,2,0),0))),""))),4)-BL6</f>
        <v>6.7900000000000071E-2</v>
      </c>
      <c r="CS6" s="44">
        <f ca="1">ROUNDUP(IF(IFERROR(IF($CJ6="","",IF($CJ6=0,1,1-$CJ6/HLOOKUP(CS$3,[2]ARBOR_REAJUSTE18!$1:$2,VLOOKUP($BB$2,[2]ARBOR_REAJUSTE18!$A:$B,2,0),0))),"")&lt;0.01%,0.01%,(IFERROR(IF($CJ6="","",IF($CJ6=0,1,1-$CJ6/HLOOKUP(CS$3,[2]ARBOR_REAJUSTE18!$1:$2,VLOOKUP($BB$2,[2]ARBOR_REAJUSTE18!$A:$B,2,0),0))),""))),4)-BM6</f>
        <v>7.0699999999999985E-2</v>
      </c>
      <c r="CT6" s="44">
        <f ca="1">ROUNDUP(IF(IFERROR(IF($CJ6="","",IF($CJ6=0,1,1-$CJ6/HLOOKUP(CT$3,[2]ARBOR_REAJUSTE18!$1:$2,VLOOKUP($BB$2,[2]ARBOR_REAJUSTE18!$A:$B,2,0),0))),"")&lt;0.01%,0.01%,(IFERROR(IF($CJ6="","",IF($CJ6=0,1,1-$CJ6/HLOOKUP(CT$3,[2]ARBOR_REAJUSTE18!$1:$2,VLOOKUP($BB$2,[2]ARBOR_REAJUSTE18!$A:$B,2,0),0))),""))),4)-BN6</f>
        <v>6.7400000000000015E-2</v>
      </c>
      <c r="CU6" s="44">
        <f ca="1">ROUNDUP(IF(IFERROR(IF($CJ6="","",IF($CJ6=0,1,1-$CJ6/HLOOKUP(CU$3,[2]ARBOR_REAJUSTE18!$1:$2,VLOOKUP($BB$2,[2]ARBOR_REAJUSTE18!$A:$B,2,0),0))),"")&lt;0.01%,0.01%,(IFERROR(IF($CJ6="","",IF($CJ6=0,1,1-$CJ6/HLOOKUP(CU$3,[2]ARBOR_REAJUSTE18!$1:$2,VLOOKUP($BB$2,[2]ARBOR_REAJUSTE18!$A:$B,2,0),0))),""))),4)-BO6</f>
        <v>7.6999999999999957E-2</v>
      </c>
      <c r="CV6" s="44">
        <f ca="1">ROUNDUP(IF(IFERROR(IF($CJ6="","",IF($CJ6=0,1,1-$CJ6/HLOOKUP(CV$3,[2]ARBOR_REAJUSTE18!$1:$2,VLOOKUP($BB$2,[2]ARBOR_REAJUSTE18!$A:$B,2,0),0))),"")&lt;0.01%,0.01%,(IFERROR(IF($CJ6="","",IF($CJ6=0,1,1-$CJ6/HLOOKUP(CV$3,[2]ARBOR_REAJUSTE18!$1:$2,VLOOKUP($BB$2,[2]ARBOR_REAJUSTE18!$A:$B,2,0),0))),""))),4)-BP6</f>
        <v>6.9799999999999973E-2</v>
      </c>
      <c r="CW6" s="44">
        <f ca="1">ROUNDUP(IF(IFERROR(IF($CJ6="","",IF($CJ6=0,1,1-$CJ6/HLOOKUP(CW$3,[2]ARBOR_REAJUSTE18!$1:$2,VLOOKUP($BB$2,[2]ARBOR_REAJUSTE18!$A:$B,2,0),0))),"")&lt;0.01%,0.01%,(IFERROR(IF($CJ6="","",IF($CJ6=0,1,1-$CJ6/HLOOKUP(CW$3,[2]ARBOR_REAJUSTE18!$1:$2,VLOOKUP($BB$2,[2]ARBOR_REAJUSTE18!$A:$B,2,0),0))),""))),4)-BQ6</f>
        <v>6.7400000000000015E-2</v>
      </c>
      <c r="CX6" s="44">
        <f ca="1">ROUNDUP(IF(IFERROR(IF($CJ6="","",IF($CJ6=0,1,1-$CJ6/HLOOKUP(CX$3,[2]ARBOR_REAJUSTE18!$1:$2,VLOOKUP($BB$2,[2]ARBOR_REAJUSTE18!$A:$B,2,0),0))),"")&lt;0.01%,0.01%,(IFERROR(IF($CJ6="","",IF($CJ6=0,1,1-$CJ6/HLOOKUP(CX$3,[2]ARBOR_REAJUSTE18!$1:$2,VLOOKUP($BB$2,[2]ARBOR_REAJUSTE18!$A:$B,2,0),0))),""))),4)-BR6</f>
        <v>6.8399999999999905E-2</v>
      </c>
      <c r="CY6" s="44">
        <f ca="1">ROUNDUP(IF(IFERROR(IF($CJ6="","",IF($CJ6=0,1,1-$CJ6/HLOOKUP(CY$3,[2]ARBOR_REAJUSTE18!$1:$2,VLOOKUP($BB$2,[2]ARBOR_REAJUSTE18!$A:$B,2,0),0))),"")&lt;0.01%,0.01%,(IFERROR(IF($CJ6="","",IF($CJ6=0,1,1-$CJ6/HLOOKUP(CY$3,[2]ARBOR_REAJUSTE18!$1:$2,VLOOKUP($BB$2,[2]ARBOR_REAJUSTE18!$A:$B,2,0),0))),""))),4)-BS6</f>
        <v>6.8299999999999916E-2</v>
      </c>
      <c r="CZ6" s="44">
        <f ca="1">ROUNDUP(IF(IFERROR(IF($CJ6="","",IF($CJ6=0,1,1-$CJ6/HLOOKUP(CZ$3,[2]ARBOR_REAJUSTE18!$1:$2,VLOOKUP($BB$2,[2]ARBOR_REAJUSTE18!$A:$B,2,0),0))),"")&lt;0.01%,0.01%,(IFERROR(IF($CJ6="","",IF($CJ6=0,1,1-$CJ6/HLOOKUP(CZ$3,[2]ARBOR_REAJUSTE18!$1:$2,VLOOKUP($BB$2,[2]ARBOR_REAJUSTE18!$A:$B,2,0),0))),""))),4)-BT6</f>
        <v>7.9899999999999971E-2</v>
      </c>
      <c r="DA6" s="44">
        <f ca="1">ROUNDUP(IF(IFERROR(IF($CJ6="","",IF($CJ6=0,1,1-$CJ6/HLOOKUP(DA$3,[2]ARBOR_REAJUSTE18!$1:$2,VLOOKUP($BB$2,[2]ARBOR_REAJUSTE18!$A:$B,2,0),0))),"")&lt;0.01%,0.01%,(IFERROR(IF($CJ6="","",IF($CJ6=0,1,1-$CJ6/HLOOKUP(DA$3,[2]ARBOR_REAJUSTE18!$1:$2,VLOOKUP($BB$2,[2]ARBOR_REAJUSTE18!$A:$B,2,0),0))),""))),4)-BU6</f>
        <v>6.8299999999999916E-2</v>
      </c>
      <c r="DB6" s="44">
        <f ca="1">ROUNDUP(IF(IFERROR(IF($CJ6="","",IF($CJ6=0,1,1-$CJ6/HLOOKUP(DB$3,[2]ARBOR_REAJUSTE18!$1:$2,VLOOKUP($BB$2,[2]ARBOR_REAJUSTE18!$A:$B,2,0),0))),"")&lt;0.01%,0.01%,(IFERROR(IF($CJ6="","",IF($CJ6=0,1,1-$CJ6/HLOOKUP(DB$3,[2]ARBOR_REAJUSTE18!$1:$2,VLOOKUP($BB$2,[2]ARBOR_REAJUSTE18!$A:$B,2,0),0))),""))),4)-BV6</f>
        <v>7.4100000000000055E-2</v>
      </c>
      <c r="DC6" s="44">
        <f ca="1">ROUNDUP(IF(IFERROR(IF($CJ6="","",IF($CJ6=0,1,1-$CJ6/HLOOKUP(DC$3,[2]ARBOR_REAJUSTE18!$1:$2,VLOOKUP($BB$2,[2]ARBOR_REAJUSTE18!$A:$B,2,0),0))),"")&lt;0.01%,0.01%,(IFERROR(IF($CJ6="","",IF($CJ6=0,1,1-$CJ6/HLOOKUP(DC$3,[2]ARBOR_REAJUSTE18!$1:$2,VLOOKUP($BB$2,[2]ARBOR_REAJUSTE18!$A:$B,2,0),0))),""))),4)-BW6</f>
        <v>6.7400000000000015E-2</v>
      </c>
      <c r="DD6" s="44">
        <f ca="1">ROUNDUP(IF(IFERROR(IF($CJ6="","",IF($CJ6=0,1,1-$CJ6/HLOOKUP(DD$3,[2]ARBOR_REAJUSTE18!$1:$2,VLOOKUP($BB$2,[2]ARBOR_REAJUSTE18!$A:$B,2,0),0))),"")&lt;0.01%,0.01%,(IFERROR(IF($CJ6="","",IF($CJ6=0,1,1-$CJ6/HLOOKUP(DD$3,[2]ARBOR_REAJUSTE18!$1:$2,VLOOKUP($BB$2,[2]ARBOR_REAJUSTE18!$A:$B,2,0),0))),""))),4)-BX6</f>
        <v>6.6100000000000048E-2</v>
      </c>
      <c r="DE6" s="44">
        <f ca="1">ROUNDUP(IF(IFERROR(IF($CJ6="","",IF($CJ6=0,1,1-$CJ6/HLOOKUP(DE$3,[2]ARBOR_REAJUSTE18!$1:$2,VLOOKUP($BB$2,[2]ARBOR_REAJUSTE18!$A:$B,2,0),0))),"")&lt;0.01%,0.01%,(IFERROR(IF($CJ6="","",IF($CJ6=0,1,1-$CJ6/HLOOKUP(DE$3,[2]ARBOR_REAJUSTE18!$1:$2,VLOOKUP($BB$2,[2]ARBOR_REAJUSTE18!$A:$B,2,0),0))),""))),4)-BY6</f>
        <v>6.8299999999999916E-2</v>
      </c>
      <c r="DF6" s="44">
        <f ca="1">ROUNDUP(IF(IFERROR(IF($CJ6="","",IF($CJ6=0,1,1-$CJ6/HLOOKUP(DF$3,[2]ARBOR_REAJUSTE18!$1:$2,VLOOKUP($BB$2,[2]ARBOR_REAJUSTE18!$A:$B,2,0),0))),"")&lt;0.01%,0.01%,(IFERROR(IF($CJ6="","",IF($CJ6=0,1,1-$CJ6/HLOOKUP(DF$3,[2]ARBOR_REAJUSTE18!$1:$2,VLOOKUP($BB$2,[2]ARBOR_REAJUSTE18!$A:$B,2,0),0))),""))),4)-BZ6</f>
        <v>6.6999999999999948E-2</v>
      </c>
      <c r="DG6" s="44">
        <f ca="1">ROUNDUP(IF(IFERROR(IF($CJ6="","",IF($CJ6=0,1,1-$CJ6/HLOOKUP(DG$3,[2]ARBOR_REAJUSTE18!$1:$2,VLOOKUP($BB$2,[2]ARBOR_REAJUSTE18!$A:$B,2,0),0))),"")&lt;0.01%,0.01%,(IFERROR(IF($CJ6="","",IF($CJ6=0,1,1-$CJ6/HLOOKUP(DG$3,[2]ARBOR_REAJUSTE18!$1:$2,VLOOKUP($BB$2,[2]ARBOR_REAJUSTE18!$A:$B,2,0),0))),""))),4)-CA6</f>
        <v>7.0699999999999985E-2</v>
      </c>
      <c r="DH6" s="44">
        <f ca="1">ROUNDUP(IF(IFERROR(IF($CJ6="","",IF($CJ6=0,1,1-$CJ6/HLOOKUP(DH$3,[2]ARBOR_REAJUSTE18!$1:$2,VLOOKUP($BB$2,[2]ARBOR_REAJUSTE18!$A:$B,2,0),0))),"")&lt;0.01%,0.01%,(IFERROR(IF($CJ6="","",IF($CJ6=0,1,1-$CJ6/HLOOKUP(DH$3,[2]ARBOR_REAJUSTE18!$1:$2,VLOOKUP($BB$2,[2]ARBOR_REAJUSTE18!$A:$B,2,0),0))),""))),4)-CB6</f>
        <v>6.6999999999999948E-2</v>
      </c>
      <c r="DI6" s="44">
        <f ca="1">ROUNDUP(IF(IFERROR(IF($CJ6="","",IF($CJ6=0,1,1-$CJ6/HLOOKUP(DI$3,[2]ARBOR_REAJUSTE18!$1:$2,VLOOKUP($BB$2,[2]ARBOR_REAJUSTE18!$A:$B,2,0),0))),"")&lt;0.01%,0.01%,(IFERROR(IF($CJ6="","",IF($CJ6=0,1,1-$CJ6/HLOOKUP(DI$3,[2]ARBOR_REAJUSTE18!$1:$2,VLOOKUP($BB$2,[2]ARBOR_REAJUSTE18!$A:$B,2,0),0))),""))),4)-CC6</f>
        <v>6.9200000000000039E-2</v>
      </c>
      <c r="DJ6" s="44">
        <f ca="1">ROUNDUP(IF(IFERROR(IF($CJ6="","",IF($CJ6=0,1,1-$CJ6/HLOOKUP(DJ$3,[2]ARBOR_REAJUSTE18!$1:$2,VLOOKUP($BB$2,[2]ARBOR_REAJUSTE18!$A:$B,2,0),0))),"")&lt;0.01%,0.01%,(IFERROR(IF($CJ6="","",IF($CJ6=0,1,1-$CJ6/HLOOKUP(DJ$3,[2]ARBOR_REAJUSTE18!$1:$2,VLOOKUP($BB$2,[2]ARBOR_REAJUSTE18!$A:$B,2,0),0))),""))),4)-CD6</f>
        <v>6.8299999999999916E-2</v>
      </c>
      <c r="DK6" s="44" t="e">
        <f ca="1">ROUNDUP(IF(IFERROR(IF($CJ6="","",IF($CJ6=0,1,1-$CJ6/HLOOKUP(DK$3,[2]ARBOR_REAJUSTE18!$1:$2,VLOOKUP($BB$2,[2]ARBOR_REAJUSTE18!$A:$B,2,0),0))),"")&lt;0.01%,0.01%,(IFERROR(IF($CJ6="","",IF($CJ6=0,1,1-$CJ6/HLOOKUP(DK$3,[2]ARBOR_REAJUSTE18!$1:$2,VLOOKUP($BB$2,[2]ARBOR_REAJUSTE18!$A:$B,2,0),0))),""))),4)-CE6</f>
        <v>#VALUE!</v>
      </c>
      <c r="DL6" s="44">
        <f ca="1">ROUNDUP(IF(IFERROR(IF($CJ6="","",IF($CJ6=0,1,1-$CJ6/HLOOKUP(DL$3,[2]ARBOR_REAJUSTE18!$1:$2,VLOOKUP($BB$2,[2]ARBOR_REAJUSTE18!$A:$B,2,0),0))),"")&lt;0.01%,0.01%,(IFERROR(IF($CJ6="","",IF($CJ6=0,1,1-$CJ6/HLOOKUP(DL$3,[2]ARBOR_REAJUSTE18!$1:$2,VLOOKUP($BB$2,[2]ARBOR_REAJUSTE18!$A:$B,2,0),0))),""))),4)-CF6</f>
        <v>6.7400000000000015E-2</v>
      </c>
      <c r="DM6" s="47" t="s">
        <v>313</v>
      </c>
      <c r="DN6" s="48" t="s">
        <v>314</v>
      </c>
      <c r="DO6" s="48" t="s">
        <v>315</v>
      </c>
      <c r="DP6" s="49"/>
      <c r="DQ6" s="50"/>
      <c r="DR6" s="51"/>
      <c r="DS6" s="51"/>
      <c r="DT6" s="50"/>
      <c r="DU6" s="52"/>
      <c r="DV6" s="52"/>
      <c r="DW6" s="52"/>
      <c r="DX6" s="52"/>
      <c r="DY6" s="52"/>
      <c r="DZ6" s="53"/>
      <c r="EA6" s="54"/>
      <c r="EB6" s="37" t="str">
        <f t="shared" si="4"/>
        <v/>
      </c>
      <c r="EC6" s="39"/>
      <c r="ED6" s="40"/>
      <c r="EE6" s="55"/>
      <c r="EF6" s="56"/>
      <c r="EG6" s="43"/>
      <c r="EH6" s="44"/>
      <c r="EI6" s="44"/>
      <c r="EJ6" s="44"/>
      <c r="EK6" s="44"/>
      <c r="EL6" s="44"/>
      <c r="EM6" s="44"/>
      <c r="EN6" s="44"/>
      <c r="EO6" s="44"/>
      <c r="EP6" s="44"/>
      <c r="EQ6" s="44"/>
      <c r="ER6" s="44"/>
      <c r="ES6" s="44"/>
      <c r="ET6" s="44"/>
      <c r="EU6" s="44"/>
      <c r="EV6" s="44"/>
      <c r="EW6" s="44"/>
      <c r="EX6" s="44"/>
      <c r="EY6" s="44"/>
      <c r="EZ6" s="44"/>
      <c r="FA6" s="44"/>
      <c r="FB6" s="44"/>
      <c r="FC6" s="44"/>
      <c r="FD6" s="44"/>
      <c r="FE6" s="44"/>
      <c r="FF6" s="44"/>
      <c r="FG6" s="44"/>
      <c r="FH6" s="44"/>
      <c r="FI6" s="55"/>
      <c r="FJ6" s="57"/>
      <c r="FK6" s="43"/>
      <c r="FL6" s="44"/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44"/>
      <c r="GD6" s="44"/>
      <c r="GE6" s="44"/>
      <c r="GF6" s="44"/>
      <c r="GG6" s="44"/>
      <c r="GH6" s="44"/>
      <c r="GI6" s="44"/>
      <c r="GJ6" s="44"/>
      <c r="GK6" s="44"/>
      <c r="GL6" s="44"/>
      <c r="GM6" s="55"/>
      <c r="GN6" s="57"/>
      <c r="GO6" s="43"/>
      <c r="GP6" s="44"/>
      <c r="GQ6" s="44"/>
      <c r="GR6" s="44"/>
      <c r="GS6" s="44"/>
      <c r="GT6" s="44"/>
      <c r="GU6" s="44"/>
      <c r="GV6" s="44"/>
      <c r="GW6" s="44"/>
      <c r="GX6" s="44"/>
      <c r="GY6" s="44"/>
      <c r="GZ6" s="44"/>
      <c r="HA6" s="44"/>
      <c r="HB6" s="44"/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55"/>
      <c r="HR6" s="57"/>
      <c r="HS6" s="43"/>
      <c r="HT6" s="44"/>
      <c r="HU6" s="44"/>
      <c r="HV6" s="44"/>
      <c r="HW6" s="44"/>
      <c r="HX6" s="44"/>
      <c r="HY6" s="44"/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55"/>
      <c r="IV6" s="58"/>
      <c r="IW6" s="43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44"/>
      <c r="JJ6" s="44"/>
      <c r="JK6" s="44"/>
      <c r="JL6" s="44"/>
      <c r="JM6" s="44"/>
      <c r="JN6" s="44"/>
      <c r="JO6" s="44"/>
      <c r="JP6" s="44"/>
      <c r="JQ6" s="44"/>
      <c r="JR6" s="44"/>
      <c r="JS6" s="44"/>
      <c r="JT6" s="44"/>
      <c r="JU6" s="44"/>
      <c r="JV6" s="44"/>
      <c r="JW6" s="44"/>
      <c r="JX6" s="44"/>
      <c r="JY6" s="55"/>
      <c r="JZ6" s="58"/>
      <c r="KA6" s="43"/>
      <c r="KB6" s="44"/>
      <c r="KC6" s="44"/>
      <c r="KD6" s="44"/>
      <c r="KE6" s="44"/>
      <c r="KF6" s="44"/>
      <c r="KG6" s="44"/>
      <c r="KH6" s="44"/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44"/>
      <c r="KZ6" s="44"/>
      <c r="LA6" s="44"/>
      <c r="LB6" s="44"/>
      <c r="LC6" s="55"/>
      <c r="LD6" s="58"/>
      <c r="LE6" s="43"/>
      <c r="LF6" s="44"/>
      <c r="LG6" s="44"/>
      <c r="LH6" s="44"/>
      <c r="LI6" s="44"/>
      <c r="LJ6" s="44"/>
      <c r="LK6" s="44"/>
      <c r="LL6" s="44"/>
      <c r="LM6" s="44"/>
      <c r="LN6" s="44"/>
      <c r="LO6" s="44"/>
      <c r="LP6" s="44"/>
      <c r="LQ6" s="44"/>
      <c r="LR6" s="44"/>
      <c r="LS6" s="44"/>
      <c r="LT6" s="44"/>
      <c r="LU6" s="44"/>
      <c r="LV6" s="44"/>
      <c r="LW6" s="44"/>
      <c r="LX6" s="44"/>
      <c r="LY6" s="44"/>
      <c r="LZ6" s="44"/>
      <c r="MA6" s="44"/>
      <c r="MB6" s="44"/>
      <c r="MC6" s="44"/>
      <c r="MD6" s="44"/>
      <c r="ME6" s="44"/>
      <c r="MF6" s="44"/>
      <c r="MG6" s="55"/>
      <c r="MH6" s="56"/>
      <c r="MI6" s="43"/>
      <c r="MJ6" s="44"/>
      <c r="MK6" s="44"/>
      <c r="ML6" s="44"/>
      <c r="MM6" s="44"/>
      <c r="MN6" s="44"/>
      <c r="MO6" s="44"/>
      <c r="MP6" s="44"/>
      <c r="MQ6" s="44"/>
      <c r="MR6" s="44"/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/>
      <c r="NJ6" s="44"/>
      <c r="NK6" s="56"/>
      <c r="NL6" s="51"/>
      <c r="NM6" s="59"/>
      <c r="NN6" s="43"/>
      <c r="NO6" s="44"/>
      <c r="NP6" s="44"/>
      <c r="NQ6" s="44"/>
      <c r="NR6" s="44"/>
      <c r="NS6" s="44"/>
      <c r="NT6" s="44"/>
      <c r="NU6" s="44"/>
      <c r="NV6" s="44"/>
      <c r="NW6" s="44"/>
      <c r="NX6" s="44"/>
      <c r="NY6" s="44"/>
      <c r="NZ6" s="44"/>
      <c r="OA6" s="44"/>
      <c r="OB6" s="44"/>
      <c r="OC6" s="44"/>
      <c r="OD6" s="44"/>
      <c r="OE6" s="44"/>
      <c r="OF6" s="44"/>
      <c r="OG6" s="44"/>
      <c r="OH6" s="44"/>
      <c r="OI6" s="44"/>
      <c r="OJ6" s="44"/>
      <c r="OK6" s="44"/>
      <c r="OL6" s="44"/>
      <c r="OM6" s="44"/>
      <c r="ON6" s="44"/>
      <c r="OO6" s="44"/>
      <c r="OP6" s="55"/>
      <c r="OQ6" s="57"/>
      <c r="OR6" s="43"/>
      <c r="OS6" s="44"/>
      <c r="OT6" s="44"/>
      <c r="OU6" s="44"/>
      <c r="OV6" s="44"/>
      <c r="OW6" s="44"/>
      <c r="OX6" s="44"/>
      <c r="OY6" s="44"/>
      <c r="OZ6" s="44"/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57"/>
      <c r="PU6" s="60"/>
      <c r="PV6" s="59"/>
      <c r="PW6" s="43"/>
      <c r="PX6" s="44"/>
      <c r="PY6" s="44"/>
      <c r="PZ6" s="44"/>
      <c r="QA6" s="44"/>
      <c r="QB6" s="44"/>
      <c r="QC6" s="44"/>
      <c r="QD6" s="44"/>
      <c r="QE6" s="44"/>
      <c r="QF6" s="44"/>
      <c r="QG6" s="44"/>
      <c r="QH6" s="44"/>
      <c r="QI6" s="44"/>
      <c r="QJ6" s="44"/>
      <c r="QK6" s="44"/>
      <c r="QL6" s="44"/>
      <c r="QM6" s="44"/>
      <c r="QN6" s="44"/>
      <c r="QO6" s="44"/>
      <c r="QP6" s="44"/>
      <c r="QQ6" s="44"/>
      <c r="QR6" s="44"/>
      <c r="QS6" s="44"/>
      <c r="QT6" s="44"/>
      <c r="QU6" s="44"/>
      <c r="QV6" s="44"/>
      <c r="QW6" s="44"/>
      <c r="QX6" s="44"/>
      <c r="QY6" s="55"/>
      <c r="QZ6" s="56"/>
      <c r="RA6" s="43"/>
      <c r="RB6" s="44"/>
      <c r="RC6" s="44"/>
      <c r="RD6" s="44"/>
      <c r="RE6" s="44"/>
      <c r="RF6" s="44"/>
      <c r="RG6" s="44"/>
      <c r="RH6" s="44"/>
      <c r="RI6" s="44"/>
      <c r="RJ6" s="44"/>
      <c r="RK6" s="44"/>
      <c r="RL6" s="44"/>
      <c r="RM6" s="44"/>
      <c r="RN6" s="44"/>
      <c r="RO6" s="44"/>
      <c r="RP6" s="44"/>
      <c r="RQ6" s="44"/>
      <c r="RR6" s="44"/>
      <c r="RS6" s="44"/>
      <c r="RT6" s="44"/>
      <c r="RU6" s="44"/>
      <c r="RV6" s="44"/>
      <c r="RW6" s="44"/>
      <c r="RX6" s="44"/>
      <c r="RY6" s="44"/>
      <c r="RZ6" s="44"/>
      <c r="SA6" s="44"/>
      <c r="SB6" s="44"/>
      <c r="SC6" s="56"/>
      <c r="SD6" s="61"/>
      <c r="SE6" s="59"/>
      <c r="SF6" s="43"/>
      <c r="SG6" s="44"/>
      <c r="SH6" s="44"/>
      <c r="SI6" s="44"/>
      <c r="SJ6" s="44"/>
      <c r="SK6" s="44"/>
      <c r="SL6" s="44"/>
      <c r="SM6" s="44"/>
      <c r="SN6" s="44"/>
      <c r="SO6" s="44"/>
      <c r="SP6" s="44"/>
      <c r="SQ6" s="44"/>
      <c r="SR6" s="44"/>
      <c r="SS6" s="44"/>
      <c r="ST6" s="44"/>
      <c r="SU6" s="44"/>
      <c r="SV6" s="44"/>
      <c r="SW6" s="44"/>
      <c r="SX6" s="44"/>
      <c r="SY6" s="44"/>
      <c r="SZ6" s="44"/>
      <c r="TA6" s="44"/>
      <c r="TB6" s="44"/>
      <c r="TC6" s="44"/>
      <c r="TD6" s="44"/>
      <c r="TE6" s="44"/>
      <c r="TF6" s="44"/>
      <c r="TG6" s="44"/>
      <c r="TH6" s="55"/>
      <c r="TI6" s="58"/>
      <c r="TJ6" s="43"/>
      <c r="TK6" s="44"/>
      <c r="TL6" s="44"/>
      <c r="TM6" s="44"/>
      <c r="TN6" s="44"/>
      <c r="TO6" s="44"/>
      <c r="TP6" s="44"/>
      <c r="TQ6" s="44"/>
      <c r="TR6" s="44"/>
      <c r="TS6" s="44"/>
      <c r="TT6" s="44"/>
      <c r="TU6" s="44"/>
      <c r="TV6" s="44"/>
      <c r="TW6" s="44"/>
      <c r="TX6" s="44"/>
      <c r="TY6" s="44"/>
      <c r="TZ6" s="44"/>
      <c r="UA6" s="44"/>
      <c r="UB6" s="44"/>
      <c r="UC6" s="44"/>
      <c r="UD6" s="44"/>
      <c r="UE6" s="44"/>
      <c r="UF6" s="44"/>
      <c r="UG6" s="44"/>
      <c r="UH6" s="44"/>
      <c r="UI6" s="44"/>
      <c r="UJ6" s="44"/>
      <c r="UK6" s="44"/>
      <c r="UL6" s="57"/>
      <c r="UM6" s="61"/>
      <c r="UN6" s="59"/>
      <c r="UO6" s="43"/>
      <c r="UP6" s="44"/>
      <c r="UQ6" s="44"/>
      <c r="UR6" s="44"/>
      <c r="US6" s="44"/>
      <c r="UT6" s="44"/>
      <c r="UU6" s="44"/>
      <c r="UV6" s="44"/>
      <c r="UW6" s="44"/>
      <c r="UX6" s="44"/>
      <c r="UY6" s="44"/>
      <c r="UZ6" s="44"/>
      <c r="VA6" s="44"/>
      <c r="VB6" s="44"/>
      <c r="VC6" s="44"/>
      <c r="VD6" s="44"/>
      <c r="VE6" s="44"/>
      <c r="VF6" s="44"/>
      <c r="VG6" s="44"/>
      <c r="VH6" s="44"/>
      <c r="VI6" s="44"/>
      <c r="VJ6" s="44"/>
      <c r="VK6" s="44"/>
      <c r="VL6" s="44"/>
      <c r="VM6" s="44"/>
      <c r="VN6" s="44"/>
      <c r="VO6" s="44"/>
      <c r="VP6" s="44"/>
      <c r="VQ6" s="55"/>
      <c r="VR6" s="58"/>
      <c r="VS6" s="43"/>
      <c r="VT6" s="44"/>
      <c r="VU6" s="44"/>
      <c r="VV6" s="44"/>
      <c r="VW6" s="44"/>
      <c r="VX6" s="44"/>
      <c r="VY6" s="44"/>
      <c r="VZ6" s="44"/>
      <c r="WA6" s="44"/>
      <c r="WB6" s="44"/>
      <c r="WC6" s="44"/>
      <c r="WD6" s="44"/>
      <c r="WE6" s="44"/>
      <c r="WF6" s="44"/>
      <c r="WG6" s="44"/>
      <c r="WH6" s="44"/>
      <c r="WI6" s="44"/>
      <c r="WJ6" s="44"/>
      <c r="WK6" s="44"/>
      <c r="WL6" s="44"/>
      <c r="WM6" s="44"/>
      <c r="WN6" s="44"/>
      <c r="WO6" s="44"/>
      <c r="WP6" s="44"/>
      <c r="WQ6" s="44"/>
      <c r="WR6" s="44"/>
      <c r="WS6" s="44"/>
      <c r="WT6" s="44"/>
      <c r="WU6" s="57"/>
      <c r="WV6" s="61"/>
      <c r="WW6" s="59"/>
      <c r="WX6" s="43"/>
      <c r="WY6" s="44"/>
      <c r="WZ6" s="44"/>
      <c r="XA6" s="44"/>
      <c r="XB6" s="44"/>
      <c r="XC6" s="44"/>
      <c r="XD6" s="44"/>
      <c r="XE6" s="44"/>
      <c r="XF6" s="44"/>
      <c r="XG6" s="44"/>
      <c r="XH6" s="44"/>
      <c r="XI6" s="44"/>
      <c r="XJ6" s="44"/>
      <c r="XK6" s="44"/>
      <c r="XL6" s="44"/>
      <c r="XM6" s="44"/>
      <c r="XN6" s="44"/>
      <c r="XO6" s="44"/>
      <c r="XP6" s="44"/>
      <c r="XQ6" s="44"/>
      <c r="XR6" s="44"/>
      <c r="XS6" s="44"/>
      <c r="XT6" s="44"/>
      <c r="XU6" s="44"/>
      <c r="XV6" s="44"/>
      <c r="XW6" s="44"/>
      <c r="XX6" s="44"/>
      <c r="XY6" s="44"/>
      <c r="XZ6" s="55"/>
      <c r="YA6" s="58"/>
      <c r="YB6" s="43"/>
      <c r="YC6" s="44"/>
      <c r="YD6" s="44"/>
      <c r="YE6" s="44"/>
      <c r="YF6" s="44"/>
      <c r="YG6" s="44"/>
      <c r="YH6" s="44"/>
      <c r="YI6" s="44"/>
      <c r="YJ6" s="44"/>
      <c r="YK6" s="44"/>
      <c r="YL6" s="44"/>
      <c r="YM6" s="44"/>
      <c r="YN6" s="44"/>
      <c r="YO6" s="44"/>
      <c r="YP6" s="44"/>
      <c r="YQ6" s="44"/>
      <c r="YR6" s="44"/>
      <c r="YS6" s="44"/>
      <c r="YT6" s="44"/>
      <c r="YU6" s="44"/>
      <c r="YV6" s="44"/>
      <c r="YW6" s="44"/>
      <c r="YX6" s="44"/>
      <c r="YY6" s="44"/>
      <c r="YZ6" s="44"/>
      <c r="ZA6" s="44"/>
      <c r="ZB6" s="44"/>
      <c r="ZC6" s="44"/>
      <c r="ZD6" s="57"/>
      <c r="ZE6" s="61"/>
      <c r="ZF6" s="59"/>
      <c r="ZG6" s="43"/>
      <c r="ZH6" s="44"/>
      <c r="ZI6" s="44"/>
      <c r="ZJ6" s="44"/>
      <c r="ZK6" s="44"/>
      <c r="ZL6" s="44"/>
      <c r="ZM6" s="44"/>
      <c r="ZN6" s="44"/>
      <c r="ZO6" s="44"/>
      <c r="ZP6" s="44"/>
      <c r="ZQ6" s="44"/>
      <c r="ZR6" s="44"/>
      <c r="ZS6" s="44"/>
      <c r="ZT6" s="44"/>
      <c r="ZU6" s="44"/>
      <c r="ZV6" s="44"/>
      <c r="ZW6" s="44"/>
      <c r="ZX6" s="44"/>
      <c r="ZY6" s="44"/>
      <c r="ZZ6" s="44"/>
      <c r="AAA6" s="44"/>
      <c r="AAB6" s="44"/>
      <c r="AAC6" s="44"/>
      <c r="AAD6" s="44"/>
      <c r="AAE6" s="44"/>
      <c r="AAF6" s="44"/>
      <c r="AAG6" s="44"/>
      <c r="AAH6" s="44"/>
      <c r="AAI6" s="55"/>
      <c r="AAJ6" s="58"/>
      <c r="AAK6" s="43"/>
      <c r="AAL6" s="44"/>
      <c r="AAM6" s="44"/>
      <c r="AAN6" s="44"/>
      <c r="AAO6" s="44"/>
      <c r="AAP6" s="44"/>
      <c r="AAQ6" s="44"/>
      <c r="AAR6" s="44"/>
      <c r="AAS6" s="44"/>
      <c r="AAT6" s="44"/>
      <c r="AAU6" s="44"/>
      <c r="AAV6" s="44"/>
      <c r="AAW6" s="44"/>
      <c r="AAX6" s="44"/>
      <c r="AAY6" s="44"/>
      <c r="AAZ6" s="44"/>
      <c r="ABA6" s="44"/>
      <c r="ABB6" s="44"/>
      <c r="ABC6" s="44"/>
      <c r="ABD6" s="44"/>
      <c r="ABE6" s="44"/>
      <c r="ABF6" s="44"/>
      <c r="ABG6" s="44"/>
      <c r="ABH6" s="44"/>
      <c r="ABI6" s="44"/>
      <c r="ABJ6" s="44"/>
      <c r="ABK6" s="44"/>
      <c r="ABL6" s="44"/>
      <c r="ABM6" s="57"/>
      <c r="ABN6" s="61"/>
      <c r="ABO6" s="59"/>
      <c r="ABP6" s="43"/>
      <c r="ABQ6" s="44"/>
      <c r="ABR6" s="44"/>
      <c r="ABS6" s="44"/>
      <c r="ABT6" s="44"/>
      <c r="ABU6" s="44"/>
      <c r="ABV6" s="44"/>
      <c r="ABW6" s="44"/>
      <c r="ABX6" s="44"/>
      <c r="ABY6" s="44"/>
      <c r="ABZ6" s="44"/>
      <c r="ACA6" s="44"/>
      <c r="ACB6" s="44"/>
      <c r="ACC6" s="44"/>
      <c r="ACD6" s="44"/>
      <c r="ACE6" s="44"/>
      <c r="ACF6" s="44"/>
      <c r="ACG6" s="44"/>
      <c r="ACH6" s="44"/>
      <c r="ACI6" s="44"/>
      <c r="ACJ6" s="44"/>
      <c r="ACK6" s="44"/>
      <c r="ACL6" s="44"/>
      <c r="ACM6" s="44"/>
      <c r="ACN6" s="44"/>
      <c r="ACO6" s="44"/>
      <c r="ACP6" s="44"/>
      <c r="ACQ6" s="44"/>
      <c r="ACR6" s="58"/>
      <c r="ACS6" s="43"/>
      <c r="ACT6" s="44" t="e">
        <f>ROUNDUP(IF(IFERROR(IF($ACR6="","",IF($ACR6=0,1,1-$ACR6/HLOOKUP(ACT$3,[2]ARBOR_REAJUSTE18!$A:$AE,VLOOKUP($ACR$2,[2]ARBOR_REAJUSTE18!$A:$B,2,0),0))),"")&lt;0.01%,0.01%,(IFERROR(IF($ACR6="","",IF($ACR6=0,1,1-$ACR6/HLOOKUP(ACT$3,[2]ARBOR_REAJUSTE18!$A:$AE,VLOOKUP($ACR$2,[2]ARBOR_REAJUSTE18!$A:$B,2,0),0))),""))),4)</f>
        <v>#VALUE!</v>
      </c>
      <c r="ACU6" s="44" t="e">
        <f>ROUNDUP(IF(IFERROR(IF($ACR6="","",IF($ACR6=0,1,1-$ACR6/HLOOKUP(ACU$3,[2]ARBOR_REAJUSTE18!$A:$AE,VLOOKUP($ACR$2,[2]ARBOR_REAJUSTE18!$A:$B,2,0),0))),"")&lt;0.01%,0.01%,(IFERROR(IF($ACR6="","",IF($ACR6=0,1,1-$ACR6/HLOOKUP(ACU$3,[2]ARBOR_REAJUSTE18!$A:$AE,VLOOKUP($ACR$2,[2]ARBOR_REAJUSTE18!$A:$B,2,0),0))),""))),4)</f>
        <v>#VALUE!</v>
      </c>
      <c r="ACV6" s="44" t="e">
        <f>ROUNDUP(IF(IFERROR(IF($ACR6="","",IF($ACR6=0,1,1-$ACR6/HLOOKUP(ACV$3,[2]ARBOR_REAJUSTE18!$A:$AE,VLOOKUP($ACR$2,[2]ARBOR_REAJUSTE18!$A:$B,2,0),0))),"")&lt;0.01%,0.01%,(IFERROR(IF($ACR6="","",IF($ACR6=0,1,1-$ACR6/HLOOKUP(ACV$3,[2]ARBOR_REAJUSTE18!$A:$AE,VLOOKUP($ACR$2,[2]ARBOR_REAJUSTE18!$A:$B,2,0),0))),""))),4)</f>
        <v>#VALUE!</v>
      </c>
      <c r="ACW6" s="44" t="e">
        <f>ROUNDUP(IF(IFERROR(IF($ACR6="","",IF($ACR6=0,1,1-$ACR6/HLOOKUP(ACW$3,[2]ARBOR_REAJUSTE18!$A:$AE,VLOOKUP($ACR$2,[2]ARBOR_REAJUSTE18!$A:$B,2,0),0))),"")&lt;0.01%,0.01%,(IFERROR(IF($ACR6="","",IF($ACR6=0,1,1-$ACR6/HLOOKUP(ACW$3,[2]ARBOR_REAJUSTE18!$A:$AE,VLOOKUP($ACR$2,[2]ARBOR_REAJUSTE18!$A:$B,2,0),0))),""))),4)</f>
        <v>#VALUE!</v>
      </c>
      <c r="ACX6" s="44" t="e">
        <f>ROUNDUP(IF(IFERROR(IF($ACR6="","",IF($ACR6=0,1,1-$ACR6/HLOOKUP(ACX$3,[2]ARBOR_REAJUSTE18!$A:$AE,VLOOKUP($ACR$2,[2]ARBOR_REAJUSTE18!$A:$B,2,0),0))),"")&lt;0.01%,0.01%,(IFERROR(IF($ACR6="","",IF($ACR6=0,1,1-$ACR6/HLOOKUP(ACX$3,[2]ARBOR_REAJUSTE18!$A:$AE,VLOOKUP($ACR$2,[2]ARBOR_REAJUSTE18!$A:$B,2,0),0))),""))),4)</f>
        <v>#VALUE!</v>
      </c>
      <c r="ACY6" s="44" t="e">
        <f>ROUNDUP(IF(IFERROR(IF($ACR6="","",IF($ACR6=0,1,1-$ACR6/HLOOKUP(ACY$3,[2]ARBOR_REAJUSTE18!$A:$AE,VLOOKUP($ACR$2,[2]ARBOR_REAJUSTE18!$A:$B,2,0),0))),"")&lt;0.01%,0.01%,(IFERROR(IF($ACR6="","",IF($ACR6=0,1,1-$ACR6/HLOOKUP(ACY$3,[2]ARBOR_REAJUSTE18!$A:$AE,VLOOKUP($ACR$2,[2]ARBOR_REAJUSTE18!$A:$B,2,0),0))),""))),4)</f>
        <v>#VALUE!</v>
      </c>
      <c r="ACZ6" s="44" t="e">
        <f>ROUNDUP(IF(IFERROR(IF($ACR6="","",IF($ACR6=0,1,1-$ACR6/HLOOKUP(ACZ$3,[2]ARBOR_REAJUSTE18!$A:$AE,VLOOKUP($ACR$2,[2]ARBOR_REAJUSTE18!$A:$B,2,0),0))),"")&lt;0.01%,0.01%,(IFERROR(IF($ACR6="","",IF($ACR6=0,1,1-$ACR6/HLOOKUP(ACZ$3,[2]ARBOR_REAJUSTE18!$A:$AE,VLOOKUP($ACR$2,[2]ARBOR_REAJUSTE18!$A:$B,2,0),0))),""))),4)</f>
        <v>#VALUE!</v>
      </c>
      <c r="ADA6" s="44" t="e">
        <f>ROUNDUP(IF(IFERROR(IF($ACR6="","",IF($ACR6=0,1,1-$ACR6/HLOOKUP(ADA$3,[2]ARBOR_REAJUSTE18!$A:$AE,VLOOKUP($ACR$2,[2]ARBOR_REAJUSTE18!$A:$B,2,0),0))),"")&lt;0.01%,0.01%,(IFERROR(IF($ACR6="","",IF($ACR6=0,1,1-$ACR6/HLOOKUP(ADA$3,[2]ARBOR_REAJUSTE18!$A:$AE,VLOOKUP($ACR$2,[2]ARBOR_REAJUSTE18!$A:$B,2,0),0))),""))),4)</f>
        <v>#VALUE!</v>
      </c>
      <c r="ADB6" s="44" t="e">
        <f>ROUNDUP(IF(IFERROR(IF($ACR6="","",IF($ACR6=0,1,1-$ACR6/HLOOKUP(ADB$3,[2]ARBOR_REAJUSTE18!$A:$AE,VLOOKUP($ACR$2,[2]ARBOR_REAJUSTE18!$A:$B,2,0),0))),"")&lt;0.01%,0.01%,(IFERROR(IF($ACR6="","",IF($ACR6=0,1,1-$ACR6/HLOOKUP(ADB$3,[2]ARBOR_REAJUSTE18!$A:$AE,VLOOKUP($ACR$2,[2]ARBOR_REAJUSTE18!$A:$B,2,0),0))),""))),4)</f>
        <v>#VALUE!</v>
      </c>
      <c r="ADC6" s="44" t="e">
        <f>ROUNDUP(IF(IFERROR(IF($ACR6="","",IF($ACR6=0,1,1-$ACR6/HLOOKUP(ADC$3,[2]ARBOR_REAJUSTE18!$A:$AE,VLOOKUP($ACR$2,[2]ARBOR_REAJUSTE18!$A:$B,2,0),0))),"")&lt;0.01%,0.01%,(IFERROR(IF($ACR6="","",IF($ACR6=0,1,1-$ACR6/HLOOKUP(ADC$3,[2]ARBOR_REAJUSTE18!$A:$AE,VLOOKUP($ACR$2,[2]ARBOR_REAJUSTE18!$A:$B,2,0),0))),""))),4)</f>
        <v>#VALUE!</v>
      </c>
      <c r="ADD6" s="44" t="e">
        <f>ROUNDUP(IF(IFERROR(IF($ACR6="","",IF($ACR6=0,1,1-$ACR6/HLOOKUP(ADD$3,[2]ARBOR_REAJUSTE18!$A:$AE,VLOOKUP($ACR$2,[2]ARBOR_REAJUSTE18!$A:$B,2,0),0))),"")&lt;0.01%,0.01%,(IFERROR(IF($ACR6="","",IF($ACR6=0,1,1-$ACR6/HLOOKUP(ADD$3,[2]ARBOR_REAJUSTE18!$A:$AE,VLOOKUP($ACR$2,[2]ARBOR_REAJUSTE18!$A:$B,2,0),0))),""))),4)</f>
        <v>#VALUE!</v>
      </c>
      <c r="ADE6" s="44" t="e">
        <f>ROUNDUP(IF(IFERROR(IF($ACR6="","",IF($ACR6=0,1,1-$ACR6/HLOOKUP(ADE$3,[2]ARBOR_REAJUSTE18!$A:$AE,VLOOKUP($ACR$2,[2]ARBOR_REAJUSTE18!$A:$B,2,0),0))),"")&lt;0.01%,0.01%,(IFERROR(IF($ACR6="","",IF($ACR6=0,1,1-$ACR6/HLOOKUP(ADE$3,[2]ARBOR_REAJUSTE18!$A:$AE,VLOOKUP($ACR$2,[2]ARBOR_REAJUSTE18!$A:$B,2,0),0))),""))),4)</f>
        <v>#VALUE!</v>
      </c>
      <c r="ADF6" s="44" t="e">
        <f>ROUNDUP(IF(IFERROR(IF($ACR6="","",IF($ACR6=0,1,1-$ACR6/HLOOKUP(ADF$3,[2]ARBOR_REAJUSTE18!$A:$AE,VLOOKUP($ACR$2,[2]ARBOR_REAJUSTE18!$A:$B,2,0),0))),"")&lt;0.01%,0.01%,(IFERROR(IF($ACR6="","",IF($ACR6=0,1,1-$ACR6/HLOOKUP(ADF$3,[2]ARBOR_REAJUSTE18!$A:$AE,VLOOKUP($ACR$2,[2]ARBOR_REAJUSTE18!$A:$B,2,0),0))),""))),4)</f>
        <v>#VALUE!</v>
      </c>
      <c r="ADG6" s="44" t="e">
        <f>ROUNDUP(IF(IFERROR(IF($ACR6="","",IF($ACR6=0,1,1-$ACR6/HLOOKUP(ADG$3,[2]ARBOR_REAJUSTE18!$A:$AE,VLOOKUP($ACR$2,[2]ARBOR_REAJUSTE18!$A:$B,2,0),0))),"")&lt;0.01%,0.01%,(IFERROR(IF($ACR6="","",IF($ACR6=0,1,1-$ACR6/HLOOKUP(ADG$3,[2]ARBOR_REAJUSTE18!$A:$AE,VLOOKUP($ACR$2,[2]ARBOR_REAJUSTE18!$A:$B,2,0),0))),""))),4)</f>
        <v>#VALUE!</v>
      </c>
      <c r="ADH6" s="44" t="e">
        <f>ROUNDUP(IF(IFERROR(IF($ACR6="","",IF($ACR6=0,1,1-$ACR6/HLOOKUP(ADH$3,[2]ARBOR_REAJUSTE18!$A:$AE,VLOOKUP($ACR$2,[2]ARBOR_REAJUSTE18!$A:$B,2,0),0))),"")&lt;0.01%,0.01%,(IFERROR(IF($ACR6="","",IF($ACR6=0,1,1-$ACR6/HLOOKUP(ADH$3,[2]ARBOR_REAJUSTE18!$A:$AE,VLOOKUP($ACR$2,[2]ARBOR_REAJUSTE18!$A:$B,2,0),0))),""))),4)</f>
        <v>#VALUE!</v>
      </c>
      <c r="ADI6" s="44" t="e">
        <f>ROUNDUP(IF(IFERROR(IF($ACR6="","",IF($ACR6=0,1,1-$ACR6/HLOOKUP(ADI$3,[2]ARBOR_REAJUSTE18!$A:$AE,VLOOKUP($ACR$2,[2]ARBOR_REAJUSTE18!$A:$B,2,0),0))),"")&lt;0.01%,0.01%,(IFERROR(IF($ACR6="","",IF($ACR6=0,1,1-$ACR6/HLOOKUP(ADI$3,[2]ARBOR_REAJUSTE18!$A:$AE,VLOOKUP($ACR$2,[2]ARBOR_REAJUSTE18!$A:$B,2,0),0))),""))),4)</f>
        <v>#VALUE!</v>
      </c>
      <c r="ADJ6" s="44" t="e">
        <f>ROUNDUP(IF(IFERROR(IF($ACR6="","",IF($ACR6=0,1,1-$ACR6/HLOOKUP(ADJ$3,[2]ARBOR_REAJUSTE18!$A:$AE,VLOOKUP($ACR$2,[2]ARBOR_REAJUSTE18!$A:$B,2,0),0))),"")&lt;0.01%,0.01%,(IFERROR(IF($ACR6="","",IF($ACR6=0,1,1-$ACR6/HLOOKUP(ADJ$3,[2]ARBOR_REAJUSTE18!$A:$AE,VLOOKUP($ACR$2,[2]ARBOR_REAJUSTE18!$A:$B,2,0),0))),""))),4)</f>
        <v>#VALUE!</v>
      </c>
      <c r="ADK6" s="44" t="e">
        <f>ROUNDUP(IF(IFERROR(IF($ACR6="","",IF($ACR6=0,1,1-$ACR6/HLOOKUP(ADK$3,[2]ARBOR_REAJUSTE18!$A:$AE,VLOOKUP($ACR$2,[2]ARBOR_REAJUSTE18!$A:$B,2,0),0))),"")&lt;0.01%,0.01%,(IFERROR(IF($ACR6="","",IF($ACR6=0,1,1-$ACR6/HLOOKUP(ADK$3,[2]ARBOR_REAJUSTE18!$A:$AE,VLOOKUP($ACR$2,[2]ARBOR_REAJUSTE18!$A:$B,2,0),0))),""))),4)</f>
        <v>#VALUE!</v>
      </c>
      <c r="ADL6" s="44" t="e">
        <f>ROUNDUP(IF(IFERROR(IF($ACR6="","",IF($ACR6=0,1,1-$ACR6/HLOOKUP(ADL$3,[2]ARBOR_REAJUSTE18!$A:$AE,VLOOKUP($ACR$2,[2]ARBOR_REAJUSTE18!$A:$B,2,0),0))),"")&lt;0.01%,0.01%,(IFERROR(IF($ACR6="","",IF($ACR6=0,1,1-$ACR6/HLOOKUP(ADL$3,[2]ARBOR_REAJUSTE18!$A:$AE,VLOOKUP($ACR$2,[2]ARBOR_REAJUSTE18!$A:$B,2,0),0))),""))),4)</f>
        <v>#VALUE!</v>
      </c>
      <c r="ADM6" s="44" t="e">
        <f>ROUNDUP(IF(IFERROR(IF($ACR6="","",IF($ACR6=0,1,1-$ACR6/HLOOKUP(ADM$3,[2]ARBOR_REAJUSTE18!$A:$AE,VLOOKUP($ACR$2,[2]ARBOR_REAJUSTE18!$A:$B,2,0),0))),"")&lt;0.01%,0.01%,(IFERROR(IF($ACR6="","",IF($ACR6=0,1,1-$ACR6/HLOOKUP(ADM$3,[2]ARBOR_REAJUSTE18!$A:$AE,VLOOKUP($ACR$2,[2]ARBOR_REAJUSTE18!$A:$B,2,0),0))),""))),4)</f>
        <v>#VALUE!</v>
      </c>
      <c r="ADN6" s="44" t="e">
        <f>ROUNDUP(IF(IFERROR(IF($ACR6="","",IF($ACR6=0,1,1-$ACR6/HLOOKUP(ADN$3,[2]ARBOR_REAJUSTE18!$A:$AE,VLOOKUP($ACR$2,[2]ARBOR_REAJUSTE18!$A:$B,2,0),0))),"")&lt;0.01%,0.01%,(IFERROR(IF($ACR6="","",IF($ACR6=0,1,1-$ACR6/HLOOKUP(ADN$3,[2]ARBOR_REAJUSTE18!$A:$AE,VLOOKUP($ACR$2,[2]ARBOR_REAJUSTE18!$A:$B,2,0),0))),""))),4)</f>
        <v>#VALUE!</v>
      </c>
      <c r="ADO6" s="44" t="e">
        <f>ROUNDUP(IF(IFERROR(IF($ACR6="","",IF($ACR6=0,1,1-$ACR6/HLOOKUP(ADO$3,[2]ARBOR_REAJUSTE18!$A:$AE,VLOOKUP($ACR$2,[2]ARBOR_REAJUSTE18!$A:$B,2,0),0))),"")&lt;0.01%,0.01%,(IFERROR(IF($ACR6="","",IF($ACR6=0,1,1-$ACR6/HLOOKUP(ADO$3,[2]ARBOR_REAJUSTE18!$A:$AE,VLOOKUP($ACR$2,[2]ARBOR_REAJUSTE18!$A:$B,2,0),0))),""))),4)</f>
        <v>#VALUE!</v>
      </c>
      <c r="ADP6" s="44" t="e">
        <f>ROUNDUP(IF(IFERROR(IF($ACR6="","",IF($ACR6=0,1,1-$ACR6/HLOOKUP(ADP$3,[2]ARBOR_REAJUSTE18!$A:$AE,VLOOKUP($ACR$2,[2]ARBOR_REAJUSTE18!$A:$B,2,0),0))),"")&lt;0.01%,0.01%,(IFERROR(IF($ACR6="","",IF($ACR6=0,1,1-$ACR6/HLOOKUP(ADP$3,[2]ARBOR_REAJUSTE18!$A:$AE,VLOOKUP($ACR$2,[2]ARBOR_REAJUSTE18!$A:$B,2,0),0))),""))),4)</f>
        <v>#VALUE!</v>
      </c>
      <c r="ADQ6" s="44" t="e">
        <f>ROUNDUP(IF(IFERROR(IF($ACR6="","",IF($ACR6=0,1,1-$ACR6/HLOOKUP(ADQ$3,[2]ARBOR_REAJUSTE18!$A:$AE,VLOOKUP($ACR$2,[2]ARBOR_REAJUSTE18!$A:$B,2,0),0))),"")&lt;0.01%,0.01%,(IFERROR(IF($ACR6="","",IF($ACR6=0,1,1-$ACR6/HLOOKUP(ADQ$3,[2]ARBOR_REAJUSTE18!$A:$AE,VLOOKUP($ACR$2,[2]ARBOR_REAJUSTE18!$A:$B,2,0),0))),""))),4)</f>
        <v>#VALUE!</v>
      </c>
      <c r="ADR6" s="44" t="e">
        <f>ROUNDUP(IF(IFERROR(IF($ACR6="","",IF($ACR6=0,1,1-$ACR6/HLOOKUP(ADR$3,[2]ARBOR_REAJUSTE18!$A:$AE,VLOOKUP($ACR$2,[2]ARBOR_REAJUSTE18!$A:$B,2,0),0))),"")&lt;0.01%,0.01%,(IFERROR(IF($ACR6="","",IF($ACR6=0,1,1-$ACR6/HLOOKUP(ADR$3,[2]ARBOR_REAJUSTE18!$A:$AE,VLOOKUP($ACR$2,[2]ARBOR_REAJUSTE18!$A:$B,2,0),0))),""))),4)</f>
        <v>#VALUE!</v>
      </c>
      <c r="ADS6" s="44" t="e">
        <f>ROUNDUP(IF(IFERROR(IF($ACR6="","",IF($ACR6=0,1,1-$ACR6/HLOOKUP(ADS$3,[2]ARBOR_REAJUSTE18!$A:$AE,VLOOKUP($ACR$2,[2]ARBOR_REAJUSTE18!$A:$B,2,0),0))),"")&lt;0.01%,0.01%,(IFERROR(IF($ACR6="","",IF($ACR6=0,1,1-$ACR6/HLOOKUP(ADS$3,[2]ARBOR_REAJUSTE18!$A:$AE,VLOOKUP($ACR$2,[2]ARBOR_REAJUSTE18!$A:$B,2,0),0))),""))),4)</f>
        <v>#VALUE!</v>
      </c>
      <c r="ADT6" s="44" t="e">
        <f>ROUNDUP(IF(IFERROR(IF($ACR6="","",IF($ACR6=0,1,1-$ACR6/HLOOKUP(ADT$3,[2]ARBOR_REAJUSTE18!$A:$AE,VLOOKUP($ACR$2,[2]ARBOR_REAJUSTE18!$A:$B,2,0),0))),"")&lt;0.01%,0.01%,(IFERROR(IF($ACR6="","",IF($ACR6=0,1,1-$ACR6/HLOOKUP(ADT$3,[2]ARBOR_REAJUSTE18!$A:$AE,VLOOKUP($ACR$2,[2]ARBOR_REAJUSTE18!$A:$B,2,0),0))),""))),4)</f>
        <v>#VALUE!</v>
      </c>
      <c r="ADU6" s="57"/>
      <c r="ADV6" s="62"/>
      <c r="ADW6" s="44"/>
      <c r="ADX6" s="44"/>
      <c r="ADY6" s="44"/>
      <c r="ADZ6" s="44"/>
      <c r="AEA6" s="44"/>
      <c r="AEB6" s="44"/>
      <c r="AEC6" s="44"/>
      <c r="AED6" s="44"/>
      <c r="AEE6" s="44"/>
      <c r="AEF6" s="44"/>
      <c r="AEG6" s="44"/>
      <c r="AEH6" s="44"/>
      <c r="AEI6" s="44"/>
      <c r="AEJ6" s="44"/>
      <c r="AEK6" s="44"/>
      <c r="AEL6" s="44"/>
      <c r="AEM6" s="44"/>
      <c r="AEN6" s="44"/>
      <c r="AEO6" s="44"/>
      <c r="AEP6" s="44"/>
      <c r="AEQ6" s="44"/>
      <c r="AER6" s="44"/>
      <c r="AES6" s="44"/>
      <c r="AET6" s="44"/>
      <c r="AEU6" s="44"/>
      <c r="AEV6" s="44"/>
      <c r="AEW6" s="44"/>
      <c r="AEX6" s="58"/>
      <c r="AEY6" s="63"/>
      <c r="AEZ6" s="62"/>
      <c r="AFA6" s="44" t="str">
        <f t="shared" si="5"/>
        <v/>
      </c>
      <c r="AFB6" s="44" t="str">
        <f t="shared" si="5"/>
        <v/>
      </c>
      <c r="AFC6" s="44" t="str">
        <f t="shared" si="5"/>
        <v/>
      </c>
      <c r="AFD6" s="44" t="str">
        <f t="shared" si="5"/>
        <v/>
      </c>
      <c r="AFE6" s="44" t="str">
        <f t="shared" si="5"/>
        <v/>
      </c>
      <c r="AFF6" s="44" t="str">
        <f t="shared" si="5"/>
        <v/>
      </c>
      <c r="AFG6" s="44" t="str">
        <f t="shared" si="5"/>
        <v/>
      </c>
      <c r="AFH6" s="44" t="str">
        <f t="shared" si="5"/>
        <v/>
      </c>
      <c r="AFI6" s="44" t="str">
        <f t="shared" si="5"/>
        <v/>
      </c>
      <c r="AFJ6" s="44" t="str">
        <f t="shared" si="5"/>
        <v/>
      </c>
      <c r="AFK6" s="44" t="str">
        <f t="shared" si="5"/>
        <v/>
      </c>
      <c r="AFL6" s="44" t="str">
        <f t="shared" si="5"/>
        <v/>
      </c>
      <c r="AFM6" s="44" t="str">
        <f t="shared" si="5"/>
        <v/>
      </c>
      <c r="AFN6" s="44" t="str">
        <f t="shared" si="5"/>
        <v/>
      </c>
      <c r="AFO6" s="44" t="str">
        <f t="shared" si="5"/>
        <v/>
      </c>
      <c r="AFP6" s="44" t="str">
        <f t="shared" si="5"/>
        <v/>
      </c>
      <c r="AFQ6" s="44" t="str">
        <f t="shared" si="5"/>
        <v/>
      </c>
      <c r="AFR6" s="44" t="str">
        <f t="shared" si="5"/>
        <v/>
      </c>
      <c r="AFS6" s="44" t="str">
        <f t="shared" si="5"/>
        <v/>
      </c>
      <c r="AFT6" s="44" t="str">
        <f t="shared" si="5"/>
        <v/>
      </c>
      <c r="AFU6" s="44" t="str">
        <f t="shared" si="5"/>
        <v/>
      </c>
      <c r="AFV6" s="44" t="str">
        <f t="shared" si="5"/>
        <v/>
      </c>
      <c r="AFW6" s="44" t="str">
        <f t="shared" si="5"/>
        <v/>
      </c>
      <c r="AFX6" s="44" t="str">
        <f t="shared" si="5"/>
        <v/>
      </c>
      <c r="AFY6" s="44" t="str">
        <f t="shared" si="5"/>
        <v/>
      </c>
      <c r="AFZ6" s="44" t="str">
        <f t="shared" si="5"/>
        <v/>
      </c>
      <c r="AGA6" s="44" t="str">
        <f t="shared" si="5"/>
        <v/>
      </c>
      <c r="AGB6" s="25"/>
      <c r="AGC6" s="25"/>
      <c r="AGD6" s="43"/>
      <c r="AGE6" s="56">
        <v>64.800000000000011</v>
      </c>
      <c r="AGF6" s="43" t="e">
        <f ca="1">VLOOKUP($AV6&amp;AGG6&amp;"Template desconto FLAT Plano Principal Oi TV nível conta",[2]BENEFICIOS!$A:$G,5,0)</f>
        <v>#N/A</v>
      </c>
      <c r="AGG6" s="44">
        <f ca="1">ROUNDUP(IF(IFERROR(IF($AGE6="","",IF($AGE6=0,1,1-$AGE6/HLOOKUP(AGG$3,[2]ARBOR_REAJUSTE18!$A:$AE,VLOOKUP($AGE$2,[2]ARBOR_REAJUSTE18!$A:$B,2,0),0))),"")&lt;0.01%,0.01%,(IFERROR(IF($AGE6="","",IF($AGE6=0,1,1-$AGE6/HLOOKUP(AGG$3,[2]ARBOR_REAJUSTE18!$A:$AE,VLOOKUP($AGE$2,[2]ARBOR_REAJUSTE18!$A:$B,2,0),0))),""))),4)</f>
        <v>0.3468</v>
      </c>
      <c r="AGH6" s="44">
        <f ca="1">ROUNDUP(IF(IFERROR(IF($AGE6="","",IF($AGE6=0,1,1-$AGE6/HLOOKUP(AGH$3,[2]ARBOR_REAJUSTE18!$A:$AE,VLOOKUP($AGE$2,[2]ARBOR_REAJUSTE18!$A:$B,2,0),0))),"")&lt;0.01%,0.01%,(IFERROR(IF($AGE6="","",IF($AGE6=0,1,1-$AGE6/HLOOKUP(AGH$3,[2]ARBOR_REAJUSTE18!$A:$AE,VLOOKUP($AGE$2,[2]ARBOR_REAJUSTE18!$A:$B,2,0),0))),""))),4)</f>
        <v>0.3468</v>
      </c>
      <c r="AGI6" s="44">
        <f ca="1">ROUNDUP(IF(IFERROR(IF($AGE6="","",IF($AGE6=0,1,1-$AGE6/HLOOKUP(AGI$3,[2]ARBOR_REAJUSTE18!$A:$AE,VLOOKUP($AGE$2,[2]ARBOR_REAJUSTE18!$A:$B,2,0),0))),"")&lt;0.01%,0.01%,(IFERROR(IF($AGE6="","",IF($AGE6=0,1,1-$AGE6/HLOOKUP(AGI$3,[2]ARBOR_REAJUSTE18!$A:$AE,VLOOKUP($AGE$2,[2]ARBOR_REAJUSTE18!$A:$B,2,0),0))),""))),4)</f>
        <v>0.3468</v>
      </c>
      <c r="AGJ6" s="44">
        <f ca="1">ROUNDUP(IF(IFERROR(IF($AGE6="","",IF($AGE6=0,1,1-$AGE6/HLOOKUP(AGJ$3,[2]ARBOR_REAJUSTE18!$A:$AE,VLOOKUP($AGE$2,[2]ARBOR_REAJUSTE18!$A:$B,2,0),0))),"")&lt;0.01%,0.01%,(IFERROR(IF($AGE6="","",IF($AGE6=0,1,1-$AGE6/HLOOKUP(AGJ$3,[2]ARBOR_REAJUSTE18!$A:$AE,VLOOKUP($AGE$2,[2]ARBOR_REAJUSTE18!$A:$B,2,0),0))),""))),4)</f>
        <v>0.3468</v>
      </c>
      <c r="AGK6" s="44">
        <f ca="1">ROUNDUP(IF(IFERROR(IF($AGE6="","",IF($AGE6=0,1,1-$AGE6/HLOOKUP(AGK$3,[2]ARBOR_REAJUSTE18!$A:$AE,VLOOKUP($AGE$2,[2]ARBOR_REAJUSTE18!$A:$B,2,0),0))),"")&lt;0.01%,0.01%,(IFERROR(IF($AGE6="","",IF($AGE6=0,1,1-$AGE6/HLOOKUP(AGK$3,[2]ARBOR_REAJUSTE18!$A:$AE,VLOOKUP($AGE$2,[2]ARBOR_REAJUSTE18!$A:$B,2,0),0))),""))),4)</f>
        <v>0.3468</v>
      </c>
      <c r="AGL6" s="44">
        <f ca="1">ROUNDUP(IF(IFERROR(IF($AGE6="","",IF($AGE6=0,1,1-$AGE6/HLOOKUP(AGL$3,[2]ARBOR_REAJUSTE18!$A:$AE,VLOOKUP($AGE$2,[2]ARBOR_REAJUSTE18!$A:$B,2,0),0))),"")&lt;0.01%,0.01%,(IFERROR(IF($AGE6="","",IF($AGE6=0,1,1-$AGE6/HLOOKUP(AGL$3,[2]ARBOR_REAJUSTE18!$A:$AE,VLOOKUP($AGE$2,[2]ARBOR_REAJUSTE18!$A:$B,2,0),0))),""))),4)</f>
        <v>0.3468</v>
      </c>
      <c r="AGM6" s="44">
        <f ca="1">ROUNDUP(IF(IFERROR(IF($AGE6="","",IF($AGE6=0,1,1-$AGE6/HLOOKUP(AGM$3,[2]ARBOR_REAJUSTE18!$A:$AE,VLOOKUP($AGE$2,[2]ARBOR_REAJUSTE18!$A:$B,2,0),0))),"")&lt;0.01%,0.01%,(IFERROR(IF($AGE6="","",IF($AGE6=0,1,1-$AGE6/HLOOKUP(AGM$3,[2]ARBOR_REAJUSTE18!$A:$AE,VLOOKUP($AGE$2,[2]ARBOR_REAJUSTE18!$A:$B,2,0),0))),""))),4)</f>
        <v>0.34670000000000001</v>
      </c>
      <c r="AGN6" s="44">
        <f ca="1">ROUNDUP(IF(IFERROR(IF($AGE6="","",IF($AGE6=0,1,1-$AGE6/HLOOKUP(AGN$3,[2]ARBOR_REAJUSTE18!$A:$AE,VLOOKUP($AGE$2,[2]ARBOR_REAJUSTE18!$A:$B,2,0),0))),"")&lt;0.01%,0.01%,(IFERROR(IF($AGE6="","",IF($AGE6=0,1,1-$AGE6/HLOOKUP(AGN$3,[2]ARBOR_REAJUSTE18!$A:$AE,VLOOKUP($AGE$2,[2]ARBOR_REAJUSTE18!$A:$B,2,0),0))),""))),4)</f>
        <v>0.3468</v>
      </c>
      <c r="AGO6" s="44">
        <f ca="1">ROUNDUP(IF(IFERROR(IF($AGE6="","",IF($AGE6=0,1,1-$AGE6/HLOOKUP(AGO$3,[2]ARBOR_REAJUSTE18!$A:$AE,VLOOKUP($AGE$2,[2]ARBOR_REAJUSTE18!$A:$B,2,0),0))),"")&lt;0.01%,0.01%,(IFERROR(IF($AGE6="","",IF($AGE6=0,1,1-$AGE6/HLOOKUP(AGO$3,[2]ARBOR_REAJUSTE18!$A:$AE,VLOOKUP($AGE$2,[2]ARBOR_REAJUSTE18!$A:$B,2,0),0))),""))),4)</f>
        <v>0.3468</v>
      </c>
      <c r="AGP6" s="44">
        <f ca="1">ROUNDUP(IF(IFERROR(IF($AGE6="","",IF($AGE6=0,1,1-$AGE6/HLOOKUP(AGP$3,[2]ARBOR_REAJUSTE18!$A:$AE,VLOOKUP($AGE$2,[2]ARBOR_REAJUSTE18!$A:$B,2,0),0))),"")&lt;0.01%,0.01%,(IFERROR(IF($AGE6="","",IF($AGE6=0,1,1-$AGE6/HLOOKUP(AGP$3,[2]ARBOR_REAJUSTE18!$A:$AE,VLOOKUP($AGE$2,[2]ARBOR_REAJUSTE18!$A:$B,2,0),0))),""))),4)</f>
        <v>0.3468</v>
      </c>
      <c r="AGQ6" s="44">
        <f ca="1">ROUNDUP(IF(IFERROR(IF($AGE6="","",IF($AGE6=0,1,1-$AGE6/HLOOKUP(AGQ$3,[2]ARBOR_REAJUSTE18!$A:$AE,VLOOKUP($AGE$2,[2]ARBOR_REAJUSTE18!$A:$B,2,0),0))),"")&lt;0.01%,0.01%,(IFERROR(IF($AGE6="","",IF($AGE6=0,1,1-$AGE6/HLOOKUP(AGQ$3,[2]ARBOR_REAJUSTE18!$A:$AE,VLOOKUP($AGE$2,[2]ARBOR_REAJUSTE18!$A:$B,2,0),0))),""))),4)</f>
        <v>0.37</v>
      </c>
      <c r="AGR6" s="44">
        <f ca="1">ROUNDUP(IF(IFERROR(IF($AGE6="","",IF($AGE6=0,1,1-$AGE6/HLOOKUP(AGR$3,[2]ARBOR_REAJUSTE18!$A:$AE,VLOOKUP($AGE$2,[2]ARBOR_REAJUSTE18!$A:$B,2,0),0))),"")&lt;0.01%,0.01%,(IFERROR(IF($AGE6="","",IF($AGE6=0,1,1-$AGE6/HLOOKUP(AGR$3,[2]ARBOR_REAJUSTE18!$A:$AE,VLOOKUP($AGE$2,[2]ARBOR_REAJUSTE18!$A:$B,2,0),0))),""))),4)</f>
        <v>0.3468</v>
      </c>
      <c r="AGS6" s="44">
        <f ca="1">ROUNDUP(IF(IFERROR(IF($AGE6="","",IF($AGE6=0,1,1-$AGE6/HLOOKUP(AGS$3,[2]ARBOR_REAJUSTE18!$A:$AE,VLOOKUP($AGE$2,[2]ARBOR_REAJUSTE18!$A:$B,2,0),0))),"")&lt;0.01%,0.01%,(IFERROR(IF($AGE6="","",IF($AGE6=0,1,1-$AGE6/HLOOKUP(AGS$3,[2]ARBOR_REAJUSTE18!$A:$AE,VLOOKUP($AGE$2,[2]ARBOR_REAJUSTE18!$A:$B,2,0),0))),""))),4)</f>
        <v>0.3468</v>
      </c>
      <c r="AGT6" s="44">
        <f ca="1">ROUNDUP(IF(IFERROR(IF($AGE6="","",IF($AGE6=0,1,1-$AGE6/HLOOKUP(AGT$3,[2]ARBOR_REAJUSTE18!$A:$AE,VLOOKUP($AGE$2,[2]ARBOR_REAJUSTE18!$A:$B,2,0),0))),"")&lt;0.01%,0.01%,(IFERROR(IF($AGE6="","",IF($AGE6=0,1,1-$AGE6/HLOOKUP(AGT$3,[2]ARBOR_REAJUSTE18!$A:$AE,VLOOKUP($AGE$2,[2]ARBOR_REAJUSTE18!$A:$B,2,0),0))),""))),4)</f>
        <v>0.3468</v>
      </c>
      <c r="AGU6" s="44">
        <f ca="1">ROUNDUP(IF(IFERROR(IF($AGE6="","",IF($AGE6=0,1,1-$AGE6/HLOOKUP(AGU$3,[2]ARBOR_REAJUSTE18!$A:$AE,VLOOKUP($AGE$2,[2]ARBOR_REAJUSTE18!$A:$B,2,0),0))),"")&lt;0.01%,0.01%,(IFERROR(IF($AGE6="","",IF($AGE6=0,1,1-$AGE6/HLOOKUP(AGU$3,[2]ARBOR_REAJUSTE18!$A:$AE,VLOOKUP($AGE$2,[2]ARBOR_REAJUSTE18!$A:$B,2,0),0))),""))),4)</f>
        <v>0.3468</v>
      </c>
      <c r="AGV6" s="44">
        <f ca="1">ROUNDUP(IF(IFERROR(IF($AGE6="","",IF($AGE6=0,1,1-$AGE6/HLOOKUP(AGV$3,[2]ARBOR_REAJUSTE18!$A:$AE,VLOOKUP($AGE$2,[2]ARBOR_REAJUSTE18!$A:$B,2,0),0))),"")&lt;0.01%,0.01%,(IFERROR(IF($AGE6="","",IF($AGE6=0,1,1-$AGE6/HLOOKUP(AGV$3,[2]ARBOR_REAJUSTE18!$A:$AE,VLOOKUP($AGE$2,[2]ARBOR_REAJUSTE18!$A:$B,2,0),0))),""))),4)</f>
        <v>0.3553</v>
      </c>
      <c r="AGW6" s="44">
        <f ca="1">ROUNDUP(IF(IFERROR(IF($AGE6="","",IF($AGE6=0,1,1-$AGE6/HLOOKUP(AGW$3,[2]ARBOR_REAJUSTE18!$A:$AE,VLOOKUP($AGE$2,[2]ARBOR_REAJUSTE18!$A:$B,2,0),0))),"")&lt;0.01%,0.01%,(IFERROR(IF($AGE6="","",IF($AGE6=0,1,1-$AGE6/HLOOKUP(AGW$3,[2]ARBOR_REAJUSTE18!$A:$AE,VLOOKUP($AGE$2,[2]ARBOR_REAJUSTE18!$A:$B,2,0),0))),""))),4)</f>
        <v>0.3468</v>
      </c>
      <c r="AGX6" s="44">
        <f ca="1">ROUNDUP(IF(IFERROR(IF($AGE6="","",IF($AGE6=0,1,1-$AGE6/HLOOKUP(AGX$3,[2]ARBOR_REAJUSTE18!$A:$AE,VLOOKUP($AGE$2,[2]ARBOR_REAJUSTE18!$A:$B,2,0),0))),"")&lt;0.01%,0.01%,(IFERROR(IF($AGE6="","",IF($AGE6=0,1,1-$AGE6/HLOOKUP(AGX$3,[2]ARBOR_REAJUSTE18!$A:$AE,VLOOKUP($AGE$2,[2]ARBOR_REAJUSTE18!$A:$B,2,0),0))),""))),4)</f>
        <v>0.3468</v>
      </c>
      <c r="AGY6" s="44">
        <f ca="1">ROUNDUP(IF(IFERROR(IF($AGE6="","",IF($AGE6=0,1,1-$AGE6/HLOOKUP(AGY$3,[2]ARBOR_REAJUSTE18!$A:$AE,VLOOKUP($AGE$2,[2]ARBOR_REAJUSTE18!$A:$B,2,0),0))),"")&lt;0.01%,0.01%,(IFERROR(IF($AGE6="","",IF($AGE6=0,1,1-$AGE6/HLOOKUP(AGY$3,[2]ARBOR_REAJUSTE18!$A:$AE,VLOOKUP($AGE$2,[2]ARBOR_REAJUSTE18!$A:$B,2,0),0))),""))),4)</f>
        <v>0.3468</v>
      </c>
      <c r="AGZ6" s="44">
        <f ca="1">ROUNDUP(IF(IFERROR(IF($AGE6="","",IF($AGE6=0,1,1-$AGE6/HLOOKUP(AGZ$3,[2]ARBOR_REAJUSTE18!$A:$AE,VLOOKUP($AGE$2,[2]ARBOR_REAJUSTE18!$A:$B,2,0),0))),"")&lt;0.01%,0.01%,(IFERROR(IF($AGE6="","",IF($AGE6=0,1,1-$AGE6/HLOOKUP(AGZ$3,[2]ARBOR_REAJUSTE18!$A:$AE,VLOOKUP($AGE$2,[2]ARBOR_REAJUSTE18!$A:$B,2,0),0))),""))),4)</f>
        <v>0.37</v>
      </c>
      <c r="AHA6" s="44">
        <f ca="1">ROUNDUP(IF(IFERROR(IF($AGE6="","",IF($AGE6=0,1,1-$AGE6/HLOOKUP(AHA$3,[2]ARBOR_REAJUSTE18!$A:$AE,VLOOKUP($AGE$2,[2]ARBOR_REAJUSTE18!$A:$B,2,0),0))),"")&lt;0.01%,0.01%,(IFERROR(IF($AGE6="","",IF($AGE6=0,1,1-$AGE6/HLOOKUP(AHA$3,[2]ARBOR_REAJUSTE18!$A:$AE,VLOOKUP($AGE$2,[2]ARBOR_REAJUSTE18!$A:$B,2,0),0))),""))),4)</f>
        <v>0.3468</v>
      </c>
      <c r="AHB6" s="44">
        <f ca="1">ROUNDUP(IF(IFERROR(IF($AGE6="","",IF($AGE6=0,1,1-$AGE6/HLOOKUP(AHB$3,[2]ARBOR_REAJUSTE18!$A:$AE,VLOOKUP($AGE$2,[2]ARBOR_REAJUSTE18!$A:$B,2,0),0))),"")&lt;0.01%,0.01%,(IFERROR(IF($AGE6="","",IF($AGE6=0,1,1-$AGE6/HLOOKUP(AHB$3,[2]ARBOR_REAJUSTE18!$A:$AE,VLOOKUP($AGE$2,[2]ARBOR_REAJUSTE18!$A:$B,2,0),0))),""))),4)</f>
        <v>0.3468</v>
      </c>
      <c r="AHC6" s="44">
        <f ca="1">ROUNDUP(IF(IFERROR(IF($AGE6="","",IF($AGE6=0,1,1-$AGE6/HLOOKUP(AHC$3,[2]ARBOR_REAJUSTE18!$A:$AE,VLOOKUP($AGE$2,[2]ARBOR_REAJUSTE18!$A:$B,2,0),0))),"")&lt;0.01%,0.01%,(IFERROR(IF($AGE6="","",IF($AGE6=0,1,1-$AGE6/HLOOKUP(AHC$3,[2]ARBOR_REAJUSTE18!$A:$AE,VLOOKUP($AGE$2,[2]ARBOR_REAJUSTE18!$A:$B,2,0),0))),""))),4)</f>
        <v>0.3468</v>
      </c>
      <c r="AHD6" s="44">
        <f ca="1">ROUNDUP(IF(IFERROR(IF($AGE6="","",IF($AGE6=0,1,1-$AGE6/HLOOKUP(AHD$3,[2]ARBOR_REAJUSTE18!$A:$AE,VLOOKUP($AGE$2,[2]ARBOR_REAJUSTE18!$A:$B,2,0),0))),"")&lt;0.01%,0.01%,(IFERROR(IF($AGE6="","",IF($AGE6=0,1,1-$AGE6/HLOOKUP(AHD$3,[2]ARBOR_REAJUSTE18!$A:$AE,VLOOKUP($AGE$2,[2]ARBOR_REAJUSTE18!$A:$B,2,0),0))),""))),4)</f>
        <v>0.3468</v>
      </c>
      <c r="AHE6" s="44">
        <f ca="1">ROUNDUP(IF(IFERROR(IF($AGE6="","",IF($AGE6=0,1,1-$AGE6/HLOOKUP(AHE$3,[2]ARBOR_REAJUSTE18!$A:$AE,VLOOKUP($AGE$2,[2]ARBOR_REAJUSTE18!$A:$B,2,0),0))),"")&lt;0.01%,0.01%,(IFERROR(IF($AGE6="","",IF($AGE6=0,1,1-$AGE6/HLOOKUP(AHE$3,[2]ARBOR_REAJUSTE18!$A:$AE,VLOOKUP($AGE$2,[2]ARBOR_REAJUSTE18!$A:$B,2,0),0))),""))),4)</f>
        <v>0.3468</v>
      </c>
      <c r="AHF6" s="44">
        <f ca="1">ROUNDUP(IF(IFERROR(IF($AGE6="","",IF($AGE6=0,1,1-$AGE6/HLOOKUP(AHF$3,[2]ARBOR_REAJUSTE18!$A:$AE,VLOOKUP($AGE$2,[2]ARBOR_REAJUSTE18!$A:$B,2,0),0))),"")&lt;0.01%,0.01%,(IFERROR(IF($AGE6="","",IF($AGE6=0,1,1-$AGE6/HLOOKUP(AHF$3,[2]ARBOR_REAJUSTE18!$A:$AE,VLOOKUP($AGE$2,[2]ARBOR_REAJUSTE18!$A:$B,2,0),0))),""))),4)</f>
        <v>0.3619</v>
      </c>
      <c r="AHG6" s="44">
        <f ca="1">ROUNDUP(IF(IFERROR(IF($AGE6="","",IF($AGE6=0,1,1-$AGE6/HLOOKUP(AHG$3,[2]ARBOR_REAJUSTE18!$A:$AE,VLOOKUP($AGE$2,[2]ARBOR_REAJUSTE18!$A:$B,2,0),0))),"")&lt;0.01%,0.01%,(IFERROR(IF($AGE6="","",IF($AGE6=0,1,1-$AGE6/HLOOKUP(AHG$3,[2]ARBOR_REAJUSTE18!$A:$AE,VLOOKUP($AGE$2,[2]ARBOR_REAJUSTE18!$A:$B,2,0),0))),""))),4)</f>
        <v>0.3468</v>
      </c>
      <c r="AHH6" s="56"/>
      <c r="AHI6" s="64"/>
      <c r="AHJ6" s="44" t="e">
        <f>ROUNDUP(IF(IFERROR(IF($AHH6="","",IF($AHH6=0,1,1-$AHH6/HLOOKUP(AHJ$3,[2]ARBOR_REAJUSTE18!$A:$AE,VLOOKUP($AHH$2,[2]ARBOR_REAJUSTE18!$A:$B,2,0),0))),"")&lt;0.01%,0.01%,(IFERROR(IF($AHH6="","",IF($AHH6=0,1,1-$AHH6/HLOOKUP(AHJ$3,[2]ARBOR_REAJUSTE18!$A:$AE,VLOOKUP($AHH$2,[2]ARBOR_REAJUSTE18!$A:$B,2,0),0))),""))),4)</f>
        <v>#VALUE!</v>
      </c>
      <c r="AHK6" s="44" t="e">
        <f>ROUNDUP(IF(IFERROR(IF($AHH6="","",IF($AHH6=0,1,1-$AHH6/HLOOKUP(AHK$3,[2]ARBOR_REAJUSTE18!$A:$AE,VLOOKUP($AHH$2,[2]ARBOR_REAJUSTE18!$A:$B,2,0),0))),"")&lt;0.01%,0.01%,(IFERROR(IF($AHH6="","",IF($AHH6=0,1,1-$AHH6/HLOOKUP(AHK$3,[2]ARBOR_REAJUSTE18!$A:$AE,VLOOKUP($AHH$2,[2]ARBOR_REAJUSTE18!$A:$B,2,0),0))),""))),4)</f>
        <v>#VALUE!</v>
      </c>
      <c r="AHL6" s="44" t="e">
        <f>ROUNDUP(IF(IFERROR(IF($AHH6="","",IF($AHH6=0,1,1-$AHH6/HLOOKUP(AHL$3,[2]ARBOR_REAJUSTE18!$A:$AE,VLOOKUP($AHH$2,[2]ARBOR_REAJUSTE18!$A:$B,2,0),0))),"")&lt;0.01%,0.01%,(IFERROR(IF($AHH6="","",IF($AHH6=0,1,1-$AHH6/HLOOKUP(AHL$3,[2]ARBOR_REAJUSTE18!$A:$AE,VLOOKUP($AHH$2,[2]ARBOR_REAJUSTE18!$A:$B,2,0),0))),""))),4)</f>
        <v>#VALUE!</v>
      </c>
      <c r="AHM6" s="44" t="e">
        <f>ROUNDUP(IF(IFERROR(IF($AHH6="","",IF($AHH6=0,1,1-$AHH6/HLOOKUP(AHM$3,[2]ARBOR_REAJUSTE18!$A:$AE,VLOOKUP($AHH$2,[2]ARBOR_REAJUSTE18!$A:$B,2,0),0))),"")&lt;0.01%,0.01%,(IFERROR(IF($AHH6="","",IF($AHH6=0,1,1-$AHH6/HLOOKUP(AHM$3,[2]ARBOR_REAJUSTE18!$A:$AE,VLOOKUP($AHH$2,[2]ARBOR_REAJUSTE18!$A:$B,2,0),0))),""))),4)</f>
        <v>#VALUE!</v>
      </c>
      <c r="AHN6" s="44" t="e">
        <f>ROUNDUP(IF(IFERROR(IF($AHH6="","",IF($AHH6=0,1,1-$AHH6/HLOOKUP(AHN$3,[2]ARBOR_REAJUSTE18!$A:$AE,VLOOKUP($AHH$2,[2]ARBOR_REAJUSTE18!$A:$B,2,0),0))),"")&lt;0.01%,0.01%,(IFERROR(IF($AHH6="","",IF($AHH6=0,1,1-$AHH6/HLOOKUP(AHN$3,[2]ARBOR_REAJUSTE18!$A:$AE,VLOOKUP($AHH$2,[2]ARBOR_REAJUSTE18!$A:$B,2,0),0))),""))),4)</f>
        <v>#VALUE!</v>
      </c>
      <c r="AHO6" s="44" t="e">
        <f>ROUNDUP(IF(IFERROR(IF($AHH6="","",IF($AHH6=0,1,1-$AHH6/HLOOKUP(AHO$3,[2]ARBOR_REAJUSTE18!$A:$AE,VLOOKUP($AHH$2,[2]ARBOR_REAJUSTE18!$A:$B,2,0),0))),"")&lt;0.01%,0.01%,(IFERROR(IF($AHH6="","",IF($AHH6=0,1,1-$AHH6/HLOOKUP(AHO$3,[2]ARBOR_REAJUSTE18!$A:$AE,VLOOKUP($AHH$2,[2]ARBOR_REAJUSTE18!$A:$B,2,0),0))),""))),4)</f>
        <v>#VALUE!</v>
      </c>
      <c r="AHP6" s="44" t="e">
        <f>ROUNDUP(IF(IFERROR(IF($AHH6="","",IF($AHH6=0,1,1-$AHH6/HLOOKUP(AHP$3,[2]ARBOR_REAJUSTE18!$A:$AE,VLOOKUP($AHH$2,[2]ARBOR_REAJUSTE18!$A:$B,2,0),0))),"")&lt;0.01%,0.01%,(IFERROR(IF($AHH6="","",IF($AHH6=0,1,1-$AHH6/HLOOKUP(AHP$3,[2]ARBOR_REAJUSTE18!$A:$AE,VLOOKUP($AHH$2,[2]ARBOR_REAJUSTE18!$A:$B,2,0),0))),""))),4)</f>
        <v>#VALUE!</v>
      </c>
      <c r="AHQ6" s="44" t="e">
        <f>ROUNDUP(IF(IFERROR(IF($AHH6="","",IF($AHH6=0,1,1-$AHH6/HLOOKUP(AHQ$3,[2]ARBOR_REAJUSTE18!$A:$AE,VLOOKUP($AHH$2,[2]ARBOR_REAJUSTE18!$A:$B,2,0),0))),"")&lt;0.01%,0.01%,(IFERROR(IF($AHH6="","",IF($AHH6=0,1,1-$AHH6/HLOOKUP(AHQ$3,[2]ARBOR_REAJUSTE18!$A:$AE,VLOOKUP($AHH$2,[2]ARBOR_REAJUSTE18!$A:$B,2,0),0))),""))),4)</f>
        <v>#VALUE!</v>
      </c>
      <c r="AHR6" s="44" t="e">
        <f>ROUNDUP(IF(IFERROR(IF($AHH6="","",IF($AHH6=0,1,1-$AHH6/HLOOKUP(AHR$3,[2]ARBOR_REAJUSTE18!$A:$AE,VLOOKUP($AHH$2,[2]ARBOR_REAJUSTE18!$A:$B,2,0),0))),"")&lt;0.01%,0.01%,(IFERROR(IF($AHH6="","",IF($AHH6=0,1,1-$AHH6/HLOOKUP(AHR$3,[2]ARBOR_REAJUSTE18!$A:$AE,VLOOKUP($AHH$2,[2]ARBOR_REAJUSTE18!$A:$B,2,0),0))),""))),4)</f>
        <v>#VALUE!</v>
      </c>
      <c r="AHS6" s="44" t="e">
        <f>ROUNDUP(IF(IFERROR(IF($AHH6="","",IF($AHH6=0,1,1-$AHH6/HLOOKUP(AHS$3,[2]ARBOR_REAJUSTE18!$A:$AE,VLOOKUP($AHH$2,[2]ARBOR_REAJUSTE18!$A:$B,2,0),0))),"")&lt;0.01%,0.01%,(IFERROR(IF($AHH6="","",IF($AHH6=0,1,1-$AHH6/HLOOKUP(AHS$3,[2]ARBOR_REAJUSTE18!$A:$AE,VLOOKUP($AHH$2,[2]ARBOR_REAJUSTE18!$A:$B,2,0),0))),""))),4)</f>
        <v>#VALUE!</v>
      </c>
      <c r="AHT6" s="44" t="e">
        <f>ROUNDUP(IF(IFERROR(IF($AHH6="","",IF($AHH6=0,1,1-$AHH6/HLOOKUP(AHT$3,[2]ARBOR_REAJUSTE18!$A:$AE,VLOOKUP($AHH$2,[2]ARBOR_REAJUSTE18!$A:$B,2,0),0))),"")&lt;0.01%,0.01%,(IFERROR(IF($AHH6="","",IF($AHH6=0,1,1-$AHH6/HLOOKUP(AHT$3,[2]ARBOR_REAJUSTE18!$A:$AE,VLOOKUP($AHH$2,[2]ARBOR_REAJUSTE18!$A:$B,2,0),0))),""))),4)</f>
        <v>#VALUE!</v>
      </c>
      <c r="AHU6" s="44" t="e">
        <f>ROUNDUP(IF(IFERROR(IF($AHH6="","",IF($AHH6=0,1,1-$AHH6/HLOOKUP(AHU$3,[2]ARBOR_REAJUSTE18!$A:$AE,VLOOKUP($AHH$2,[2]ARBOR_REAJUSTE18!$A:$B,2,0),0))),"")&lt;0.01%,0.01%,(IFERROR(IF($AHH6="","",IF($AHH6=0,1,1-$AHH6/HLOOKUP(AHU$3,[2]ARBOR_REAJUSTE18!$A:$AE,VLOOKUP($AHH$2,[2]ARBOR_REAJUSTE18!$A:$B,2,0),0))),""))),4)</f>
        <v>#VALUE!</v>
      </c>
      <c r="AHV6" s="44" t="e">
        <f>ROUNDUP(IF(IFERROR(IF($AHH6="","",IF($AHH6=0,1,1-$AHH6/HLOOKUP(AHV$3,[2]ARBOR_REAJUSTE18!$A:$AE,VLOOKUP($AHH$2,[2]ARBOR_REAJUSTE18!$A:$B,2,0),0))),"")&lt;0.01%,0.01%,(IFERROR(IF($AHH6="","",IF($AHH6=0,1,1-$AHH6/HLOOKUP(AHV$3,[2]ARBOR_REAJUSTE18!$A:$AE,VLOOKUP($AHH$2,[2]ARBOR_REAJUSTE18!$A:$B,2,0),0))),""))),4)</f>
        <v>#VALUE!</v>
      </c>
      <c r="AHW6" s="44" t="e">
        <f>ROUNDUP(IF(IFERROR(IF($AHH6="","",IF($AHH6=0,1,1-$AHH6/HLOOKUP(AHW$3,[2]ARBOR_REAJUSTE18!$A:$AE,VLOOKUP($AHH$2,[2]ARBOR_REAJUSTE18!$A:$B,2,0),0))),"")&lt;0.01%,0.01%,(IFERROR(IF($AHH6="","",IF($AHH6=0,1,1-$AHH6/HLOOKUP(AHW$3,[2]ARBOR_REAJUSTE18!$A:$AE,VLOOKUP($AHH$2,[2]ARBOR_REAJUSTE18!$A:$B,2,0),0))),""))),4)</f>
        <v>#VALUE!</v>
      </c>
      <c r="AHX6" s="44" t="e">
        <f>ROUNDUP(IF(IFERROR(IF($AHH6="","",IF($AHH6=0,1,1-$AHH6/HLOOKUP(AHX$3,[2]ARBOR_REAJUSTE18!$A:$AE,VLOOKUP($AHH$2,[2]ARBOR_REAJUSTE18!$A:$B,2,0),0))),"")&lt;0.01%,0.01%,(IFERROR(IF($AHH6="","",IF($AHH6=0,1,1-$AHH6/HLOOKUP(AHX$3,[2]ARBOR_REAJUSTE18!$A:$AE,VLOOKUP($AHH$2,[2]ARBOR_REAJUSTE18!$A:$B,2,0),0))),""))),4)</f>
        <v>#VALUE!</v>
      </c>
      <c r="AHY6" s="44" t="e">
        <f>ROUNDUP(IF(IFERROR(IF($AHH6="","",IF($AHH6=0,1,1-$AHH6/HLOOKUP(AHY$3,[2]ARBOR_REAJUSTE18!$A:$AE,VLOOKUP($AHH$2,[2]ARBOR_REAJUSTE18!$A:$B,2,0),0))),"")&lt;0.01%,0.01%,(IFERROR(IF($AHH6="","",IF($AHH6=0,1,1-$AHH6/HLOOKUP(AHY$3,[2]ARBOR_REAJUSTE18!$A:$AE,VLOOKUP($AHH$2,[2]ARBOR_REAJUSTE18!$A:$B,2,0),0))),""))),4)</f>
        <v>#VALUE!</v>
      </c>
      <c r="AHZ6" s="44" t="e">
        <f>ROUNDUP(IF(IFERROR(IF($AHH6="","",IF($AHH6=0,1,1-$AHH6/HLOOKUP(AHZ$3,[2]ARBOR_REAJUSTE18!$A:$AE,VLOOKUP($AHH$2,[2]ARBOR_REAJUSTE18!$A:$B,2,0),0))),"")&lt;0.01%,0.01%,(IFERROR(IF($AHH6="","",IF($AHH6=0,1,1-$AHH6/HLOOKUP(AHZ$3,[2]ARBOR_REAJUSTE18!$A:$AE,VLOOKUP($AHH$2,[2]ARBOR_REAJUSTE18!$A:$B,2,0),0))),""))),4)</f>
        <v>#VALUE!</v>
      </c>
      <c r="AIA6" s="44" t="e">
        <f>ROUNDUP(IF(IFERROR(IF($AHH6="","",IF($AHH6=0,1,1-$AHH6/HLOOKUP(AIA$3,[2]ARBOR_REAJUSTE18!$A:$AE,VLOOKUP($AHH$2,[2]ARBOR_REAJUSTE18!$A:$B,2,0),0))),"")&lt;0.01%,0.01%,(IFERROR(IF($AHH6="","",IF($AHH6=0,1,1-$AHH6/HLOOKUP(AIA$3,[2]ARBOR_REAJUSTE18!$A:$AE,VLOOKUP($AHH$2,[2]ARBOR_REAJUSTE18!$A:$B,2,0),0))),""))),4)</f>
        <v>#VALUE!</v>
      </c>
      <c r="AIB6" s="44" t="e">
        <f>ROUNDUP(IF(IFERROR(IF($AHH6="","",IF($AHH6=0,1,1-$AHH6/HLOOKUP(AIB$3,[2]ARBOR_REAJUSTE18!$A:$AE,VLOOKUP($AHH$2,[2]ARBOR_REAJUSTE18!$A:$B,2,0),0))),"")&lt;0.01%,0.01%,(IFERROR(IF($AHH6="","",IF($AHH6=0,1,1-$AHH6/HLOOKUP(AIB$3,[2]ARBOR_REAJUSTE18!$A:$AE,VLOOKUP($AHH$2,[2]ARBOR_REAJUSTE18!$A:$B,2,0),0))),""))),4)</f>
        <v>#VALUE!</v>
      </c>
      <c r="AIC6" s="44" t="e">
        <f>ROUNDUP(IF(IFERROR(IF($AHH6="","",IF($AHH6=0,1,1-$AHH6/HLOOKUP(AIC$3,[2]ARBOR_REAJUSTE18!$A:$AE,VLOOKUP($AHH$2,[2]ARBOR_REAJUSTE18!$A:$B,2,0),0))),"")&lt;0.01%,0.01%,(IFERROR(IF($AHH6="","",IF($AHH6=0,1,1-$AHH6/HLOOKUP(AIC$3,[2]ARBOR_REAJUSTE18!$A:$AE,VLOOKUP($AHH$2,[2]ARBOR_REAJUSTE18!$A:$B,2,0),0))),""))),4)</f>
        <v>#VALUE!</v>
      </c>
      <c r="AID6" s="44" t="e">
        <f>ROUNDUP(IF(IFERROR(IF($AHH6="","",IF($AHH6=0,1,1-$AHH6/HLOOKUP(AID$3,[2]ARBOR_REAJUSTE18!$A:$AE,VLOOKUP($AHH$2,[2]ARBOR_REAJUSTE18!$A:$B,2,0),0))),"")&lt;0.01%,0.01%,(IFERROR(IF($AHH6="","",IF($AHH6=0,1,1-$AHH6/HLOOKUP(AID$3,[2]ARBOR_REAJUSTE18!$A:$AE,VLOOKUP($AHH$2,[2]ARBOR_REAJUSTE18!$A:$B,2,0),0))),""))),4)</f>
        <v>#VALUE!</v>
      </c>
      <c r="AIE6" s="44" t="e">
        <f>ROUNDUP(IF(IFERROR(IF($AHH6="","",IF($AHH6=0,1,1-$AHH6/HLOOKUP(AIE$3,[2]ARBOR_REAJUSTE18!$A:$AE,VLOOKUP($AHH$2,[2]ARBOR_REAJUSTE18!$A:$B,2,0),0))),"")&lt;0.01%,0.01%,(IFERROR(IF($AHH6="","",IF($AHH6=0,1,1-$AHH6/HLOOKUP(AIE$3,[2]ARBOR_REAJUSTE18!$A:$AE,VLOOKUP($AHH$2,[2]ARBOR_REAJUSTE18!$A:$B,2,0),0))),""))),4)</f>
        <v>#VALUE!</v>
      </c>
      <c r="AIF6" s="44" t="e">
        <f>ROUNDUP(IF(IFERROR(IF($AHH6="","",IF($AHH6=0,1,1-$AHH6/HLOOKUP(AIF$3,[2]ARBOR_REAJUSTE18!$A:$AE,VLOOKUP($AHH$2,[2]ARBOR_REAJUSTE18!$A:$B,2,0),0))),"")&lt;0.01%,0.01%,(IFERROR(IF($AHH6="","",IF($AHH6=0,1,1-$AHH6/HLOOKUP(AIF$3,[2]ARBOR_REAJUSTE18!$A:$AE,VLOOKUP($AHH$2,[2]ARBOR_REAJUSTE18!$A:$B,2,0),0))),""))),4)</f>
        <v>#VALUE!</v>
      </c>
      <c r="AIG6" s="44" t="e">
        <f>ROUNDUP(IF(IFERROR(IF($AHH6="","",IF($AHH6=0,1,1-$AHH6/HLOOKUP(AIG$3,[2]ARBOR_REAJUSTE18!$A:$AE,VLOOKUP($AHH$2,[2]ARBOR_REAJUSTE18!$A:$B,2,0),0))),"")&lt;0.01%,0.01%,(IFERROR(IF($AHH6="","",IF($AHH6=0,1,1-$AHH6/HLOOKUP(AIG$3,[2]ARBOR_REAJUSTE18!$A:$AE,VLOOKUP($AHH$2,[2]ARBOR_REAJUSTE18!$A:$B,2,0),0))),""))),4)</f>
        <v>#VALUE!</v>
      </c>
      <c r="AIH6" s="44" t="e">
        <f>ROUNDUP(IF(IFERROR(IF($AHH6="","",IF($AHH6=0,1,1-$AHH6/HLOOKUP(AIH$3,[2]ARBOR_REAJUSTE18!$A:$AE,VLOOKUP($AHH$2,[2]ARBOR_REAJUSTE18!$A:$B,2,0),0))),"")&lt;0.01%,0.01%,(IFERROR(IF($AHH6="","",IF($AHH6=0,1,1-$AHH6/HLOOKUP(AIH$3,[2]ARBOR_REAJUSTE18!$A:$AE,VLOOKUP($AHH$2,[2]ARBOR_REAJUSTE18!$A:$B,2,0),0))),""))),4)</f>
        <v>#VALUE!</v>
      </c>
      <c r="AII6" s="44" t="e">
        <f>ROUNDUP(IF(IFERROR(IF($AHH6="","",IF($AHH6=0,1,1-$AHH6/HLOOKUP(AII$3,[2]ARBOR_REAJUSTE18!$A:$AE,VLOOKUP($AHH$2,[2]ARBOR_REAJUSTE18!$A:$B,2,0),0))),"")&lt;0.01%,0.01%,(IFERROR(IF($AHH6="","",IF($AHH6=0,1,1-$AHH6/HLOOKUP(AII$3,[2]ARBOR_REAJUSTE18!$A:$AE,VLOOKUP($AHH$2,[2]ARBOR_REAJUSTE18!$A:$B,2,0),0))),""))),4)</f>
        <v>#VALUE!</v>
      </c>
      <c r="AIJ6" s="44" t="e">
        <f>ROUNDUP(IF(IFERROR(IF($AHH6="","",IF($AHH6=0,1,1-$AHH6/HLOOKUP(AIJ$3,[2]ARBOR_REAJUSTE18!$A:$AE,VLOOKUP($AHH$2,[2]ARBOR_REAJUSTE18!$A:$B,2,0),0))),"")&lt;0.01%,0.01%,(IFERROR(IF($AHH6="","",IF($AHH6=0,1,1-$AHH6/HLOOKUP(AIJ$3,[2]ARBOR_REAJUSTE18!$A:$AE,VLOOKUP($AHH$2,[2]ARBOR_REAJUSTE18!$A:$B,2,0),0))),""))),4)</f>
        <v>#VALUE!</v>
      </c>
      <c r="AIK6" s="56"/>
      <c r="AIL6" s="64"/>
      <c r="AIM6" s="44" t="e">
        <f>ROUNDUP(IF(IFERROR(IF($AIK6="","",IF($AIK6=0,1,1-$AIK6/HLOOKUP(AIM$3,[2]ARBOR_REAJUSTE18!$A:$AE,VLOOKUP($AIK$2,[2]ARBOR_REAJUSTE18!$A:$B,2,0),0))),"")&lt;0.01%,0.01%,(IFERROR(IF($AIK6="","",IF($AIK6=0,1,1-$AIK6/HLOOKUP(AIM$3,[2]ARBOR_REAJUSTE18!$A:$AE,VLOOKUP($AIK$2,[2]ARBOR_REAJUSTE18!$A:$B,2,0),0))),""))),4)</f>
        <v>#VALUE!</v>
      </c>
      <c r="AIN6" s="44" t="e">
        <f>ROUNDUP(IF(IFERROR(IF($AIK6="","",IF($AIK6=0,1,1-$AIK6/HLOOKUP(AIN$3,[2]ARBOR_REAJUSTE18!$A:$AE,VLOOKUP($AIK$2,[2]ARBOR_REAJUSTE18!$A:$B,2,0),0))),"")&lt;0.01%,0.01%,(IFERROR(IF($AIK6="","",IF($AIK6=0,1,1-$AIK6/HLOOKUP(AIN$3,[2]ARBOR_REAJUSTE18!$A:$AE,VLOOKUP($AIK$2,[2]ARBOR_REAJUSTE18!$A:$B,2,0),0))),""))),4)</f>
        <v>#VALUE!</v>
      </c>
      <c r="AIO6" s="44" t="e">
        <f>ROUNDUP(IF(IFERROR(IF($AIK6="","",IF($AIK6=0,1,1-$AIK6/HLOOKUP(AIO$3,[2]ARBOR_REAJUSTE18!$A:$AE,VLOOKUP($AIK$2,[2]ARBOR_REAJUSTE18!$A:$B,2,0),0))),"")&lt;0.01%,0.01%,(IFERROR(IF($AIK6="","",IF($AIK6=0,1,1-$AIK6/HLOOKUP(AIO$3,[2]ARBOR_REAJUSTE18!$A:$AE,VLOOKUP($AIK$2,[2]ARBOR_REAJUSTE18!$A:$B,2,0),0))),""))),4)</f>
        <v>#VALUE!</v>
      </c>
      <c r="AIP6" s="44" t="e">
        <f>ROUNDUP(IF(IFERROR(IF($AIK6="","",IF($AIK6=0,1,1-$AIK6/HLOOKUP(AIP$3,[2]ARBOR_REAJUSTE18!$A:$AE,VLOOKUP($AIK$2,[2]ARBOR_REAJUSTE18!$A:$B,2,0),0))),"")&lt;0.01%,0.01%,(IFERROR(IF($AIK6="","",IF($AIK6=0,1,1-$AIK6/HLOOKUP(AIP$3,[2]ARBOR_REAJUSTE18!$A:$AE,VLOOKUP($AIK$2,[2]ARBOR_REAJUSTE18!$A:$B,2,0),0))),""))),4)</f>
        <v>#VALUE!</v>
      </c>
      <c r="AIQ6" s="44" t="e">
        <f>ROUNDUP(IF(IFERROR(IF($AIK6="","",IF($AIK6=0,1,1-$AIK6/HLOOKUP(AIQ$3,[2]ARBOR_REAJUSTE18!$A:$AE,VLOOKUP($AIK$2,[2]ARBOR_REAJUSTE18!$A:$B,2,0),0))),"")&lt;0.01%,0.01%,(IFERROR(IF($AIK6="","",IF($AIK6=0,1,1-$AIK6/HLOOKUP(AIQ$3,[2]ARBOR_REAJUSTE18!$A:$AE,VLOOKUP($AIK$2,[2]ARBOR_REAJUSTE18!$A:$B,2,0),0))),""))),4)</f>
        <v>#VALUE!</v>
      </c>
      <c r="AIR6" s="44" t="e">
        <f>ROUNDUP(IF(IFERROR(IF($AIK6="","",IF($AIK6=0,1,1-$AIK6/HLOOKUP(AIR$3,[2]ARBOR_REAJUSTE18!$A:$AE,VLOOKUP($AIK$2,[2]ARBOR_REAJUSTE18!$A:$B,2,0),0))),"")&lt;0.01%,0.01%,(IFERROR(IF($AIK6="","",IF($AIK6=0,1,1-$AIK6/HLOOKUP(AIR$3,[2]ARBOR_REAJUSTE18!$A:$AE,VLOOKUP($AIK$2,[2]ARBOR_REAJUSTE18!$A:$B,2,0),0))),""))),4)</f>
        <v>#VALUE!</v>
      </c>
      <c r="AIS6" s="44" t="e">
        <f>ROUNDUP(IF(IFERROR(IF($AIK6="","",IF($AIK6=0,1,1-$AIK6/HLOOKUP(AIS$3,[2]ARBOR_REAJUSTE18!$A:$AE,VLOOKUP($AIK$2,[2]ARBOR_REAJUSTE18!$A:$B,2,0),0))),"")&lt;0.01%,0.01%,(IFERROR(IF($AIK6="","",IF($AIK6=0,1,1-$AIK6/HLOOKUP(AIS$3,[2]ARBOR_REAJUSTE18!$A:$AE,VLOOKUP($AIK$2,[2]ARBOR_REAJUSTE18!$A:$B,2,0),0))),""))),4)</f>
        <v>#VALUE!</v>
      </c>
      <c r="AIT6" s="44" t="e">
        <f>ROUNDUP(IF(IFERROR(IF($AIK6="","",IF($AIK6=0,1,1-$AIK6/HLOOKUP(AIT$3,[2]ARBOR_REAJUSTE18!$A:$AE,VLOOKUP($AIK$2,[2]ARBOR_REAJUSTE18!$A:$B,2,0),0))),"")&lt;0.01%,0.01%,(IFERROR(IF($AIK6="","",IF($AIK6=0,1,1-$AIK6/HLOOKUP(AIT$3,[2]ARBOR_REAJUSTE18!$A:$AE,VLOOKUP($AIK$2,[2]ARBOR_REAJUSTE18!$A:$B,2,0),0))),""))),4)</f>
        <v>#VALUE!</v>
      </c>
      <c r="AIU6" s="44" t="e">
        <f>ROUNDUP(IF(IFERROR(IF($AIK6="","",IF($AIK6=0,1,1-$AIK6/HLOOKUP(AIU$3,[2]ARBOR_REAJUSTE18!$A:$AE,VLOOKUP($AIK$2,[2]ARBOR_REAJUSTE18!$A:$B,2,0),0))),"")&lt;0.01%,0.01%,(IFERROR(IF($AIK6="","",IF($AIK6=0,1,1-$AIK6/HLOOKUP(AIU$3,[2]ARBOR_REAJUSTE18!$A:$AE,VLOOKUP($AIK$2,[2]ARBOR_REAJUSTE18!$A:$B,2,0),0))),""))),4)</f>
        <v>#VALUE!</v>
      </c>
      <c r="AIV6" s="44" t="e">
        <f>ROUNDUP(IF(IFERROR(IF($AIK6="","",IF($AIK6=0,1,1-$AIK6/HLOOKUP(AIV$3,[2]ARBOR_REAJUSTE18!$A:$AE,VLOOKUP($AIK$2,[2]ARBOR_REAJUSTE18!$A:$B,2,0),0))),"")&lt;0.01%,0.01%,(IFERROR(IF($AIK6="","",IF($AIK6=0,1,1-$AIK6/HLOOKUP(AIV$3,[2]ARBOR_REAJUSTE18!$A:$AE,VLOOKUP($AIK$2,[2]ARBOR_REAJUSTE18!$A:$B,2,0),0))),""))),4)</f>
        <v>#VALUE!</v>
      </c>
      <c r="AIW6" s="44" t="e">
        <f>ROUNDUP(IF(IFERROR(IF($AIK6="","",IF($AIK6=0,1,1-$AIK6/HLOOKUP(AIW$3,[2]ARBOR_REAJUSTE18!$A:$AE,VLOOKUP($AIK$2,[2]ARBOR_REAJUSTE18!$A:$B,2,0),0))),"")&lt;0.01%,0.01%,(IFERROR(IF($AIK6="","",IF($AIK6=0,1,1-$AIK6/HLOOKUP(AIW$3,[2]ARBOR_REAJUSTE18!$A:$AE,VLOOKUP($AIK$2,[2]ARBOR_REAJUSTE18!$A:$B,2,0),0))),""))),4)</f>
        <v>#VALUE!</v>
      </c>
      <c r="AIX6" s="44" t="e">
        <f>ROUNDUP(IF(IFERROR(IF($AIK6="","",IF($AIK6=0,1,1-$AIK6/HLOOKUP(AIX$3,[2]ARBOR_REAJUSTE18!$A:$AE,VLOOKUP($AIK$2,[2]ARBOR_REAJUSTE18!$A:$B,2,0),0))),"")&lt;0.01%,0.01%,(IFERROR(IF($AIK6="","",IF($AIK6=0,1,1-$AIK6/HLOOKUP(AIX$3,[2]ARBOR_REAJUSTE18!$A:$AE,VLOOKUP($AIK$2,[2]ARBOR_REAJUSTE18!$A:$B,2,0),0))),""))),4)</f>
        <v>#VALUE!</v>
      </c>
      <c r="AIY6" s="44" t="e">
        <f>ROUNDUP(IF(IFERROR(IF($AIK6="","",IF($AIK6=0,1,1-$AIK6/HLOOKUP(AIY$3,[2]ARBOR_REAJUSTE18!$A:$AE,VLOOKUP($AIK$2,[2]ARBOR_REAJUSTE18!$A:$B,2,0),0))),"")&lt;0.01%,0.01%,(IFERROR(IF($AIK6="","",IF($AIK6=0,1,1-$AIK6/HLOOKUP(AIY$3,[2]ARBOR_REAJUSTE18!$A:$AE,VLOOKUP($AIK$2,[2]ARBOR_REAJUSTE18!$A:$B,2,0),0))),""))),4)</f>
        <v>#VALUE!</v>
      </c>
      <c r="AIZ6" s="44" t="e">
        <f>ROUNDUP(IF(IFERROR(IF($AIK6="","",IF($AIK6=0,1,1-$AIK6/HLOOKUP(AIZ$3,[2]ARBOR_REAJUSTE18!$A:$AE,VLOOKUP($AIK$2,[2]ARBOR_REAJUSTE18!$A:$B,2,0),0))),"")&lt;0.01%,0.01%,(IFERROR(IF($AIK6="","",IF($AIK6=0,1,1-$AIK6/HLOOKUP(AIZ$3,[2]ARBOR_REAJUSTE18!$A:$AE,VLOOKUP($AIK$2,[2]ARBOR_REAJUSTE18!$A:$B,2,0),0))),""))),4)</f>
        <v>#VALUE!</v>
      </c>
      <c r="AJA6" s="44" t="e">
        <f>ROUNDUP(IF(IFERROR(IF($AIK6="","",IF($AIK6=0,1,1-$AIK6/HLOOKUP(AJA$3,[2]ARBOR_REAJUSTE18!$A:$AE,VLOOKUP($AIK$2,[2]ARBOR_REAJUSTE18!$A:$B,2,0),0))),"")&lt;0.01%,0.01%,(IFERROR(IF($AIK6="","",IF($AIK6=0,1,1-$AIK6/HLOOKUP(AJA$3,[2]ARBOR_REAJUSTE18!$A:$AE,VLOOKUP($AIK$2,[2]ARBOR_REAJUSTE18!$A:$B,2,0),0))),""))),4)</f>
        <v>#VALUE!</v>
      </c>
      <c r="AJB6" s="44" t="e">
        <f>ROUNDUP(IF(IFERROR(IF($AIK6="","",IF($AIK6=0,1,1-$AIK6/HLOOKUP(AJB$3,[2]ARBOR_REAJUSTE18!$A:$AE,VLOOKUP($AIK$2,[2]ARBOR_REAJUSTE18!$A:$B,2,0),0))),"")&lt;0.01%,0.01%,(IFERROR(IF($AIK6="","",IF($AIK6=0,1,1-$AIK6/HLOOKUP(AJB$3,[2]ARBOR_REAJUSTE18!$A:$AE,VLOOKUP($AIK$2,[2]ARBOR_REAJUSTE18!$A:$B,2,0),0))),""))),4)</f>
        <v>#VALUE!</v>
      </c>
      <c r="AJC6" s="44" t="e">
        <f>ROUNDUP(IF(IFERROR(IF($AIK6="","",IF($AIK6=0,1,1-$AIK6/HLOOKUP(AJC$3,[2]ARBOR_REAJUSTE18!$A:$AE,VLOOKUP($AIK$2,[2]ARBOR_REAJUSTE18!$A:$B,2,0),0))),"")&lt;0.01%,0.01%,(IFERROR(IF($AIK6="","",IF($AIK6=0,1,1-$AIK6/HLOOKUP(AJC$3,[2]ARBOR_REAJUSTE18!$A:$AE,VLOOKUP($AIK$2,[2]ARBOR_REAJUSTE18!$A:$B,2,0),0))),""))),4)</f>
        <v>#VALUE!</v>
      </c>
      <c r="AJD6" s="44" t="e">
        <f>ROUNDUP(IF(IFERROR(IF($AIK6="","",IF($AIK6=0,1,1-$AIK6/HLOOKUP(AJD$3,[2]ARBOR_REAJUSTE18!$A:$AE,VLOOKUP($AIK$2,[2]ARBOR_REAJUSTE18!$A:$B,2,0),0))),"")&lt;0.01%,0.01%,(IFERROR(IF($AIK6="","",IF($AIK6=0,1,1-$AIK6/HLOOKUP(AJD$3,[2]ARBOR_REAJUSTE18!$A:$AE,VLOOKUP($AIK$2,[2]ARBOR_REAJUSTE18!$A:$B,2,0),0))),""))),4)</f>
        <v>#VALUE!</v>
      </c>
      <c r="AJE6" s="44" t="e">
        <f>ROUNDUP(IF(IFERROR(IF($AIK6="","",IF($AIK6=0,1,1-$AIK6/HLOOKUP(AJE$3,[2]ARBOR_REAJUSTE18!$A:$AE,VLOOKUP($AIK$2,[2]ARBOR_REAJUSTE18!$A:$B,2,0),0))),"")&lt;0.01%,0.01%,(IFERROR(IF($AIK6="","",IF($AIK6=0,1,1-$AIK6/HLOOKUP(AJE$3,[2]ARBOR_REAJUSTE18!$A:$AE,VLOOKUP($AIK$2,[2]ARBOR_REAJUSTE18!$A:$B,2,0),0))),""))),4)</f>
        <v>#VALUE!</v>
      </c>
      <c r="AJF6" s="44" t="e">
        <f>ROUNDUP(IF(IFERROR(IF($AIK6="","",IF($AIK6=0,1,1-$AIK6/HLOOKUP(AJF$3,[2]ARBOR_REAJUSTE18!$A:$AE,VLOOKUP($AIK$2,[2]ARBOR_REAJUSTE18!$A:$B,2,0),0))),"")&lt;0.01%,0.01%,(IFERROR(IF($AIK6="","",IF($AIK6=0,1,1-$AIK6/HLOOKUP(AJF$3,[2]ARBOR_REAJUSTE18!$A:$AE,VLOOKUP($AIK$2,[2]ARBOR_REAJUSTE18!$A:$B,2,0),0))),""))),4)</f>
        <v>#VALUE!</v>
      </c>
      <c r="AJG6" s="44" t="e">
        <f>ROUNDUP(IF(IFERROR(IF($AIK6="","",IF($AIK6=0,1,1-$AIK6/HLOOKUP(AJG$3,[2]ARBOR_REAJUSTE18!$A:$AE,VLOOKUP($AIK$2,[2]ARBOR_REAJUSTE18!$A:$B,2,0),0))),"")&lt;0.01%,0.01%,(IFERROR(IF($AIK6="","",IF($AIK6=0,1,1-$AIK6/HLOOKUP(AJG$3,[2]ARBOR_REAJUSTE18!$A:$AE,VLOOKUP($AIK$2,[2]ARBOR_REAJUSTE18!$A:$B,2,0),0))),""))),4)</f>
        <v>#VALUE!</v>
      </c>
      <c r="AJH6" s="44" t="e">
        <f>ROUNDUP(IF(IFERROR(IF($AIK6="","",IF($AIK6=0,1,1-$AIK6/HLOOKUP(AJH$3,[2]ARBOR_REAJUSTE18!$A:$AE,VLOOKUP($AIK$2,[2]ARBOR_REAJUSTE18!$A:$B,2,0),0))),"")&lt;0.01%,0.01%,(IFERROR(IF($AIK6="","",IF($AIK6=0,1,1-$AIK6/HLOOKUP(AJH$3,[2]ARBOR_REAJUSTE18!$A:$AE,VLOOKUP($AIK$2,[2]ARBOR_REAJUSTE18!$A:$B,2,0),0))),""))),4)</f>
        <v>#VALUE!</v>
      </c>
      <c r="AJI6" s="44" t="e">
        <f>ROUNDUP(IF(IFERROR(IF($AIK6="","",IF($AIK6=0,1,1-$AIK6/HLOOKUP(AJI$3,[2]ARBOR_REAJUSTE18!$A:$AE,VLOOKUP($AIK$2,[2]ARBOR_REAJUSTE18!$A:$B,2,0),0))),"")&lt;0.01%,0.01%,(IFERROR(IF($AIK6="","",IF($AIK6=0,1,1-$AIK6/HLOOKUP(AJI$3,[2]ARBOR_REAJUSTE18!$A:$AE,VLOOKUP($AIK$2,[2]ARBOR_REAJUSTE18!$A:$B,2,0),0))),""))),4)</f>
        <v>#VALUE!</v>
      </c>
      <c r="AJJ6" s="44" t="e">
        <f>ROUNDUP(IF(IFERROR(IF($AIK6="","",IF($AIK6=0,1,1-$AIK6/HLOOKUP(AJJ$3,[2]ARBOR_REAJUSTE18!$A:$AE,VLOOKUP($AIK$2,[2]ARBOR_REAJUSTE18!$A:$B,2,0),0))),"")&lt;0.01%,0.01%,(IFERROR(IF($AIK6="","",IF($AIK6=0,1,1-$AIK6/HLOOKUP(AJJ$3,[2]ARBOR_REAJUSTE18!$A:$AE,VLOOKUP($AIK$2,[2]ARBOR_REAJUSTE18!$A:$B,2,0),0))),""))),4)</f>
        <v>#VALUE!</v>
      </c>
      <c r="AJK6" s="44" t="e">
        <f>ROUNDUP(IF(IFERROR(IF($AIK6="","",IF($AIK6=0,1,1-$AIK6/HLOOKUP(AJK$3,[2]ARBOR_REAJUSTE18!$A:$AE,VLOOKUP($AIK$2,[2]ARBOR_REAJUSTE18!$A:$B,2,0),0))),"")&lt;0.01%,0.01%,(IFERROR(IF($AIK6="","",IF($AIK6=0,1,1-$AIK6/HLOOKUP(AJK$3,[2]ARBOR_REAJUSTE18!$A:$AE,VLOOKUP($AIK$2,[2]ARBOR_REAJUSTE18!$A:$B,2,0),0))),""))),4)</f>
        <v>#VALUE!</v>
      </c>
      <c r="AJL6" s="44" t="e">
        <f>ROUNDUP(IF(IFERROR(IF($AIK6="","",IF($AIK6=0,1,1-$AIK6/HLOOKUP(AJL$3,[2]ARBOR_REAJUSTE18!$A:$AE,VLOOKUP($AIK$2,[2]ARBOR_REAJUSTE18!$A:$B,2,0),0))),"")&lt;0.01%,0.01%,(IFERROR(IF($AIK6="","",IF($AIK6=0,1,1-$AIK6/HLOOKUP(AJL$3,[2]ARBOR_REAJUSTE18!$A:$AE,VLOOKUP($AIK$2,[2]ARBOR_REAJUSTE18!$A:$B,2,0),0))),""))),4)</f>
        <v>#VALUE!</v>
      </c>
      <c r="AJM6" s="44" t="e">
        <f>ROUNDUP(IF(IFERROR(IF($AIK6="","",IF($AIK6=0,1,1-$AIK6/HLOOKUP(AJM$3,[2]ARBOR_REAJUSTE18!$A:$AE,VLOOKUP($AIK$2,[2]ARBOR_REAJUSTE18!$A:$B,2,0),0))),"")&lt;0.01%,0.01%,(IFERROR(IF($AIK6="","",IF($AIK6=0,1,1-$AIK6/HLOOKUP(AJM$3,[2]ARBOR_REAJUSTE18!$A:$AE,VLOOKUP($AIK$2,[2]ARBOR_REAJUSTE18!$A:$B,2,0),0))),""))),4)</f>
        <v>#VALUE!</v>
      </c>
      <c r="AJN6" s="56"/>
      <c r="AJO6" s="64"/>
      <c r="AJP6" s="44" t="e">
        <f>ROUNDUP(IF(IFERROR(IF($AJN6="","",IF($AJN6=0,1,1-$AJN6/HLOOKUP(AJP$3,[2]ARBOR_REAJUSTE18!$A:$AE,VLOOKUP($AJN$2,[2]ARBOR_REAJUSTE18!$A:$B,2,0),0))),"")&lt;0.01%,0.01%,(IFERROR(IF($AJN6="","",IF($AJN6=0,1,1-$AJN6/HLOOKUP(AJP$3,[2]ARBOR_REAJUSTE18!$A:$AE,VLOOKUP($AJN$2,[2]ARBOR_REAJUSTE18!$A:$B,2,0),0))),""))),4)</f>
        <v>#VALUE!</v>
      </c>
      <c r="AJQ6" s="44" t="e">
        <f>ROUNDUP(IF(IFERROR(IF($AJN6="","",IF($AJN6=0,1,1-$AJN6/HLOOKUP(AJQ$3,[2]ARBOR_REAJUSTE18!$A:$AE,VLOOKUP($AJN$2,[2]ARBOR_REAJUSTE18!$A:$B,2,0),0))),"")&lt;0.01%,0.01%,(IFERROR(IF($AJN6="","",IF($AJN6=0,1,1-$AJN6/HLOOKUP(AJQ$3,[2]ARBOR_REAJUSTE18!$A:$AE,VLOOKUP($AJN$2,[2]ARBOR_REAJUSTE18!$A:$B,2,0),0))),""))),4)</f>
        <v>#VALUE!</v>
      </c>
      <c r="AJR6" s="44" t="e">
        <f>ROUNDUP(IF(IFERROR(IF($AJN6="","",IF($AJN6=0,1,1-$AJN6/HLOOKUP(AJR$3,[2]ARBOR_REAJUSTE18!$A:$AE,VLOOKUP($AJN$2,[2]ARBOR_REAJUSTE18!$A:$B,2,0),0))),"")&lt;0.01%,0.01%,(IFERROR(IF($AJN6="","",IF($AJN6=0,1,1-$AJN6/HLOOKUP(AJR$3,[2]ARBOR_REAJUSTE18!$A:$AE,VLOOKUP($AJN$2,[2]ARBOR_REAJUSTE18!$A:$B,2,0),0))),""))),4)</f>
        <v>#VALUE!</v>
      </c>
      <c r="AJS6" s="44" t="e">
        <f>ROUNDUP(IF(IFERROR(IF($AJN6="","",IF($AJN6=0,1,1-$AJN6/HLOOKUP(AJS$3,[2]ARBOR_REAJUSTE18!$A:$AE,VLOOKUP($AJN$2,[2]ARBOR_REAJUSTE18!$A:$B,2,0),0))),"")&lt;0.01%,0.01%,(IFERROR(IF($AJN6="","",IF($AJN6=0,1,1-$AJN6/HLOOKUP(AJS$3,[2]ARBOR_REAJUSTE18!$A:$AE,VLOOKUP($AJN$2,[2]ARBOR_REAJUSTE18!$A:$B,2,0),0))),""))),4)</f>
        <v>#VALUE!</v>
      </c>
      <c r="AJT6" s="44" t="e">
        <f>ROUNDUP(IF(IFERROR(IF($AJN6="","",IF($AJN6=0,1,1-$AJN6/HLOOKUP(AJT$3,[2]ARBOR_REAJUSTE18!$A:$AE,VLOOKUP($AJN$2,[2]ARBOR_REAJUSTE18!$A:$B,2,0),0))),"")&lt;0.01%,0.01%,(IFERROR(IF($AJN6="","",IF($AJN6=0,1,1-$AJN6/HLOOKUP(AJT$3,[2]ARBOR_REAJUSTE18!$A:$AE,VLOOKUP($AJN$2,[2]ARBOR_REAJUSTE18!$A:$B,2,0),0))),""))),4)</f>
        <v>#VALUE!</v>
      </c>
      <c r="AJU6" s="44" t="e">
        <f>ROUNDUP(IF(IFERROR(IF($AJN6="","",IF($AJN6=0,1,1-$AJN6/HLOOKUP(AJU$3,[2]ARBOR_REAJUSTE18!$A:$AE,VLOOKUP($AJN$2,[2]ARBOR_REAJUSTE18!$A:$B,2,0),0))),"")&lt;0.01%,0.01%,(IFERROR(IF($AJN6="","",IF($AJN6=0,1,1-$AJN6/HLOOKUP(AJU$3,[2]ARBOR_REAJUSTE18!$A:$AE,VLOOKUP($AJN$2,[2]ARBOR_REAJUSTE18!$A:$B,2,0),0))),""))),4)</f>
        <v>#VALUE!</v>
      </c>
      <c r="AJV6" s="44" t="e">
        <f>ROUNDUP(IF(IFERROR(IF($AJN6="","",IF($AJN6=0,1,1-$AJN6/HLOOKUP(AJV$3,[2]ARBOR_REAJUSTE18!$A:$AE,VLOOKUP($AJN$2,[2]ARBOR_REAJUSTE18!$A:$B,2,0),0))),"")&lt;0.01%,0.01%,(IFERROR(IF($AJN6="","",IF($AJN6=0,1,1-$AJN6/HLOOKUP(AJV$3,[2]ARBOR_REAJUSTE18!$A:$AE,VLOOKUP($AJN$2,[2]ARBOR_REAJUSTE18!$A:$B,2,0),0))),""))),4)</f>
        <v>#VALUE!</v>
      </c>
      <c r="AJW6" s="44" t="e">
        <f>ROUNDUP(IF(IFERROR(IF($AJN6="","",IF($AJN6=0,1,1-$AJN6/HLOOKUP(AJW$3,[2]ARBOR_REAJUSTE18!$A:$AE,VLOOKUP($AJN$2,[2]ARBOR_REAJUSTE18!$A:$B,2,0),0))),"")&lt;0.01%,0.01%,(IFERROR(IF($AJN6="","",IF($AJN6=0,1,1-$AJN6/HLOOKUP(AJW$3,[2]ARBOR_REAJUSTE18!$A:$AE,VLOOKUP($AJN$2,[2]ARBOR_REAJUSTE18!$A:$B,2,0),0))),""))),4)</f>
        <v>#VALUE!</v>
      </c>
      <c r="AJX6" s="44" t="e">
        <f>ROUNDUP(IF(IFERROR(IF($AJN6="","",IF($AJN6=0,1,1-$AJN6/HLOOKUP(AJX$3,[2]ARBOR_REAJUSTE18!$A:$AE,VLOOKUP($AJN$2,[2]ARBOR_REAJUSTE18!$A:$B,2,0),0))),"")&lt;0.01%,0.01%,(IFERROR(IF($AJN6="","",IF($AJN6=0,1,1-$AJN6/HLOOKUP(AJX$3,[2]ARBOR_REAJUSTE18!$A:$AE,VLOOKUP($AJN$2,[2]ARBOR_REAJUSTE18!$A:$B,2,0),0))),""))),4)</f>
        <v>#VALUE!</v>
      </c>
      <c r="AJY6" s="44" t="e">
        <f>ROUNDUP(IF(IFERROR(IF($AJN6="","",IF($AJN6=0,1,1-$AJN6/HLOOKUP(AJY$3,[2]ARBOR_REAJUSTE18!$A:$AE,VLOOKUP($AJN$2,[2]ARBOR_REAJUSTE18!$A:$B,2,0),0))),"")&lt;0.01%,0.01%,(IFERROR(IF($AJN6="","",IF($AJN6=0,1,1-$AJN6/HLOOKUP(AJY$3,[2]ARBOR_REAJUSTE18!$A:$AE,VLOOKUP($AJN$2,[2]ARBOR_REAJUSTE18!$A:$B,2,0),0))),""))),4)</f>
        <v>#VALUE!</v>
      </c>
      <c r="AJZ6" s="44" t="e">
        <f>ROUNDUP(IF(IFERROR(IF($AJN6="","",IF($AJN6=0,1,1-$AJN6/HLOOKUP(AJZ$3,[2]ARBOR_REAJUSTE18!$A:$AE,VLOOKUP($AJN$2,[2]ARBOR_REAJUSTE18!$A:$B,2,0),0))),"")&lt;0.01%,0.01%,(IFERROR(IF($AJN6="","",IF($AJN6=0,1,1-$AJN6/HLOOKUP(AJZ$3,[2]ARBOR_REAJUSTE18!$A:$AE,VLOOKUP($AJN$2,[2]ARBOR_REAJUSTE18!$A:$B,2,0),0))),""))),4)</f>
        <v>#VALUE!</v>
      </c>
      <c r="AKA6" s="44" t="e">
        <f>ROUNDUP(IF(IFERROR(IF($AJN6="","",IF($AJN6=0,1,1-$AJN6/HLOOKUP(AKA$3,[2]ARBOR_REAJUSTE18!$A:$AE,VLOOKUP($AJN$2,[2]ARBOR_REAJUSTE18!$A:$B,2,0),0))),"")&lt;0.01%,0.01%,(IFERROR(IF($AJN6="","",IF($AJN6=0,1,1-$AJN6/HLOOKUP(AKA$3,[2]ARBOR_REAJUSTE18!$A:$AE,VLOOKUP($AJN$2,[2]ARBOR_REAJUSTE18!$A:$B,2,0),0))),""))),4)</f>
        <v>#VALUE!</v>
      </c>
      <c r="AKB6" s="44" t="e">
        <f>ROUNDUP(IF(IFERROR(IF($AJN6="","",IF($AJN6=0,1,1-$AJN6/HLOOKUP(AKB$3,[2]ARBOR_REAJUSTE18!$A:$AE,VLOOKUP($AJN$2,[2]ARBOR_REAJUSTE18!$A:$B,2,0),0))),"")&lt;0.01%,0.01%,(IFERROR(IF($AJN6="","",IF($AJN6=0,1,1-$AJN6/HLOOKUP(AKB$3,[2]ARBOR_REAJUSTE18!$A:$AE,VLOOKUP($AJN$2,[2]ARBOR_REAJUSTE18!$A:$B,2,0),0))),""))),4)</f>
        <v>#VALUE!</v>
      </c>
      <c r="AKC6" s="44" t="e">
        <f>ROUNDUP(IF(IFERROR(IF($AJN6="","",IF($AJN6=0,1,1-$AJN6/HLOOKUP(AKC$3,[2]ARBOR_REAJUSTE18!$A:$AE,VLOOKUP($AJN$2,[2]ARBOR_REAJUSTE18!$A:$B,2,0),0))),"")&lt;0.01%,0.01%,(IFERROR(IF($AJN6="","",IF($AJN6=0,1,1-$AJN6/HLOOKUP(AKC$3,[2]ARBOR_REAJUSTE18!$A:$AE,VLOOKUP($AJN$2,[2]ARBOR_REAJUSTE18!$A:$B,2,0),0))),""))),4)</f>
        <v>#VALUE!</v>
      </c>
      <c r="AKD6" s="44" t="e">
        <f>ROUNDUP(IF(IFERROR(IF($AJN6="","",IF($AJN6=0,1,1-$AJN6/HLOOKUP(AKD$3,[2]ARBOR_REAJUSTE18!$A:$AE,VLOOKUP($AJN$2,[2]ARBOR_REAJUSTE18!$A:$B,2,0),0))),"")&lt;0.01%,0.01%,(IFERROR(IF($AJN6="","",IF($AJN6=0,1,1-$AJN6/HLOOKUP(AKD$3,[2]ARBOR_REAJUSTE18!$A:$AE,VLOOKUP($AJN$2,[2]ARBOR_REAJUSTE18!$A:$B,2,0),0))),""))),4)</f>
        <v>#VALUE!</v>
      </c>
      <c r="AKE6" s="44" t="e">
        <f>ROUNDUP(IF(IFERROR(IF($AJN6="","",IF($AJN6=0,1,1-$AJN6/HLOOKUP(AKE$3,[2]ARBOR_REAJUSTE18!$A:$AE,VLOOKUP($AJN$2,[2]ARBOR_REAJUSTE18!$A:$B,2,0),0))),"")&lt;0.01%,0.01%,(IFERROR(IF($AJN6="","",IF($AJN6=0,1,1-$AJN6/HLOOKUP(AKE$3,[2]ARBOR_REAJUSTE18!$A:$AE,VLOOKUP($AJN$2,[2]ARBOR_REAJUSTE18!$A:$B,2,0),0))),""))),4)</f>
        <v>#VALUE!</v>
      </c>
      <c r="AKF6" s="44" t="e">
        <f>ROUNDUP(IF(IFERROR(IF($AJN6="","",IF($AJN6=0,1,1-$AJN6/HLOOKUP(AKF$3,[2]ARBOR_REAJUSTE18!$A:$AE,VLOOKUP($AJN$2,[2]ARBOR_REAJUSTE18!$A:$B,2,0),0))),"")&lt;0.01%,0.01%,(IFERROR(IF($AJN6="","",IF($AJN6=0,1,1-$AJN6/HLOOKUP(AKF$3,[2]ARBOR_REAJUSTE18!$A:$AE,VLOOKUP($AJN$2,[2]ARBOR_REAJUSTE18!$A:$B,2,0),0))),""))),4)</f>
        <v>#VALUE!</v>
      </c>
      <c r="AKG6" s="44" t="e">
        <f>ROUNDUP(IF(IFERROR(IF($AJN6="","",IF($AJN6=0,1,1-$AJN6/HLOOKUP(AKG$3,[2]ARBOR_REAJUSTE18!$A:$AE,VLOOKUP($AJN$2,[2]ARBOR_REAJUSTE18!$A:$B,2,0),0))),"")&lt;0.01%,0.01%,(IFERROR(IF($AJN6="","",IF($AJN6=0,1,1-$AJN6/HLOOKUP(AKG$3,[2]ARBOR_REAJUSTE18!$A:$AE,VLOOKUP($AJN$2,[2]ARBOR_REAJUSTE18!$A:$B,2,0),0))),""))),4)</f>
        <v>#VALUE!</v>
      </c>
      <c r="AKH6" s="44" t="e">
        <f>ROUNDUP(IF(IFERROR(IF($AJN6="","",IF($AJN6=0,1,1-$AJN6/HLOOKUP(AKH$3,[2]ARBOR_REAJUSTE18!$A:$AE,VLOOKUP($AJN$2,[2]ARBOR_REAJUSTE18!$A:$B,2,0),0))),"")&lt;0.01%,0.01%,(IFERROR(IF($AJN6="","",IF($AJN6=0,1,1-$AJN6/HLOOKUP(AKH$3,[2]ARBOR_REAJUSTE18!$A:$AE,VLOOKUP($AJN$2,[2]ARBOR_REAJUSTE18!$A:$B,2,0),0))),""))),4)</f>
        <v>#VALUE!</v>
      </c>
      <c r="AKI6" s="44" t="e">
        <f>ROUNDUP(IF(IFERROR(IF($AJN6="","",IF($AJN6=0,1,1-$AJN6/HLOOKUP(AKI$3,[2]ARBOR_REAJUSTE18!$A:$AE,VLOOKUP($AJN$2,[2]ARBOR_REAJUSTE18!$A:$B,2,0),0))),"")&lt;0.01%,0.01%,(IFERROR(IF($AJN6="","",IF($AJN6=0,1,1-$AJN6/HLOOKUP(AKI$3,[2]ARBOR_REAJUSTE18!$A:$AE,VLOOKUP($AJN$2,[2]ARBOR_REAJUSTE18!$A:$B,2,0),0))),""))),4)</f>
        <v>#VALUE!</v>
      </c>
      <c r="AKJ6" s="44" t="e">
        <f>ROUNDUP(IF(IFERROR(IF($AJN6="","",IF($AJN6=0,1,1-$AJN6/HLOOKUP(AKJ$3,[2]ARBOR_REAJUSTE18!$A:$AE,VLOOKUP($AJN$2,[2]ARBOR_REAJUSTE18!$A:$B,2,0),0))),"")&lt;0.01%,0.01%,(IFERROR(IF($AJN6="","",IF($AJN6=0,1,1-$AJN6/HLOOKUP(AKJ$3,[2]ARBOR_REAJUSTE18!$A:$AE,VLOOKUP($AJN$2,[2]ARBOR_REAJUSTE18!$A:$B,2,0),0))),""))),4)</f>
        <v>#VALUE!</v>
      </c>
      <c r="AKK6" s="44" t="e">
        <f>ROUNDUP(IF(IFERROR(IF($AJN6="","",IF($AJN6=0,1,1-$AJN6/HLOOKUP(AKK$3,[2]ARBOR_REAJUSTE18!$A:$AE,VLOOKUP($AJN$2,[2]ARBOR_REAJUSTE18!$A:$B,2,0),0))),"")&lt;0.01%,0.01%,(IFERROR(IF($AJN6="","",IF($AJN6=0,1,1-$AJN6/HLOOKUP(AKK$3,[2]ARBOR_REAJUSTE18!$A:$AE,VLOOKUP($AJN$2,[2]ARBOR_REAJUSTE18!$A:$B,2,0),0))),""))),4)</f>
        <v>#VALUE!</v>
      </c>
      <c r="AKL6" s="44" t="e">
        <f>ROUNDUP(IF(IFERROR(IF($AJN6="","",IF($AJN6=0,1,1-$AJN6/HLOOKUP(AKL$3,[2]ARBOR_REAJUSTE18!$A:$AE,VLOOKUP($AJN$2,[2]ARBOR_REAJUSTE18!$A:$B,2,0),0))),"")&lt;0.01%,0.01%,(IFERROR(IF($AJN6="","",IF($AJN6=0,1,1-$AJN6/HLOOKUP(AKL$3,[2]ARBOR_REAJUSTE18!$A:$AE,VLOOKUP($AJN$2,[2]ARBOR_REAJUSTE18!$A:$B,2,0),0))),""))),4)</f>
        <v>#VALUE!</v>
      </c>
      <c r="AKM6" s="44" t="e">
        <f>ROUNDUP(IF(IFERROR(IF($AJN6="","",IF($AJN6=0,1,1-$AJN6/HLOOKUP(AKM$3,[2]ARBOR_REAJUSTE18!$A:$AE,VLOOKUP($AJN$2,[2]ARBOR_REAJUSTE18!$A:$B,2,0),0))),"")&lt;0.01%,0.01%,(IFERROR(IF($AJN6="","",IF($AJN6=0,1,1-$AJN6/HLOOKUP(AKM$3,[2]ARBOR_REAJUSTE18!$A:$AE,VLOOKUP($AJN$2,[2]ARBOR_REAJUSTE18!$A:$B,2,0),0))),""))),4)</f>
        <v>#VALUE!</v>
      </c>
      <c r="AKN6" s="44" t="e">
        <f>ROUNDUP(IF(IFERROR(IF($AJN6="","",IF($AJN6=0,1,1-$AJN6/HLOOKUP(AKN$3,[2]ARBOR_REAJUSTE18!$A:$AE,VLOOKUP($AJN$2,[2]ARBOR_REAJUSTE18!$A:$B,2,0),0))),"")&lt;0.01%,0.01%,(IFERROR(IF($AJN6="","",IF($AJN6=0,1,1-$AJN6/HLOOKUP(AKN$3,[2]ARBOR_REAJUSTE18!$A:$AE,VLOOKUP($AJN$2,[2]ARBOR_REAJUSTE18!$A:$B,2,0),0))),""))),4)</f>
        <v>#VALUE!</v>
      </c>
      <c r="AKO6" s="44" t="e">
        <f>ROUNDUP(IF(IFERROR(IF($AJN6="","",IF($AJN6=0,1,1-$AJN6/HLOOKUP(AKO$3,[2]ARBOR_REAJUSTE18!$A:$AE,VLOOKUP($AJN$2,[2]ARBOR_REAJUSTE18!$A:$B,2,0),0))),"")&lt;0.01%,0.01%,(IFERROR(IF($AJN6="","",IF($AJN6=0,1,1-$AJN6/HLOOKUP(AKO$3,[2]ARBOR_REAJUSTE18!$A:$AE,VLOOKUP($AJN$2,[2]ARBOR_REAJUSTE18!$A:$B,2,0),0))),""))),4)</f>
        <v>#VALUE!</v>
      </c>
      <c r="AKP6" s="44" t="e">
        <f>ROUNDUP(IF(IFERROR(IF($AJN6="","",IF($AJN6=0,1,1-$AJN6/HLOOKUP(AKP$3,[2]ARBOR_REAJUSTE18!$A:$AE,VLOOKUP($AJN$2,[2]ARBOR_REAJUSTE18!$A:$B,2,0),0))),"")&lt;0.01%,0.01%,(IFERROR(IF($AJN6="","",IF($AJN6=0,1,1-$AJN6/HLOOKUP(AKP$3,[2]ARBOR_REAJUSTE18!$A:$AE,VLOOKUP($AJN$2,[2]ARBOR_REAJUSTE18!$A:$B,2,0),0))),""))),4)</f>
        <v>#VALUE!</v>
      </c>
      <c r="AKQ6" s="56"/>
      <c r="AKR6" s="64"/>
      <c r="AKS6" s="44" t="e">
        <f>ROUNDUP(IF(IFERROR(IF($AKQ6="","",IF($AKQ6=0,1,1-$AKQ6/HLOOKUP(AKS$3,[2]ARBOR_REAJUSTE18!$A:$AE,VLOOKUP($AKQ$2,[2]ARBOR_REAJUSTE18!$A:$B,2,0),0))),"")&lt;0.01%,0.01%,(IFERROR(IF($AKQ6="","",IF($AKQ6=0,1,1-$AKQ6/HLOOKUP(AKS$3,[2]ARBOR_REAJUSTE18!$A:$AE,VLOOKUP($AKQ$2,[2]ARBOR_REAJUSTE18!$A:$B,2,0),0))),""))),4)</f>
        <v>#VALUE!</v>
      </c>
      <c r="AKT6" s="44" t="e">
        <f>ROUNDUP(IF(IFERROR(IF($AKQ6="","",IF($AKQ6=0,1,1-$AKQ6/HLOOKUP(AKT$3,[2]ARBOR_REAJUSTE18!$A:$AE,VLOOKUP($AKQ$2,[2]ARBOR_REAJUSTE18!$A:$B,2,0),0))),"")&lt;0.01%,0.01%,(IFERROR(IF($AKQ6="","",IF($AKQ6=0,1,1-$AKQ6/HLOOKUP(AKT$3,[2]ARBOR_REAJUSTE18!$A:$AE,VLOOKUP($AKQ$2,[2]ARBOR_REAJUSTE18!$A:$B,2,0),0))),""))),4)</f>
        <v>#VALUE!</v>
      </c>
      <c r="AKU6" s="44" t="e">
        <f>ROUNDUP(IF(IFERROR(IF($AKQ6="","",IF($AKQ6=0,1,1-$AKQ6/HLOOKUP(AKU$3,[2]ARBOR_REAJUSTE18!$A:$AE,VLOOKUP($AKQ$2,[2]ARBOR_REAJUSTE18!$A:$B,2,0),0))),"")&lt;0.01%,0.01%,(IFERROR(IF($AKQ6="","",IF($AKQ6=0,1,1-$AKQ6/HLOOKUP(AKU$3,[2]ARBOR_REAJUSTE18!$A:$AE,VLOOKUP($AKQ$2,[2]ARBOR_REAJUSTE18!$A:$B,2,0),0))),""))),4)</f>
        <v>#VALUE!</v>
      </c>
      <c r="AKV6" s="44" t="e">
        <f>ROUNDUP(IF(IFERROR(IF($AKQ6="","",IF($AKQ6=0,1,1-$AKQ6/HLOOKUP(AKV$3,[2]ARBOR_REAJUSTE18!$A:$AE,VLOOKUP($AKQ$2,[2]ARBOR_REAJUSTE18!$A:$B,2,0),0))),"")&lt;0.01%,0.01%,(IFERROR(IF($AKQ6="","",IF($AKQ6=0,1,1-$AKQ6/HLOOKUP(AKV$3,[2]ARBOR_REAJUSTE18!$A:$AE,VLOOKUP($AKQ$2,[2]ARBOR_REAJUSTE18!$A:$B,2,0),0))),""))),4)</f>
        <v>#VALUE!</v>
      </c>
      <c r="AKW6" s="44" t="e">
        <f>ROUNDUP(IF(IFERROR(IF($AKQ6="","",IF($AKQ6=0,1,1-$AKQ6/HLOOKUP(AKW$3,[2]ARBOR_REAJUSTE18!$A:$AE,VLOOKUP($AKQ$2,[2]ARBOR_REAJUSTE18!$A:$B,2,0),0))),"")&lt;0.01%,0.01%,(IFERROR(IF($AKQ6="","",IF($AKQ6=0,1,1-$AKQ6/HLOOKUP(AKW$3,[2]ARBOR_REAJUSTE18!$A:$AE,VLOOKUP($AKQ$2,[2]ARBOR_REAJUSTE18!$A:$B,2,0),0))),""))),4)</f>
        <v>#VALUE!</v>
      </c>
      <c r="AKX6" s="44" t="e">
        <f>ROUNDUP(IF(IFERROR(IF($AKQ6="","",IF($AKQ6=0,1,1-$AKQ6/HLOOKUP(AKX$3,[2]ARBOR_REAJUSTE18!$A:$AE,VLOOKUP($AKQ$2,[2]ARBOR_REAJUSTE18!$A:$B,2,0),0))),"")&lt;0.01%,0.01%,(IFERROR(IF($AKQ6="","",IF($AKQ6=0,1,1-$AKQ6/HLOOKUP(AKX$3,[2]ARBOR_REAJUSTE18!$A:$AE,VLOOKUP($AKQ$2,[2]ARBOR_REAJUSTE18!$A:$B,2,0),0))),""))),4)</f>
        <v>#VALUE!</v>
      </c>
      <c r="AKY6" s="44" t="e">
        <f>ROUNDUP(IF(IFERROR(IF($AKQ6="","",IF($AKQ6=0,1,1-$AKQ6/HLOOKUP(AKY$3,[2]ARBOR_REAJUSTE18!$A:$AE,VLOOKUP($AKQ$2,[2]ARBOR_REAJUSTE18!$A:$B,2,0),0))),"")&lt;0.01%,0.01%,(IFERROR(IF($AKQ6="","",IF($AKQ6=0,1,1-$AKQ6/HLOOKUP(AKY$3,[2]ARBOR_REAJUSTE18!$A:$AE,VLOOKUP($AKQ$2,[2]ARBOR_REAJUSTE18!$A:$B,2,0),0))),""))),4)</f>
        <v>#VALUE!</v>
      </c>
      <c r="AKZ6" s="44" t="e">
        <f>ROUNDUP(IF(IFERROR(IF($AKQ6="","",IF($AKQ6=0,1,1-$AKQ6/HLOOKUP(AKZ$3,[2]ARBOR_REAJUSTE18!$A:$AE,VLOOKUP($AKQ$2,[2]ARBOR_REAJUSTE18!$A:$B,2,0),0))),"")&lt;0.01%,0.01%,(IFERROR(IF($AKQ6="","",IF($AKQ6=0,1,1-$AKQ6/HLOOKUP(AKZ$3,[2]ARBOR_REAJUSTE18!$A:$AE,VLOOKUP($AKQ$2,[2]ARBOR_REAJUSTE18!$A:$B,2,0),0))),""))),4)</f>
        <v>#VALUE!</v>
      </c>
      <c r="ALA6" s="44" t="e">
        <f>ROUNDUP(IF(IFERROR(IF($AKQ6="","",IF($AKQ6=0,1,1-$AKQ6/HLOOKUP(ALA$3,[2]ARBOR_REAJUSTE18!$A:$AE,VLOOKUP($AKQ$2,[2]ARBOR_REAJUSTE18!$A:$B,2,0),0))),"")&lt;0.01%,0.01%,(IFERROR(IF($AKQ6="","",IF($AKQ6=0,1,1-$AKQ6/HLOOKUP(ALA$3,[2]ARBOR_REAJUSTE18!$A:$AE,VLOOKUP($AKQ$2,[2]ARBOR_REAJUSTE18!$A:$B,2,0),0))),""))),4)</f>
        <v>#VALUE!</v>
      </c>
      <c r="ALB6" s="44" t="e">
        <f>ROUNDUP(IF(IFERROR(IF($AKQ6="","",IF($AKQ6=0,1,1-$AKQ6/HLOOKUP(ALB$3,[2]ARBOR_REAJUSTE18!$A:$AE,VLOOKUP($AKQ$2,[2]ARBOR_REAJUSTE18!$A:$B,2,0),0))),"")&lt;0.01%,0.01%,(IFERROR(IF($AKQ6="","",IF($AKQ6=0,1,1-$AKQ6/HLOOKUP(ALB$3,[2]ARBOR_REAJUSTE18!$A:$AE,VLOOKUP($AKQ$2,[2]ARBOR_REAJUSTE18!$A:$B,2,0),0))),""))),4)</f>
        <v>#VALUE!</v>
      </c>
      <c r="ALC6" s="44" t="e">
        <f>ROUNDUP(IF(IFERROR(IF($AKQ6="","",IF($AKQ6=0,1,1-$AKQ6/HLOOKUP(ALC$3,[2]ARBOR_REAJUSTE18!$A:$AE,VLOOKUP($AKQ$2,[2]ARBOR_REAJUSTE18!$A:$B,2,0),0))),"")&lt;0.01%,0.01%,(IFERROR(IF($AKQ6="","",IF($AKQ6=0,1,1-$AKQ6/HLOOKUP(ALC$3,[2]ARBOR_REAJUSTE18!$A:$AE,VLOOKUP($AKQ$2,[2]ARBOR_REAJUSTE18!$A:$B,2,0),0))),""))),4)</f>
        <v>#VALUE!</v>
      </c>
      <c r="ALD6" s="44" t="e">
        <f>ROUNDUP(IF(IFERROR(IF($AKQ6="","",IF($AKQ6=0,1,1-$AKQ6/HLOOKUP(ALD$3,[2]ARBOR_REAJUSTE18!$A:$AE,VLOOKUP($AKQ$2,[2]ARBOR_REAJUSTE18!$A:$B,2,0),0))),"")&lt;0.01%,0.01%,(IFERROR(IF($AKQ6="","",IF($AKQ6=0,1,1-$AKQ6/HLOOKUP(ALD$3,[2]ARBOR_REAJUSTE18!$A:$AE,VLOOKUP($AKQ$2,[2]ARBOR_REAJUSTE18!$A:$B,2,0),0))),""))),4)</f>
        <v>#VALUE!</v>
      </c>
      <c r="ALE6" s="44" t="e">
        <f>ROUNDUP(IF(IFERROR(IF($AKQ6="","",IF($AKQ6=0,1,1-$AKQ6/HLOOKUP(ALE$3,[2]ARBOR_REAJUSTE18!$A:$AE,VLOOKUP($AKQ$2,[2]ARBOR_REAJUSTE18!$A:$B,2,0),0))),"")&lt;0.01%,0.01%,(IFERROR(IF($AKQ6="","",IF($AKQ6=0,1,1-$AKQ6/HLOOKUP(ALE$3,[2]ARBOR_REAJUSTE18!$A:$AE,VLOOKUP($AKQ$2,[2]ARBOR_REAJUSTE18!$A:$B,2,0),0))),""))),4)</f>
        <v>#VALUE!</v>
      </c>
      <c r="ALF6" s="44" t="e">
        <f>ROUNDUP(IF(IFERROR(IF($AKQ6="","",IF($AKQ6=0,1,1-$AKQ6/HLOOKUP(ALF$3,[2]ARBOR_REAJUSTE18!$A:$AE,VLOOKUP($AKQ$2,[2]ARBOR_REAJUSTE18!$A:$B,2,0),0))),"")&lt;0.01%,0.01%,(IFERROR(IF($AKQ6="","",IF($AKQ6=0,1,1-$AKQ6/HLOOKUP(ALF$3,[2]ARBOR_REAJUSTE18!$A:$AE,VLOOKUP($AKQ$2,[2]ARBOR_REAJUSTE18!$A:$B,2,0),0))),""))),4)</f>
        <v>#VALUE!</v>
      </c>
      <c r="ALG6" s="44" t="e">
        <f>ROUNDUP(IF(IFERROR(IF($AKQ6="","",IF($AKQ6=0,1,1-$AKQ6/HLOOKUP(ALG$3,[2]ARBOR_REAJUSTE18!$A:$AE,VLOOKUP($AKQ$2,[2]ARBOR_REAJUSTE18!$A:$B,2,0),0))),"")&lt;0.01%,0.01%,(IFERROR(IF($AKQ6="","",IF($AKQ6=0,1,1-$AKQ6/HLOOKUP(ALG$3,[2]ARBOR_REAJUSTE18!$A:$AE,VLOOKUP($AKQ$2,[2]ARBOR_REAJUSTE18!$A:$B,2,0),0))),""))),4)</f>
        <v>#VALUE!</v>
      </c>
      <c r="ALH6" s="44" t="e">
        <f>ROUNDUP(IF(IFERROR(IF($AKQ6="","",IF($AKQ6=0,1,1-$AKQ6/HLOOKUP(ALH$3,[2]ARBOR_REAJUSTE18!$A:$AE,VLOOKUP($AKQ$2,[2]ARBOR_REAJUSTE18!$A:$B,2,0),0))),"")&lt;0.01%,0.01%,(IFERROR(IF($AKQ6="","",IF($AKQ6=0,1,1-$AKQ6/HLOOKUP(ALH$3,[2]ARBOR_REAJUSTE18!$A:$AE,VLOOKUP($AKQ$2,[2]ARBOR_REAJUSTE18!$A:$B,2,0),0))),""))),4)</f>
        <v>#VALUE!</v>
      </c>
      <c r="ALI6" s="44" t="e">
        <f>ROUNDUP(IF(IFERROR(IF($AKQ6="","",IF($AKQ6=0,1,1-$AKQ6/HLOOKUP(ALI$3,[2]ARBOR_REAJUSTE18!$A:$AE,VLOOKUP($AKQ$2,[2]ARBOR_REAJUSTE18!$A:$B,2,0),0))),"")&lt;0.01%,0.01%,(IFERROR(IF($AKQ6="","",IF($AKQ6=0,1,1-$AKQ6/HLOOKUP(ALI$3,[2]ARBOR_REAJUSTE18!$A:$AE,VLOOKUP($AKQ$2,[2]ARBOR_REAJUSTE18!$A:$B,2,0),0))),""))),4)</f>
        <v>#VALUE!</v>
      </c>
      <c r="ALJ6" s="44" t="e">
        <f>ROUNDUP(IF(IFERROR(IF($AKQ6="","",IF($AKQ6=0,1,1-$AKQ6/HLOOKUP(ALJ$3,[2]ARBOR_REAJUSTE18!$A:$AE,VLOOKUP($AKQ$2,[2]ARBOR_REAJUSTE18!$A:$B,2,0),0))),"")&lt;0.01%,0.01%,(IFERROR(IF($AKQ6="","",IF($AKQ6=0,1,1-$AKQ6/HLOOKUP(ALJ$3,[2]ARBOR_REAJUSTE18!$A:$AE,VLOOKUP($AKQ$2,[2]ARBOR_REAJUSTE18!$A:$B,2,0),0))),""))),4)</f>
        <v>#VALUE!</v>
      </c>
      <c r="ALK6" s="44" t="e">
        <f>ROUNDUP(IF(IFERROR(IF($AKQ6="","",IF($AKQ6=0,1,1-$AKQ6/HLOOKUP(ALK$3,[2]ARBOR_REAJUSTE18!$A:$AE,VLOOKUP($AKQ$2,[2]ARBOR_REAJUSTE18!$A:$B,2,0),0))),"")&lt;0.01%,0.01%,(IFERROR(IF($AKQ6="","",IF($AKQ6=0,1,1-$AKQ6/HLOOKUP(ALK$3,[2]ARBOR_REAJUSTE18!$A:$AE,VLOOKUP($AKQ$2,[2]ARBOR_REAJUSTE18!$A:$B,2,0),0))),""))),4)</f>
        <v>#VALUE!</v>
      </c>
      <c r="ALL6" s="44" t="e">
        <f>ROUNDUP(IF(IFERROR(IF($AKQ6="","",IF($AKQ6=0,1,1-$AKQ6/HLOOKUP(ALL$3,[2]ARBOR_REAJUSTE18!$A:$AE,VLOOKUP($AKQ$2,[2]ARBOR_REAJUSTE18!$A:$B,2,0),0))),"")&lt;0.01%,0.01%,(IFERROR(IF($AKQ6="","",IF($AKQ6=0,1,1-$AKQ6/HLOOKUP(ALL$3,[2]ARBOR_REAJUSTE18!$A:$AE,VLOOKUP($AKQ$2,[2]ARBOR_REAJUSTE18!$A:$B,2,0),0))),""))),4)</f>
        <v>#VALUE!</v>
      </c>
      <c r="ALM6" s="44" t="e">
        <f>ROUNDUP(IF(IFERROR(IF($AKQ6="","",IF($AKQ6=0,1,1-$AKQ6/HLOOKUP(ALM$3,[2]ARBOR_REAJUSTE18!$A:$AE,VLOOKUP($AKQ$2,[2]ARBOR_REAJUSTE18!$A:$B,2,0),0))),"")&lt;0.01%,0.01%,(IFERROR(IF($AKQ6="","",IF($AKQ6=0,1,1-$AKQ6/HLOOKUP(ALM$3,[2]ARBOR_REAJUSTE18!$A:$AE,VLOOKUP($AKQ$2,[2]ARBOR_REAJUSTE18!$A:$B,2,0),0))),""))),4)</f>
        <v>#VALUE!</v>
      </c>
      <c r="ALN6" s="44" t="e">
        <f>ROUNDUP(IF(IFERROR(IF($AKQ6="","",IF($AKQ6=0,1,1-$AKQ6/HLOOKUP(ALN$3,[2]ARBOR_REAJUSTE18!$A:$AE,VLOOKUP($AKQ$2,[2]ARBOR_REAJUSTE18!$A:$B,2,0),0))),"")&lt;0.01%,0.01%,(IFERROR(IF($AKQ6="","",IF($AKQ6=0,1,1-$AKQ6/HLOOKUP(ALN$3,[2]ARBOR_REAJUSTE18!$A:$AE,VLOOKUP($AKQ$2,[2]ARBOR_REAJUSTE18!$A:$B,2,0),0))),""))),4)</f>
        <v>#VALUE!</v>
      </c>
      <c r="ALO6" s="44" t="e">
        <f>ROUNDUP(IF(IFERROR(IF($AKQ6="","",IF($AKQ6=0,1,1-$AKQ6/HLOOKUP(ALO$3,[2]ARBOR_REAJUSTE18!$A:$AE,VLOOKUP($AKQ$2,[2]ARBOR_REAJUSTE18!$A:$B,2,0),0))),"")&lt;0.01%,0.01%,(IFERROR(IF($AKQ6="","",IF($AKQ6=0,1,1-$AKQ6/HLOOKUP(ALO$3,[2]ARBOR_REAJUSTE18!$A:$AE,VLOOKUP($AKQ$2,[2]ARBOR_REAJUSTE18!$A:$B,2,0),0))),""))),4)</f>
        <v>#VALUE!</v>
      </c>
      <c r="ALP6" s="44" t="e">
        <f>ROUNDUP(IF(IFERROR(IF($AKQ6="","",IF($AKQ6=0,1,1-$AKQ6/HLOOKUP(ALP$3,[2]ARBOR_REAJUSTE18!$A:$AE,VLOOKUP($AKQ$2,[2]ARBOR_REAJUSTE18!$A:$B,2,0),0))),"")&lt;0.01%,0.01%,(IFERROR(IF($AKQ6="","",IF($AKQ6=0,1,1-$AKQ6/HLOOKUP(ALP$3,[2]ARBOR_REAJUSTE18!$A:$AE,VLOOKUP($AKQ$2,[2]ARBOR_REAJUSTE18!$A:$B,2,0),0))),""))),4)</f>
        <v>#VALUE!</v>
      </c>
      <c r="ALQ6" s="44" t="e">
        <f>ROUNDUP(IF(IFERROR(IF($AKQ6="","",IF($AKQ6=0,1,1-$AKQ6/HLOOKUP(ALQ$3,[2]ARBOR_REAJUSTE18!$A:$AE,VLOOKUP($AKQ$2,[2]ARBOR_REAJUSTE18!$A:$B,2,0),0))),"")&lt;0.01%,0.01%,(IFERROR(IF($AKQ6="","",IF($AKQ6=0,1,1-$AKQ6/HLOOKUP(ALQ$3,[2]ARBOR_REAJUSTE18!$A:$AE,VLOOKUP($AKQ$2,[2]ARBOR_REAJUSTE18!$A:$B,2,0),0))),""))),4)</f>
        <v>#VALUE!</v>
      </c>
      <c r="ALR6" s="44" t="e">
        <f>ROUNDUP(IF(IFERROR(IF($AKQ6="","",IF($AKQ6=0,1,1-$AKQ6/HLOOKUP(ALR$3,[2]ARBOR_REAJUSTE18!$A:$AE,VLOOKUP($AKQ$2,[2]ARBOR_REAJUSTE18!$A:$B,2,0),0))),"")&lt;0.01%,0.01%,(IFERROR(IF($AKQ6="","",IF($AKQ6=0,1,1-$AKQ6/HLOOKUP(ALR$3,[2]ARBOR_REAJUSTE18!$A:$AE,VLOOKUP($AKQ$2,[2]ARBOR_REAJUSTE18!$A:$B,2,0),0))),""))),4)</f>
        <v>#VALUE!</v>
      </c>
      <c r="ALS6" s="44" t="e">
        <f>ROUNDUP(IF(IFERROR(IF($AKQ6="","",IF($AKQ6=0,1,1-$AKQ6/HLOOKUP(ALS$3,[2]ARBOR_REAJUSTE18!$A:$AE,VLOOKUP($AKQ$2,[2]ARBOR_REAJUSTE18!$A:$B,2,0),0))),"")&lt;0.01%,0.01%,(IFERROR(IF($AKQ6="","",IF($AKQ6=0,1,1-$AKQ6/HLOOKUP(ALS$3,[2]ARBOR_REAJUSTE18!$A:$AE,VLOOKUP($AKQ$2,[2]ARBOR_REAJUSTE18!$A:$B,2,0),0))),""))),4)</f>
        <v>#VALUE!</v>
      </c>
      <c r="ALT6" s="56"/>
      <c r="ALU6" s="64"/>
      <c r="ALV6" s="44" t="e">
        <f>ROUNDUP(IF(IFERROR(IF($ALT6="","",IF($ALT6=0,1,1-$ALT6/HLOOKUP(ALV$3,[2]ARBOR_REAJUSTE18!$A:$AE,VLOOKUP($ALT$2,[2]ARBOR_REAJUSTE18!$A:$B,2,0),0))),"")&lt;0.01%,0.01%,(IFERROR(IF($ALT6="","",IF($ALT6=0,1,1-$ALT6/HLOOKUP(ALV$3,[2]ARBOR_REAJUSTE18!$A:$AE,VLOOKUP($ALT$2,[2]ARBOR_REAJUSTE18!$A:$B,2,0),0))),""))),4)</f>
        <v>#VALUE!</v>
      </c>
      <c r="ALW6" s="44" t="e">
        <f>ROUNDUP(IF(IFERROR(IF($ALT6="","",IF($ALT6=0,1,1-$ALT6/HLOOKUP(ALW$3,[2]ARBOR_REAJUSTE18!$A:$AE,VLOOKUP($ALT$2,[2]ARBOR_REAJUSTE18!$A:$B,2,0),0))),"")&lt;0.01%,0.01%,(IFERROR(IF($ALT6="","",IF($ALT6=0,1,1-$ALT6/HLOOKUP(ALW$3,[2]ARBOR_REAJUSTE18!$A:$AE,VLOOKUP($ALT$2,[2]ARBOR_REAJUSTE18!$A:$B,2,0),0))),""))),4)</f>
        <v>#VALUE!</v>
      </c>
      <c r="ALX6" s="44" t="e">
        <f>ROUNDUP(IF(IFERROR(IF($ALT6="","",IF($ALT6=0,1,1-$ALT6/HLOOKUP(ALX$3,[2]ARBOR_REAJUSTE18!$A:$AE,VLOOKUP($ALT$2,[2]ARBOR_REAJUSTE18!$A:$B,2,0),0))),"")&lt;0.01%,0.01%,(IFERROR(IF($ALT6="","",IF($ALT6=0,1,1-$ALT6/HLOOKUP(ALX$3,[2]ARBOR_REAJUSTE18!$A:$AE,VLOOKUP($ALT$2,[2]ARBOR_REAJUSTE18!$A:$B,2,0),0))),""))),4)</f>
        <v>#VALUE!</v>
      </c>
      <c r="ALY6" s="44" t="e">
        <f>ROUNDUP(IF(IFERROR(IF($ALT6="","",IF($ALT6=0,1,1-$ALT6/HLOOKUP(ALY$3,[2]ARBOR_REAJUSTE18!$A:$AE,VLOOKUP($ALT$2,[2]ARBOR_REAJUSTE18!$A:$B,2,0),0))),"")&lt;0.01%,0.01%,(IFERROR(IF($ALT6="","",IF($ALT6=0,1,1-$ALT6/HLOOKUP(ALY$3,[2]ARBOR_REAJUSTE18!$A:$AE,VLOOKUP($ALT$2,[2]ARBOR_REAJUSTE18!$A:$B,2,0),0))),""))),4)</f>
        <v>#VALUE!</v>
      </c>
      <c r="ALZ6" s="44" t="e">
        <f>ROUNDUP(IF(IFERROR(IF($ALT6="","",IF($ALT6=0,1,1-$ALT6/HLOOKUP(ALZ$3,[2]ARBOR_REAJUSTE18!$A:$AE,VLOOKUP($ALT$2,[2]ARBOR_REAJUSTE18!$A:$B,2,0),0))),"")&lt;0.01%,0.01%,(IFERROR(IF($ALT6="","",IF($ALT6=0,1,1-$ALT6/HLOOKUP(ALZ$3,[2]ARBOR_REAJUSTE18!$A:$AE,VLOOKUP($ALT$2,[2]ARBOR_REAJUSTE18!$A:$B,2,0),0))),""))),4)</f>
        <v>#VALUE!</v>
      </c>
      <c r="AMA6" s="44" t="e">
        <f>ROUNDUP(IF(IFERROR(IF($ALT6="","",IF($ALT6=0,1,1-$ALT6/HLOOKUP(AMA$3,[2]ARBOR_REAJUSTE18!$A:$AE,VLOOKUP($ALT$2,[2]ARBOR_REAJUSTE18!$A:$B,2,0),0))),"")&lt;0.01%,0.01%,(IFERROR(IF($ALT6="","",IF($ALT6=0,1,1-$ALT6/HLOOKUP(AMA$3,[2]ARBOR_REAJUSTE18!$A:$AE,VLOOKUP($ALT$2,[2]ARBOR_REAJUSTE18!$A:$B,2,0),0))),""))),4)</f>
        <v>#VALUE!</v>
      </c>
      <c r="AMB6" s="44" t="e">
        <f>ROUNDUP(IF(IFERROR(IF($ALT6="","",IF($ALT6=0,1,1-$ALT6/HLOOKUP(AMB$3,[2]ARBOR_REAJUSTE18!$A:$AE,VLOOKUP($ALT$2,[2]ARBOR_REAJUSTE18!$A:$B,2,0),0))),"")&lt;0.01%,0.01%,(IFERROR(IF($ALT6="","",IF($ALT6=0,1,1-$ALT6/HLOOKUP(AMB$3,[2]ARBOR_REAJUSTE18!$A:$AE,VLOOKUP($ALT$2,[2]ARBOR_REAJUSTE18!$A:$B,2,0),0))),""))),4)</f>
        <v>#VALUE!</v>
      </c>
      <c r="AMC6" s="44" t="e">
        <f>ROUNDUP(IF(IFERROR(IF($ALT6="","",IF($ALT6=0,1,1-$ALT6/HLOOKUP(AMC$3,[2]ARBOR_REAJUSTE18!$A:$AE,VLOOKUP($ALT$2,[2]ARBOR_REAJUSTE18!$A:$B,2,0),0))),"")&lt;0.01%,0.01%,(IFERROR(IF($ALT6="","",IF($ALT6=0,1,1-$ALT6/HLOOKUP(AMC$3,[2]ARBOR_REAJUSTE18!$A:$AE,VLOOKUP($ALT$2,[2]ARBOR_REAJUSTE18!$A:$B,2,0),0))),""))),4)</f>
        <v>#VALUE!</v>
      </c>
      <c r="AMD6" s="44" t="e">
        <f>ROUNDUP(IF(IFERROR(IF($ALT6="","",IF($ALT6=0,1,1-$ALT6/HLOOKUP(AMD$3,[2]ARBOR_REAJUSTE18!$A:$AE,VLOOKUP($ALT$2,[2]ARBOR_REAJUSTE18!$A:$B,2,0),0))),"")&lt;0.01%,0.01%,(IFERROR(IF($ALT6="","",IF($ALT6=0,1,1-$ALT6/HLOOKUP(AMD$3,[2]ARBOR_REAJUSTE18!$A:$AE,VLOOKUP($ALT$2,[2]ARBOR_REAJUSTE18!$A:$B,2,0),0))),""))),4)</f>
        <v>#VALUE!</v>
      </c>
      <c r="AME6" s="44" t="e">
        <f>ROUNDUP(IF(IFERROR(IF($ALT6="","",IF($ALT6=0,1,1-$ALT6/HLOOKUP(AME$3,[2]ARBOR_REAJUSTE18!$A:$AE,VLOOKUP($ALT$2,[2]ARBOR_REAJUSTE18!$A:$B,2,0),0))),"")&lt;0.01%,0.01%,(IFERROR(IF($ALT6="","",IF($ALT6=0,1,1-$ALT6/HLOOKUP(AME$3,[2]ARBOR_REAJUSTE18!$A:$AE,VLOOKUP($ALT$2,[2]ARBOR_REAJUSTE18!$A:$B,2,0),0))),""))),4)</f>
        <v>#VALUE!</v>
      </c>
      <c r="AMF6" s="44" t="e">
        <f>ROUNDUP(IF(IFERROR(IF($ALT6="","",IF($ALT6=0,1,1-$ALT6/HLOOKUP(AMF$3,[2]ARBOR_REAJUSTE18!$A:$AE,VLOOKUP($ALT$2,[2]ARBOR_REAJUSTE18!$A:$B,2,0),0))),"")&lt;0.01%,0.01%,(IFERROR(IF($ALT6="","",IF($ALT6=0,1,1-$ALT6/HLOOKUP(AMF$3,[2]ARBOR_REAJUSTE18!$A:$AE,VLOOKUP($ALT$2,[2]ARBOR_REAJUSTE18!$A:$B,2,0),0))),""))),4)</f>
        <v>#VALUE!</v>
      </c>
      <c r="AMG6" s="44" t="e">
        <f>ROUNDUP(IF(IFERROR(IF($ALT6="","",IF($ALT6=0,1,1-$ALT6/HLOOKUP(AMG$3,[2]ARBOR_REAJUSTE18!$A:$AE,VLOOKUP($ALT$2,[2]ARBOR_REAJUSTE18!$A:$B,2,0),0))),"")&lt;0.01%,0.01%,(IFERROR(IF($ALT6="","",IF($ALT6=0,1,1-$ALT6/HLOOKUP(AMG$3,[2]ARBOR_REAJUSTE18!$A:$AE,VLOOKUP($ALT$2,[2]ARBOR_REAJUSTE18!$A:$B,2,0),0))),""))),4)</f>
        <v>#VALUE!</v>
      </c>
      <c r="AMH6" s="44" t="e">
        <f>ROUNDUP(IF(IFERROR(IF($ALT6="","",IF($ALT6=0,1,1-$ALT6/HLOOKUP(AMH$3,[2]ARBOR_REAJUSTE18!$A:$AE,VLOOKUP($ALT$2,[2]ARBOR_REAJUSTE18!$A:$B,2,0),0))),"")&lt;0.01%,0.01%,(IFERROR(IF($ALT6="","",IF($ALT6=0,1,1-$ALT6/HLOOKUP(AMH$3,[2]ARBOR_REAJUSTE18!$A:$AE,VLOOKUP($ALT$2,[2]ARBOR_REAJUSTE18!$A:$B,2,0),0))),""))),4)</f>
        <v>#VALUE!</v>
      </c>
      <c r="AMI6" s="44" t="e">
        <f>ROUNDUP(IF(IFERROR(IF($ALT6="","",IF($ALT6=0,1,1-$ALT6/HLOOKUP(AMI$3,[2]ARBOR_REAJUSTE18!$A:$AE,VLOOKUP($ALT$2,[2]ARBOR_REAJUSTE18!$A:$B,2,0),0))),"")&lt;0.01%,0.01%,(IFERROR(IF($ALT6="","",IF($ALT6=0,1,1-$ALT6/HLOOKUP(AMI$3,[2]ARBOR_REAJUSTE18!$A:$AE,VLOOKUP($ALT$2,[2]ARBOR_REAJUSTE18!$A:$B,2,0),0))),""))),4)</f>
        <v>#VALUE!</v>
      </c>
      <c r="AMJ6" s="44" t="e">
        <f>ROUNDUP(IF(IFERROR(IF($ALT6="","",IF($ALT6=0,1,1-$ALT6/HLOOKUP(AMJ$3,[2]ARBOR_REAJUSTE18!$A:$AE,VLOOKUP($ALT$2,[2]ARBOR_REAJUSTE18!$A:$B,2,0),0))),"")&lt;0.01%,0.01%,(IFERROR(IF($ALT6="","",IF($ALT6=0,1,1-$ALT6/HLOOKUP(AMJ$3,[2]ARBOR_REAJUSTE18!$A:$AE,VLOOKUP($ALT$2,[2]ARBOR_REAJUSTE18!$A:$B,2,0),0))),""))),4)</f>
        <v>#VALUE!</v>
      </c>
      <c r="AMK6" s="44" t="e">
        <f>ROUNDUP(IF(IFERROR(IF($ALT6="","",IF($ALT6=0,1,1-$ALT6/HLOOKUP(AMK$3,[2]ARBOR_REAJUSTE18!$A:$AE,VLOOKUP($ALT$2,[2]ARBOR_REAJUSTE18!$A:$B,2,0),0))),"")&lt;0.01%,0.01%,(IFERROR(IF($ALT6="","",IF($ALT6=0,1,1-$ALT6/HLOOKUP(AMK$3,[2]ARBOR_REAJUSTE18!$A:$AE,VLOOKUP($ALT$2,[2]ARBOR_REAJUSTE18!$A:$B,2,0),0))),""))),4)</f>
        <v>#VALUE!</v>
      </c>
      <c r="AML6" s="44" t="e">
        <f>ROUNDUP(IF(IFERROR(IF($ALT6="","",IF($ALT6=0,1,1-$ALT6/HLOOKUP(AML$3,[2]ARBOR_REAJUSTE18!$A:$AE,VLOOKUP($ALT$2,[2]ARBOR_REAJUSTE18!$A:$B,2,0),0))),"")&lt;0.01%,0.01%,(IFERROR(IF($ALT6="","",IF($ALT6=0,1,1-$ALT6/HLOOKUP(AML$3,[2]ARBOR_REAJUSTE18!$A:$AE,VLOOKUP($ALT$2,[2]ARBOR_REAJUSTE18!$A:$B,2,0),0))),""))),4)</f>
        <v>#VALUE!</v>
      </c>
      <c r="AMM6" s="44" t="e">
        <f>ROUNDUP(IF(IFERROR(IF($ALT6="","",IF($ALT6=0,1,1-$ALT6/HLOOKUP(AMM$3,[2]ARBOR_REAJUSTE18!$A:$AE,VLOOKUP($ALT$2,[2]ARBOR_REAJUSTE18!$A:$B,2,0),0))),"")&lt;0.01%,0.01%,(IFERROR(IF($ALT6="","",IF($ALT6=0,1,1-$ALT6/HLOOKUP(AMM$3,[2]ARBOR_REAJUSTE18!$A:$AE,VLOOKUP($ALT$2,[2]ARBOR_REAJUSTE18!$A:$B,2,0),0))),""))),4)</f>
        <v>#VALUE!</v>
      </c>
      <c r="AMN6" s="44" t="e">
        <f>ROUNDUP(IF(IFERROR(IF($ALT6="","",IF($ALT6=0,1,1-$ALT6/HLOOKUP(AMN$3,[2]ARBOR_REAJUSTE18!$A:$AE,VLOOKUP($ALT$2,[2]ARBOR_REAJUSTE18!$A:$B,2,0),0))),"")&lt;0.01%,0.01%,(IFERROR(IF($ALT6="","",IF($ALT6=0,1,1-$ALT6/HLOOKUP(AMN$3,[2]ARBOR_REAJUSTE18!$A:$AE,VLOOKUP($ALT$2,[2]ARBOR_REAJUSTE18!$A:$B,2,0),0))),""))),4)</f>
        <v>#VALUE!</v>
      </c>
      <c r="AMO6" s="44" t="e">
        <f>ROUNDUP(IF(IFERROR(IF($ALT6="","",IF($ALT6=0,1,1-$ALT6/HLOOKUP(AMO$3,[2]ARBOR_REAJUSTE18!$A:$AE,VLOOKUP($ALT$2,[2]ARBOR_REAJUSTE18!$A:$B,2,0),0))),"")&lt;0.01%,0.01%,(IFERROR(IF($ALT6="","",IF($ALT6=0,1,1-$ALT6/HLOOKUP(AMO$3,[2]ARBOR_REAJUSTE18!$A:$AE,VLOOKUP($ALT$2,[2]ARBOR_REAJUSTE18!$A:$B,2,0),0))),""))),4)</f>
        <v>#VALUE!</v>
      </c>
      <c r="AMP6" s="44" t="e">
        <f>ROUNDUP(IF(IFERROR(IF($ALT6="","",IF($ALT6=0,1,1-$ALT6/HLOOKUP(AMP$3,[2]ARBOR_REAJUSTE18!$A:$AE,VLOOKUP($ALT$2,[2]ARBOR_REAJUSTE18!$A:$B,2,0),0))),"")&lt;0.01%,0.01%,(IFERROR(IF($ALT6="","",IF($ALT6=0,1,1-$ALT6/HLOOKUP(AMP$3,[2]ARBOR_REAJUSTE18!$A:$AE,VLOOKUP($ALT$2,[2]ARBOR_REAJUSTE18!$A:$B,2,0),0))),""))),4)</f>
        <v>#VALUE!</v>
      </c>
      <c r="AMQ6" s="44" t="e">
        <f>ROUNDUP(IF(IFERROR(IF($ALT6="","",IF($ALT6=0,1,1-$ALT6/HLOOKUP(AMQ$3,[2]ARBOR_REAJUSTE18!$A:$AE,VLOOKUP($ALT$2,[2]ARBOR_REAJUSTE18!$A:$B,2,0),0))),"")&lt;0.01%,0.01%,(IFERROR(IF($ALT6="","",IF($ALT6=0,1,1-$ALT6/HLOOKUP(AMQ$3,[2]ARBOR_REAJUSTE18!$A:$AE,VLOOKUP($ALT$2,[2]ARBOR_REAJUSTE18!$A:$B,2,0),0))),""))),4)</f>
        <v>#VALUE!</v>
      </c>
      <c r="AMR6" s="44" t="e">
        <f>ROUNDUP(IF(IFERROR(IF($ALT6="","",IF($ALT6=0,1,1-$ALT6/HLOOKUP(AMR$3,[2]ARBOR_REAJUSTE18!$A:$AE,VLOOKUP($ALT$2,[2]ARBOR_REAJUSTE18!$A:$B,2,0),0))),"")&lt;0.01%,0.01%,(IFERROR(IF($ALT6="","",IF($ALT6=0,1,1-$ALT6/HLOOKUP(AMR$3,[2]ARBOR_REAJUSTE18!$A:$AE,VLOOKUP($ALT$2,[2]ARBOR_REAJUSTE18!$A:$B,2,0),0))),""))),4)</f>
        <v>#VALUE!</v>
      </c>
      <c r="AMS6" s="44" t="e">
        <f>ROUNDUP(IF(IFERROR(IF($ALT6="","",IF($ALT6=0,1,1-$ALT6/HLOOKUP(AMS$3,[2]ARBOR_REAJUSTE18!$A:$AE,VLOOKUP($ALT$2,[2]ARBOR_REAJUSTE18!$A:$B,2,0),0))),"")&lt;0.01%,0.01%,(IFERROR(IF($ALT6="","",IF($ALT6=0,1,1-$ALT6/HLOOKUP(AMS$3,[2]ARBOR_REAJUSTE18!$A:$AE,VLOOKUP($ALT$2,[2]ARBOR_REAJUSTE18!$A:$B,2,0),0))),""))),4)</f>
        <v>#VALUE!</v>
      </c>
      <c r="AMT6" s="44" t="e">
        <f>ROUNDUP(IF(IFERROR(IF($ALT6="","",IF($ALT6=0,1,1-$ALT6/HLOOKUP(AMT$3,[2]ARBOR_REAJUSTE18!$A:$AE,VLOOKUP($ALT$2,[2]ARBOR_REAJUSTE18!$A:$B,2,0),0))),"")&lt;0.01%,0.01%,(IFERROR(IF($ALT6="","",IF($ALT6=0,1,1-$ALT6/HLOOKUP(AMT$3,[2]ARBOR_REAJUSTE18!$A:$AE,VLOOKUP($ALT$2,[2]ARBOR_REAJUSTE18!$A:$B,2,0),0))),""))),4)</f>
        <v>#VALUE!</v>
      </c>
      <c r="AMU6" s="44" t="e">
        <f>ROUNDUP(IF(IFERROR(IF($ALT6="","",IF($ALT6=0,1,1-$ALT6/HLOOKUP(AMU$3,[2]ARBOR_REAJUSTE18!$A:$AE,VLOOKUP($ALT$2,[2]ARBOR_REAJUSTE18!$A:$B,2,0),0))),"")&lt;0.01%,0.01%,(IFERROR(IF($ALT6="","",IF($ALT6=0,1,1-$ALT6/HLOOKUP(AMU$3,[2]ARBOR_REAJUSTE18!$A:$AE,VLOOKUP($ALT$2,[2]ARBOR_REAJUSTE18!$A:$B,2,0),0))),""))),4)</f>
        <v>#VALUE!</v>
      </c>
      <c r="AMV6" s="44" t="e">
        <f>ROUNDUP(IF(IFERROR(IF($ALT6="","",IF($ALT6=0,1,1-$ALT6/HLOOKUP(AMV$3,[2]ARBOR_REAJUSTE18!$A:$AE,VLOOKUP($ALT$2,[2]ARBOR_REAJUSTE18!$A:$B,2,0),0))),"")&lt;0.01%,0.01%,(IFERROR(IF($ALT6="","",IF($ALT6=0,1,1-$ALT6/HLOOKUP(AMV$3,[2]ARBOR_REAJUSTE18!$A:$AE,VLOOKUP($ALT$2,[2]ARBOR_REAJUSTE18!$A:$B,2,0),0))),""))),4)</f>
        <v>#VALUE!</v>
      </c>
      <c r="AMW6" s="56"/>
      <c r="AMX6" s="64"/>
      <c r="AMY6" s="44" t="e">
        <f>ROUNDUP(IF(IFERROR(IF($AMW6="","",IF($AMW6=0,1,1-$AMW6/HLOOKUP(AMY$3,[2]ARBOR_REAJUSTE18!$A:$AE,VLOOKUP($AMW$2,[2]ARBOR_REAJUSTE18!$A:$B,2,0),0))),"")&lt;0.01%,0.01%,(IFERROR(IF($AMW6="","",IF($AMW6=0,1,1-$AMW6/HLOOKUP(AMY$3,[2]ARBOR_REAJUSTE18!$A:$AE,VLOOKUP($AMW$2,[2]ARBOR_REAJUSTE18!$A:$B,2,0),0))),""))),4)</f>
        <v>#VALUE!</v>
      </c>
      <c r="AMZ6" s="44" t="e">
        <f>ROUNDUP(IF(IFERROR(IF($AMW6="","",IF($AMW6=0,1,1-$AMW6/HLOOKUP(AMZ$3,[2]ARBOR_REAJUSTE18!$A:$AE,VLOOKUP($AMW$2,[2]ARBOR_REAJUSTE18!$A:$B,2,0),0))),"")&lt;0.01%,0.01%,(IFERROR(IF($AMW6="","",IF($AMW6=0,1,1-$AMW6/HLOOKUP(AMZ$3,[2]ARBOR_REAJUSTE18!$A:$AE,VLOOKUP($AMW$2,[2]ARBOR_REAJUSTE18!$A:$B,2,0),0))),""))),4)</f>
        <v>#VALUE!</v>
      </c>
      <c r="ANA6" s="44" t="e">
        <f>ROUNDUP(IF(IFERROR(IF($AMW6="","",IF($AMW6=0,1,1-$AMW6/HLOOKUP(ANA$3,[2]ARBOR_REAJUSTE18!$A:$AE,VLOOKUP($AMW$2,[2]ARBOR_REAJUSTE18!$A:$B,2,0),0))),"")&lt;0.01%,0.01%,(IFERROR(IF($AMW6="","",IF($AMW6=0,1,1-$AMW6/HLOOKUP(ANA$3,[2]ARBOR_REAJUSTE18!$A:$AE,VLOOKUP($AMW$2,[2]ARBOR_REAJUSTE18!$A:$B,2,0),0))),""))),4)</f>
        <v>#VALUE!</v>
      </c>
      <c r="ANB6" s="44" t="e">
        <f>ROUNDUP(IF(IFERROR(IF($AMW6="","",IF($AMW6=0,1,1-$AMW6/HLOOKUP(ANB$3,[2]ARBOR_REAJUSTE18!$A:$AE,VLOOKUP($AMW$2,[2]ARBOR_REAJUSTE18!$A:$B,2,0),0))),"")&lt;0.01%,0.01%,(IFERROR(IF($AMW6="","",IF($AMW6=0,1,1-$AMW6/HLOOKUP(ANB$3,[2]ARBOR_REAJUSTE18!$A:$AE,VLOOKUP($AMW$2,[2]ARBOR_REAJUSTE18!$A:$B,2,0),0))),""))),4)</f>
        <v>#VALUE!</v>
      </c>
      <c r="ANC6" s="44" t="e">
        <f>ROUNDUP(IF(IFERROR(IF($AMW6="","",IF($AMW6=0,1,1-$AMW6/HLOOKUP(ANC$3,[2]ARBOR_REAJUSTE18!$A:$AE,VLOOKUP($AMW$2,[2]ARBOR_REAJUSTE18!$A:$B,2,0),0))),"")&lt;0.01%,0.01%,(IFERROR(IF($AMW6="","",IF($AMW6=0,1,1-$AMW6/HLOOKUP(ANC$3,[2]ARBOR_REAJUSTE18!$A:$AE,VLOOKUP($AMW$2,[2]ARBOR_REAJUSTE18!$A:$B,2,0),0))),""))),4)</f>
        <v>#VALUE!</v>
      </c>
      <c r="AND6" s="44" t="e">
        <f>ROUNDUP(IF(IFERROR(IF($AMW6="","",IF($AMW6=0,1,1-$AMW6/HLOOKUP(AND$3,[2]ARBOR_REAJUSTE18!$A:$AE,VLOOKUP($AMW$2,[2]ARBOR_REAJUSTE18!$A:$B,2,0),0))),"")&lt;0.01%,0.01%,(IFERROR(IF($AMW6="","",IF($AMW6=0,1,1-$AMW6/HLOOKUP(AND$3,[2]ARBOR_REAJUSTE18!$A:$AE,VLOOKUP($AMW$2,[2]ARBOR_REAJUSTE18!$A:$B,2,0),0))),""))),4)</f>
        <v>#VALUE!</v>
      </c>
      <c r="ANE6" s="44" t="e">
        <f>ROUNDUP(IF(IFERROR(IF($AMW6="","",IF($AMW6=0,1,1-$AMW6/HLOOKUP(ANE$3,[2]ARBOR_REAJUSTE18!$A:$AE,VLOOKUP($AMW$2,[2]ARBOR_REAJUSTE18!$A:$B,2,0),0))),"")&lt;0.01%,0.01%,(IFERROR(IF($AMW6="","",IF($AMW6=0,1,1-$AMW6/HLOOKUP(ANE$3,[2]ARBOR_REAJUSTE18!$A:$AE,VLOOKUP($AMW$2,[2]ARBOR_REAJUSTE18!$A:$B,2,0),0))),""))),4)</f>
        <v>#VALUE!</v>
      </c>
      <c r="ANF6" s="44" t="e">
        <f>ROUNDUP(IF(IFERROR(IF($AMW6="","",IF($AMW6=0,1,1-$AMW6/HLOOKUP(ANF$3,[2]ARBOR_REAJUSTE18!$A:$AE,VLOOKUP($AMW$2,[2]ARBOR_REAJUSTE18!$A:$B,2,0),0))),"")&lt;0.01%,0.01%,(IFERROR(IF($AMW6="","",IF($AMW6=0,1,1-$AMW6/HLOOKUP(ANF$3,[2]ARBOR_REAJUSTE18!$A:$AE,VLOOKUP($AMW$2,[2]ARBOR_REAJUSTE18!$A:$B,2,0),0))),""))),4)</f>
        <v>#VALUE!</v>
      </c>
      <c r="ANG6" s="44" t="e">
        <f>ROUNDUP(IF(IFERROR(IF($AMW6="","",IF($AMW6=0,1,1-$AMW6/HLOOKUP(ANG$3,[2]ARBOR_REAJUSTE18!$A:$AE,VLOOKUP($AMW$2,[2]ARBOR_REAJUSTE18!$A:$B,2,0),0))),"")&lt;0.01%,0.01%,(IFERROR(IF($AMW6="","",IF($AMW6=0,1,1-$AMW6/HLOOKUP(ANG$3,[2]ARBOR_REAJUSTE18!$A:$AE,VLOOKUP($AMW$2,[2]ARBOR_REAJUSTE18!$A:$B,2,0),0))),""))),4)</f>
        <v>#VALUE!</v>
      </c>
      <c r="ANH6" s="44" t="e">
        <f>ROUNDUP(IF(IFERROR(IF($AMW6="","",IF($AMW6=0,1,1-$AMW6/HLOOKUP(ANH$3,[2]ARBOR_REAJUSTE18!$A:$AE,VLOOKUP($AMW$2,[2]ARBOR_REAJUSTE18!$A:$B,2,0),0))),"")&lt;0.01%,0.01%,(IFERROR(IF($AMW6="","",IF($AMW6=0,1,1-$AMW6/HLOOKUP(ANH$3,[2]ARBOR_REAJUSTE18!$A:$AE,VLOOKUP($AMW$2,[2]ARBOR_REAJUSTE18!$A:$B,2,0),0))),""))),4)</f>
        <v>#VALUE!</v>
      </c>
      <c r="ANI6" s="44" t="e">
        <f>ROUNDUP(IF(IFERROR(IF($AMW6="","",IF($AMW6=0,1,1-$AMW6/HLOOKUP(ANI$3,[2]ARBOR_REAJUSTE18!$A:$AE,VLOOKUP($AMW$2,[2]ARBOR_REAJUSTE18!$A:$B,2,0),0))),"")&lt;0.01%,0.01%,(IFERROR(IF($AMW6="","",IF($AMW6=0,1,1-$AMW6/HLOOKUP(ANI$3,[2]ARBOR_REAJUSTE18!$A:$AE,VLOOKUP($AMW$2,[2]ARBOR_REAJUSTE18!$A:$B,2,0),0))),""))),4)</f>
        <v>#VALUE!</v>
      </c>
      <c r="ANJ6" s="44" t="e">
        <f>ROUNDUP(IF(IFERROR(IF($AMW6="","",IF($AMW6=0,1,1-$AMW6/HLOOKUP(ANJ$3,[2]ARBOR_REAJUSTE18!$A:$AE,VLOOKUP($AMW$2,[2]ARBOR_REAJUSTE18!$A:$B,2,0),0))),"")&lt;0.01%,0.01%,(IFERROR(IF($AMW6="","",IF($AMW6=0,1,1-$AMW6/HLOOKUP(ANJ$3,[2]ARBOR_REAJUSTE18!$A:$AE,VLOOKUP($AMW$2,[2]ARBOR_REAJUSTE18!$A:$B,2,0),0))),""))),4)</f>
        <v>#VALUE!</v>
      </c>
      <c r="ANK6" s="44" t="e">
        <f>ROUNDUP(IF(IFERROR(IF($AMW6="","",IF($AMW6=0,1,1-$AMW6/HLOOKUP(ANK$3,[2]ARBOR_REAJUSTE18!$A:$AE,VLOOKUP($AMW$2,[2]ARBOR_REAJUSTE18!$A:$B,2,0),0))),"")&lt;0.01%,0.01%,(IFERROR(IF($AMW6="","",IF($AMW6=0,1,1-$AMW6/HLOOKUP(ANK$3,[2]ARBOR_REAJUSTE18!$A:$AE,VLOOKUP($AMW$2,[2]ARBOR_REAJUSTE18!$A:$B,2,0),0))),""))),4)</f>
        <v>#VALUE!</v>
      </c>
      <c r="ANL6" s="44" t="e">
        <f>ROUNDUP(IF(IFERROR(IF($AMW6="","",IF($AMW6=0,1,1-$AMW6/HLOOKUP(ANL$3,[2]ARBOR_REAJUSTE18!$A:$AE,VLOOKUP($AMW$2,[2]ARBOR_REAJUSTE18!$A:$B,2,0),0))),"")&lt;0.01%,0.01%,(IFERROR(IF($AMW6="","",IF($AMW6=0,1,1-$AMW6/HLOOKUP(ANL$3,[2]ARBOR_REAJUSTE18!$A:$AE,VLOOKUP($AMW$2,[2]ARBOR_REAJUSTE18!$A:$B,2,0),0))),""))),4)</f>
        <v>#VALUE!</v>
      </c>
      <c r="ANM6" s="44" t="e">
        <f>ROUNDUP(IF(IFERROR(IF($AMW6="","",IF($AMW6=0,1,1-$AMW6/HLOOKUP(ANM$3,[2]ARBOR_REAJUSTE18!$A:$AE,VLOOKUP($AMW$2,[2]ARBOR_REAJUSTE18!$A:$B,2,0),0))),"")&lt;0.01%,0.01%,(IFERROR(IF($AMW6="","",IF($AMW6=0,1,1-$AMW6/HLOOKUP(ANM$3,[2]ARBOR_REAJUSTE18!$A:$AE,VLOOKUP($AMW$2,[2]ARBOR_REAJUSTE18!$A:$B,2,0),0))),""))),4)</f>
        <v>#VALUE!</v>
      </c>
      <c r="ANN6" s="44" t="e">
        <f>ROUNDUP(IF(IFERROR(IF($AMW6="","",IF($AMW6=0,1,1-$AMW6/HLOOKUP(ANN$3,[2]ARBOR_REAJUSTE18!$A:$AE,VLOOKUP($AMW$2,[2]ARBOR_REAJUSTE18!$A:$B,2,0),0))),"")&lt;0.01%,0.01%,(IFERROR(IF($AMW6="","",IF($AMW6=0,1,1-$AMW6/HLOOKUP(ANN$3,[2]ARBOR_REAJUSTE18!$A:$AE,VLOOKUP($AMW$2,[2]ARBOR_REAJUSTE18!$A:$B,2,0),0))),""))),4)</f>
        <v>#VALUE!</v>
      </c>
      <c r="ANO6" s="44" t="e">
        <f>ROUNDUP(IF(IFERROR(IF($AMW6="","",IF($AMW6=0,1,1-$AMW6/HLOOKUP(ANO$3,[2]ARBOR_REAJUSTE18!$A:$AE,VLOOKUP($AMW$2,[2]ARBOR_REAJUSTE18!$A:$B,2,0),0))),"")&lt;0.01%,0.01%,(IFERROR(IF($AMW6="","",IF($AMW6=0,1,1-$AMW6/HLOOKUP(ANO$3,[2]ARBOR_REAJUSTE18!$A:$AE,VLOOKUP($AMW$2,[2]ARBOR_REAJUSTE18!$A:$B,2,0),0))),""))),4)</f>
        <v>#VALUE!</v>
      </c>
      <c r="ANP6" s="44" t="e">
        <f>ROUNDUP(IF(IFERROR(IF($AMW6="","",IF($AMW6=0,1,1-$AMW6/HLOOKUP(ANP$3,[2]ARBOR_REAJUSTE18!$A:$AE,VLOOKUP($AMW$2,[2]ARBOR_REAJUSTE18!$A:$B,2,0),0))),"")&lt;0.01%,0.01%,(IFERROR(IF($AMW6="","",IF($AMW6=0,1,1-$AMW6/HLOOKUP(ANP$3,[2]ARBOR_REAJUSTE18!$A:$AE,VLOOKUP($AMW$2,[2]ARBOR_REAJUSTE18!$A:$B,2,0),0))),""))),4)</f>
        <v>#VALUE!</v>
      </c>
      <c r="ANQ6" s="44" t="e">
        <f>ROUNDUP(IF(IFERROR(IF($AMW6="","",IF($AMW6=0,1,1-$AMW6/HLOOKUP(ANQ$3,[2]ARBOR_REAJUSTE18!$A:$AE,VLOOKUP($AMW$2,[2]ARBOR_REAJUSTE18!$A:$B,2,0),0))),"")&lt;0.01%,0.01%,(IFERROR(IF($AMW6="","",IF($AMW6=0,1,1-$AMW6/HLOOKUP(ANQ$3,[2]ARBOR_REAJUSTE18!$A:$AE,VLOOKUP($AMW$2,[2]ARBOR_REAJUSTE18!$A:$B,2,0),0))),""))),4)</f>
        <v>#VALUE!</v>
      </c>
      <c r="ANR6" s="44" t="e">
        <f>ROUNDUP(IF(IFERROR(IF($AMW6="","",IF($AMW6=0,1,1-$AMW6/HLOOKUP(ANR$3,[2]ARBOR_REAJUSTE18!$A:$AE,VLOOKUP($AMW$2,[2]ARBOR_REAJUSTE18!$A:$B,2,0),0))),"")&lt;0.01%,0.01%,(IFERROR(IF($AMW6="","",IF($AMW6=0,1,1-$AMW6/HLOOKUP(ANR$3,[2]ARBOR_REAJUSTE18!$A:$AE,VLOOKUP($AMW$2,[2]ARBOR_REAJUSTE18!$A:$B,2,0),0))),""))),4)</f>
        <v>#VALUE!</v>
      </c>
      <c r="ANS6" s="44" t="e">
        <f>ROUNDUP(IF(IFERROR(IF($AMW6="","",IF($AMW6=0,1,1-$AMW6/HLOOKUP(ANS$3,[2]ARBOR_REAJUSTE18!$A:$AE,VLOOKUP($AMW$2,[2]ARBOR_REAJUSTE18!$A:$B,2,0),0))),"")&lt;0.01%,0.01%,(IFERROR(IF($AMW6="","",IF($AMW6=0,1,1-$AMW6/HLOOKUP(ANS$3,[2]ARBOR_REAJUSTE18!$A:$AE,VLOOKUP($AMW$2,[2]ARBOR_REAJUSTE18!$A:$B,2,0),0))),""))),4)</f>
        <v>#VALUE!</v>
      </c>
      <c r="ANT6" s="44" t="e">
        <f>ROUNDUP(IF(IFERROR(IF($AMW6="","",IF($AMW6=0,1,1-$AMW6/HLOOKUP(ANT$3,[2]ARBOR_REAJUSTE18!$A:$AE,VLOOKUP($AMW$2,[2]ARBOR_REAJUSTE18!$A:$B,2,0),0))),"")&lt;0.01%,0.01%,(IFERROR(IF($AMW6="","",IF($AMW6=0,1,1-$AMW6/HLOOKUP(ANT$3,[2]ARBOR_REAJUSTE18!$A:$AE,VLOOKUP($AMW$2,[2]ARBOR_REAJUSTE18!$A:$B,2,0),0))),""))),4)</f>
        <v>#VALUE!</v>
      </c>
      <c r="ANU6" s="44" t="e">
        <f>ROUNDUP(IF(IFERROR(IF($AMW6="","",IF($AMW6=0,1,1-$AMW6/HLOOKUP(ANU$3,[2]ARBOR_REAJUSTE18!$A:$AE,VLOOKUP($AMW$2,[2]ARBOR_REAJUSTE18!$A:$B,2,0),0))),"")&lt;0.01%,0.01%,(IFERROR(IF($AMW6="","",IF($AMW6=0,1,1-$AMW6/HLOOKUP(ANU$3,[2]ARBOR_REAJUSTE18!$A:$AE,VLOOKUP($AMW$2,[2]ARBOR_REAJUSTE18!$A:$B,2,0),0))),""))),4)</f>
        <v>#VALUE!</v>
      </c>
      <c r="ANV6" s="44" t="e">
        <f>ROUNDUP(IF(IFERROR(IF($AMW6="","",IF($AMW6=0,1,1-$AMW6/HLOOKUP(ANV$3,[2]ARBOR_REAJUSTE18!$A:$AE,VLOOKUP($AMW$2,[2]ARBOR_REAJUSTE18!$A:$B,2,0),0))),"")&lt;0.01%,0.01%,(IFERROR(IF($AMW6="","",IF($AMW6=0,1,1-$AMW6/HLOOKUP(ANV$3,[2]ARBOR_REAJUSTE18!$A:$AE,VLOOKUP($AMW$2,[2]ARBOR_REAJUSTE18!$A:$B,2,0),0))),""))),4)</f>
        <v>#VALUE!</v>
      </c>
      <c r="ANW6" s="44" t="e">
        <f>ROUNDUP(IF(IFERROR(IF($AMW6="","",IF($AMW6=0,1,1-$AMW6/HLOOKUP(ANW$3,[2]ARBOR_REAJUSTE18!$A:$AE,VLOOKUP($AMW$2,[2]ARBOR_REAJUSTE18!$A:$B,2,0),0))),"")&lt;0.01%,0.01%,(IFERROR(IF($AMW6="","",IF($AMW6=0,1,1-$AMW6/HLOOKUP(ANW$3,[2]ARBOR_REAJUSTE18!$A:$AE,VLOOKUP($AMW$2,[2]ARBOR_REAJUSTE18!$A:$B,2,0),0))),""))),4)</f>
        <v>#VALUE!</v>
      </c>
      <c r="ANX6" s="44" t="e">
        <f>ROUNDUP(IF(IFERROR(IF($AMW6="","",IF($AMW6=0,1,1-$AMW6/HLOOKUP(ANX$3,[2]ARBOR_REAJUSTE18!$A:$AE,VLOOKUP($AMW$2,[2]ARBOR_REAJUSTE18!$A:$B,2,0),0))),"")&lt;0.01%,0.01%,(IFERROR(IF($AMW6="","",IF($AMW6=0,1,1-$AMW6/HLOOKUP(ANX$3,[2]ARBOR_REAJUSTE18!$A:$AE,VLOOKUP($AMW$2,[2]ARBOR_REAJUSTE18!$A:$B,2,0),0))),""))),4)</f>
        <v>#VALUE!</v>
      </c>
      <c r="ANY6" s="44" t="e">
        <f>ROUNDUP(IF(IFERROR(IF($AMW6="","",IF($AMW6=0,1,1-$AMW6/HLOOKUP(ANY$3,[2]ARBOR_REAJUSTE18!$A:$AE,VLOOKUP($AMW$2,[2]ARBOR_REAJUSTE18!$A:$B,2,0),0))),"")&lt;0.01%,0.01%,(IFERROR(IF($AMW6="","",IF($AMW6=0,1,1-$AMW6/HLOOKUP(ANY$3,[2]ARBOR_REAJUSTE18!$A:$AE,VLOOKUP($AMW$2,[2]ARBOR_REAJUSTE18!$A:$B,2,0),0))),""))),4)</f>
        <v>#VALUE!</v>
      </c>
      <c r="ANZ6" s="56"/>
      <c r="AOA6" s="64"/>
      <c r="AOB6" s="44" t="e">
        <f>ROUNDUP(IF(IFERROR(IF($ANZ6="","",IF($ANZ6=0,1,1-$ANZ6/HLOOKUP(AOB$3,[2]ARBOR_REAJUSTE18!$A:$AE,VLOOKUP($ANZ$2,[2]ARBOR_REAJUSTE18!$A:$B,2,0),0))),"")&lt;0.01%,0.01%,(IFERROR(IF($ANZ6="","",IF($ANZ6=0,1,1-$ANZ6/HLOOKUP(AOB$3,[2]ARBOR_REAJUSTE18!$A:$AE,VLOOKUP($ANZ$2,[2]ARBOR_REAJUSTE18!$A:$B,2,0),0))),""))),4)</f>
        <v>#VALUE!</v>
      </c>
      <c r="AOC6" s="44" t="e">
        <f>ROUNDUP(IF(IFERROR(IF($ANZ6="","",IF($ANZ6=0,1,1-$ANZ6/HLOOKUP(AOC$3,[2]ARBOR_REAJUSTE18!$A:$AE,VLOOKUP($ANZ$2,[2]ARBOR_REAJUSTE18!$A:$B,2,0),0))),"")&lt;0.01%,0.01%,(IFERROR(IF($ANZ6="","",IF($ANZ6=0,1,1-$ANZ6/HLOOKUP(AOC$3,[2]ARBOR_REAJUSTE18!$A:$AE,VLOOKUP($ANZ$2,[2]ARBOR_REAJUSTE18!$A:$B,2,0),0))),""))),4)</f>
        <v>#VALUE!</v>
      </c>
      <c r="AOD6" s="44" t="e">
        <f>ROUNDUP(IF(IFERROR(IF($ANZ6="","",IF($ANZ6=0,1,1-$ANZ6/HLOOKUP(AOD$3,[2]ARBOR_REAJUSTE18!$A:$AE,VLOOKUP($ANZ$2,[2]ARBOR_REAJUSTE18!$A:$B,2,0),0))),"")&lt;0.01%,0.01%,(IFERROR(IF($ANZ6="","",IF($ANZ6=0,1,1-$ANZ6/HLOOKUP(AOD$3,[2]ARBOR_REAJUSTE18!$A:$AE,VLOOKUP($ANZ$2,[2]ARBOR_REAJUSTE18!$A:$B,2,0),0))),""))),4)</f>
        <v>#VALUE!</v>
      </c>
      <c r="AOE6" s="44" t="e">
        <f>ROUNDUP(IF(IFERROR(IF($ANZ6="","",IF($ANZ6=0,1,1-$ANZ6/HLOOKUP(AOE$3,[2]ARBOR_REAJUSTE18!$A:$AE,VLOOKUP($ANZ$2,[2]ARBOR_REAJUSTE18!$A:$B,2,0),0))),"")&lt;0.01%,0.01%,(IFERROR(IF($ANZ6="","",IF($ANZ6=0,1,1-$ANZ6/HLOOKUP(AOE$3,[2]ARBOR_REAJUSTE18!$A:$AE,VLOOKUP($ANZ$2,[2]ARBOR_REAJUSTE18!$A:$B,2,0),0))),""))),4)</f>
        <v>#VALUE!</v>
      </c>
      <c r="AOF6" s="44" t="e">
        <f>ROUNDUP(IF(IFERROR(IF($ANZ6="","",IF($ANZ6=0,1,1-$ANZ6/HLOOKUP(AOF$3,[2]ARBOR_REAJUSTE18!$A:$AE,VLOOKUP($ANZ$2,[2]ARBOR_REAJUSTE18!$A:$B,2,0),0))),"")&lt;0.01%,0.01%,(IFERROR(IF($ANZ6="","",IF($ANZ6=0,1,1-$ANZ6/HLOOKUP(AOF$3,[2]ARBOR_REAJUSTE18!$A:$AE,VLOOKUP($ANZ$2,[2]ARBOR_REAJUSTE18!$A:$B,2,0),0))),""))),4)</f>
        <v>#VALUE!</v>
      </c>
      <c r="AOG6" s="44" t="e">
        <f>ROUNDUP(IF(IFERROR(IF($ANZ6="","",IF($ANZ6=0,1,1-$ANZ6/HLOOKUP(AOG$3,[2]ARBOR_REAJUSTE18!$A:$AE,VLOOKUP($ANZ$2,[2]ARBOR_REAJUSTE18!$A:$B,2,0),0))),"")&lt;0.01%,0.01%,(IFERROR(IF($ANZ6="","",IF($ANZ6=0,1,1-$ANZ6/HLOOKUP(AOG$3,[2]ARBOR_REAJUSTE18!$A:$AE,VLOOKUP($ANZ$2,[2]ARBOR_REAJUSTE18!$A:$B,2,0),0))),""))),4)</f>
        <v>#VALUE!</v>
      </c>
      <c r="AOH6" s="44" t="e">
        <f>ROUNDUP(IF(IFERROR(IF($ANZ6="","",IF($ANZ6=0,1,1-$ANZ6/HLOOKUP(AOH$3,[2]ARBOR_REAJUSTE18!$A:$AE,VLOOKUP($ANZ$2,[2]ARBOR_REAJUSTE18!$A:$B,2,0),0))),"")&lt;0.01%,0.01%,(IFERROR(IF($ANZ6="","",IF($ANZ6=0,1,1-$ANZ6/HLOOKUP(AOH$3,[2]ARBOR_REAJUSTE18!$A:$AE,VLOOKUP($ANZ$2,[2]ARBOR_REAJUSTE18!$A:$B,2,0),0))),""))),4)</f>
        <v>#VALUE!</v>
      </c>
      <c r="AOI6" s="44" t="e">
        <f>ROUNDUP(IF(IFERROR(IF($ANZ6="","",IF($ANZ6=0,1,1-$ANZ6/HLOOKUP(AOI$3,[2]ARBOR_REAJUSTE18!$A:$AE,VLOOKUP($ANZ$2,[2]ARBOR_REAJUSTE18!$A:$B,2,0),0))),"")&lt;0.01%,0.01%,(IFERROR(IF($ANZ6="","",IF($ANZ6=0,1,1-$ANZ6/HLOOKUP(AOI$3,[2]ARBOR_REAJUSTE18!$A:$AE,VLOOKUP($ANZ$2,[2]ARBOR_REAJUSTE18!$A:$B,2,0),0))),""))),4)</f>
        <v>#VALUE!</v>
      </c>
      <c r="AOJ6" s="44" t="e">
        <f>ROUNDUP(IF(IFERROR(IF($ANZ6="","",IF($ANZ6=0,1,1-$ANZ6/HLOOKUP(AOJ$3,[2]ARBOR_REAJUSTE18!$A:$AE,VLOOKUP($ANZ$2,[2]ARBOR_REAJUSTE18!$A:$B,2,0),0))),"")&lt;0.01%,0.01%,(IFERROR(IF($ANZ6="","",IF($ANZ6=0,1,1-$ANZ6/HLOOKUP(AOJ$3,[2]ARBOR_REAJUSTE18!$A:$AE,VLOOKUP($ANZ$2,[2]ARBOR_REAJUSTE18!$A:$B,2,0),0))),""))),4)</f>
        <v>#VALUE!</v>
      </c>
      <c r="AOK6" s="44" t="e">
        <f>ROUNDUP(IF(IFERROR(IF($ANZ6="","",IF($ANZ6=0,1,1-$ANZ6/HLOOKUP(AOK$3,[2]ARBOR_REAJUSTE18!$A:$AE,VLOOKUP($ANZ$2,[2]ARBOR_REAJUSTE18!$A:$B,2,0),0))),"")&lt;0.01%,0.01%,(IFERROR(IF($ANZ6="","",IF($ANZ6=0,1,1-$ANZ6/HLOOKUP(AOK$3,[2]ARBOR_REAJUSTE18!$A:$AE,VLOOKUP($ANZ$2,[2]ARBOR_REAJUSTE18!$A:$B,2,0),0))),""))),4)</f>
        <v>#VALUE!</v>
      </c>
      <c r="AOL6" s="44" t="e">
        <f>ROUNDUP(IF(IFERROR(IF($ANZ6="","",IF($ANZ6=0,1,1-$ANZ6/HLOOKUP(AOL$3,[2]ARBOR_REAJUSTE18!$A:$AE,VLOOKUP($ANZ$2,[2]ARBOR_REAJUSTE18!$A:$B,2,0),0))),"")&lt;0.01%,0.01%,(IFERROR(IF($ANZ6="","",IF($ANZ6=0,1,1-$ANZ6/HLOOKUP(AOL$3,[2]ARBOR_REAJUSTE18!$A:$AE,VLOOKUP($ANZ$2,[2]ARBOR_REAJUSTE18!$A:$B,2,0),0))),""))),4)</f>
        <v>#VALUE!</v>
      </c>
      <c r="AOM6" s="44" t="e">
        <f>ROUNDUP(IF(IFERROR(IF($ANZ6="","",IF($ANZ6=0,1,1-$ANZ6/HLOOKUP(AOM$3,[2]ARBOR_REAJUSTE18!$A:$AE,VLOOKUP($ANZ$2,[2]ARBOR_REAJUSTE18!$A:$B,2,0),0))),"")&lt;0.01%,0.01%,(IFERROR(IF($ANZ6="","",IF($ANZ6=0,1,1-$ANZ6/HLOOKUP(AOM$3,[2]ARBOR_REAJUSTE18!$A:$AE,VLOOKUP($ANZ$2,[2]ARBOR_REAJUSTE18!$A:$B,2,0),0))),""))),4)</f>
        <v>#VALUE!</v>
      </c>
      <c r="AON6" s="44" t="e">
        <f>ROUNDUP(IF(IFERROR(IF($ANZ6="","",IF($ANZ6=0,1,1-$ANZ6/HLOOKUP(AON$3,[2]ARBOR_REAJUSTE18!$A:$AE,VLOOKUP($ANZ$2,[2]ARBOR_REAJUSTE18!$A:$B,2,0),0))),"")&lt;0.01%,0.01%,(IFERROR(IF($ANZ6="","",IF($ANZ6=0,1,1-$ANZ6/HLOOKUP(AON$3,[2]ARBOR_REAJUSTE18!$A:$AE,VLOOKUP($ANZ$2,[2]ARBOR_REAJUSTE18!$A:$B,2,0),0))),""))),4)</f>
        <v>#VALUE!</v>
      </c>
      <c r="AOO6" s="44" t="e">
        <f>ROUNDUP(IF(IFERROR(IF($ANZ6="","",IF($ANZ6=0,1,1-$ANZ6/HLOOKUP(AOO$3,[2]ARBOR_REAJUSTE18!$A:$AE,VLOOKUP($ANZ$2,[2]ARBOR_REAJUSTE18!$A:$B,2,0),0))),"")&lt;0.01%,0.01%,(IFERROR(IF($ANZ6="","",IF($ANZ6=0,1,1-$ANZ6/HLOOKUP(AOO$3,[2]ARBOR_REAJUSTE18!$A:$AE,VLOOKUP($ANZ$2,[2]ARBOR_REAJUSTE18!$A:$B,2,0),0))),""))),4)</f>
        <v>#VALUE!</v>
      </c>
      <c r="AOP6" s="44" t="e">
        <f>ROUNDUP(IF(IFERROR(IF($ANZ6="","",IF($ANZ6=0,1,1-$ANZ6/HLOOKUP(AOP$3,[2]ARBOR_REAJUSTE18!$A:$AE,VLOOKUP($ANZ$2,[2]ARBOR_REAJUSTE18!$A:$B,2,0),0))),"")&lt;0.01%,0.01%,(IFERROR(IF($ANZ6="","",IF($ANZ6=0,1,1-$ANZ6/HLOOKUP(AOP$3,[2]ARBOR_REAJUSTE18!$A:$AE,VLOOKUP($ANZ$2,[2]ARBOR_REAJUSTE18!$A:$B,2,0),0))),""))),4)</f>
        <v>#VALUE!</v>
      </c>
      <c r="AOQ6" s="44" t="e">
        <f>ROUNDUP(IF(IFERROR(IF($ANZ6="","",IF($ANZ6=0,1,1-$ANZ6/HLOOKUP(AOQ$3,[2]ARBOR_REAJUSTE18!$A:$AE,VLOOKUP($ANZ$2,[2]ARBOR_REAJUSTE18!$A:$B,2,0),0))),"")&lt;0.01%,0.01%,(IFERROR(IF($ANZ6="","",IF($ANZ6=0,1,1-$ANZ6/HLOOKUP(AOQ$3,[2]ARBOR_REAJUSTE18!$A:$AE,VLOOKUP($ANZ$2,[2]ARBOR_REAJUSTE18!$A:$B,2,0),0))),""))),4)</f>
        <v>#VALUE!</v>
      </c>
      <c r="AOR6" s="44" t="e">
        <f>ROUNDUP(IF(IFERROR(IF($ANZ6="","",IF($ANZ6=0,1,1-$ANZ6/HLOOKUP(AOR$3,[2]ARBOR_REAJUSTE18!$A:$AE,VLOOKUP($ANZ$2,[2]ARBOR_REAJUSTE18!$A:$B,2,0),0))),"")&lt;0.01%,0.01%,(IFERROR(IF($ANZ6="","",IF($ANZ6=0,1,1-$ANZ6/HLOOKUP(AOR$3,[2]ARBOR_REAJUSTE18!$A:$AE,VLOOKUP($ANZ$2,[2]ARBOR_REAJUSTE18!$A:$B,2,0),0))),""))),4)</f>
        <v>#VALUE!</v>
      </c>
      <c r="AOS6" s="44" t="e">
        <f>ROUNDUP(IF(IFERROR(IF($ANZ6="","",IF($ANZ6=0,1,1-$ANZ6/HLOOKUP(AOS$3,[2]ARBOR_REAJUSTE18!$A:$AE,VLOOKUP($ANZ$2,[2]ARBOR_REAJUSTE18!$A:$B,2,0),0))),"")&lt;0.01%,0.01%,(IFERROR(IF($ANZ6="","",IF($ANZ6=0,1,1-$ANZ6/HLOOKUP(AOS$3,[2]ARBOR_REAJUSTE18!$A:$AE,VLOOKUP($ANZ$2,[2]ARBOR_REAJUSTE18!$A:$B,2,0),0))),""))),4)</f>
        <v>#VALUE!</v>
      </c>
      <c r="AOT6" s="44" t="e">
        <f>ROUNDUP(IF(IFERROR(IF($ANZ6="","",IF($ANZ6=0,1,1-$ANZ6/HLOOKUP(AOT$3,[2]ARBOR_REAJUSTE18!$A:$AE,VLOOKUP($ANZ$2,[2]ARBOR_REAJUSTE18!$A:$B,2,0),0))),"")&lt;0.01%,0.01%,(IFERROR(IF($ANZ6="","",IF($ANZ6=0,1,1-$ANZ6/HLOOKUP(AOT$3,[2]ARBOR_REAJUSTE18!$A:$AE,VLOOKUP($ANZ$2,[2]ARBOR_REAJUSTE18!$A:$B,2,0),0))),""))),4)</f>
        <v>#VALUE!</v>
      </c>
      <c r="AOU6" s="44" t="e">
        <f>ROUNDUP(IF(IFERROR(IF($ANZ6="","",IF($ANZ6=0,1,1-$ANZ6/HLOOKUP(AOU$3,[2]ARBOR_REAJUSTE18!$A:$AE,VLOOKUP($ANZ$2,[2]ARBOR_REAJUSTE18!$A:$B,2,0),0))),"")&lt;0.01%,0.01%,(IFERROR(IF($ANZ6="","",IF($ANZ6=0,1,1-$ANZ6/HLOOKUP(AOU$3,[2]ARBOR_REAJUSTE18!$A:$AE,VLOOKUP($ANZ$2,[2]ARBOR_REAJUSTE18!$A:$B,2,0),0))),""))),4)</f>
        <v>#VALUE!</v>
      </c>
      <c r="AOV6" s="44" t="e">
        <f>ROUNDUP(IF(IFERROR(IF($ANZ6="","",IF($ANZ6=0,1,1-$ANZ6/HLOOKUP(AOV$3,[2]ARBOR_REAJUSTE18!$A:$AE,VLOOKUP($ANZ$2,[2]ARBOR_REAJUSTE18!$A:$B,2,0),0))),"")&lt;0.01%,0.01%,(IFERROR(IF($ANZ6="","",IF($ANZ6=0,1,1-$ANZ6/HLOOKUP(AOV$3,[2]ARBOR_REAJUSTE18!$A:$AE,VLOOKUP($ANZ$2,[2]ARBOR_REAJUSTE18!$A:$B,2,0),0))),""))),4)</f>
        <v>#VALUE!</v>
      </c>
      <c r="AOW6" s="44" t="e">
        <f>ROUNDUP(IF(IFERROR(IF($ANZ6="","",IF($ANZ6=0,1,1-$ANZ6/HLOOKUP(AOW$3,[2]ARBOR_REAJUSTE18!$A:$AE,VLOOKUP($ANZ$2,[2]ARBOR_REAJUSTE18!$A:$B,2,0),0))),"")&lt;0.01%,0.01%,(IFERROR(IF($ANZ6="","",IF($ANZ6=0,1,1-$ANZ6/HLOOKUP(AOW$3,[2]ARBOR_REAJUSTE18!$A:$AE,VLOOKUP($ANZ$2,[2]ARBOR_REAJUSTE18!$A:$B,2,0),0))),""))),4)</f>
        <v>#VALUE!</v>
      </c>
      <c r="AOX6" s="44" t="e">
        <f>ROUNDUP(IF(IFERROR(IF($ANZ6="","",IF($ANZ6=0,1,1-$ANZ6/HLOOKUP(AOX$3,[2]ARBOR_REAJUSTE18!$A:$AE,VLOOKUP($ANZ$2,[2]ARBOR_REAJUSTE18!$A:$B,2,0),0))),"")&lt;0.01%,0.01%,(IFERROR(IF($ANZ6="","",IF($ANZ6=0,1,1-$ANZ6/HLOOKUP(AOX$3,[2]ARBOR_REAJUSTE18!$A:$AE,VLOOKUP($ANZ$2,[2]ARBOR_REAJUSTE18!$A:$B,2,0),0))),""))),4)</f>
        <v>#VALUE!</v>
      </c>
      <c r="AOY6" s="44" t="e">
        <f>ROUNDUP(IF(IFERROR(IF($ANZ6="","",IF($ANZ6=0,1,1-$ANZ6/HLOOKUP(AOY$3,[2]ARBOR_REAJUSTE18!$A:$AE,VLOOKUP($ANZ$2,[2]ARBOR_REAJUSTE18!$A:$B,2,0),0))),"")&lt;0.01%,0.01%,(IFERROR(IF($ANZ6="","",IF($ANZ6=0,1,1-$ANZ6/HLOOKUP(AOY$3,[2]ARBOR_REAJUSTE18!$A:$AE,VLOOKUP($ANZ$2,[2]ARBOR_REAJUSTE18!$A:$B,2,0),0))),""))),4)</f>
        <v>#VALUE!</v>
      </c>
      <c r="AOZ6" s="44" t="e">
        <f>ROUNDUP(IF(IFERROR(IF($ANZ6="","",IF($ANZ6=0,1,1-$ANZ6/HLOOKUP(AOZ$3,[2]ARBOR_REAJUSTE18!$A:$AE,VLOOKUP($ANZ$2,[2]ARBOR_REAJUSTE18!$A:$B,2,0),0))),"")&lt;0.01%,0.01%,(IFERROR(IF($ANZ6="","",IF($ANZ6=0,1,1-$ANZ6/HLOOKUP(AOZ$3,[2]ARBOR_REAJUSTE18!$A:$AE,VLOOKUP($ANZ$2,[2]ARBOR_REAJUSTE18!$A:$B,2,0),0))),""))),4)</f>
        <v>#VALUE!</v>
      </c>
      <c r="APA6" s="44" t="e">
        <f>ROUNDUP(IF(IFERROR(IF($ANZ6="","",IF($ANZ6=0,1,1-$ANZ6/HLOOKUP(APA$3,[2]ARBOR_REAJUSTE18!$A:$AE,VLOOKUP($ANZ$2,[2]ARBOR_REAJUSTE18!$A:$B,2,0),0))),"")&lt;0.01%,0.01%,(IFERROR(IF($ANZ6="","",IF($ANZ6=0,1,1-$ANZ6/HLOOKUP(APA$3,[2]ARBOR_REAJUSTE18!$A:$AE,VLOOKUP($ANZ$2,[2]ARBOR_REAJUSTE18!$A:$B,2,0),0))),""))),4)</f>
        <v>#VALUE!</v>
      </c>
      <c r="APB6" s="44" t="e">
        <f>ROUNDUP(IF(IFERROR(IF($ANZ6="","",IF($ANZ6=0,1,1-$ANZ6/HLOOKUP(APB$3,[2]ARBOR_REAJUSTE18!$A:$AE,VLOOKUP($ANZ$2,[2]ARBOR_REAJUSTE18!$A:$B,2,0),0))),"")&lt;0.01%,0.01%,(IFERROR(IF($ANZ6="","",IF($ANZ6=0,1,1-$ANZ6/HLOOKUP(APB$3,[2]ARBOR_REAJUSTE18!$A:$AE,VLOOKUP($ANZ$2,[2]ARBOR_REAJUSTE18!$A:$B,2,0),0))),""))),4)</f>
        <v>#VALUE!</v>
      </c>
      <c r="APC6" s="56"/>
      <c r="APD6" s="64"/>
      <c r="APE6" s="44" t="e">
        <f>ROUNDUP(IF(IFERROR(IF($APC6="","",IF($APC6=0,1,1-$APC6/HLOOKUP(APE$3,[2]ARBOR_REAJUSTE18!$A:$AE,VLOOKUP($APC$2,[2]ARBOR_REAJUSTE18!$A:$B,2,0),0))),"")&lt;0.01%,0.01%,(IFERROR(IF($APC6="","",IF($APC6=0,1,1-$APC6/HLOOKUP(APE$3,[2]ARBOR_REAJUSTE18!$A:$AE,VLOOKUP($APC$2,[2]ARBOR_REAJUSTE18!$A:$B,2,0),0))),""))),4)</f>
        <v>#VALUE!</v>
      </c>
      <c r="APF6" s="44" t="e">
        <f>ROUNDUP(IF(IFERROR(IF($APC6="","",IF($APC6=0,1,1-$APC6/HLOOKUP(APF$3,[2]ARBOR_REAJUSTE18!$A:$AE,VLOOKUP($APC$2,[2]ARBOR_REAJUSTE18!$A:$B,2,0),0))),"")&lt;0.01%,0.01%,(IFERROR(IF($APC6="","",IF($APC6=0,1,1-$APC6/HLOOKUP(APF$3,[2]ARBOR_REAJUSTE18!$A:$AE,VLOOKUP($APC$2,[2]ARBOR_REAJUSTE18!$A:$B,2,0),0))),""))),4)</f>
        <v>#VALUE!</v>
      </c>
      <c r="APG6" s="44" t="e">
        <f>ROUNDUP(IF(IFERROR(IF($APC6="","",IF($APC6=0,1,1-$APC6/HLOOKUP(APG$3,[2]ARBOR_REAJUSTE18!$A:$AE,VLOOKUP($APC$2,[2]ARBOR_REAJUSTE18!$A:$B,2,0),0))),"")&lt;0.01%,0.01%,(IFERROR(IF($APC6="","",IF($APC6=0,1,1-$APC6/HLOOKUP(APG$3,[2]ARBOR_REAJUSTE18!$A:$AE,VLOOKUP($APC$2,[2]ARBOR_REAJUSTE18!$A:$B,2,0),0))),""))),4)</f>
        <v>#VALUE!</v>
      </c>
      <c r="APH6" s="44" t="e">
        <f>ROUNDUP(IF(IFERROR(IF($APC6="","",IF($APC6=0,1,1-$APC6/HLOOKUP(APH$3,[2]ARBOR_REAJUSTE18!$A:$AE,VLOOKUP($APC$2,[2]ARBOR_REAJUSTE18!$A:$B,2,0),0))),"")&lt;0.01%,0.01%,(IFERROR(IF($APC6="","",IF($APC6=0,1,1-$APC6/HLOOKUP(APH$3,[2]ARBOR_REAJUSTE18!$A:$AE,VLOOKUP($APC$2,[2]ARBOR_REAJUSTE18!$A:$B,2,0),0))),""))),4)</f>
        <v>#VALUE!</v>
      </c>
      <c r="API6" s="44" t="e">
        <f>ROUNDUP(IF(IFERROR(IF($APC6="","",IF($APC6=0,1,1-$APC6/HLOOKUP(API$3,[2]ARBOR_REAJUSTE18!$A:$AE,VLOOKUP($APC$2,[2]ARBOR_REAJUSTE18!$A:$B,2,0),0))),"")&lt;0.01%,0.01%,(IFERROR(IF($APC6="","",IF($APC6=0,1,1-$APC6/HLOOKUP(API$3,[2]ARBOR_REAJUSTE18!$A:$AE,VLOOKUP($APC$2,[2]ARBOR_REAJUSTE18!$A:$B,2,0),0))),""))),4)</f>
        <v>#VALUE!</v>
      </c>
      <c r="APJ6" s="44" t="e">
        <f>ROUNDUP(IF(IFERROR(IF($APC6="","",IF($APC6=0,1,1-$APC6/HLOOKUP(APJ$3,[2]ARBOR_REAJUSTE18!$A:$AE,VLOOKUP($APC$2,[2]ARBOR_REAJUSTE18!$A:$B,2,0),0))),"")&lt;0.01%,0.01%,(IFERROR(IF($APC6="","",IF($APC6=0,1,1-$APC6/HLOOKUP(APJ$3,[2]ARBOR_REAJUSTE18!$A:$AE,VLOOKUP($APC$2,[2]ARBOR_REAJUSTE18!$A:$B,2,0),0))),""))),4)</f>
        <v>#VALUE!</v>
      </c>
      <c r="APK6" s="44" t="e">
        <f>ROUNDUP(IF(IFERROR(IF($APC6="","",IF($APC6=0,1,1-$APC6/HLOOKUP(APK$3,[2]ARBOR_REAJUSTE18!$A:$AE,VLOOKUP($APC$2,[2]ARBOR_REAJUSTE18!$A:$B,2,0),0))),"")&lt;0.01%,0.01%,(IFERROR(IF($APC6="","",IF($APC6=0,1,1-$APC6/HLOOKUP(APK$3,[2]ARBOR_REAJUSTE18!$A:$AE,VLOOKUP($APC$2,[2]ARBOR_REAJUSTE18!$A:$B,2,0),0))),""))),4)</f>
        <v>#VALUE!</v>
      </c>
      <c r="APL6" s="44" t="e">
        <f>ROUNDUP(IF(IFERROR(IF($APC6="","",IF($APC6=0,1,1-$APC6/HLOOKUP(APL$3,[2]ARBOR_REAJUSTE18!$A:$AE,VLOOKUP($APC$2,[2]ARBOR_REAJUSTE18!$A:$B,2,0),0))),"")&lt;0.01%,0.01%,(IFERROR(IF($APC6="","",IF($APC6=0,1,1-$APC6/HLOOKUP(APL$3,[2]ARBOR_REAJUSTE18!$A:$AE,VLOOKUP($APC$2,[2]ARBOR_REAJUSTE18!$A:$B,2,0),0))),""))),4)</f>
        <v>#VALUE!</v>
      </c>
      <c r="APM6" s="44" t="e">
        <f>ROUNDUP(IF(IFERROR(IF($APC6="","",IF($APC6=0,1,1-$APC6/HLOOKUP(APM$3,[2]ARBOR_REAJUSTE18!$A:$AE,VLOOKUP($APC$2,[2]ARBOR_REAJUSTE18!$A:$B,2,0),0))),"")&lt;0.01%,0.01%,(IFERROR(IF($APC6="","",IF($APC6=0,1,1-$APC6/HLOOKUP(APM$3,[2]ARBOR_REAJUSTE18!$A:$AE,VLOOKUP($APC$2,[2]ARBOR_REAJUSTE18!$A:$B,2,0),0))),""))),4)</f>
        <v>#VALUE!</v>
      </c>
      <c r="APN6" s="44" t="e">
        <f>ROUNDUP(IF(IFERROR(IF($APC6="","",IF($APC6=0,1,1-$APC6/HLOOKUP(APN$3,[2]ARBOR_REAJUSTE18!$A:$AE,VLOOKUP($APC$2,[2]ARBOR_REAJUSTE18!$A:$B,2,0),0))),"")&lt;0.01%,0.01%,(IFERROR(IF($APC6="","",IF($APC6=0,1,1-$APC6/HLOOKUP(APN$3,[2]ARBOR_REAJUSTE18!$A:$AE,VLOOKUP($APC$2,[2]ARBOR_REAJUSTE18!$A:$B,2,0),0))),""))),4)</f>
        <v>#VALUE!</v>
      </c>
      <c r="APO6" s="44" t="e">
        <f>ROUNDUP(IF(IFERROR(IF($APC6="","",IF($APC6=0,1,1-$APC6/HLOOKUP(APO$3,[2]ARBOR_REAJUSTE18!$A:$AE,VLOOKUP($APC$2,[2]ARBOR_REAJUSTE18!$A:$B,2,0),0))),"")&lt;0.01%,0.01%,(IFERROR(IF($APC6="","",IF($APC6=0,1,1-$APC6/HLOOKUP(APO$3,[2]ARBOR_REAJUSTE18!$A:$AE,VLOOKUP($APC$2,[2]ARBOR_REAJUSTE18!$A:$B,2,0),0))),""))),4)</f>
        <v>#VALUE!</v>
      </c>
      <c r="APP6" s="44" t="e">
        <f>ROUNDUP(IF(IFERROR(IF($APC6="","",IF($APC6=0,1,1-$APC6/HLOOKUP(APP$3,[2]ARBOR_REAJUSTE18!$A:$AE,VLOOKUP($APC$2,[2]ARBOR_REAJUSTE18!$A:$B,2,0),0))),"")&lt;0.01%,0.01%,(IFERROR(IF($APC6="","",IF($APC6=0,1,1-$APC6/HLOOKUP(APP$3,[2]ARBOR_REAJUSTE18!$A:$AE,VLOOKUP($APC$2,[2]ARBOR_REAJUSTE18!$A:$B,2,0),0))),""))),4)</f>
        <v>#VALUE!</v>
      </c>
      <c r="APQ6" s="44" t="e">
        <f>ROUNDUP(IF(IFERROR(IF($APC6="","",IF($APC6=0,1,1-$APC6/HLOOKUP(APQ$3,[2]ARBOR_REAJUSTE18!$A:$AE,VLOOKUP($APC$2,[2]ARBOR_REAJUSTE18!$A:$B,2,0),0))),"")&lt;0.01%,0.01%,(IFERROR(IF($APC6="","",IF($APC6=0,1,1-$APC6/HLOOKUP(APQ$3,[2]ARBOR_REAJUSTE18!$A:$AE,VLOOKUP($APC$2,[2]ARBOR_REAJUSTE18!$A:$B,2,0),0))),""))),4)</f>
        <v>#VALUE!</v>
      </c>
      <c r="APR6" s="44" t="e">
        <f>ROUNDUP(IF(IFERROR(IF($APC6="","",IF($APC6=0,1,1-$APC6/HLOOKUP(APR$3,[2]ARBOR_REAJUSTE18!$A:$AE,VLOOKUP($APC$2,[2]ARBOR_REAJUSTE18!$A:$B,2,0),0))),"")&lt;0.01%,0.01%,(IFERROR(IF($APC6="","",IF($APC6=0,1,1-$APC6/HLOOKUP(APR$3,[2]ARBOR_REAJUSTE18!$A:$AE,VLOOKUP($APC$2,[2]ARBOR_REAJUSTE18!$A:$B,2,0),0))),""))),4)</f>
        <v>#VALUE!</v>
      </c>
      <c r="APS6" s="44" t="e">
        <f>ROUNDUP(IF(IFERROR(IF($APC6="","",IF($APC6=0,1,1-$APC6/HLOOKUP(APS$3,[2]ARBOR_REAJUSTE18!$A:$AE,VLOOKUP($APC$2,[2]ARBOR_REAJUSTE18!$A:$B,2,0),0))),"")&lt;0.01%,0.01%,(IFERROR(IF($APC6="","",IF($APC6=0,1,1-$APC6/HLOOKUP(APS$3,[2]ARBOR_REAJUSTE18!$A:$AE,VLOOKUP($APC$2,[2]ARBOR_REAJUSTE18!$A:$B,2,0),0))),""))),4)</f>
        <v>#VALUE!</v>
      </c>
      <c r="APT6" s="44" t="e">
        <f>ROUNDUP(IF(IFERROR(IF($APC6="","",IF($APC6=0,1,1-$APC6/HLOOKUP(APT$3,[2]ARBOR_REAJUSTE18!$A:$AE,VLOOKUP($APC$2,[2]ARBOR_REAJUSTE18!$A:$B,2,0),0))),"")&lt;0.01%,0.01%,(IFERROR(IF($APC6="","",IF($APC6=0,1,1-$APC6/HLOOKUP(APT$3,[2]ARBOR_REAJUSTE18!$A:$AE,VLOOKUP($APC$2,[2]ARBOR_REAJUSTE18!$A:$B,2,0),0))),""))),4)</f>
        <v>#VALUE!</v>
      </c>
      <c r="APU6" s="44" t="e">
        <f>ROUNDUP(IF(IFERROR(IF($APC6="","",IF($APC6=0,1,1-$APC6/HLOOKUP(APU$3,[2]ARBOR_REAJUSTE18!$A:$AE,VLOOKUP($APC$2,[2]ARBOR_REAJUSTE18!$A:$B,2,0),0))),"")&lt;0.01%,0.01%,(IFERROR(IF($APC6="","",IF($APC6=0,1,1-$APC6/HLOOKUP(APU$3,[2]ARBOR_REAJUSTE18!$A:$AE,VLOOKUP($APC$2,[2]ARBOR_REAJUSTE18!$A:$B,2,0),0))),""))),4)</f>
        <v>#VALUE!</v>
      </c>
      <c r="APV6" s="44" t="e">
        <f>ROUNDUP(IF(IFERROR(IF($APC6="","",IF($APC6=0,1,1-$APC6/HLOOKUP(APV$3,[2]ARBOR_REAJUSTE18!$A:$AE,VLOOKUP($APC$2,[2]ARBOR_REAJUSTE18!$A:$B,2,0),0))),"")&lt;0.01%,0.01%,(IFERROR(IF($APC6="","",IF($APC6=0,1,1-$APC6/HLOOKUP(APV$3,[2]ARBOR_REAJUSTE18!$A:$AE,VLOOKUP($APC$2,[2]ARBOR_REAJUSTE18!$A:$B,2,0),0))),""))),4)</f>
        <v>#VALUE!</v>
      </c>
      <c r="APW6" s="44" t="e">
        <f>ROUNDUP(IF(IFERROR(IF($APC6="","",IF($APC6=0,1,1-$APC6/HLOOKUP(APW$3,[2]ARBOR_REAJUSTE18!$A:$AE,VLOOKUP($APC$2,[2]ARBOR_REAJUSTE18!$A:$B,2,0),0))),"")&lt;0.01%,0.01%,(IFERROR(IF($APC6="","",IF($APC6=0,1,1-$APC6/HLOOKUP(APW$3,[2]ARBOR_REAJUSTE18!$A:$AE,VLOOKUP($APC$2,[2]ARBOR_REAJUSTE18!$A:$B,2,0),0))),""))),4)</f>
        <v>#VALUE!</v>
      </c>
      <c r="APX6" s="44" t="e">
        <f>ROUNDUP(IF(IFERROR(IF($APC6="","",IF($APC6=0,1,1-$APC6/HLOOKUP(APX$3,[2]ARBOR_REAJUSTE18!$A:$AE,VLOOKUP($APC$2,[2]ARBOR_REAJUSTE18!$A:$B,2,0),0))),"")&lt;0.01%,0.01%,(IFERROR(IF($APC6="","",IF($APC6=0,1,1-$APC6/HLOOKUP(APX$3,[2]ARBOR_REAJUSTE18!$A:$AE,VLOOKUP($APC$2,[2]ARBOR_REAJUSTE18!$A:$B,2,0),0))),""))),4)</f>
        <v>#VALUE!</v>
      </c>
      <c r="APY6" s="44" t="e">
        <f>ROUNDUP(IF(IFERROR(IF($APC6="","",IF($APC6=0,1,1-$APC6/HLOOKUP(APY$3,[2]ARBOR_REAJUSTE18!$A:$AE,VLOOKUP($APC$2,[2]ARBOR_REAJUSTE18!$A:$B,2,0),0))),"")&lt;0.01%,0.01%,(IFERROR(IF($APC6="","",IF($APC6=0,1,1-$APC6/HLOOKUP(APY$3,[2]ARBOR_REAJUSTE18!$A:$AE,VLOOKUP($APC$2,[2]ARBOR_REAJUSTE18!$A:$B,2,0),0))),""))),4)</f>
        <v>#VALUE!</v>
      </c>
      <c r="APZ6" s="44" t="e">
        <f>ROUNDUP(IF(IFERROR(IF($APC6="","",IF($APC6=0,1,1-$APC6/HLOOKUP(APZ$3,[2]ARBOR_REAJUSTE18!$A:$AE,VLOOKUP($APC$2,[2]ARBOR_REAJUSTE18!$A:$B,2,0),0))),"")&lt;0.01%,0.01%,(IFERROR(IF($APC6="","",IF($APC6=0,1,1-$APC6/HLOOKUP(APZ$3,[2]ARBOR_REAJUSTE18!$A:$AE,VLOOKUP($APC$2,[2]ARBOR_REAJUSTE18!$A:$B,2,0),0))),""))),4)</f>
        <v>#VALUE!</v>
      </c>
      <c r="AQA6" s="44" t="e">
        <f>ROUNDUP(IF(IFERROR(IF($APC6="","",IF($APC6=0,1,1-$APC6/HLOOKUP(AQA$3,[2]ARBOR_REAJUSTE18!$A:$AE,VLOOKUP($APC$2,[2]ARBOR_REAJUSTE18!$A:$B,2,0),0))),"")&lt;0.01%,0.01%,(IFERROR(IF($APC6="","",IF($APC6=0,1,1-$APC6/HLOOKUP(AQA$3,[2]ARBOR_REAJUSTE18!$A:$AE,VLOOKUP($APC$2,[2]ARBOR_REAJUSTE18!$A:$B,2,0),0))),""))),4)</f>
        <v>#VALUE!</v>
      </c>
      <c r="AQB6" s="44" t="e">
        <f>ROUNDUP(IF(IFERROR(IF($APC6="","",IF($APC6=0,1,1-$APC6/HLOOKUP(AQB$3,[2]ARBOR_REAJUSTE18!$A:$AE,VLOOKUP($APC$2,[2]ARBOR_REAJUSTE18!$A:$B,2,0),0))),"")&lt;0.01%,0.01%,(IFERROR(IF($APC6="","",IF($APC6=0,1,1-$APC6/HLOOKUP(AQB$3,[2]ARBOR_REAJUSTE18!$A:$AE,VLOOKUP($APC$2,[2]ARBOR_REAJUSTE18!$A:$B,2,0),0))),""))),4)</f>
        <v>#VALUE!</v>
      </c>
      <c r="AQC6" s="44" t="e">
        <f>ROUNDUP(IF(IFERROR(IF($APC6="","",IF($APC6=0,1,1-$APC6/HLOOKUP(AQC$3,[2]ARBOR_REAJUSTE18!$A:$AE,VLOOKUP($APC$2,[2]ARBOR_REAJUSTE18!$A:$B,2,0),0))),"")&lt;0.01%,0.01%,(IFERROR(IF($APC6="","",IF($APC6=0,1,1-$APC6/HLOOKUP(AQC$3,[2]ARBOR_REAJUSTE18!$A:$AE,VLOOKUP($APC$2,[2]ARBOR_REAJUSTE18!$A:$B,2,0),0))),""))),4)</f>
        <v>#VALUE!</v>
      </c>
      <c r="AQD6" s="44" t="e">
        <f>ROUNDUP(IF(IFERROR(IF($APC6="","",IF($APC6=0,1,1-$APC6/HLOOKUP(AQD$3,[2]ARBOR_REAJUSTE18!$A:$AE,VLOOKUP($APC$2,[2]ARBOR_REAJUSTE18!$A:$B,2,0),0))),"")&lt;0.01%,0.01%,(IFERROR(IF($APC6="","",IF($APC6=0,1,1-$APC6/HLOOKUP(AQD$3,[2]ARBOR_REAJUSTE18!$A:$AE,VLOOKUP($APC$2,[2]ARBOR_REAJUSTE18!$A:$B,2,0),0))),""))),4)</f>
        <v>#VALUE!</v>
      </c>
      <c r="AQE6" s="44" t="e">
        <f>ROUNDUP(IF(IFERROR(IF($APC6="","",IF($APC6=0,1,1-$APC6/HLOOKUP(AQE$3,[2]ARBOR_REAJUSTE18!$A:$AE,VLOOKUP($APC$2,[2]ARBOR_REAJUSTE18!$A:$B,2,0),0))),"")&lt;0.01%,0.01%,(IFERROR(IF($APC6="","",IF($APC6=0,1,1-$APC6/HLOOKUP(AQE$3,[2]ARBOR_REAJUSTE18!$A:$AE,VLOOKUP($APC$2,[2]ARBOR_REAJUSTE18!$A:$B,2,0),0))),""))),4)</f>
        <v>#VALUE!</v>
      </c>
      <c r="AQF6" s="56"/>
      <c r="AQG6" s="64"/>
      <c r="AQH6" s="44" t="e">
        <f>ROUNDUP(IF(IFERROR(IF($AQF6="","",IF($AQF6=0,1,1-$AQF6/HLOOKUP(AQH$3,[2]ARBOR_REAJUSTE18!$A:$AE,VLOOKUP($AQF$2,[2]ARBOR_REAJUSTE18!$A:$B,2,0),0))),"")&lt;0.01%,0.01%,(IFERROR(IF($AQF6="","",IF($AQF6=0,1,1-$AQF6/HLOOKUP(AQH$3,[2]ARBOR_REAJUSTE18!$A:$AE,VLOOKUP($AQF$2,[2]ARBOR_REAJUSTE18!$A:$B,2,0),0))),""))),4)</f>
        <v>#VALUE!</v>
      </c>
      <c r="AQI6" s="44" t="e">
        <f>ROUNDUP(IF(IFERROR(IF($AQF6="","",IF($AQF6=0,1,1-$AQF6/HLOOKUP(AQI$3,[2]ARBOR_REAJUSTE18!$A:$AE,VLOOKUP($AQF$2,[2]ARBOR_REAJUSTE18!$A:$B,2,0),0))),"")&lt;0.01%,0.01%,(IFERROR(IF($AQF6="","",IF($AQF6=0,1,1-$AQF6/HLOOKUP(AQI$3,[2]ARBOR_REAJUSTE18!$A:$AE,VLOOKUP($AQF$2,[2]ARBOR_REAJUSTE18!$A:$B,2,0),0))),""))),4)</f>
        <v>#VALUE!</v>
      </c>
      <c r="AQJ6" s="44" t="e">
        <f>ROUNDUP(IF(IFERROR(IF($AQF6="","",IF($AQF6=0,1,1-$AQF6/HLOOKUP(AQJ$3,[2]ARBOR_REAJUSTE18!$A:$AE,VLOOKUP($AQF$2,[2]ARBOR_REAJUSTE18!$A:$B,2,0),0))),"")&lt;0.01%,0.01%,(IFERROR(IF($AQF6="","",IF($AQF6=0,1,1-$AQF6/HLOOKUP(AQJ$3,[2]ARBOR_REAJUSTE18!$A:$AE,VLOOKUP($AQF$2,[2]ARBOR_REAJUSTE18!$A:$B,2,0),0))),""))),4)</f>
        <v>#VALUE!</v>
      </c>
      <c r="AQK6" s="44" t="e">
        <f>ROUNDUP(IF(IFERROR(IF($AQF6="","",IF($AQF6=0,1,1-$AQF6/HLOOKUP(AQK$3,[2]ARBOR_REAJUSTE18!$A:$AE,VLOOKUP($AQF$2,[2]ARBOR_REAJUSTE18!$A:$B,2,0),0))),"")&lt;0.01%,0.01%,(IFERROR(IF($AQF6="","",IF($AQF6=0,1,1-$AQF6/HLOOKUP(AQK$3,[2]ARBOR_REAJUSTE18!$A:$AE,VLOOKUP($AQF$2,[2]ARBOR_REAJUSTE18!$A:$B,2,0),0))),""))),4)</f>
        <v>#VALUE!</v>
      </c>
      <c r="AQL6" s="44" t="e">
        <f>ROUNDUP(IF(IFERROR(IF($AQF6="","",IF($AQF6=0,1,1-$AQF6/HLOOKUP(AQL$3,[2]ARBOR_REAJUSTE18!$A:$AE,VLOOKUP($AQF$2,[2]ARBOR_REAJUSTE18!$A:$B,2,0),0))),"")&lt;0.01%,0.01%,(IFERROR(IF($AQF6="","",IF($AQF6=0,1,1-$AQF6/HLOOKUP(AQL$3,[2]ARBOR_REAJUSTE18!$A:$AE,VLOOKUP($AQF$2,[2]ARBOR_REAJUSTE18!$A:$B,2,0),0))),""))),4)</f>
        <v>#VALUE!</v>
      </c>
      <c r="AQM6" s="44" t="e">
        <f>ROUNDUP(IF(IFERROR(IF($AQF6="","",IF($AQF6=0,1,1-$AQF6/HLOOKUP(AQM$3,[2]ARBOR_REAJUSTE18!$A:$AE,VLOOKUP($AQF$2,[2]ARBOR_REAJUSTE18!$A:$B,2,0),0))),"")&lt;0.01%,0.01%,(IFERROR(IF($AQF6="","",IF($AQF6=0,1,1-$AQF6/HLOOKUP(AQM$3,[2]ARBOR_REAJUSTE18!$A:$AE,VLOOKUP($AQF$2,[2]ARBOR_REAJUSTE18!$A:$B,2,0),0))),""))),4)</f>
        <v>#VALUE!</v>
      </c>
      <c r="AQN6" s="44" t="e">
        <f>ROUNDUP(IF(IFERROR(IF($AQF6="","",IF($AQF6=0,1,1-$AQF6/HLOOKUP(AQN$3,[2]ARBOR_REAJUSTE18!$A:$AE,VLOOKUP($AQF$2,[2]ARBOR_REAJUSTE18!$A:$B,2,0),0))),"")&lt;0.01%,0.01%,(IFERROR(IF($AQF6="","",IF($AQF6=0,1,1-$AQF6/HLOOKUP(AQN$3,[2]ARBOR_REAJUSTE18!$A:$AE,VLOOKUP($AQF$2,[2]ARBOR_REAJUSTE18!$A:$B,2,0),0))),""))),4)</f>
        <v>#VALUE!</v>
      </c>
      <c r="AQO6" s="44" t="e">
        <f>ROUNDUP(IF(IFERROR(IF($AQF6="","",IF($AQF6=0,1,1-$AQF6/HLOOKUP(AQO$3,[2]ARBOR_REAJUSTE18!$A:$AE,VLOOKUP($AQF$2,[2]ARBOR_REAJUSTE18!$A:$B,2,0),0))),"")&lt;0.01%,0.01%,(IFERROR(IF($AQF6="","",IF($AQF6=0,1,1-$AQF6/HLOOKUP(AQO$3,[2]ARBOR_REAJUSTE18!$A:$AE,VLOOKUP($AQF$2,[2]ARBOR_REAJUSTE18!$A:$B,2,0),0))),""))),4)</f>
        <v>#VALUE!</v>
      </c>
      <c r="AQP6" s="44" t="e">
        <f>ROUNDUP(IF(IFERROR(IF($AQF6="","",IF($AQF6=0,1,1-$AQF6/HLOOKUP(AQP$3,[2]ARBOR_REAJUSTE18!$A:$AE,VLOOKUP($AQF$2,[2]ARBOR_REAJUSTE18!$A:$B,2,0),0))),"")&lt;0.01%,0.01%,(IFERROR(IF($AQF6="","",IF($AQF6=0,1,1-$AQF6/HLOOKUP(AQP$3,[2]ARBOR_REAJUSTE18!$A:$AE,VLOOKUP($AQF$2,[2]ARBOR_REAJUSTE18!$A:$B,2,0),0))),""))),4)</f>
        <v>#VALUE!</v>
      </c>
      <c r="AQQ6" s="44" t="e">
        <f>ROUNDUP(IF(IFERROR(IF($AQF6="","",IF($AQF6=0,1,1-$AQF6/HLOOKUP(AQQ$3,[2]ARBOR_REAJUSTE18!$A:$AE,VLOOKUP($AQF$2,[2]ARBOR_REAJUSTE18!$A:$B,2,0),0))),"")&lt;0.01%,0.01%,(IFERROR(IF($AQF6="","",IF($AQF6=0,1,1-$AQF6/HLOOKUP(AQQ$3,[2]ARBOR_REAJUSTE18!$A:$AE,VLOOKUP($AQF$2,[2]ARBOR_REAJUSTE18!$A:$B,2,0),0))),""))),4)</f>
        <v>#VALUE!</v>
      </c>
      <c r="AQR6" s="44" t="e">
        <f>ROUNDUP(IF(IFERROR(IF($AQF6="","",IF($AQF6=0,1,1-$AQF6/HLOOKUP(AQR$3,[2]ARBOR_REAJUSTE18!$A:$AE,VLOOKUP($AQF$2,[2]ARBOR_REAJUSTE18!$A:$B,2,0),0))),"")&lt;0.01%,0.01%,(IFERROR(IF($AQF6="","",IF($AQF6=0,1,1-$AQF6/HLOOKUP(AQR$3,[2]ARBOR_REAJUSTE18!$A:$AE,VLOOKUP($AQF$2,[2]ARBOR_REAJUSTE18!$A:$B,2,0),0))),""))),4)</f>
        <v>#VALUE!</v>
      </c>
      <c r="AQS6" s="44" t="e">
        <f>ROUNDUP(IF(IFERROR(IF($AQF6="","",IF($AQF6=0,1,1-$AQF6/HLOOKUP(AQS$3,[2]ARBOR_REAJUSTE18!$A:$AE,VLOOKUP($AQF$2,[2]ARBOR_REAJUSTE18!$A:$B,2,0),0))),"")&lt;0.01%,0.01%,(IFERROR(IF($AQF6="","",IF($AQF6=0,1,1-$AQF6/HLOOKUP(AQS$3,[2]ARBOR_REAJUSTE18!$A:$AE,VLOOKUP($AQF$2,[2]ARBOR_REAJUSTE18!$A:$B,2,0),0))),""))),4)</f>
        <v>#VALUE!</v>
      </c>
      <c r="AQT6" s="44" t="e">
        <f>ROUNDUP(IF(IFERROR(IF($AQF6="","",IF($AQF6=0,1,1-$AQF6/HLOOKUP(AQT$3,[2]ARBOR_REAJUSTE18!$A:$AE,VLOOKUP($AQF$2,[2]ARBOR_REAJUSTE18!$A:$B,2,0),0))),"")&lt;0.01%,0.01%,(IFERROR(IF($AQF6="","",IF($AQF6=0,1,1-$AQF6/HLOOKUP(AQT$3,[2]ARBOR_REAJUSTE18!$A:$AE,VLOOKUP($AQF$2,[2]ARBOR_REAJUSTE18!$A:$B,2,0),0))),""))),4)</f>
        <v>#VALUE!</v>
      </c>
      <c r="AQU6" s="44" t="e">
        <f>ROUNDUP(IF(IFERROR(IF($AQF6="","",IF($AQF6=0,1,1-$AQF6/HLOOKUP(AQU$3,[2]ARBOR_REAJUSTE18!$A:$AE,VLOOKUP($AQF$2,[2]ARBOR_REAJUSTE18!$A:$B,2,0),0))),"")&lt;0.01%,0.01%,(IFERROR(IF($AQF6="","",IF($AQF6=0,1,1-$AQF6/HLOOKUP(AQU$3,[2]ARBOR_REAJUSTE18!$A:$AE,VLOOKUP($AQF$2,[2]ARBOR_REAJUSTE18!$A:$B,2,0),0))),""))),4)</f>
        <v>#VALUE!</v>
      </c>
      <c r="AQV6" s="44" t="e">
        <f>ROUNDUP(IF(IFERROR(IF($AQF6="","",IF($AQF6=0,1,1-$AQF6/HLOOKUP(AQV$3,[2]ARBOR_REAJUSTE18!$A:$AE,VLOOKUP($AQF$2,[2]ARBOR_REAJUSTE18!$A:$B,2,0),0))),"")&lt;0.01%,0.01%,(IFERROR(IF($AQF6="","",IF($AQF6=0,1,1-$AQF6/HLOOKUP(AQV$3,[2]ARBOR_REAJUSTE18!$A:$AE,VLOOKUP($AQF$2,[2]ARBOR_REAJUSTE18!$A:$B,2,0),0))),""))),4)</f>
        <v>#VALUE!</v>
      </c>
      <c r="AQW6" s="44" t="e">
        <f>ROUNDUP(IF(IFERROR(IF($AQF6="","",IF($AQF6=0,1,1-$AQF6/HLOOKUP(AQW$3,[2]ARBOR_REAJUSTE18!$A:$AE,VLOOKUP($AQF$2,[2]ARBOR_REAJUSTE18!$A:$B,2,0),0))),"")&lt;0.01%,0.01%,(IFERROR(IF($AQF6="","",IF($AQF6=0,1,1-$AQF6/HLOOKUP(AQW$3,[2]ARBOR_REAJUSTE18!$A:$AE,VLOOKUP($AQF$2,[2]ARBOR_REAJUSTE18!$A:$B,2,0),0))),""))),4)</f>
        <v>#VALUE!</v>
      </c>
      <c r="AQX6" s="44" t="e">
        <f>ROUNDUP(IF(IFERROR(IF($AQF6="","",IF($AQF6=0,1,1-$AQF6/HLOOKUP(AQX$3,[2]ARBOR_REAJUSTE18!$A:$AE,VLOOKUP($AQF$2,[2]ARBOR_REAJUSTE18!$A:$B,2,0),0))),"")&lt;0.01%,0.01%,(IFERROR(IF($AQF6="","",IF($AQF6=0,1,1-$AQF6/HLOOKUP(AQX$3,[2]ARBOR_REAJUSTE18!$A:$AE,VLOOKUP($AQF$2,[2]ARBOR_REAJUSTE18!$A:$B,2,0),0))),""))),4)</f>
        <v>#VALUE!</v>
      </c>
      <c r="AQY6" s="44" t="e">
        <f>ROUNDUP(IF(IFERROR(IF($AQF6="","",IF($AQF6=0,1,1-$AQF6/HLOOKUP(AQY$3,[2]ARBOR_REAJUSTE18!$A:$AE,VLOOKUP($AQF$2,[2]ARBOR_REAJUSTE18!$A:$B,2,0),0))),"")&lt;0.01%,0.01%,(IFERROR(IF($AQF6="","",IF($AQF6=0,1,1-$AQF6/HLOOKUP(AQY$3,[2]ARBOR_REAJUSTE18!$A:$AE,VLOOKUP($AQF$2,[2]ARBOR_REAJUSTE18!$A:$B,2,0),0))),""))),4)</f>
        <v>#VALUE!</v>
      </c>
      <c r="AQZ6" s="44" t="e">
        <f>ROUNDUP(IF(IFERROR(IF($AQF6="","",IF($AQF6=0,1,1-$AQF6/HLOOKUP(AQZ$3,[2]ARBOR_REAJUSTE18!$A:$AE,VLOOKUP($AQF$2,[2]ARBOR_REAJUSTE18!$A:$B,2,0),0))),"")&lt;0.01%,0.01%,(IFERROR(IF($AQF6="","",IF($AQF6=0,1,1-$AQF6/HLOOKUP(AQZ$3,[2]ARBOR_REAJUSTE18!$A:$AE,VLOOKUP($AQF$2,[2]ARBOR_REAJUSTE18!$A:$B,2,0),0))),""))),4)</f>
        <v>#VALUE!</v>
      </c>
      <c r="ARA6" s="44" t="e">
        <f>ROUNDUP(IF(IFERROR(IF($AQF6="","",IF($AQF6=0,1,1-$AQF6/HLOOKUP(ARA$3,[2]ARBOR_REAJUSTE18!$A:$AE,VLOOKUP($AQF$2,[2]ARBOR_REAJUSTE18!$A:$B,2,0),0))),"")&lt;0.01%,0.01%,(IFERROR(IF($AQF6="","",IF($AQF6=0,1,1-$AQF6/HLOOKUP(ARA$3,[2]ARBOR_REAJUSTE18!$A:$AE,VLOOKUP($AQF$2,[2]ARBOR_REAJUSTE18!$A:$B,2,0),0))),""))),4)</f>
        <v>#VALUE!</v>
      </c>
      <c r="ARB6" s="44" t="e">
        <f>ROUNDUP(IF(IFERROR(IF($AQF6="","",IF($AQF6=0,1,1-$AQF6/HLOOKUP(ARB$3,[2]ARBOR_REAJUSTE18!$A:$AE,VLOOKUP($AQF$2,[2]ARBOR_REAJUSTE18!$A:$B,2,0),0))),"")&lt;0.01%,0.01%,(IFERROR(IF($AQF6="","",IF($AQF6=0,1,1-$AQF6/HLOOKUP(ARB$3,[2]ARBOR_REAJUSTE18!$A:$AE,VLOOKUP($AQF$2,[2]ARBOR_REAJUSTE18!$A:$B,2,0),0))),""))),4)</f>
        <v>#VALUE!</v>
      </c>
      <c r="ARC6" s="44" t="e">
        <f>ROUNDUP(IF(IFERROR(IF($AQF6="","",IF($AQF6=0,1,1-$AQF6/HLOOKUP(ARC$3,[2]ARBOR_REAJUSTE18!$A:$AE,VLOOKUP($AQF$2,[2]ARBOR_REAJUSTE18!$A:$B,2,0),0))),"")&lt;0.01%,0.01%,(IFERROR(IF($AQF6="","",IF($AQF6=0,1,1-$AQF6/HLOOKUP(ARC$3,[2]ARBOR_REAJUSTE18!$A:$AE,VLOOKUP($AQF$2,[2]ARBOR_REAJUSTE18!$A:$B,2,0),0))),""))),4)</f>
        <v>#VALUE!</v>
      </c>
      <c r="ARD6" s="44" t="e">
        <f>ROUNDUP(IF(IFERROR(IF($AQF6="","",IF($AQF6=0,1,1-$AQF6/HLOOKUP(ARD$3,[2]ARBOR_REAJUSTE18!$A:$AE,VLOOKUP($AQF$2,[2]ARBOR_REAJUSTE18!$A:$B,2,0),0))),"")&lt;0.01%,0.01%,(IFERROR(IF($AQF6="","",IF($AQF6=0,1,1-$AQF6/HLOOKUP(ARD$3,[2]ARBOR_REAJUSTE18!$A:$AE,VLOOKUP($AQF$2,[2]ARBOR_REAJUSTE18!$A:$B,2,0),0))),""))),4)</f>
        <v>#VALUE!</v>
      </c>
      <c r="ARE6" s="44" t="e">
        <f>ROUNDUP(IF(IFERROR(IF($AQF6="","",IF($AQF6=0,1,1-$AQF6/HLOOKUP(ARE$3,[2]ARBOR_REAJUSTE18!$A:$AE,VLOOKUP($AQF$2,[2]ARBOR_REAJUSTE18!$A:$B,2,0),0))),"")&lt;0.01%,0.01%,(IFERROR(IF($AQF6="","",IF($AQF6=0,1,1-$AQF6/HLOOKUP(ARE$3,[2]ARBOR_REAJUSTE18!$A:$AE,VLOOKUP($AQF$2,[2]ARBOR_REAJUSTE18!$A:$B,2,0),0))),""))),4)</f>
        <v>#VALUE!</v>
      </c>
      <c r="ARF6" s="44" t="e">
        <f>ROUNDUP(IF(IFERROR(IF($AQF6="","",IF($AQF6=0,1,1-$AQF6/HLOOKUP(ARF$3,[2]ARBOR_REAJUSTE18!$A:$AE,VLOOKUP($AQF$2,[2]ARBOR_REAJUSTE18!$A:$B,2,0),0))),"")&lt;0.01%,0.01%,(IFERROR(IF($AQF6="","",IF($AQF6=0,1,1-$AQF6/HLOOKUP(ARF$3,[2]ARBOR_REAJUSTE18!$A:$AE,VLOOKUP($AQF$2,[2]ARBOR_REAJUSTE18!$A:$B,2,0),0))),""))),4)</f>
        <v>#VALUE!</v>
      </c>
      <c r="ARG6" s="44" t="e">
        <f>ROUNDUP(IF(IFERROR(IF($AQF6="","",IF($AQF6=0,1,1-$AQF6/HLOOKUP(ARG$3,[2]ARBOR_REAJUSTE18!$A:$AE,VLOOKUP($AQF$2,[2]ARBOR_REAJUSTE18!$A:$B,2,0),0))),"")&lt;0.01%,0.01%,(IFERROR(IF($AQF6="","",IF($AQF6=0,1,1-$AQF6/HLOOKUP(ARG$3,[2]ARBOR_REAJUSTE18!$A:$AE,VLOOKUP($AQF$2,[2]ARBOR_REAJUSTE18!$A:$B,2,0),0))),""))),4)</f>
        <v>#VALUE!</v>
      </c>
      <c r="ARH6" s="44" t="e">
        <f>ROUNDUP(IF(IFERROR(IF($AQF6="","",IF($AQF6=0,1,1-$AQF6/HLOOKUP(ARH$3,[2]ARBOR_REAJUSTE18!$A:$AE,VLOOKUP($AQF$2,[2]ARBOR_REAJUSTE18!$A:$B,2,0),0))),"")&lt;0.01%,0.01%,(IFERROR(IF($AQF6="","",IF($AQF6=0,1,1-$AQF6/HLOOKUP(ARH$3,[2]ARBOR_REAJUSTE18!$A:$AE,VLOOKUP($AQF$2,[2]ARBOR_REAJUSTE18!$A:$B,2,0),0))),""))),4)</f>
        <v>#VALUE!</v>
      </c>
      <c r="ARI6" s="56"/>
      <c r="ARJ6" s="64"/>
      <c r="ARK6" s="44" t="e">
        <f>ROUNDUP(IF(IFERROR(IF($ARI6="","",IF($ARI6=0,1,1-$ARI6/HLOOKUP(ARK$3,[2]ARBOR_REAJUSTE18!$A:$AE,VLOOKUP($ARI$2,[2]ARBOR_REAJUSTE18!$A:$B,2,0),0))),"")&lt;0.01%,0.01%,(IFERROR(IF($ARI6="","",IF($ARI6=0,1,1-$ARI6/HLOOKUP(ARK$3,[2]ARBOR_REAJUSTE18!$A:$AE,VLOOKUP($ARI$2,[2]ARBOR_REAJUSTE18!$A:$B,2,0),0))),""))),4)</f>
        <v>#VALUE!</v>
      </c>
      <c r="ARL6" s="44" t="e">
        <f>ROUNDUP(IF(IFERROR(IF($ARI6="","",IF($ARI6=0,1,1-$ARI6/HLOOKUP(ARL$3,[2]ARBOR_REAJUSTE18!$A:$AE,VLOOKUP($ARI$2,[2]ARBOR_REAJUSTE18!$A:$B,2,0),0))),"")&lt;0.01%,0.01%,(IFERROR(IF($ARI6="","",IF($ARI6=0,1,1-$ARI6/HLOOKUP(ARL$3,[2]ARBOR_REAJUSTE18!$A:$AE,VLOOKUP($ARI$2,[2]ARBOR_REAJUSTE18!$A:$B,2,0),0))),""))),4)</f>
        <v>#VALUE!</v>
      </c>
      <c r="ARM6" s="44" t="e">
        <f>ROUNDUP(IF(IFERROR(IF($ARI6="","",IF($ARI6=0,1,1-$ARI6/HLOOKUP(ARM$3,[2]ARBOR_REAJUSTE18!$A:$AE,VLOOKUP($ARI$2,[2]ARBOR_REAJUSTE18!$A:$B,2,0),0))),"")&lt;0.01%,0.01%,(IFERROR(IF($ARI6="","",IF($ARI6=0,1,1-$ARI6/HLOOKUP(ARM$3,[2]ARBOR_REAJUSTE18!$A:$AE,VLOOKUP($ARI$2,[2]ARBOR_REAJUSTE18!$A:$B,2,0),0))),""))),4)</f>
        <v>#VALUE!</v>
      </c>
      <c r="ARN6" s="44" t="e">
        <f>ROUNDUP(IF(IFERROR(IF($ARI6="","",IF($ARI6=0,1,1-$ARI6/HLOOKUP(ARN$3,[2]ARBOR_REAJUSTE18!$A:$AE,VLOOKUP($ARI$2,[2]ARBOR_REAJUSTE18!$A:$B,2,0),0))),"")&lt;0.01%,0.01%,(IFERROR(IF($ARI6="","",IF($ARI6=0,1,1-$ARI6/HLOOKUP(ARN$3,[2]ARBOR_REAJUSTE18!$A:$AE,VLOOKUP($ARI$2,[2]ARBOR_REAJUSTE18!$A:$B,2,0),0))),""))),4)</f>
        <v>#VALUE!</v>
      </c>
      <c r="ARO6" s="44" t="e">
        <f>ROUNDUP(IF(IFERROR(IF($ARI6="","",IF($ARI6=0,1,1-$ARI6/HLOOKUP(ARO$3,[2]ARBOR_REAJUSTE18!$A:$AE,VLOOKUP($ARI$2,[2]ARBOR_REAJUSTE18!$A:$B,2,0),0))),"")&lt;0.01%,0.01%,(IFERROR(IF($ARI6="","",IF($ARI6=0,1,1-$ARI6/HLOOKUP(ARO$3,[2]ARBOR_REAJUSTE18!$A:$AE,VLOOKUP($ARI$2,[2]ARBOR_REAJUSTE18!$A:$B,2,0),0))),""))),4)</f>
        <v>#VALUE!</v>
      </c>
      <c r="ARP6" s="44" t="e">
        <f>ROUNDUP(IF(IFERROR(IF($ARI6="","",IF($ARI6=0,1,1-$ARI6/HLOOKUP(ARP$3,[2]ARBOR_REAJUSTE18!$A:$AE,VLOOKUP($ARI$2,[2]ARBOR_REAJUSTE18!$A:$B,2,0),0))),"")&lt;0.01%,0.01%,(IFERROR(IF($ARI6="","",IF($ARI6=0,1,1-$ARI6/HLOOKUP(ARP$3,[2]ARBOR_REAJUSTE18!$A:$AE,VLOOKUP($ARI$2,[2]ARBOR_REAJUSTE18!$A:$B,2,0),0))),""))),4)</f>
        <v>#VALUE!</v>
      </c>
      <c r="ARQ6" s="44" t="e">
        <f>ROUNDUP(IF(IFERROR(IF($ARI6="","",IF($ARI6=0,1,1-$ARI6/HLOOKUP(ARQ$3,[2]ARBOR_REAJUSTE18!$A:$AE,VLOOKUP($ARI$2,[2]ARBOR_REAJUSTE18!$A:$B,2,0),0))),"")&lt;0.01%,0.01%,(IFERROR(IF($ARI6="","",IF($ARI6=0,1,1-$ARI6/HLOOKUP(ARQ$3,[2]ARBOR_REAJUSTE18!$A:$AE,VLOOKUP($ARI$2,[2]ARBOR_REAJUSTE18!$A:$B,2,0),0))),""))),4)</f>
        <v>#VALUE!</v>
      </c>
      <c r="ARR6" s="44" t="e">
        <f>ROUNDUP(IF(IFERROR(IF($ARI6="","",IF($ARI6=0,1,1-$ARI6/HLOOKUP(ARR$3,[2]ARBOR_REAJUSTE18!$A:$AE,VLOOKUP($ARI$2,[2]ARBOR_REAJUSTE18!$A:$B,2,0),0))),"")&lt;0.01%,0.01%,(IFERROR(IF($ARI6="","",IF($ARI6=0,1,1-$ARI6/HLOOKUP(ARR$3,[2]ARBOR_REAJUSTE18!$A:$AE,VLOOKUP($ARI$2,[2]ARBOR_REAJUSTE18!$A:$B,2,0),0))),""))),4)</f>
        <v>#VALUE!</v>
      </c>
      <c r="ARS6" s="44" t="e">
        <f>ROUNDUP(IF(IFERROR(IF($ARI6="","",IF($ARI6=0,1,1-$ARI6/HLOOKUP(ARS$3,[2]ARBOR_REAJUSTE18!$A:$AE,VLOOKUP($ARI$2,[2]ARBOR_REAJUSTE18!$A:$B,2,0),0))),"")&lt;0.01%,0.01%,(IFERROR(IF($ARI6="","",IF($ARI6=0,1,1-$ARI6/HLOOKUP(ARS$3,[2]ARBOR_REAJUSTE18!$A:$AE,VLOOKUP($ARI$2,[2]ARBOR_REAJUSTE18!$A:$B,2,0),0))),""))),4)</f>
        <v>#VALUE!</v>
      </c>
      <c r="ART6" s="44" t="e">
        <f>ROUNDUP(IF(IFERROR(IF($ARI6="","",IF($ARI6=0,1,1-$ARI6/HLOOKUP(ART$3,[2]ARBOR_REAJUSTE18!$A:$AE,VLOOKUP($ARI$2,[2]ARBOR_REAJUSTE18!$A:$B,2,0),0))),"")&lt;0.01%,0.01%,(IFERROR(IF($ARI6="","",IF($ARI6=0,1,1-$ARI6/HLOOKUP(ART$3,[2]ARBOR_REAJUSTE18!$A:$AE,VLOOKUP($ARI$2,[2]ARBOR_REAJUSTE18!$A:$B,2,0),0))),""))),4)</f>
        <v>#VALUE!</v>
      </c>
      <c r="ARU6" s="44" t="e">
        <f>ROUNDUP(IF(IFERROR(IF($ARI6="","",IF($ARI6=0,1,1-$ARI6/HLOOKUP(ARU$3,[2]ARBOR_REAJUSTE18!$A:$AE,VLOOKUP($ARI$2,[2]ARBOR_REAJUSTE18!$A:$B,2,0),0))),"")&lt;0.01%,0.01%,(IFERROR(IF($ARI6="","",IF($ARI6=0,1,1-$ARI6/HLOOKUP(ARU$3,[2]ARBOR_REAJUSTE18!$A:$AE,VLOOKUP($ARI$2,[2]ARBOR_REAJUSTE18!$A:$B,2,0),0))),""))),4)</f>
        <v>#VALUE!</v>
      </c>
      <c r="ARV6" s="44" t="e">
        <f>ROUNDUP(IF(IFERROR(IF($ARI6="","",IF($ARI6=0,1,1-$ARI6/HLOOKUP(ARV$3,[2]ARBOR_REAJUSTE18!$A:$AE,VLOOKUP($ARI$2,[2]ARBOR_REAJUSTE18!$A:$B,2,0),0))),"")&lt;0.01%,0.01%,(IFERROR(IF($ARI6="","",IF($ARI6=0,1,1-$ARI6/HLOOKUP(ARV$3,[2]ARBOR_REAJUSTE18!$A:$AE,VLOOKUP($ARI$2,[2]ARBOR_REAJUSTE18!$A:$B,2,0),0))),""))),4)</f>
        <v>#VALUE!</v>
      </c>
      <c r="ARW6" s="44" t="e">
        <f>ROUNDUP(IF(IFERROR(IF($ARI6="","",IF($ARI6=0,1,1-$ARI6/HLOOKUP(ARW$3,[2]ARBOR_REAJUSTE18!$A:$AE,VLOOKUP($ARI$2,[2]ARBOR_REAJUSTE18!$A:$B,2,0),0))),"")&lt;0.01%,0.01%,(IFERROR(IF($ARI6="","",IF($ARI6=0,1,1-$ARI6/HLOOKUP(ARW$3,[2]ARBOR_REAJUSTE18!$A:$AE,VLOOKUP($ARI$2,[2]ARBOR_REAJUSTE18!$A:$B,2,0),0))),""))),4)</f>
        <v>#VALUE!</v>
      </c>
      <c r="ARX6" s="44" t="e">
        <f>ROUNDUP(IF(IFERROR(IF($ARI6="","",IF($ARI6=0,1,1-$ARI6/HLOOKUP(ARX$3,[2]ARBOR_REAJUSTE18!$A:$AE,VLOOKUP($ARI$2,[2]ARBOR_REAJUSTE18!$A:$B,2,0),0))),"")&lt;0.01%,0.01%,(IFERROR(IF($ARI6="","",IF($ARI6=0,1,1-$ARI6/HLOOKUP(ARX$3,[2]ARBOR_REAJUSTE18!$A:$AE,VLOOKUP($ARI$2,[2]ARBOR_REAJUSTE18!$A:$B,2,0),0))),""))),4)</f>
        <v>#VALUE!</v>
      </c>
      <c r="ARY6" s="44" t="e">
        <f>ROUNDUP(IF(IFERROR(IF($ARI6="","",IF($ARI6=0,1,1-$ARI6/HLOOKUP(ARY$3,[2]ARBOR_REAJUSTE18!$A:$AE,VLOOKUP($ARI$2,[2]ARBOR_REAJUSTE18!$A:$B,2,0),0))),"")&lt;0.01%,0.01%,(IFERROR(IF($ARI6="","",IF($ARI6=0,1,1-$ARI6/HLOOKUP(ARY$3,[2]ARBOR_REAJUSTE18!$A:$AE,VLOOKUP($ARI$2,[2]ARBOR_REAJUSTE18!$A:$B,2,0),0))),""))),4)</f>
        <v>#VALUE!</v>
      </c>
      <c r="ARZ6" s="44" t="e">
        <f>ROUNDUP(IF(IFERROR(IF($ARI6="","",IF($ARI6=0,1,1-$ARI6/HLOOKUP(ARZ$3,[2]ARBOR_REAJUSTE18!$A:$AE,VLOOKUP($ARI$2,[2]ARBOR_REAJUSTE18!$A:$B,2,0),0))),"")&lt;0.01%,0.01%,(IFERROR(IF($ARI6="","",IF($ARI6=0,1,1-$ARI6/HLOOKUP(ARZ$3,[2]ARBOR_REAJUSTE18!$A:$AE,VLOOKUP($ARI$2,[2]ARBOR_REAJUSTE18!$A:$B,2,0),0))),""))),4)</f>
        <v>#VALUE!</v>
      </c>
      <c r="ASA6" s="44" t="e">
        <f>ROUNDUP(IF(IFERROR(IF($ARI6="","",IF($ARI6=0,1,1-$ARI6/HLOOKUP(ASA$3,[2]ARBOR_REAJUSTE18!$A:$AE,VLOOKUP($ARI$2,[2]ARBOR_REAJUSTE18!$A:$B,2,0),0))),"")&lt;0.01%,0.01%,(IFERROR(IF($ARI6="","",IF($ARI6=0,1,1-$ARI6/HLOOKUP(ASA$3,[2]ARBOR_REAJUSTE18!$A:$AE,VLOOKUP($ARI$2,[2]ARBOR_REAJUSTE18!$A:$B,2,0),0))),""))),4)</f>
        <v>#VALUE!</v>
      </c>
      <c r="ASB6" s="44" t="e">
        <f>ROUNDUP(IF(IFERROR(IF($ARI6="","",IF($ARI6=0,1,1-$ARI6/HLOOKUP(ASB$3,[2]ARBOR_REAJUSTE18!$A:$AE,VLOOKUP($ARI$2,[2]ARBOR_REAJUSTE18!$A:$B,2,0),0))),"")&lt;0.01%,0.01%,(IFERROR(IF($ARI6="","",IF($ARI6=0,1,1-$ARI6/HLOOKUP(ASB$3,[2]ARBOR_REAJUSTE18!$A:$AE,VLOOKUP($ARI$2,[2]ARBOR_REAJUSTE18!$A:$B,2,0),0))),""))),4)</f>
        <v>#VALUE!</v>
      </c>
      <c r="ASC6" s="44" t="e">
        <f>ROUNDUP(IF(IFERROR(IF($ARI6="","",IF($ARI6=0,1,1-$ARI6/HLOOKUP(ASC$3,[2]ARBOR_REAJUSTE18!$A:$AE,VLOOKUP($ARI$2,[2]ARBOR_REAJUSTE18!$A:$B,2,0),0))),"")&lt;0.01%,0.01%,(IFERROR(IF($ARI6="","",IF($ARI6=0,1,1-$ARI6/HLOOKUP(ASC$3,[2]ARBOR_REAJUSTE18!$A:$AE,VLOOKUP($ARI$2,[2]ARBOR_REAJUSTE18!$A:$B,2,0),0))),""))),4)</f>
        <v>#VALUE!</v>
      </c>
      <c r="ASD6" s="44" t="e">
        <f>ROUNDUP(IF(IFERROR(IF($ARI6="","",IF($ARI6=0,1,1-$ARI6/HLOOKUP(ASD$3,[2]ARBOR_REAJUSTE18!$A:$AE,VLOOKUP($ARI$2,[2]ARBOR_REAJUSTE18!$A:$B,2,0),0))),"")&lt;0.01%,0.01%,(IFERROR(IF($ARI6="","",IF($ARI6=0,1,1-$ARI6/HLOOKUP(ASD$3,[2]ARBOR_REAJUSTE18!$A:$AE,VLOOKUP($ARI$2,[2]ARBOR_REAJUSTE18!$A:$B,2,0),0))),""))),4)</f>
        <v>#VALUE!</v>
      </c>
      <c r="ASE6" s="44" t="e">
        <f>ROUNDUP(IF(IFERROR(IF($ARI6="","",IF($ARI6=0,1,1-$ARI6/HLOOKUP(ASE$3,[2]ARBOR_REAJUSTE18!$A:$AE,VLOOKUP($ARI$2,[2]ARBOR_REAJUSTE18!$A:$B,2,0),0))),"")&lt;0.01%,0.01%,(IFERROR(IF($ARI6="","",IF($ARI6=0,1,1-$ARI6/HLOOKUP(ASE$3,[2]ARBOR_REAJUSTE18!$A:$AE,VLOOKUP($ARI$2,[2]ARBOR_REAJUSTE18!$A:$B,2,0),0))),""))),4)</f>
        <v>#VALUE!</v>
      </c>
      <c r="ASF6" s="44" t="e">
        <f>ROUNDUP(IF(IFERROR(IF($ARI6="","",IF($ARI6=0,1,1-$ARI6/HLOOKUP(ASF$3,[2]ARBOR_REAJUSTE18!$A:$AE,VLOOKUP($ARI$2,[2]ARBOR_REAJUSTE18!$A:$B,2,0),0))),"")&lt;0.01%,0.01%,(IFERROR(IF($ARI6="","",IF($ARI6=0,1,1-$ARI6/HLOOKUP(ASF$3,[2]ARBOR_REAJUSTE18!$A:$AE,VLOOKUP($ARI$2,[2]ARBOR_REAJUSTE18!$A:$B,2,0),0))),""))),4)</f>
        <v>#VALUE!</v>
      </c>
      <c r="ASG6" s="44" t="e">
        <f>ROUNDUP(IF(IFERROR(IF($ARI6="","",IF($ARI6=0,1,1-$ARI6/HLOOKUP(ASG$3,[2]ARBOR_REAJUSTE18!$A:$AE,VLOOKUP($ARI$2,[2]ARBOR_REAJUSTE18!$A:$B,2,0),0))),"")&lt;0.01%,0.01%,(IFERROR(IF($ARI6="","",IF($ARI6=0,1,1-$ARI6/HLOOKUP(ASG$3,[2]ARBOR_REAJUSTE18!$A:$AE,VLOOKUP($ARI$2,[2]ARBOR_REAJUSTE18!$A:$B,2,0),0))),""))),4)</f>
        <v>#VALUE!</v>
      </c>
      <c r="ASH6" s="44" t="e">
        <f>ROUNDUP(IF(IFERROR(IF($ARI6="","",IF($ARI6=0,1,1-$ARI6/HLOOKUP(ASH$3,[2]ARBOR_REAJUSTE18!$A:$AE,VLOOKUP($ARI$2,[2]ARBOR_REAJUSTE18!$A:$B,2,0),0))),"")&lt;0.01%,0.01%,(IFERROR(IF($ARI6="","",IF($ARI6=0,1,1-$ARI6/HLOOKUP(ASH$3,[2]ARBOR_REAJUSTE18!$A:$AE,VLOOKUP($ARI$2,[2]ARBOR_REAJUSTE18!$A:$B,2,0),0))),""))),4)</f>
        <v>#VALUE!</v>
      </c>
      <c r="ASI6" s="44" t="e">
        <f>ROUNDUP(IF(IFERROR(IF($ARI6="","",IF($ARI6=0,1,1-$ARI6/HLOOKUP(ASI$3,[2]ARBOR_REAJUSTE18!$A:$AE,VLOOKUP($ARI$2,[2]ARBOR_REAJUSTE18!$A:$B,2,0),0))),"")&lt;0.01%,0.01%,(IFERROR(IF($ARI6="","",IF($ARI6=0,1,1-$ARI6/HLOOKUP(ASI$3,[2]ARBOR_REAJUSTE18!$A:$AE,VLOOKUP($ARI$2,[2]ARBOR_REAJUSTE18!$A:$B,2,0),0))),""))),4)</f>
        <v>#VALUE!</v>
      </c>
      <c r="ASJ6" s="44" t="e">
        <f>ROUNDUP(IF(IFERROR(IF($ARI6="","",IF($ARI6=0,1,1-$ARI6/HLOOKUP(ASJ$3,[2]ARBOR_REAJUSTE18!$A:$AE,VLOOKUP($ARI$2,[2]ARBOR_REAJUSTE18!$A:$B,2,0),0))),"")&lt;0.01%,0.01%,(IFERROR(IF($ARI6="","",IF($ARI6=0,1,1-$ARI6/HLOOKUP(ASJ$3,[2]ARBOR_REAJUSTE18!$A:$AE,VLOOKUP($ARI$2,[2]ARBOR_REAJUSTE18!$A:$B,2,0),0))),""))),4)</f>
        <v>#VALUE!</v>
      </c>
      <c r="ASK6" s="44" t="e">
        <f>ROUNDUP(IF(IFERROR(IF($ARI6="","",IF($ARI6=0,1,1-$ARI6/HLOOKUP(ASK$3,[2]ARBOR_REAJUSTE18!$A:$AE,VLOOKUP($ARI$2,[2]ARBOR_REAJUSTE18!$A:$B,2,0),0))),"")&lt;0.01%,0.01%,(IFERROR(IF($ARI6="","",IF($ARI6=0,1,1-$ARI6/HLOOKUP(ASK$3,[2]ARBOR_REAJUSTE18!$A:$AE,VLOOKUP($ARI$2,[2]ARBOR_REAJUSTE18!$A:$B,2,0),0))),""))),4)</f>
        <v>#VALUE!</v>
      </c>
      <c r="ASL6" s="56"/>
      <c r="ASM6" s="64"/>
      <c r="ASN6" s="44" t="e">
        <f>ROUNDUP(IF(IFERROR(IF($ASL6="","",IF($ASL6=0,1,1-$ASL6/HLOOKUP(ASN$3,[2]ARBOR_REAJUSTE18!$A:$AE,VLOOKUP($ASL$2,[2]ARBOR_REAJUSTE18!$A:$B,2,0),0))),"")&lt;0.01%,0.01%,(IFERROR(IF($ASL6="","",IF($ASL6=0,1,1-$ASL6/HLOOKUP(ASN$3,[2]ARBOR_REAJUSTE18!$A:$AE,VLOOKUP($ASL$2,[2]ARBOR_REAJUSTE18!$A:$B,2,0),0))),""))),4)</f>
        <v>#VALUE!</v>
      </c>
      <c r="ASO6" s="44" t="e">
        <f>ROUNDUP(IF(IFERROR(IF($ASL6="","",IF($ASL6=0,1,1-$ASL6/HLOOKUP(ASO$3,[2]ARBOR_REAJUSTE18!$A:$AE,VLOOKUP($ASL$2,[2]ARBOR_REAJUSTE18!$A:$B,2,0),0))),"")&lt;0.01%,0.01%,(IFERROR(IF($ASL6="","",IF($ASL6=0,1,1-$ASL6/HLOOKUP(ASO$3,[2]ARBOR_REAJUSTE18!$A:$AE,VLOOKUP($ASL$2,[2]ARBOR_REAJUSTE18!$A:$B,2,0),0))),""))),4)</f>
        <v>#VALUE!</v>
      </c>
      <c r="ASP6" s="44" t="e">
        <f>ROUNDUP(IF(IFERROR(IF($ASL6="","",IF($ASL6=0,1,1-$ASL6/HLOOKUP(ASP$3,[2]ARBOR_REAJUSTE18!$A:$AE,VLOOKUP($ASL$2,[2]ARBOR_REAJUSTE18!$A:$B,2,0),0))),"")&lt;0.01%,0.01%,(IFERROR(IF($ASL6="","",IF($ASL6=0,1,1-$ASL6/HLOOKUP(ASP$3,[2]ARBOR_REAJUSTE18!$A:$AE,VLOOKUP($ASL$2,[2]ARBOR_REAJUSTE18!$A:$B,2,0),0))),""))),4)</f>
        <v>#VALUE!</v>
      </c>
      <c r="ASQ6" s="44" t="e">
        <f>ROUNDUP(IF(IFERROR(IF($ASL6="","",IF($ASL6=0,1,1-$ASL6/HLOOKUP(ASQ$3,[2]ARBOR_REAJUSTE18!$A:$AE,VLOOKUP($ASL$2,[2]ARBOR_REAJUSTE18!$A:$B,2,0),0))),"")&lt;0.01%,0.01%,(IFERROR(IF($ASL6="","",IF($ASL6=0,1,1-$ASL6/HLOOKUP(ASQ$3,[2]ARBOR_REAJUSTE18!$A:$AE,VLOOKUP($ASL$2,[2]ARBOR_REAJUSTE18!$A:$B,2,0),0))),""))),4)</f>
        <v>#VALUE!</v>
      </c>
      <c r="ASR6" s="44" t="e">
        <f>ROUNDUP(IF(IFERROR(IF($ASL6="","",IF($ASL6=0,1,1-$ASL6/HLOOKUP(ASR$3,[2]ARBOR_REAJUSTE18!$A:$AE,VLOOKUP($ASL$2,[2]ARBOR_REAJUSTE18!$A:$B,2,0),0))),"")&lt;0.01%,0.01%,(IFERROR(IF($ASL6="","",IF($ASL6=0,1,1-$ASL6/HLOOKUP(ASR$3,[2]ARBOR_REAJUSTE18!$A:$AE,VLOOKUP($ASL$2,[2]ARBOR_REAJUSTE18!$A:$B,2,0),0))),""))),4)</f>
        <v>#VALUE!</v>
      </c>
      <c r="ASS6" s="44" t="e">
        <f>ROUNDUP(IF(IFERROR(IF($ASL6="","",IF($ASL6=0,1,1-$ASL6/HLOOKUP(ASS$3,[2]ARBOR_REAJUSTE18!$A:$AE,VLOOKUP($ASL$2,[2]ARBOR_REAJUSTE18!$A:$B,2,0),0))),"")&lt;0.01%,0.01%,(IFERROR(IF($ASL6="","",IF($ASL6=0,1,1-$ASL6/HLOOKUP(ASS$3,[2]ARBOR_REAJUSTE18!$A:$AE,VLOOKUP($ASL$2,[2]ARBOR_REAJUSTE18!$A:$B,2,0),0))),""))),4)</f>
        <v>#VALUE!</v>
      </c>
      <c r="AST6" s="44" t="e">
        <f>ROUNDUP(IF(IFERROR(IF($ASL6="","",IF($ASL6=0,1,1-$ASL6/HLOOKUP(AST$3,[2]ARBOR_REAJUSTE18!$A:$AE,VLOOKUP($ASL$2,[2]ARBOR_REAJUSTE18!$A:$B,2,0),0))),"")&lt;0.01%,0.01%,(IFERROR(IF($ASL6="","",IF($ASL6=0,1,1-$ASL6/HLOOKUP(AST$3,[2]ARBOR_REAJUSTE18!$A:$AE,VLOOKUP($ASL$2,[2]ARBOR_REAJUSTE18!$A:$B,2,0),0))),""))),4)</f>
        <v>#VALUE!</v>
      </c>
      <c r="ASU6" s="44" t="e">
        <f>ROUNDUP(IF(IFERROR(IF($ASL6="","",IF($ASL6=0,1,1-$ASL6/HLOOKUP(ASU$3,[2]ARBOR_REAJUSTE18!$A:$AE,VLOOKUP($ASL$2,[2]ARBOR_REAJUSTE18!$A:$B,2,0),0))),"")&lt;0.01%,0.01%,(IFERROR(IF($ASL6="","",IF($ASL6=0,1,1-$ASL6/HLOOKUP(ASU$3,[2]ARBOR_REAJUSTE18!$A:$AE,VLOOKUP($ASL$2,[2]ARBOR_REAJUSTE18!$A:$B,2,0),0))),""))),4)</f>
        <v>#VALUE!</v>
      </c>
      <c r="ASV6" s="44" t="e">
        <f>ROUNDUP(IF(IFERROR(IF($ASL6="","",IF($ASL6=0,1,1-$ASL6/HLOOKUP(ASV$3,[2]ARBOR_REAJUSTE18!$A:$AE,VLOOKUP($ASL$2,[2]ARBOR_REAJUSTE18!$A:$B,2,0),0))),"")&lt;0.01%,0.01%,(IFERROR(IF($ASL6="","",IF($ASL6=0,1,1-$ASL6/HLOOKUP(ASV$3,[2]ARBOR_REAJUSTE18!$A:$AE,VLOOKUP($ASL$2,[2]ARBOR_REAJUSTE18!$A:$B,2,0),0))),""))),4)</f>
        <v>#VALUE!</v>
      </c>
      <c r="ASW6" s="44" t="e">
        <f>ROUNDUP(IF(IFERROR(IF($ASL6="","",IF($ASL6=0,1,1-$ASL6/HLOOKUP(ASW$3,[2]ARBOR_REAJUSTE18!$A:$AE,VLOOKUP($ASL$2,[2]ARBOR_REAJUSTE18!$A:$B,2,0),0))),"")&lt;0.01%,0.01%,(IFERROR(IF($ASL6="","",IF($ASL6=0,1,1-$ASL6/HLOOKUP(ASW$3,[2]ARBOR_REAJUSTE18!$A:$AE,VLOOKUP($ASL$2,[2]ARBOR_REAJUSTE18!$A:$B,2,0),0))),""))),4)</f>
        <v>#VALUE!</v>
      </c>
      <c r="ASX6" s="44" t="e">
        <f>ROUNDUP(IF(IFERROR(IF($ASL6="","",IF($ASL6=0,1,1-$ASL6/HLOOKUP(ASX$3,[2]ARBOR_REAJUSTE18!$A:$AE,VLOOKUP($ASL$2,[2]ARBOR_REAJUSTE18!$A:$B,2,0),0))),"")&lt;0.01%,0.01%,(IFERROR(IF($ASL6="","",IF($ASL6=0,1,1-$ASL6/HLOOKUP(ASX$3,[2]ARBOR_REAJUSTE18!$A:$AE,VLOOKUP($ASL$2,[2]ARBOR_REAJUSTE18!$A:$B,2,0),0))),""))),4)</f>
        <v>#VALUE!</v>
      </c>
      <c r="ASY6" s="44" t="e">
        <f>ROUNDUP(IF(IFERROR(IF($ASL6="","",IF($ASL6=0,1,1-$ASL6/HLOOKUP(ASY$3,[2]ARBOR_REAJUSTE18!$A:$AE,VLOOKUP($ASL$2,[2]ARBOR_REAJUSTE18!$A:$B,2,0),0))),"")&lt;0.01%,0.01%,(IFERROR(IF($ASL6="","",IF($ASL6=0,1,1-$ASL6/HLOOKUP(ASY$3,[2]ARBOR_REAJUSTE18!$A:$AE,VLOOKUP($ASL$2,[2]ARBOR_REAJUSTE18!$A:$B,2,0),0))),""))),4)</f>
        <v>#VALUE!</v>
      </c>
      <c r="ASZ6" s="44" t="e">
        <f>ROUNDUP(IF(IFERROR(IF($ASL6="","",IF($ASL6=0,1,1-$ASL6/HLOOKUP(ASZ$3,[2]ARBOR_REAJUSTE18!$A:$AE,VLOOKUP($ASL$2,[2]ARBOR_REAJUSTE18!$A:$B,2,0),0))),"")&lt;0.01%,0.01%,(IFERROR(IF($ASL6="","",IF($ASL6=0,1,1-$ASL6/HLOOKUP(ASZ$3,[2]ARBOR_REAJUSTE18!$A:$AE,VLOOKUP($ASL$2,[2]ARBOR_REAJUSTE18!$A:$B,2,0),0))),""))),4)</f>
        <v>#VALUE!</v>
      </c>
      <c r="ATA6" s="44" t="e">
        <f>ROUNDUP(IF(IFERROR(IF($ASL6="","",IF($ASL6=0,1,1-$ASL6/HLOOKUP(ATA$3,[2]ARBOR_REAJUSTE18!$A:$AE,VLOOKUP($ASL$2,[2]ARBOR_REAJUSTE18!$A:$B,2,0),0))),"")&lt;0.01%,0.01%,(IFERROR(IF($ASL6="","",IF($ASL6=0,1,1-$ASL6/HLOOKUP(ATA$3,[2]ARBOR_REAJUSTE18!$A:$AE,VLOOKUP($ASL$2,[2]ARBOR_REAJUSTE18!$A:$B,2,0),0))),""))),4)</f>
        <v>#VALUE!</v>
      </c>
      <c r="ATB6" s="44" t="e">
        <f>ROUNDUP(IF(IFERROR(IF($ASL6="","",IF($ASL6=0,1,1-$ASL6/HLOOKUP(ATB$3,[2]ARBOR_REAJUSTE18!$A:$AE,VLOOKUP($ASL$2,[2]ARBOR_REAJUSTE18!$A:$B,2,0),0))),"")&lt;0.01%,0.01%,(IFERROR(IF($ASL6="","",IF($ASL6=0,1,1-$ASL6/HLOOKUP(ATB$3,[2]ARBOR_REAJUSTE18!$A:$AE,VLOOKUP($ASL$2,[2]ARBOR_REAJUSTE18!$A:$B,2,0),0))),""))),4)</f>
        <v>#VALUE!</v>
      </c>
      <c r="ATC6" s="44" t="e">
        <f>ROUNDUP(IF(IFERROR(IF($ASL6="","",IF($ASL6=0,1,1-$ASL6/HLOOKUP(ATC$3,[2]ARBOR_REAJUSTE18!$A:$AE,VLOOKUP($ASL$2,[2]ARBOR_REAJUSTE18!$A:$B,2,0),0))),"")&lt;0.01%,0.01%,(IFERROR(IF($ASL6="","",IF($ASL6=0,1,1-$ASL6/HLOOKUP(ATC$3,[2]ARBOR_REAJUSTE18!$A:$AE,VLOOKUP($ASL$2,[2]ARBOR_REAJUSTE18!$A:$B,2,0),0))),""))),4)</f>
        <v>#VALUE!</v>
      </c>
      <c r="ATD6" s="44" t="e">
        <f>ROUNDUP(IF(IFERROR(IF($ASL6="","",IF($ASL6=0,1,1-$ASL6/HLOOKUP(ATD$3,[2]ARBOR_REAJUSTE18!$A:$AE,VLOOKUP($ASL$2,[2]ARBOR_REAJUSTE18!$A:$B,2,0),0))),"")&lt;0.01%,0.01%,(IFERROR(IF($ASL6="","",IF($ASL6=0,1,1-$ASL6/HLOOKUP(ATD$3,[2]ARBOR_REAJUSTE18!$A:$AE,VLOOKUP($ASL$2,[2]ARBOR_REAJUSTE18!$A:$B,2,0),0))),""))),4)</f>
        <v>#VALUE!</v>
      </c>
      <c r="ATE6" s="44" t="e">
        <f>ROUNDUP(IF(IFERROR(IF($ASL6="","",IF($ASL6=0,1,1-$ASL6/HLOOKUP(ATE$3,[2]ARBOR_REAJUSTE18!$A:$AE,VLOOKUP($ASL$2,[2]ARBOR_REAJUSTE18!$A:$B,2,0),0))),"")&lt;0.01%,0.01%,(IFERROR(IF($ASL6="","",IF($ASL6=0,1,1-$ASL6/HLOOKUP(ATE$3,[2]ARBOR_REAJUSTE18!$A:$AE,VLOOKUP($ASL$2,[2]ARBOR_REAJUSTE18!$A:$B,2,0),0))),""))),4)</f>
        <v>#VALUE!</v>
      </c>
      <c r="ATF6" s="44" t="e">
        <f>ROUNDUP(IF(IFERROR(IF($ASL6="","",IF($ASL6=0,1,1-$ASL6/HLOOKUP(ATF$3,[2]ARBOR_REAJUSTE18!$A:$AE,VLOOKUP($ASL$2,[2]ARBOR_REAJUSTE18!$A:$B,2,0),0))),"")&lt;0.01%,0.01%,(IFERROR(IF($ASL6="","",IF($ASL6=0,1,1-$ASL6/HLOOKUP(ATF$3,[2]ARBOR_REAJUSTE18!$A:$AE,VLOOKUP($ASL$2,[2]ARBOR_REAJUSTE18!$A:$B,2,0),0))),""))),4)</f>
        <v>#VALUE!</v>
      </c>
      <c r="ATG6" s="44" t="e">
        <f>ROUNDUP(IF(IFERROR(IF($ASL6="","",IF($ASL6=0,1,1-$ASL6/HLOOKUP(ATG$3,[2]ARBOR_REAJUSTE18!$A:$AE,VLOOKUP($ASL$2,[2]ARBOR_REAJUSTE18!$A:$B,2,0),0))),"")&lt;0.01%,0.01%,(IFERROR(IF($ASL6="","",IF($ASL6=0,1,1-$ASL6/HLOOKUP(ATG$3,[2]ARBOR_REAJUSTE18!$A:$AE,VLOOKUP($ASL$2,[2]ARBOR_REAJUSTE18!$A:$B,2,0),0))),""))),4)</f>
        <v>#VALUE!</v>
      </c>
      <c r="ATH6" s="44" t="e">
        <f>ROUNDUP(IF(IFERROR(IF($ASL6="","",IF($ASL6=0,1,1-$ASL6/HLOOKUP(ATH$3,[2]ARBOR_REAJUSTE18!$A:$AE,VLOOKUP($ASL$2,[2]ARBOR_REAJUSTE18!$A:$B,2,0),0))),"")&lt;0.01%,0.01%,(IFERROR(IF($ASL6="","",IF($ASL6=0,1,1-$ASL6/HLOOKUP(ATH$3,[2]ARBOR_REAJUSTE18!$A:$AE,VLOOKUP($ASL$2,[2]ARBOR_REAJUSTE18!$A:$B,2,0),0))),""))),4)</f>
        <v>#VALUE!</v>
      </c>
      <c r="ATI6" s="44" t="e">
        <f>ROUNDUP(IF(IFERROR(IF($ASL6="","",IF($ASL6=0,1,1-$ASL6/HLOOKUP(ATI$3,[2]ARBOR_REAJUSTE18!$A:$AE,VLOOKUP($ASL$2,[2]ARBOR_REAJUSTE18!$A:$B,2,0),0))),"")&lt;0.01%,0.01%,(IFERROR(IF($ASL6="","",IF($ASL6=0,1,1-$ASL6/HLOOKUP(ATI$3,[2]ARBOR_REAJUSTE18!$A:$AE,VLOOKUP($ASL$2,[2]ARBOR_REAJUSTE18!$A:$B,2,0),0))),""))),4)</f>
        <v>#VALUE!</v>
      </c>
      <c r="ATJ6" s="44" t="e">
        <f>ROUNDUP(IF(IFERROR(IF($ASL6="","",IF($ASL6=0,1,1-$ASL6/HLOOKUP(ATJ$3,[2]ARBOR_REAJUSTE18!$A:$AE,VLOOKUP($ASL$2,[2]ARBOR_REAJUSTE18!$A:$B,2,0),0))),"")&lt;0.01%,0.01%,(IFERROR(IF($ASL6="","",IF($ASL6=0,1,1-$ASL6/HLOOKUP(ATJ$3,[2]ARBOR_REAJUSTE18!$A:$AE,VLOOKUP($ASL$2,[2]ARBOR_REAJUSTE18!$A:$B,2,0),0))),""))),4)</f>
        <v>#VALUE!</v>
      </c>
      <c r="ATK6" s="44" t="e">
        <f>ROUNDUP(IF(IFERROR(IF($ASL6="","",IF($ASL6=0,1,1-$ASL6/HLOOKUP(ATK$3,[2]ARBOR_REAJUSTE18!$A:$AE,VLOOKUP($ASL$2,[2]ARBOR_REAJUSTE18!$A:$B,2,0),0))),"")&lt;0.01%,0.01%,(IFERROR(IF($ASL6="","",IF($ASL6=0,1,1-$ASL6/HLOOKUP(ATK$3,[2]ARBOR_REAJUSTE18!$A:$AE,VLOOKUP($ASL$2,[2]ARBOR_REAJUSTE18!$A:$B,2,0),0))),""))),4)</f>
        <v>#VALUE!</v>
      </c>
      <c r="ATL6" s="44" t="e">
        <f>ROUNDUP(IF(IFERROR(IF($ASL6="","",IF($ASL6=0,1,1-$ASL6/HLOOKUP(ATL$3,[2]ARBOR_REAJUSTE18!$A:$AE,VLOOKUP($ASL$2,[2]ARBOR_REAJUSTE18!$A:$B,2,0),0))),"")&lt;0.01%,0.01%,(IFERROR(IF($ASL6="","",IF($ASL6=0,1,1-$ASL6/HLOOKUP(ATL$3,[2]ARBOR_REAJUSTE18!$A:$AE,VLOOKUP($ASL$2,[2]ARBOR_REAJUSTE18!$A:$B,2,0),0))),""))),4)</f>
        <v>#VALUE!</v>
      </c>
      <c r="ATM6" s="44" t="e">
        <f>ROUNDUP(IF(IFERROR(IF($ASL6="","",IF($ASL6=0,1,1-$ASL6/HLOOKUP(ATM$3,[2]ARBOR_REAJUSTE18!$A:$AE,VLOOKUP($ASL$2,[2]ARBOR_REAJUSTE18!$A:$B,2,0),0))),"")&lt;0.01%,0.01%,(IFERROR(IF($ASL6="","",IF($ASL6=0,1,1-$ASL6/HLOOKUP(ATM$3,[2]ARBOR_REAJUSTE18!$A:$AE,VLOOKUP($ASL$2,[2]ARBOR_REAJUSTE18!$A:$B,2,0),0))),""))),4)</f>
        <v>#VALUE!</v>
      </c>
      <c r="ATN6" s="44" t="e">
        <f>ROUNDUP(IF(IFERROR(IF($ASL6="","",IF($ASL6=0,1,1-$ASL6/HLOOKUP(ATN$3,[2]ARBOR_REAJUSTE18!$A:$AE,VLOOKUP($ASL$2,[2]ARBOR_REAJUSTE18!$A:$B,2,0),0))),"")&lt;0.01%,0.01%,(IFERROR(IF($ASL6="","",IF($ASL6=0,1,1-$ASL6/HLOOKUP(ATN$3,[2]ARBOR_REAJUSTE18!$A:$AE,VLOOKUP($ASL$2,[2]ARBOR_REAJUSTE18!$A:$B,2,0),0))),""))),4)</f>
        <v>#VALUE!</v>
      </c>
      <c r="ATO6" s="56"/>
      <c r="ATP6" s="64"/>
      <c r="ATQ6" s="44" t="e">
        <f>ROUNDUP(IF(IFERROR(IF($ATO6="","",IF($ATO6=0,1,1-$ATO6/HLOOKUP(ATQ$3,[2]ARBOR_REAJUSTE18!$A:$AE,VLOOKUP($ATO$2,[2]ARBOR_REAJUSTE18!$A:$B,2,0),0))),"")&lt;0.01%,0.01%,(IFERROR(IF($ATO6="","",IF($ATO6=0,1,1-$ATO6/HLOOKUP(ATQ$3,[2]ARBOR_REAJUSTE18!$A:$AE,VLOOKUP($ATO$2,[2]ARBOR_REAJUSTE18!$A:$B,2,0),0))),""))),4)</f>
        <v>#VALUE!</v>
      </c>
      <c r="ATR6" s="44" t="e">
        <f>ROUNDUP(IF(IFERROR(IF($ATO6="","",IF($ATO6=0,1,1-$ATO6/HLOOKUP(ATR$3,[2]ARBOR_REAJUSTE18!$A:$AE,VLOOKUP($ATO$2,[2]ARBOR_REAJUSTE18!$A:$B,2,0),0))),"")&lt;0.01%,0.01%,(IFERROR(IF($ATO6="","",IF($ATO6=0,1,1-$ATO6/HLOOKUP(ATR$3,[2]ARBOR_REAJUSTE18!$A:$AE,VLOOKUP($ATO$2,[2]ARBOR_REAJUSTE18!$A:$B,2,0),0))),""))),4)</f>
        <v>#VALUE!</v>
      </c>
      <c r="ATS6" s="44" t="e">
        <f>ROUNDUP(IF(IFERROR(IF($ATO6="","",IF($ATO6=0,1,1-$ATO6/HLOOKUP(ATS$3,[2]ARBOR_REAJUSTE18!$A:$AE,VLOOKUP($ATO$2,[2]ARBOR_REAJUSTE18!$A:$B,2,0),0))),"")&lt;0.01%,0.01%,(IFERROR(IF($ATO6="","",IF($ATO6=0,1,1-$ATO6/HLOOKUP(ATS$3,[2]ARBOR_REAJUSTE18!$A:$AE,VLOOKUP($ATO$2,[2]ARBOR_REAJUSTE18!$A:$B,2,0),0))),""))),4)</f>
        <v>#VALUE!</v>
      </c>
      <c r="ATT6" s="44" t="e">
        <f>ROUNDUP(IF(IFERROR(IF($ATO6="","",IF($ATO6=0,1,1-$ATO6/HLOOKUP(ATT$3,[2]ARBOR_REAJUSTE18!$A:$AE,VLOOKUP($ATO$2,[2]ARBOR_REAJUSTE18!$A:$B,2,0),0))),"")&lt;0.01%,0.01%,(IFERROR(IF($ATO6="","",IF($ATO6=0,1,1-$ATO6/HLOOKUP(ATT$3,[2]ARBOR_REAJUSTE18!$A:$AE,VLOOKUP($ATO$2,[2]ARBOR_REAJUSTE18!$A:$B,2,0),0))),""))),4)</f>
        <v>#VALUE!</v>
      </c>
      <c r="ATU6" s="44" t="e">
        <f>ROUNDUP(IF(IFERROR(IF($ATO6="","",IF($ATO6=0,1,1-$ATO6/HLOOKUP(ATU$3,[2]ARBOR_REAJUSTE18!$A:$AE,VLOOKUP($ATO$2,[2]ARBOR_REAJUSTE18!$A:$B,2,0),0))),"")&lt;0.01%,0.01%,(IFERROR(IF($ATO6="","",IF($ATO6=0,1,1-$ATO6/HLOOKUP(ATU$3,[2]ARBOR_REAJUSTE18!$A:$AE,VLOOKUP($ATO$2,[2]ARBOR_REAJUSTE18!$A:$B,2,0),0))),""))),4)</f>
        <v>#VALUE!</v>
      </c>
      <c r="ATV6" s="44" t="e">
        <f>ROUNDUP(IF(IFERROR(IF($ATO6="","",IF($ATO6=0,1,1-$ATO6/HLOOKUP(ATV$3,[2]ARBOR_REAJUSTE18!$A:$AE,VLOOKUP($ATO$2,[2]ARBOR_REAJUSTE18!$A:$B,2,0),0))),"")&lt;0.01%,0.01%,(IFERROR(IF($ATO6="","",IF($ATO6=0,1,1-$ATO6/HLOOKUP(ATV$3,[2]ARBOR_REAJUSTE18!$A:$AE,VLOOKUP($ATO$2,[2]ARBOR_REAJUSTE18!$A:$B,2,0),0))),""))),4)</f>
        <v>#VALUE!</v>
      </c>
      <c r="ATW6" s="44" t="e">
        <f>ROUNDUP(IF(IFERROR(IF($ATO6="","",IF($ATO6=0,1,1-$ATO6/HLOOKUP(ATW$3,[2]ARBOR_REAJUSTE18!$A:$AE,VLOOKUP($ATO$2,[2]ARBOR_REAJUSTE18!$A:$B,2,0),0))),"")&lt;0.01%,0.01%,(IFERROR(IF($ATO6="","",IF($ATO6=0,1,1-$ATO6/HLOOKUP(ATW$3,[2]ARBOR_REAJUSTE18!$A:$AE,VLOOKUP($ATO$2,[2]ARBOR_REAJUSTE18!$A:$B,2,0),0))),""))),4)</f>
        <v>#VALUE!</v>
      </c>
      <c r="ATX6" s="44" t="e">
        <f>ROUNDUP(IF(IFERROR(IF($ATO6="","",IF($ATO6=0,1,1-$ATO6/HLOOKUP(ATX$3,[2]ARBOR_REAJUSTE18!$A:$AE,VLOOKUP($ATO$2,[2]ARBOR_REAJUSTE18!$A:$B,2,0),0))),"")&lt;0.01%,0.01%,(IFERROR(IF($ATO6="","",IF($ATO6=0,1,1-$ATO6/HLOOKUP(ATX$3,[2]ARBOR_REAJUSTE18!$A:$AE,VLOOKUP($ATO$2,[2]ARBOR_REAJUSTE18!$A:$B,2,0),0))),""))),4)</f>
        <v>#VALUE!</v>
      </c>
      <c r="ATY6" s="44" t="e">
        <f>ROUNDUP(IF(IFERROR(IF($ATO6="","",IF($ATO6=0,1,1-$ATO6/HLOOKUP(ATY$3,[2]ARBOR_REAJUSTE18!$A:$AE,VLOOKUP($ATO$2,[2]ARBOR_REAJUSTE18!$A:$B,2,0),0))),"")&lt;0.01%,0.01%,(IFERROR(IF($ATO6="","",IF($ATO6=0,1,1-$ATO6/HLOOKUP(ATY$3,[2]ARBOR_REAJUSTE18!$A:$AE,VLOOKUP($ATO$2,[2]ARBOR_REAJUSTE18!$A:$B,2,0),0))),""))),4)</f>
        <v>#VALUE!</v>
      </c>
      <c r="ATZ6" s="44" t="e">
        <f>ROUNDUP(IF(IFERROR(IF($ATO6="","",IF($ATO6=0,1,1-$ATO6/HLOOKUP(ATZ$3,[2]ARBOR_REAJUSTE18!$A:$AE,VLOOKUP($ATO$2,[2]ARBOR_REAJUSTE18!$A:$B,2,0),0))),"")&lt;0.01%,0.01%,(IFERROR(IF($ATO6="","",IF($ATO6=0,1,1-$ATO6/HLOOKUP(ATZ$3,[2]ARBOR_REAJUSTE18!$A:$AE,VLOOKUP($ATO$2,[2]ARBOR_REAJUSTE18!$A:$B,2,0),0))),""))),4)</f>
        <v>#VALUE!</v>
      </c>
      <c r="AUA6" s="44" t="e">
        <f>ROUNDUP(IF(IFERROR(IF($ATO6="","",IF($ATO6=0,1,1-$ATO6/HLOOKUP(AUA$3,[2]ARBOR_REAJUSTE18!$A:$AE,VLOOKUP($ATO$2,[2]ARBOR_REAJUSTE18!$A:$B,2,0),0))),"")&lt;0.01%,0.01%,(IFERROR(IF($ATO6="","",IF($ATO6=0,1,1-$ATO6/HLOOKUP(AUA$3,[2]ARBOR_REAJUSTE18!$A:$AE,VLOOKUP($ATO$2,[2]ARBOR_REAJUSTE18!$A:$B,2,0),0))),""))),4)</f>
        <v>#VALUE!</v>
      </c>
      <c r="AUB6" s="44" t="e">
        <f>ROUNDUP(IF(IFERROR(IF($ATO6="","",IF($ATO6=0,1,1-$ATO6/HLOOKUP(AUB$3,[2]ARBOR_REAJUSTE18!$A:$AE,VLOOKUP($ATO$2,[2]ARBOR_REAJUSTE18!$A:$B,2,0),0))),"")&lt;0.01%,0.01%,(IFERROR(IF($ATO6="","",IF($ATO6=0,1,1-$ATO6/HLOOKUP(AUB$3,[2]ARBOR_REAJUSTE18!$A:$AE,VLOOKUP($ATO$2,[2]ARBOR_REAJUSTE18!$A:$B,2,0),0))),""))),4)</f>
        <v>#VALUE!</v>
      </c>
      <c r="AUC6" s="44" t="e">
        <f>ROUNDUP(IF(IFERROR(IF($ATO6="","",IF($ATO6=0,1,1-$ATO6/HLOOKUP(AUC$3,[2]ARBOR_REAJUSTE18!$A:$AE,VLOOKUP($ATO$2,[2]ARBOR_REAJUSTE18!$A:$B,2,0),0))),"")&lt;0.01%,0.01%,(IFERROR(IF($ATO6="","",IF($ATO6=0,1,1-$ATO6/HLOOKUP(AUC$3,[2]ARBOR_REAJUSTE18!$A:$AE,VLOOKUP($ATO$2,[2]ARBOR_REAJUSTE18!$A:$B,2,0),0))),""))),4)</f>
        <v>#VALUE!</v>
      </c>
      <c r="AUD6" s="44" t="e">
        <f>ROUNDUP(IF(IFERROR(IF($ATO6="","",IF($ATO6=0,1,1-$ATO6/HLOOKUP(AUD$3,[2]ARBOR_REAJUSTE18!$A:$AE,VLOOKUP($ATO$2,[2]ARBOR_REAJUSTE18!$A:$B,2,0),0))),"")&lt;0.01%,0.01%,(IFERROR(IF($ATO6="","",IF($ATO6=0,1,1-$ATO6/HLOOKUP(AUD$3,[2]ARBOR_REAJUSTE18!$A:$AE,VLOOKUP($ATO$2,[2]ARBOR_REAJUSTE18!$A:$B,2,0),0))),""))),4)</f>
        <v>#VALUE!</v>
      </c>
      <c r="AUE6" s="44" t="e">
        <f>ROUNDUP(IF(IFERROR(IF($ATO6="","",IF($ATO6=0,1,1-$ATO6/HLOOKUP(AUE$3,[2]ARBOR_REAJUSTE18!$A:$AE,VLOOKUP($ATO$2,[2]ARBOR_REAJUSTE18!$A:$B,2,0),0))),"")&lt;0.01%,0.01%,(IFERROR(IF($ATO6="","",IF($ATO6=0,1,1-$ATO6/HLOOKUP(AUE$3,[2]ARBOR_REAJUSTE18!$A:$AE,VLOOKUP($ATO$2,[2]ARBOR_REAJUSTE18!$A:$B,2,0),0))),""))),4)</f>
        <v>#VALUE!</v>
      </c>
      <c r="AUF6" s="44" t="e">
        <f>ROUNDUP(IF(IFERROR(IF($ATO6="","",IF($ATO6=0,1,1-$ATO6/HLOOKUP(AUF$3,[2]ARBOR_REAJUSTE18!$A:$AE,VLOOKUP($ATO$2,[2]ARBOR_REAJUSTE18!$A:$B,2,0),0))),"")&lt;0.01%,0.01%,(IFERROR(IF($ATO6="","",IF($ATO6=0,1,1-$ATO6/HLOOKUP(AUF$3,[2]ARBOR_REAJUSTE18!$A:$AE,VLOOKUP($ATO$2,[2]ARBOR_REAJUSTE18!$A:$B,2,0),0))),""))),4)</f>
        <v>#VALUE!</v>
      </c>
      <c r="AUG6" s="44" t="e">
        <f>ROUNDUP(IF(IFERROR(IF($ATO6="","",IF($ATO6=0,1,1-$ATO6/HLOOKUP(AUG$3,[2]ARBOR_REAJUSTE18!$A:$AE,VLOOKUP($ATO$2,[2]ARBOR_REAJUSTE18!$A:$B,2,0),0))),"")&lt;0.01%,0.01%,(IFERROR(IF($ATO6="","",IF($ATO6=0,1,1-$ATO6/HLOOKUP(AUG$3,[2]ARBOR_REAJUSTE18!$A:$AE,VLOOKUP($ATO$2,[2]ARBOR_REAJUSTE18!$A:$B,2,0),0))),""))),4)</f>
        <v>#VALUE!</v>
      </c>
      <c r="AUH6" s="44" t="e">
        <f>ROUNDUP(IF(IFERROR(IF($ATO6="","",IF($ATO6=0,1,1-$ATO6/HLOOKUP(AUH$3,[2]ARBOR_REAJUSTE18!$A:$AE,VLOOKUP($ATO$2,[2]ARBOR_REAJUSTE18!$A:$B,2,0),0))),"")&lt;0.01%,0.01%,(IFERROR(IF($ATO6="","",IF($ATO6=0,1,1-$ATO6/HLOOKUP(AUH$3,[2]ARBOR_REAJUSTE18!$A:$AE,VLOOKUP($ATO$2,[2]ARBOR_REAJUSTE18!$A:$B,2,0),0))),""))),4)</f>
        <v>#VALUE!</v>
      </c>
      <c r="AUI6" s="44" t="e">
        <f>ROUNDUP(IF(IFERROR(IF($ATO6="","",IF($ATO6=0,1,1-$ATO6/HLOOKUP(AUI$3,[2]ARBOR_REAJUSTE18!$A:$AE,VLOOKUP($ATO$2,[2]ARBOR_REAJUSTE18!$A:$B,2,0),0))),"")&lt;0.01%,0.01%,(IFERROR(IF($ATO6="","",IF($ATO6=0,1,1-$ATO6/HLOOKUP(AUI$3,[2]ARBOR_REAJUSTE18!$A:$AE,VLOOKUP($ATO$2,[2]ARBOR_REAJUSTE18!$A:$B,2,0),0))),""))),4)</f>
        <v>#VALUE!</v>
      </c>
      <c r="AUJ6" s="44" t="e">
        <f>ROUNDUP(IF(IFERROR(IF($ATO6="","",IF($ATO6=0,1,1-$ATO6/HLOOKUP(AUJ$3,[2]ARBOR_REAJUSTE18!$A:$AE,VLOOKUP($ATO$2,[2]ARBOR_REAJUSTE18!$A:$B,2,0),0))),"")&lt;0.01%,0.01%,(IFERROR(IF($ATO6="","",IF($ATO6=0,1,1-$ATO6/HLOOKUP(AUJ$3,[2]ARBOR_REAJUSTE18!$A:$AE,VLOOKUP($ATO$2,[2]ARBOR_REAJUSTE18!$A:$B,2,0),0))),""))),4)</f>
        <v>#VALUE!</v>
      </c>
      <c r="AUK6" s="44" t="e">
        <f>ROUNDUP(IF(IFERROR(IF($ATO6="","",IF($ATO6=0,1,1-$ATO6/HLOOKUP(AUK$3,[2]ARBOR_REAJUSTE18!$A:$AE,VLOOKUP($ATO$2,[2]ARBOR_REAJUSTE18!$A:$B,2,0),0))),"")&lt;0.01%,0.01%,(IFERROR(IF($ATO6="","",IF($ATO6=0,1,1-$ATO6/HLOOKUP(AUK$3,[2]ARBOR_REAJUSTE18!$A:$AE,VLOOKUP($ATO$2,[2]ARBOR_REAJUSTE18!$A:$B,2,0),0))),""))),4)</f>
        <v>#VALUE!</v>
      </c>
      <c r="AUL6" s="44" t="e">
        <f>ROUNDUP(IF(IFERROR(IF($ATO6="","",IF($ATO6=0,1,1-$ATO6/HLOOKUP(AUL$3,[2]ARBOR_REAJUSTE18!$A:$AE,VLOOKUP($ATO$2,[2]ARBOR_REAJUSTE18!$A:$B,2,0),0))),"")&lt;0.01%,0.01%,(IFERROR(IF($ATO6="","",IF($ATO6=0,1,1-$ATO6/HLOOKUP(AUL$3,[2]ARBOR_REAJUSTE18!$A:$AE,VLOOKUP($ATO$2,[2]ARBOR_REAJUSTE18!$A:$B,2,0),0))),""))),4)</f>
        <v>#VALUE!</v>
      </c>
      <c r="AUM6" s="44" t="e">
        <f>ROUNDUP(IF(IFERROR(IF($ATO6="","",IF($ATO6=0,1,1-$ATO6/HLOOKUP(AUM$3,[2]ARBOR_REAJUSTE18!$A:$AE,VLOOKUP($ATO$2,[2]ARBOR_REAJUSTE18!$A:$B,2,0),0))),"")&lt;0.01%,0.01%,(IFERROR(IF($ATO6="","",IF($ATO6=0,1,1-$ATO6/HLOOKUP(AUM$3,[2]ARBOR_REAJUSTE18!$A:$AE,VLOOKUP($ATO$2,[2]ARBOR_REAJUSTE18!$A:$B,2,0),0))),""))),4)</f>
        <v>#VALUE!</v>
      </c>
      <c r="AUN6" s="44" t="e">
        <f>ROUNDUP(IF(IFERROR(IF($ATO6="","",IF($ATO6=0,1,1-$ATO6/HLOOKUP(AUN$3,[2]ARBOR_REAJUSTE18!$A:$AE,VLOOKUP($ATO$2,[2]ARBOR_REAJUSTE18!$A:$B,2,0),0))),"")&lt;0.01%,0.01%,(IFERROR(IF($ATO6="","",IF($ATO6=0,1,1-$ATO6/HLOOKUP(AUN$3,[2]ARBOR_REAJUSTE18!$A:$AE,VLOOKUP($ATO$2,[2]ARBOR_REAJUSTE18!$A:$B,2,0),0))),""))),4)</f>
        <v>#VALUE!</v>
      </c>
      <c r="AUO6" s="44" t="e">
        <f>ROUNDUP(IF(IFERROR(IF($ATO6="","",IF($ATO6=0,1,1-$ATO6/HLOOKUP(AUO$3,[2]ARBOR_REAJUSTE18!$A:$AE,VLOOKUP($ATO$2,[2]ARBOR_REAJUSTE18!$A:$B,2,0),0))),"")&lt;0.01%,0.01%,(IFERROR(IF($ATO6="","",IF($ATO6=0,1,1-$ATO6/HLOOKUP(AUO$3,[2]ARBOR_REAJUSTE18!$A:$AE,VLOOKUP($ATO$2,[2]ARBOR_REAJUSTE18!$A:$B,2,0),0))),""))),4)</f>
        <v>#VALUE!</v>
      </c>
      <c r="AUP6" s="44" t="e">
        <f>ROUNDUP(IF(IFERROR(IF($ATO6="","",IF($ATO6=0,1,1-$ATO6/HLOOKUP(AUP$3,[2]ARBOR_REAJUSTE18!$A:$AE,VLOOKUP($ATO$2,[2]ARBOR_REAJUSTE18!$A:$B,2,0),0))),"")&lt;0.01%,0.01%,(IFERROR(IF($ATO6="","",IF($ATO6=0,1,1-$ATO6/HLOOKUP(AUP$3,[2]ARBOR_REAJUSTE18!$A:$AE,VLOOKUP($ATO$2,[2]ARBOR_REAJUSTE18!$A:$B,2,0),0))),""))),4)</f>
        <v>#VALUE!</v>
      </c>
      <c r="AUQ6" s="44" t="e">
        <f>ROUNDUP(IF(IFERROR(IF($ATO6="","",IF($ATO6=0,1,1-$ATO6/HLOOKUP(AUQ$3,[2]ARBOR_REAJUSTE18!$A:$AE,VLOOKUP($ATO$2,[2]ARBOR_REAJUSTE18!$A:$B,2,0),0))),"")&lt;0.01%,0.01%,(IFERROR(IF($ATO6="","",IF($ATO6=0,1,1-$ATO6/HLOOKUP(AUQ$3,[2]ARBOR_REAJUSTE18!$A:$AE,VLOOKUP($ATO$2,[2]ARBOR_REAJUSTE18!$A:$B,2,0),0))),""))),4)</f>
        <v>#VALUE!</v>
      </c>
      <c r="AUR6" s="56"/>
      <c r="AUS6" s="64"/>
      <c r="AUT6" s="44" t="e">
        <f>ROUNDUP(IF(IFERROR(IF($AUR6="","",IF($AUR6=0,1,1-$AUR6/HLOOKUP(AUT$3,[2]ARBOR_REAJUSTE18!$A:$AE,VLOOKUP($AUR$2,[2]ARBOR_REAJUSTE18!$A:$B,2,0),0))),"")&lt;0.01%,0.01%,(IFERROR(IF($AUR6="","",IF($AUR6=0,1,1-$AUR6/HLOOKUP(AUT$3,[2]ARBOR_REAJUSTE18!$A:$AE,VLOOKUP($AUR$2,[2]ARBOR_REAJUSTE18!$A:$B,2,0),0))),""))),4)</f>
        <v>#VALUE!</v>
      </c>
      <c r="AUU6" s="44" t="e">
        <f>ROUNDUP(IF(IFERROR(IF($AUR6="","",IF($AUR6=0,1,1-$AUR6/HLOOKUP(AUU$3,[2]ARBOR_REAJUSTE18!$A:$AE,VLOOKUP($AUR$2,[2]ARBOR_REAJUSTE18!$A:$B,2,0),0))),"")&lt;0.01%,0.01%,(IFERROR(IF($AUR6="","",IF($AUR6=0,1,1-$AUR6/HLOOKUP(AUU$3,[2]ARBOR_REAJUSTE18!$A:$AE,VLOOKUP($AUR$2,[2]ARBOR_REAJUSTE18!$A:$B,2,0),0))),""))),4)</f>
        <v>#VALUE!</v>
      </c>
      <c r="AUV6" s="44" t="e">
        <f>ROUNDUP(IF(IFERROR(IF($AUR6="","",IF($AUR6=0,1,1-$AUR6/HLOOKUP(AUV$3,[2]ARBOR_REAJUSTE18!$A:$AE,VLOOKUP($AUR$2,[2]ARBOR_REAJUSTE18!$A:$B,2,0),0))),"")&lt;0.01%,0.01%,(IFERROR(IF($AUR6="","",IF($AUR6=0,1,1-$AUR6/HLOOKUP(AUV$3,[2]ARBOR_REAJUSTE18!$A:$AE,VLOOKUP($AUR$2,[2]ARBOR_REAJUSTE18!$A:$B,2,0),0))),""))),4)</f>
        <v>#VALUE!</v>
      </c>
      <c r="AUW6" s="44" t="e">
        <f>ROUNDUP(IF(IFERROR(IF($AUR6="","",IF($AUR6=0,1,1-$AUR6/HLOOKUP(AUW$3,[2]ARBOR_REAJUSTE18!$A:$AE,VLOOKUP($AUR$2,[2]ARBOR_REAJUSTE18!$A:$B,2,0),0))),"")&lt;0.01%,0.01%,(IFERROR(IF($AUR6="","",IF($AUR6=0,1,1-$AUR6/HLOOKUP(AUW$3,[2]ARBOR_REAJUSTE18!$A:$AE,VLOOKUP($AUR$2,[2]ARBOR_REAJUSTE18!$A:$B,2,0),0))),""))),4)</f>
        <v>#VALUE!</v>
      </c>
      <c r="AUX6" s="44" t="e">
        <f>ROUNDUP(IF(IFERROR(IF($AUR6="","",IF($AUR6=0,1,1-$AUR6/HLOOKUP(AUX$3,[2]ARBOR_REAJUSTE18!$A:$AE,VLOOKUP($AUR$2,[2]ARBOR_REAJUSTE18!$A:$B,2,0),0))),"")&lt;0.01%,0.01%,(IFERROR(IF($AUR6="","",IF($AUR6=0,1,1-$AUR6/HLOOKUP(AUX$3,[2]ARBOR_REAJUSTE18!$A:$AE,VLOOKUP($AUR$2,[2]ARBOR_REAJUSTE18!$A:$B,2,0),0))),""))),4)</f>
        <v>#VALUE!</v>
      </c>
      <c r="AUY6" s="44" t="e">
        <f>ROUNDUP(IF(IFERROR(IF($AUR6="","",IF($AUR6=0,1,1-$AUR6/HLOOKUP(AUY$3,[2]ARBOR_REAJUSTE18!$A:$AE,VLOOKUP($AUR$2,[2]ARBOR_REAJUSTE18!$A:$B,2,0),0))),"")&lt;0.01%,0.01%,(IFERROR(IF($AUR6="","",IF($AUR6=0,1,1-$AUR6/HLOOKUP(AUY$3,[2]ARBOR_REAJUSTE18!$A:$AE,VLOOKUP($AUR$2,[2]ARBOR_REAJUSTE18!$A:$B,2,0),0))),""))),4)</f>
        <v>#VALUE!</v>
      </c>
      <c r="AUZ6" s="44" t="e">
        <f>ROUNDUP(IF(IFERROR(IF($AUR6="","",IF($AUR6=0,1,1-$AUR6/HLOOKUP(AUZ$3,[2]ARBOR_REAJUSTE18!$A:$AE,VLOOKUP($AUR$2,[2]ARBOR_REAJUSTE18!$A:$B,2,0),0))),"")&lt;0.01%,0.01%,(IFERROR(IF($AUR6="","",IF($AUR6=0,1,1-$AUR6/HLOOKUP(AUZ$3,[2]ARBOR_REAJUSTE18!$A:$AE,VLOOKUP($AUR$2,[2]ARBOR_REAJUSTE18!$A:$B,2,0),0))),""))),4)</f>
        <v>#VALUE!</v>
      </c>
      <c r="AVA6" s="44" t="e">
        <f>ROUNDUP(IF(IFERROR(IF($AUR6="","",IF($AUR6=0,1,1-$AUR6/HLOOKUP(AVA$3,[2]ARBOR_REAJUSTE18!$A:$AE,VLOOKUP($AUR$2,[2]ARBOR_REAJUSTE18!$A:$B,2,0),0))),"")&lt;0.01%,0.01%,(IFERROR(IF($AUR6="","",IF($AUR6=0,1,1-$AUR6/HLOOKUP(AVA$3,[2]ARBOR_REAJUSTE18!$A:$AE,VLOOKUP($AUR$2,[2]ARBOR_REAJUSTE18!$A:$B,2,0),0))),""))),4)</f>
        <v>#VALUE!</v>
      </c>
      <c r="AVB6" s="44" t="e">
        <f>ROUNDUP(IF(IFERROR(IF($AUR6="","",IF($AUR6=0,1,1-$AUR6/HLOOKUP(AVB$3,[2]ARBOR_REAJUSTE18!$A:$AE,VLOOKUP($AUR$2,[2]ARBOR_REAJUSTE18!$A:$B,2,0),0))),"")&lt;0.01%,0.01%,(IFERROR(IF($AUR6="","",IF($AUR6=0,1,1-$AUR6/HLOOKUP(AVB$3,[2]ARBOR_REAJUSTE18!$A:$AE,VLOOKUP($AUR$2,[2]ARBOR_REAJUSTE18!$A:$B,2,0),0))),""))),4)</f>
        <v>#VALUE!</v>
      </c>
      <c r="AVC6" s="44" t="e">
        <f>ROUNDUP(IF(IFERROR(IF($AUR6="","",IF($AUR6=0,1,1-$AUR6/HLOOKUP(AVC$3,[2]ARBOR_REAJUSTE18!$A:$AE,VLOOKUP($AUR$2,[2]ARBOR_REAJUSTE18!$A:$B,2,0),0))),"")&lt;0.01%,0.01%,(IFERROR(IF($AUR6="","",IF($AUR6=0,1,1-$AUR6/HLOOKUP(AVC$3,[2]ARBOR_REAJUSTE18!$A:$AE,VLOOKUP($AUR$2,[2]ARBOR_REAJUSTE18!$A:$B,2,0),0))),""))),4)</f>
        <v>#VALUE!</v>
      </c>
      <c r="AVD6" s="44" t="e">
        <f>ROUNDUP(IF(IFERROR(IF($AUR6="","",IF($AUR6=0,1,1-$AUR6/HLOOKUP(AVD$3,[2]ARBOR_REAJUSTE18!$A:$AE,VLOOKUP($AUR$2,[2]ARBOR_REAJUSTE18!$A:$B,2,0),0))),"")&lt;0.01%,0.01%,(IFERROR(IF($AUR6="","",IF($AUR6=0,1,1-$AUR6/HLOOKUP(AVD$3,[2]ARBOR_REAJUSTE18!$A:$AE,VLOOKUP($AUR$2,[2]ARBOR_REAJUSTE18!$A:$B,2,0),0))),""))),4)</f>
        <v>#VALUE!</v>
      </c>
      <c r="AVE6" s="44" t="e">
        <f>ROUNDUP(IF(IFERROR(IF($AUR6="","",IF($AUR6=0,1,1-$AUR6/HLOOKUP(AVE$3,[2]ARBOR_REAJUSTE18!$A:$AE,VLOOKUP($AUR$2,[2]ARBOR_REAJUSTE18!$A:$B,2,0),0))),"")&lt;0.01%,0.01%,(IFERROR(IF($AUR6="","",IF($AUR6=0,1,1-$AUR6/HLOOKUP(AVE$3,[2]ARBOR_REAJUSTE18!$A:$AE,VLOOKUP($AUR$2,[2]ARBOR_REAJUSTE18!$A:$B,2,0),0))),""))),4)</f>
        <v>#VALUE!</v>
      </c>
      <c r="AVF6" s="44" t="e">
        <f>ROUNDUP(IF(IFERROR(IF($AUR6="","",IF($AUR6=0,1,1-$AUR6/HLOOKUP(AVF$3,[2]ARBOR_REAJUSTE18!$A:$AE,VLOOKUP($AUR$2,[2]ARBOR_REAJUSTE18!$A:$B,2,0),0))),"")&lt;0.01%,0.01%,(IFERROR(IF($AUR6="","",IF($AUR6=0,1,1-$AUR6/HLOOKUP(AVF$3,[2]ARBOR_REAJUSTE18!$A:$AE,VLOOKUP($AUR$2,[2]ARBOR_REAJUSTE18!$A:$B,2,0),0))),""))),4)</f>
        <v>#VALUE!</v>
      </c>
      <c r="AVG6" s="44" t="e">
        <f>ROUNDUP(IF(IFERROR(IF($AUR6="","",IF($AUR6=0,1,1-$AUR6/HLOOKUP(AVG$3,[2]ARBOR_REAJUSTE18!$A:$AE,VLOOKUP($AUR$2,[2]ARBOR_REAJUSTE18!$A:$B,2,0),0))),"")&lt;0.01%,0.01%,(IFERROR(IF($AUR6="","",IF($AUR6=0,1,1-$AUR6/HLOOKUP(AVG$3,[2]ARBOR_REAJUSTE18!$A:$AE,VLOOKUP($AUR$2,[2]ARBOR_REAJUSTE18!$A:$B,2,0),0))),""))),4)</f>
        <v>#VALUE!</v>
      </c>
      <c r="AVH6" s="44" t="e">
        <f>ROUNDUP(IF(IFERROR(IF($AUR6="","",IF($AUR6=0,1,1-$AUR6/HLOOKUP(AVH$3,[2]ARBOR_REAJUSTE18!$A:$AE,VLOOKUP($AUR$2,[2]ARBOR_REAJUSTE18!$A:$B,2,0),0))),"")&lt;0.01%,0.01%,(IFERROR(IF($AUR6="","",IF($AUR6=0,1,1-$AUR6/HLOOKUP(AVH$3,[2]ARBOR_REAJUSTE18!$A:$AE,VLOOKUP($AUR$2,[2]ARBOR_REAJUSTE18!$A:$B,2,0),0))),""))),4)</f>
        <v>#VALUE!</v>
      </c>
      <c r="AVI6" s="44" t="e">
        <f>ROUNDUP(IF(IFERROR(IF($AUR6="","",IF($AUR6=0,1,1-$AUR6/HLOOKUP(AVI$3,[2]ARBOR_REAJUSTE18!$A:$AE,VLOOKUP($AUR$2,[2]ARBOR_REAJUSTE18!$A:$B,2,0),0))),"")&lt;0.01%,0.01%,(IFERROR(IF($AUR6="","",IF($AUR6=0,1,1-$AUR6/HLOOKUP(AVI$3,[2]ARBOR_REAJUSTE18!$A:$AE,VLOOKUP($AUR$2,[2]ARBOR_REAJUSTE18!$A:$B,2,0),0))),""))),4)</f>
        <v>#VALUE!</v>
      </c>
      <c r="AVJ6" s="44" t="e">
        <f>ROUNDUP(IF(IFERROR(IF($AUR6="","",IF($AUR6=0,1,1-$AUR6/HLOOKUP(AVJ$3,[2]ARBOR_REAJUSTE18!$A:$AE,VLOOKUP($AUR$2,[2]ARBOR_REAJUSTE18!$A:$B,2,0),0))),"")&lt;0.01%,0.01%,(IFERROR(IF($AUR6="","",IF($AUR6=0,1,1-$AUR6/HLOOKUP(AVJ$3,[2]ARBOR_REAJUSTE18!$A:$AE,VLOOKUP($AUR$2,[2]ARBOR_REAJUSTE18!$A:$B,2,0),0))),""))),4)</f>
        <v>#VALUE!</v>
      </c>
      <c r="AVK6" s="44" t="e">
        <f>ROUNDUP(IF(IFERROR(IF($AUR6="","",IF($AUR6=0,1,1-$AUR6/HLOOKUP(AVK$3,[2]ARBOR_REAJUSTE18!$A:$AE,VLOOKUP($AUR$2,[2]ARBOR_REAJUSTE18!$A:$B,2,0),0))),"")&lt;0.01%,0.01%,(IFERROR(IF($AUR6="","",IF($AUR6=0,1,1-$AUR6/HLOOKUP(AVK$3,[2]ARBOR_REAJUSTE18!$A:$AE,VLOOKUP($AUR$2,[2]ARBOR_REAJUSTE18!$A:$B,2,0),0))),""))),4)</f>
        <v>#VALUE!</v>
      </c>
      <c r="AVL6" s="44" t="e">
        <f>ROUNDUP(IF(IFERROR(IF($AUR6="","",IF($AUR6=0,1,1-$AUR6/HLOOKUP(AVL$3,[2]ARBOR_REAJUSTE18!$A:$AE,VLOOKUP($AUR$2,[2]ARBOR_REAJUSTE18!$A:$B,2,0),0))),"")&lt;0.01%,0.01%,(IFERROR(IF($AUR6="","",IF($AUR6=0,1,1-$AUR6/HLOOKUP(AVL$3,[2]ARBOR_REAJUSTE18!$A:$AE,VLOOKUP($AUR$2,[2]ARBOR_REAJUSTE18!$A:$B,2,0),0))),""))),4)</f>
        <v>#VALUE!</v>
      </c>
      <c r="AVM6" s="44" t="e">
        <f>ROUNDUP(IF(IFERROR(IF($AUR6="","",IF($AUR6=0,1,1-$AUR6/HLOOKUP(AVM$3,[2]ARBOR_REAJUSTE18!$A:$AE,VLOOKUP($AUR$2,[2]ARBOR_REAJUSTE18!$A:$B,2,0),0))),"")&lt;0.01%,0.01%,(IFERROR(IF($AUR6="","",IF($AUR6=0,1,1-$AUR6/HLOOKUP(AVM$3,[2]ARBOR_REAJUSTE18!$A:$AE,VLOOKUP($AUR$2,[2]ARBOR_REAJUSTE18!$A:$B,2,0),0))),""))),4)</f>
        <v>#VALUE!</v>
      </c>
      <c r="AVN6" s="44" t="e">
        <f>ROUNDUP(IF(IFERROR(IF($AUR6="","",IF($AUR6=0,1,1-$AUR6/HLOOKUP(AVN$3,[2]ARBOR_REAJUSTE18!$A:$AE,VLOOKUP($AUR$2,[2]ARBOR_REAJUSTE18!$A:$B,2,0),0))),"")&lt;0.01%,0.01%,(IFERROR(IF($AUR6="","",IF($AUR6=0,1,1-$AUR6/HLOOKUP(AVN$3,[2]ARBOR_REAJUSTE18!$A:$AE,VLOOKUP($AUR$2,[2]ARBOR_REAJUSTE18!$A:$B,2,0),0))),""))),4)</f>
        <v>#VALUE!</v>
      </c>
      <c r="AVO6" s="44" t="e">
        <f>ROUNDUP(IF(IFERROR(IF($AUR6="","",IF($AUR6=0,1,1-$AUR6/HLOOKUP(AVO$3,[2]ARBOR_REAJUSTE18!$A:$AE,VLOOKUP($AUR$2,[2]ARBOR_REAJUSTE18!$A:$B,2,0),0))),"")&lt;0.01%,0.01%,(IFERROR(IF($AUR6="","",IF($AUR6=0,1,1-$AUR6/HLOOKUP(AVO$3,[2]ARBOR_REAJUSTE18!$A:$AE,VLOOKUP($AUR$2,[2]ARBOR_REAJUSTE18!$A:$B,2,0),0))),""))),4)</f>
        <v>#VALUE!</v>
      </c>
      <c r="AVP6" s="44" t="e">
        <f>ROUNDUP(IF(IFERROR(IF($AUR6="","",IF($AUR6=0,1,1-$AUR6/HLOOKUP(AVP$3,[2]ARBOR_REAJUSTE18!$A:$AE,VLOOKUP($AUR$2,[2]ARBOR_REAJUSTE18!$A:$B,2,0),0))),"")&lt;0.01%,0.01%,(IFERROR(IF($AUR6="","",IF($AUR6=0,1,1-$AUR6/HLOOKUP(AVP$3,[2]ARBOR_REAJUSTE18!$A:$AE,VLOOKUP($AUR$2,[2]ARBOR_REAJUSTE18!$A:$B,2,0),0))),""))),4)</f>
        <v>#VALUE!</v>
      </c>
      <c r="AVQ6" s="44" t="e">
        <f>ROUNDUP(IF(IFERROR(IF($AUR6="","",IF($AUR6=0,1,1-$AUR6/HLOOKUP(AVQ$3,[2]ARBOR_REAJUSTE18!$A:$AE,VLOOKUP($AUR$2,[2]ARBOR_REAJUSTE18!$A:$B,2,0),0))),"")&lt;0.01%,0.01%,(IFERROR(IF($AUR6="","",IF($AUR6=0,1,1-$AUR6/HLOOKUP(AVQ$3,[2]ARBOR_REAJUSTE18!$A:$AE,VLOOKUP($AUR$2,[2]ARBOR_REAJUSTE18!$A:$B,2,0),0))),""))),4)</f>
        <v>#VALUE!</v>
      </c>
      <c r="AVR6" s="44" t="e">
        <f>ROUNDUP(IF(IFERROR(IF($AUR6="","",IF($AUR6=0,1,1-$AUR6/HLOOKUP(AVR$3,[2]ARBOR_REAJUSTE18!$A:$AE,VLOOKUP($AUR$2,[2]ARBOR_REAJUSTE18!$A:$B,2,0),0))),"")&lt;0.01%,0.01%,(IFERROR(IF($AUR6="","",IF($AUR6=0,1,1-$AUR6/HLOOKUP(AVR$3,[2]ARBOR_REAJUSTE18!$A:$AE,VLOOKUP($AUR$2,[2]ARBOR_REAJUSTE18!$A:$B,2,0),0))),""))),4)</f>
        <v>#VALUE!</v>
      </c>
      <c r="AVS6" s="44" t="e">
        <f>ROUNDUP(IF(IFERROR(IF($AUR6="","",IF($AUR6=0,1,1-$AUR6/HLOOKUP(AVS$3,[2]ARBOR_REAJUSTE18!$A:$AE,VLOOKUP($AUR$2,[2]ARBOR_REAJUSTE18!$A:$B,2,0),0))),"")&lt;0.01%,0.01%,(IFERROR(IF($AUR6="","",IF($AUR6=0,1,1-$AUR6/HLOOKUP(AVS$3,[2]ARBOR_REAJUSTE18!$A:$AE,VLOOKUP($AUR$2,[2]ARBOR_REAJUSTE18!$A:$B,2,0),0))),""))),4)</f>
        <v>#VALUE!</v>
      </c>
      <c r="AVT6" s="44" t="e">
        <f>ROUNDUP(IF(IFERROR(IF($AUR6="","",IF($AUR6=0,1,1-$AUR6/HLOOKUP(AVT$3,[2]ARBOR_REAJUSTE18!$A:$AE,VLOOKUP($AUR$2,[2]ARBOR_REAJUSTE18!$A:$B,2,0),0))),"")&lt;0.01%,0.01%,(IFERROR(IF($AUR6="","",IF($AUR6=0,1,1-$AUR6/HLOOKUP(AVT$3,[2]ARBOR_REAJUSTE18!$A:$AE,VLOOKUP($AUR$2,[2]ARBOR_REAJUSTE18!$A:$B,2,0),0))),""))),4)</f>
        <v>#VALUE!</v>
      </c>
      <c r="AVU6" s="56"/>
      <c r="AVV6" s="64"/>
      <c r="AVW6" s="44" t="e">
        <f>ROUNDUP(IF(IFERROR(IF($AVU6="","",IF($AVU6=0,1,1-$AVU6/HLOOKUP(AVW$3,[2]ARBOR_REAJUSTE18!$A:$AE,VLOOKUP($AVU$2,[2]ARBOR_REAJUSTE18!$A:$B,2,0),0))),"")&lt;0.01%,0.01%,(IFERROR(IF($AVU6="","",IF($AVU6=0,1,1-$AVU6/HLOOKUP(AVW$3,[2]ARBOR_REAJUSTE18!$A:$AE,VLOOKUP($AVU$2,[2]ARBOR_REAJUSTE18!$A:$B,2,0),0))),""))),4)</f>
        <v>#VALUE!</v>
      </c>
      <c r="AVX6" s="44" t="e">
        <f>ROUNDUP(IF(IFERROR(IF($AVU6="","",IF($AVU6=0,1,1-$AVU6/HLOOKUP(AVX$3,[2]ARBOR_REAJUSTE18!$A:$AE,VLOOKUP($AVU$2,[2]ARBOR_REAJUSTE18!$A:$B,2,0),0))),"")&lt;0.01%,0.01%,(IFERROR(IF($AVU6="","",IF($AVU6=0,1,1-$AVU6/HLOOKUP(AVX$3,[2]ARBOR_REAJUSTE18!$A:$AE,VLOOKUP($AVU$2,[2]ARBOR_REAJUSTE18!$A:$B,2,0),0))),""))),4)</f>
        <v>#VALUE!</v>
      </c>
      <c r="AVY6" s="44" t="e">
        <f>ROUNDUP(IF(IFERROR(IF($AVU6="","",IF($AVU6=0,1,1-$AVU6/HLOOKUP(AVY$3,[2]ARBOR_REAJUSTE18!$A:$AE,VLOOKUP($AVU$2,[2]ARBOR_REAJUSTE18!$A:$B,2,0),0))),"")&lt;0.01%,0.01%,(IFERROR(IF($AVU6="","",IF($AVU6=0,1,1-$AVU6/HLOOKUP(AVY$3,[2]ARBOR_REAJUSTE18!$A:$AE,VLOOKUP($AVU$2,[2]ARBOR_REAJUSTE18!$A:$B,2,0),0))),""))),4)</f>
        <v>#VALUE!</v>
      </c>
      <c r="AVZ6" s="44" t="e">
        <f>ROUNDUP(IF(IFERROR(IF($AVU6="","",IF($AVU6=0,1,1-$AVU6/HLOOKUP(AVZ$3,[2]ARBOR_REAJUSTE18!$A:$AE,VLOOKUP($AVU$2,[2]ARBOR_REAJUSTE18!$A:$B,2,0),0))),"")&lt;0.01%,0.01%,(IFERROR(IF($AVU6="","",IF($AVU6=0,1,1-$AVU6/HLOOKUP(AVZ$3,[2]ARBOR_REAJUSTE18!$A:$AE,VLOOKUP($AVU$2,[2]ARBOR_REAJUSTE18!$A:$B,2,0),0))),""))),4)</f>
        <v>#VALUE!</v>
      </c>
      <c r="AWA6" s="44" t="e">
        <f>ROUNDUP(IF(IFERROR(IF($AVU6="","",IF($AVU6=0,1,1-$AVU6/HLOOKUP(AWA$3,[2]ARBOR_REAJUSTE18!$A:$AE,VLOOKUP($AVU$2,[2]ARBOR_REAJUSTE18!$A:$B,2,0),0))),"")&lt;0.01%,0.01%,(IFERROR(IF($AVU6="","",IF($AVU6=0,1,1-$AVU6/HLOOKUP(AWA$3,[2]ARBOR_REAJUSTE18!$A:$AE,VLOOKUP($AVU$2,[2]ARBOR_REAJUSTE18!$A:$B,2,0),0))),""))),4)</f>
        <v>#VALUE!</v>
      </c>
      <c r="AWB6" s="44" t="e">
        <f>ROUNDUP(IF(IFERROR(IF($AVU6="","",IF($AVU6=0,1,1-$AVU6/HLOOKUP(AWB$3,[2]ARBOR_REAJUSTE18!$A:$AE,VLOOKUP($AVU$2,[2]ARBOR_REAJUSTE18!$A:$B,2,0),0))),"")&lt;0.01%,0.01%,(IFERROR(IF($AVU6="","",IF($AVU6=0,1,1-$AVU6/HLOOKUP(AWB$3,[2]ARBOR_REAJUSTE18!$A:$AE,VLOOKUP($AVU$2,[2]ARBOR_REAJUSTE18!$A:$B,2,0),0))),""))),4)</f>
        <v>#VALUE!</v>
      </c>
      <c r="AWC6" s="44" t="e">
        <f>ROUNDUP(IF(IFERROR(IF($AVU6="","",IF($AVU6=0,1,1-$AVU6/HLOOKUP(AWC$3,[2]ARBOR_REAJUSTE18!$A:$AE,VLOOKUP($AVU$2,[2]ARBOR_REAJUSTE18!$A:$B,2,0),0))),"")&lt;0.01%,0.01%,(IFERROR(IF($AVU6="","",IF($AVU6=0,1,1-$AVU6/HLOOKUP(AWC$3,[2]ARBOR_REAJUSTE18!$A:$AE,VLOOKUP($AVU$2,[2]ARBOR_REAJUSTE18!$A:$B,2,0),0))),""))),4)</f>
        <v>#VALUE!</v>
      </c>
      <c r="AWD6" s="44" t="e">
        <f>ROUNDUP(IF(IFERROR(IF($AVU6="","",IF($AVU6=0,1,1-$AVU6/HLOOKUP(AWD$3,[2]ARBOR_REAJUSTE18!$A:$AE,VLOOKUP($AVU$2,[2]ARBOR_REAJUSTE18!$A:$B,2,0),0))),"")&lt;0.01%,0.01%,(IFERROR(IF($AVU6="","",IF($AVU6=0,1,1-$AVU6/HLOOKUP(AWD$3,[2]ARBOR_REAJUSTE18!$A:$AE,VLOOKUP($AVU$2,[2]ARBOR_REAJUSTE18!$A:$B,2,0),0))),""))),4)</f>
        <v>#VALUE!</v>
      </c>
      <c r="AWE6" s="44" t="e">
        <f>ROUNDUP(IF(IFERROR(IF($AVU6="","",IF($AVU6=0,1,1-$AVU6/HLOOKUP(AWE$3,[2]ARBOR_REAJUSTE18!$A:$AE,VLOOKUP($AVU$2,[2]ARBOR_REAJUSTE18!$A:$B,2,0),0))),"")&lt;0.01%,0.01%,(IFERROR(IF($AVU6="","",IF($AVU6=0,1,1-$AVU6/HLOOKUP(AWE$3,[2]ARBOR_REAJUSTE18!$A:$AE,VLOOKUP($AVU$2,[2]ARBOR_REAJUSTE18!$A:$B,2,0),0))),""))),4)</f>
        <v>#VALUE!</v>
      </c>
      <c r="AWF6" s="44" t="e">
        <f>ROUNDUP(IF(IFERROR(IF($AVU6="","",IF($AVU6=0,1,1-$AVU6/HLOOKUP(AWF$3,[2]ARBOR_REAJUSTE18!$A:$AE,VLOOKUP($AVU$2,[2]ARBOR_REAJUSTE18!$A:$B,2,0),0))),"")&lt;0.01%,0.01%,(IFERROR(IF($AVU6="","",IF($AVU6=0,1,1-$AVU6/HLOOKUP(AWF$3,[2]ARBOR_REAJUSTE18!$A:$AE,VLOOKUP($AVU$2,[2]ARBOR_REAJUSTE18!$A:$B,2,0),0))),""))),4)</f>
        <v>#VALUE!</v>
      </c>
      <c r="AWG6" s="44" t="e">
        <f>ROUNDUP(IF(IFERROR(IF($AVU6="","",IF($AVU6=0,1,1-$AVU6/HLOOKUP(AWG$3,[2]ARBOR_REAJUSTE18!$A:$AE,VLOOKUP($AVU$2,[2]ARBOR_REAJUSTE18!$A:$B,2,0),0))),"")&lt;0.01%,0.01%,(IFERROR(IF($AVU6="","",IF($AVU6=0,1,1-$AVU6/HLOOKUP(AWG$3,[2]ARBOR_REAJUSTE18!$A:$AE,VLOOKUP($AVU$2,[2]ARBOR_REAJUSTE18!$A:$B,2,0),0))),""))),4)</f>
        <v>#VALUE!</v>
      </c>
      <c r="AWH6" s="44" t="e">
        <f>ROUNDUP(IF(IFERROR(IF($AVU6="","",IF($AVU6=0,1,1-$AVU6/HLOOKUP(AWH$3,[2]ARBOR_REAJUSTE18!$A:$AE,VLOOKUP($AVU$2,[2]ARBOR_REAJUSTE18!$A:$B,2,0),0))),"")&lt;0.01%,0.01%,(IFERROR(IF($AVU6="","",IF($AVU6=0,1,1-$AVU6/HLOOKUP(AWH$3,[2]ARBOR_REAJUSTE18!$A:$AE,VLOOKUP($AVU$2,[2]ARBOR_REAJUSTE18!$A:$B,2,0),0))),""))),4)</f>
        <v>#VALUE!</v>
      </c>
      <c r="AWI6" s="44" t="e">
        <f>ROUNDUP(IF(IFERROR(IF($AVU6="","",IF($AVU6=0,1,1-$AVU6/HLOOKUP(AWI$3,[2]ARBOR_REAJUSTE18!$A:$AE,VLOOKUP($AVU$2,[2]ARBOR_REAJUSTE18!$A:$B,2,0),0))),"")&lt;0.01%,0.01%,(IFERROR(IF($AVU6="","",IF($AVU6=0,1,1-$AVU6/HLOOKUP(AWI$3,[2]ARBOR_REAJUSTE18!$A:$AE,VLOOKUP($AVU$2,[2]ARBOR_REAJUSTE18!$A:$B,2,0),0))),""))),4)</f>
        <v>#VALUE!</v>
      </c>
      <c r="AWJ6" s="44" t="e">
        <f>ROUNDUP(IF(IFERROR(IF($AVU6="","",IF($AVU6=0,1,1-$AVU6/HLOOKUP(AWJ$3,[2]ARBOR_REAJUSTE18!$A:$AE,VLOOKUP($AVU$2,[2]ARBOR_REAJUSTE18!$A:$B,2,0),0))),"")&lt;0.01%,0.01%,(IFERROR(IF($AVU6="","",IF($AVU6=0,1,1-$AVU6/HLOOKUP(AWJ$3,[2]ARBOR_REAJUSTE18!$A:$AE,VLOOKUP($AVU$2,[2]ARBOR_REAJUSTE18!$A:$B,2,0),0))),""))),4)</f>
        <v>#VALUE!</v>
      </c>
      <c r="AWK6" s="44" t="e">
        <f>ROUNDUP(IF(IFERROR(IF($AVU6="","",IF($AVU6=0,1,1-$AVU6/HLOOKUP(AWK$3,[2]ARBOR_REAJUSTE18!$A:$AE,VLOOKUP($AVU$2,[2]ARBOR_REAJUSTE18!$A:$B,2,0),0))),"")&lt;0.01%,0.01%,(IFERROR(IF($AVU6="","",IF($AVU6=0,1,1-$AVU6/HLOOKUP(AWK$3,[2]ARBOR_REAJUSTE18!$A:$AE,VLOOKUP($AVU$2,[2]ARBOR_REAJUSTE18!$A:$B,2,0),0))),""))),4)</f>
        <v>#VALUE!</v>
      </c>
      <c r="AWL6" s="44" t="e">
        <f>ROUNDUP(IF(IFERROR(IF($AVU6="","",IF($AVU6=0,1,1-$AVU6/HLOOKUP(AWL$3,[2]ARBOR_REAJUSTE18!$A:$AE,VLOOKUP($AVU$2,[2]ARBOR_REAJUSTE18!$A:$B,2,0),0))),"")&lt;0.01%,0.01%,(IFERROR(IF($AVU6="","",IF($AVU6=0,1,1-$AVU6/HLOOKUP(AWL$3,[2]ARBOR_REAJUSTE18!$A:$AE,VLOOKUP($AVU$2,[2]ARBOR_REAJUSTE18!$A:$B,2,0),0))),""))),4)</f>
        <v>#VALUE!</v>
      </c>
      <c r="AWM6" s="44" t="e">
        <f>ROUNDUP(IF(IFERROR(IF($AVU6="","",IF($AVU6=0,1,1-$AVU6/HLOOKUP(AWM$3,[2]ARBOR_REAJUSTE18!$A:$AE,VLOOKUP($AVU$2,[2]ARBOR_REAJUSTE18!$A:$B,2,0),0))),"")&lt;0.01%,0.01%,(IFERROR(IF($AVU6="","",IF($AVU6=0,1,1-$AVU6/HLOOKUP(AWM$3,[2]ARBOR_REAJUSTE18!$A:$AE,VLOOKUP($AVU$2,[2]ARBOR_REAJUSTE18!$A:$B,2,0),0))),""))),4)</f>
        <v>#VALUE!</v>
      </c>
      <c r="AWN6" s="44" t="e">
        <f>ROUNDUP(IF(IFERROR(IF($AVU6="","",IF($AVU6=0,1,1-$AVU6/HLOOKUP(AWN$3,[2]ARBOR_REAJUSTE18!$A:$AE,VLOOKUP($AVU$2,[2]ARBOR_REAJUSTE18!$A:$B,2,0),0))),"")&lt;0.01%,0.01%,(IFERROR(IF($AVU6="","",IF($AVU6=0,1,1-$AVU6/HLOOKUP(AWN$3,[2]ARBOR_REAJUSTE18!$A:$AE,VLOOKUP($AVU$2,[2]ARBOR_REAJUSTE18!$A:$B,2,0),0))),""))),4)</f>
        <v>#VALUE!</v>
      </c>
      <c r="AWO6" s="44" t="e">
        <f>ROUNDUP(IF(IFERROR(IF($AVU6="","",IF($AVU6=0,1,1-$AVU6/HLOOKUP(AWO$3,[2]ARBOR_REAJUSTE18!$A:$AE,VLOOKUP($AVU$2,[2]ARBOR_REAJUSTE18!$A:$B,2,0),0))),"")&lt;0.01%,0.01%,(IFERROR(IF($AVU6="","",IF($AVU6=0,1,1-$AVU6/HLOOKUP(AWO$3,[2]ARBOR_REAJUSTE18!$A:$AE,VLOOKUP($AVU$2,[2]ARBOR_REAJUSTE18!$A:$B,2,0),0))),""))),4)</f>
        <v>#VALUE!</v>
      </c>
      <c r="AWP6" s="44" t="e">
        <f>ROUNDUP(IF(IFERROR(IF($AVU6="","",IF($AVU6=0,1,1-$AVU6/HLOOKUP(AWP$3,[2]ARBOR_REAJUSTE18!$A:$AE,VLOOKUP($AVU$2,[2]ARBOR_REAJUSTE18!$A:$B,2,0),0))),"")&lt;0.01%,0.01%,(IFERROR(IF($AVU6="","",IF($AVU6=0,1,1-$AVU6/HLOOKUP(AWP$3,[2]ARBOR_REAJUSTE18!$A:$AE,VLOOKUP($AVU$2,[2]ARBOR_REAJUSTE18!$A:$B,2,0),0))),""))),4)</f>
        <v>#VALUE!</v>
      </c>
      <c r="AWQ6" s="44" t="e">
        <f>ROUNDUP(IF(IFERROR(IF($AVU6="","",IF($AVU6=0,1,1-$AVU6/HLOOKUP(AWQ$3,[2]ARBOR_REAJUSTE18!$A:$AE,VLOOKUP($AVU$2,[2]ARBOR_REAJUSTE18!$A:$B,2,0),0))),"")&lt;0.01%,0.01%,(IFERROR(IF($AVU6="","",IF($AVU6=0,1,1-$AVU6/HLOOKUP(AWQ$3,[2]ARBOR_REAJUSTE18!$A:$AE,VLOOKUP($AVU$2,[2]ARBOR_REAJUSTE18!$A:$B,2,0),0))),""))),4)</f>
        <v>#VALUE!</v>
      </c>
      <c r="AWR6" s="44" t="e">
        <f>ROUNDUP(IF(IFERROR(IF($AVU6="","",IF($AVU6=0,1,1-$AVU6/HLOOKUP(AWR$3,[2]ARBOR_REAJUSTE18!$A:$AE,VLOOKUP($AVU$2,[2]ARBOR_REAJUSTE18!$A:$B,2,0),0))),"")&lt;0.01%,0.01%,(IFERROR(IF($AVU6="","",IF($AVU6=0,1,1-$AVU6/HLOOKUP(AWR$3,[2]ARBOR_REAJUSTE18!$A:$AE,VLOOKUP($AVU$2,[2]ARBOR_REAJUSTE18!$A:$B,2,0),0))),""))),4)</f>
        <v>#VALUE!</v>
      </c>
      <c r="AWS6" s="44" t="e">
        <f>ROUNDUP(IF(IFERROR(IF($AVU6="","",IF($AVU6=0,1,1-$AVU6/HLOOKUP(AWS$3,[2]ARBOR_REAJUSTE18!$A:$AE,VLOOKUP($AVU$2,[2]ARBOR_REAJUSTE18!$A:$B,2,0),0))),"")&lt;0.01%,0.01%,(IFERROR(IF($AVU6="","",IF($AVU6=0,1,1-$AVU6/HLOOKUP(AWS$3,[2]ARBOR_REAJUSTE18!$A:$AE,VLOOKUP($AVU$2,[2]ARBOR_REAJUSTE18!$A:$B,2,0),0))),""))),4)</f>
        <v>#VALUE!</v>
      </c>
      <c r="AWT6" s="44" t="e">
        <f>ROUNDUP(IF(IFERROR(IF($AVU6="","",IF($AVU6=0,1,1-$AVU6/HLOOKUP(AWT$3,[2]ARBOR_REAJUSTE18!$A:$AE,VLOOKUP($AVU$2,[2]ARBOR_REAJUSTE18!$A:$B,2,0),0))),"")&lt;0.01%,0.01%,(IFERROR(IF($AVU6="","",IF($AVU6=0,1,1-$AVU6/HLOOKUP(AWT$3,[2]ARBOR_REAJUSTE18!$A:$AE,VLOOKUP($AVU$2,[2]ARBOR_REAJUSTE18!$A:$B,2,0),0))),""))),4)</f>
        <v>#VALUE!</v>
      </c>
      <c r="AWU6" s="44" t="e">
        <f>ROUNDUP(IF(IFERROR(IF($AVU6="","",IF($AVU6=0,1,1-$AVU6/HLOOKUP(AWU$3,[2]ARBOR_REAJUSTE18!$A:$AE,VLOOKUP($AVU$2,[2]ARBOR_REAJUSTE18!$A:$B,2,0),0))),"")&lt;0.01%,0.01%,(IFERROR(IF($AVU6="","",IF($AVU6=0,1,1-$AVU6/HLOOKUP(AWU$3,[2]ARBOR_REAJUSTE18!$A:$AE,VLOOKUP($AVU$2,[2]ARBOR_REAJUSTE18!$A:$B,2,0),0))),""))),4)</f>
        <v>#VALUE!</v>
      </c>
      <c r="AWV6" s="44" t="e">
        <f>ROUNDUP(IF(IFERROR(IF($AVU6="","",IF($AVU6=0,1,1-$AVU6/HLOOKUP(AWV$3,[2]ARBOR_REAJUSTE18!$A:$AE,VLOOKUP($AVU$2,[2]ARBOR_REAJUSTE18!$A:$B,2,0),0))),"")&lt;0.01%,0.01%,(IFERROR(IF($AVU6="","",IF($AVU6=0,1,1-$AVU6/HLOOKUP(AWV$3,[2]ARBOR_REAJUSTE18!$A:$AE,VLOOKUP($AVU$2,[2]ARBOR_REAJUSTE18!$A:$B,2,0),0))),""))),4)</f>
        <v>#VALUE!</v>
      </c>
      <c r="AWW6" s="44" t="e">
        <f>ROUNDUP(IF(IFERROR(IF($AVU6="","",IF($AVU6=0,1,1-$AVU6/HLOOKUP(AWW$3,[2]ARBOR_REAJUSTE18!$A:$AE,VLOOKUP($AVU$2,[2]ARBOR_REAJUSTE18!$A:$B,2,0),0))),"")&lt;0.01%,0.01%,(IFERROR(IF($AVU6="","",IF($AVU6=0,1,1-$AVU6/HLOOKUP(AWW$3,[2]ARBOR_REAJUSTE18!$A:$AE,VLOOKUP($AVU$2,[2]ARBOR_REAJUSTE18!$A:$B,2,0),0))),""))),4)</f>
        <v>#VALUE!</v>
      </c>
      <c r="AWX6" s="56"/>
      <c r="AWY6" s="64"/>
      <c r="AWZ6" s="44" t="e">
        <f>ROUNDUP(IF(IFERROR(IF($AWX6="","",IF($AWX6=0,1,1-$AWX6/HLOOKUP(AWZ$3,[2]ARBOR_REAJUSTE18!$A:$AE,VLOOKUP($AWX$2,[2]ARBOR_REAJUSTE18!$A:$B,2,0),0))),"")&lt;0.01%,0.01%,(IFERROR(IF($AWX6="","",IF($AWX6=0,1,1-$AWX6/HLOOKUP(AWZ$3,[2]ARBOR_REAJUSTE18!$A:$AE,VLOOKUP($AWX$2,[2]ARBOR_REAJUSTE18!$A:$B,2,0),0))),""))),4)</f>
        <v>#VALUE!</v>
      </c>
      <c r="AXA6" s="44" t="e">
        <f>ROUNDUP(IF(IFERROR(IF($AWX6="","",IF($AWX6=0,1,1-$AWX6/HLOOKUP(AXA$3,[2]ARBOR_REAJUSTE18!$A:$AE,VLOOKUP($AWX$2,[2]ARBOR_REAJUSTE18!$A:$B,2,0),0))),"")&lt;0.01%,0.01%,(IFERROR(IF($AWX6="","",IF($AWX6=0,1,1-$AWX6/HLOOKUP(AXA$3,[2]ARBOR_REAJUSTE18!$A:$AE,VLOOKUP($AWX$2,[2]ARBOR_REAJUSTE18!$A:$B,2,0),0))),""))),4)</f>
        <v>#VALUE!</v>
      </c>
      <c r="AXB6" s="44" t="e">
        <f>ROUNDUP(IF(IFERROR(IF($AWX6="","",IF($AWX6=0,1,1-$AWX6/HLOOKUP(AXB$3,[2]ARBOR_REAJUSTE18!$A:$AE,VLOOKUP($AWX$2,[2]ARBOR_REAJUSTE18!$A:$B,2,0),0))),"")&lt;0.01%,0.01%,(IFERROR(IF($AWX6="","",IF($AWX6=0,1,1-$AWX6/HLOOKUP(AXB$3,[2]ARBOR_REAJUSTE18!$A:$AE,VLOOKUP($AWX$2,[2]ARBOR_REAJUSTE18!$A:$B,2,0),0))),""))),4)</f>
        <v>#VALUE!</v>
      </c>
      <c r="AXC6" s="44" t="e">
        <f>ROUNDUP(IF(IFERROR(IF($AWX6="","",IF($AWX6=0,1,1-$AWX6/HLOOKUP(AXC$3,[2]ARBOR_REAJUSTE18!$A:$AE,VLOOKUP($AWX$2,[2]ARBOR_REAJUSTE18!$A:$B,2,0),0))),"")&lt;0.01%,0.01%,(IFERROR(IF($AWX6="","",IF($AWX6=0,1,1-$AWX6/HLOOKUP(AXC$3,[2]ARBOR_REAJUSTE18!$A:$AE,VLOOKUP($AWX$2,[2]ARBOR_REAJUSTE18!$A:$B,2,0),0))),""))),4)</f>
        <v>#VALUE!</v>
      </c>
      <c r="AXD6" s="44" t="e">
        <f>ROUNDUP(IF(IFERROR(IF($AWX6="","",IF($AWX6=0,1,1-$AWX6/HLOOKUP(AXD$3,[2]ARBOR_REAJUSTE18!$A:$AE,VLOOKUP($AWX$2,[2]ARBOR_REAJUSTE18!$A:$B,2,0),0))),"")&lt;0.01%,0.01%,(IFERROR(IF($AWX6="","",IF($AWX6=0,1,1-$AWX6/HLOOKUP(AXD$3,[2]ARBOR_REAJUSTE18!$A:$AE,VLOOKUP($AWX$2,[2]ARBOR_REAJUSTE18!$A:$B,2,0),0))),""))),4)</f>
        <v>#VALUE!</v>
      </c>
      <c r="AXE6" s="44" t="e">
        <f>ROUNDUP(IF(IFERROR(IF($AWX6="","",IF($AWX6=0,1,1-$AWX6/HLOOKUP(AXE$3,[2]ARBOR_REAJUSTE18!$A:$AE,VLOOKUP($AWX$2,[2]ARBOR_REAJUSTE18!$A:$B,2,0),0))),"")&lt;0.01%,0.01%,(IFERROR(IF($AWX6="","",IF($AWX6=0,1,1-$AWX6/HLOOKUP(AXE$3,[2]ARBOR_REAJUSTE18!$A:$AE,VLOOKUP($AWX$2,[2]ARBOR_REAJUSTE18!$A:$B,2,0),0))),""))),4)</f>
        <v>#VALUE!</v>
      </c>
      <c r="AXF6" s="44" t="e">
        <f>ROUNDUP(IF(IFERROR(IF($AWX6="","",IF($AWX6=0,1,1-$AWX6/HLOOKUP(AXF$3,[2]ARBOR_REAJUSTE18!$A:$AE,VLOOKUP($AWX$2,[2]ARBOR_REAJUSTE18!$A:$B,2,0),0))),"")&lt;0.01%,0.01%,(IFERROR(IF($AWX6="","",IF($AWX6=0,1,1-$AWX6/HLOOKUP(AXF$3,[2]ARBOR_REAJUSTE18!$A:$AE,VLOOKUP($AWX$2,[2]ARBOR_REAJUSTE18!$A:$B,2,0),0))),""))),4)</f>
        <v>#VALUE!</v>
      </c>
      <c r="AXG6" s="44" t="e">
        <f>ROUNDUP(IF(IFERROR(IF($AWX6="","",IF($AWX6=0,1,1-$AWX6/HLOOKUP(AXG$3,[2]ARBOR_REAJUSTE18!$A:$AE,VLOOKUP($AWX$2,[2]ARBOR_REAJUSTE18!$A:$B,2,0),0))),"")&lt;0.01%,0.01%,(IFERROR(IF($AWX6="","",IF($AWX6=0,1,1-$AWX6/HLOOKUP(AXG$3,[2]ARBOR_REAJUSTE18!$A:$AE,VLOOKUP($AWX$2,[2]ARBOR_REAJUSTE18!$A:$B,2,0),0))),""))),4)</f>
        <v>#VALUE!</v>
      </c>
      <c r="AXH6" s="44" t="e">
        <f>ROUNDUP(IF(IFERROR(IF($AWX6="","",IF($AWX6=0,1,1-$AWX6/HLOOKUP(AXH$3,[2]ARBOR_REAJUSTE18!$A:$AE,VLOOKUP($AWX$2,[2]ARBOR_REAJUSTE18!$A:$B,2,0),0))),"")&lt;0.01%,0.01%,(IFERROR(IF($AWX6="","",IF($AWX6=0,1,1-$AWX6/HLOOKUP(AXH$3,[2]ARBOR_REAJUSTE18!$A:$AE,VLOOKUP($AWX$2,[2]ARBOR_REAJUSTE18!$A:$B,2,0),0))),""))),4)</f>
        <v>#VALUE!</v>
      </c>
      <c r="AXI6" s="44" t="e">
        <f>ROUNDUP(IF(IFERROR(IF($AWX6="","",IF($AWX6=0,1,1-$AWX6/HLOOKUP(AXI$3,[2]ARBOR_REAJUSTE18!$A:$AE,VLOOKUP($AWX$2,[2]ARBOR_REAJUSTE18!$A:$B,2,0),0))),"")&lt;0.01%,0.01%,(IFERROR(IF($AWX6="","",IF($AWX6=0,1,1-$AWX6/HLOOKUP(AXI$3,[2]ARBOR_REAJUSTE18!$A:$AE,VLOOKUP($AWX$2,[2]ARBOR_REAJUSTE18!$A:$B,2,0),0))),""))),4)</f>
        <v>#VALUE!</v>
      </c>
      <c r="AXJ6" s="44" t="e">
        <f>ROUNDUP(IF(IFERROR(IF($AWX6="","",IF($AWX6=0,1,1-$AWX6/HLOOKUP(AXJ$3,[2]ARBOR_REAJUSTE18!$A:$AE,VLOOKUP($AWX$2,[2]ARBOR_REAJUSTE18!$A:$B,2,0),0))),"")&lt;0.01%,0.01%,(IFERROR(IF($AWX6="","",IF($AWX6=0,1,1-$AWX6/HLOOKUP(AXJ$3,[2]ARBOR_REAJUSTE18!$A:$AE,VLOOKUP($AWX$2,[2]ARBOR_REAJUSTE18!$A:$B,2,0),0))),""))),4)</f>
        <v>#VALUE!</v>
      </c>
      <c r="AXK6" s="44" t="e">
        <f>ROUNDUP(IF(IFERROR(IF($AWX6="","",IF($AWX6=0,1,1-$AWX6/HLOOKUP(AXK$3,[2]ARBOR_REAJUSTE18!$A:$AE,VLOOKUP($AWX$2,[2]ARBOR_REAJUSTE18!$A:$B,2,0),0))),"")&lt;0.01%,0.01%,(IFERROR(IF($AWX6="","",IF($AWX6=0,1,1-$AWX6/HLOOKUP(AXK$3,[2]ARBOR_REAJUSTE18!$A:$AE,VLOOKUP($AWX$2,[2]ARBOR_REAJUSTE18!$A:$B,2,0),0))),""))),4)</f>
        <v>#VALUE!</v>
      </c>
      <c r="AXL6" s="44" t="e">
        <f>ROUNDUP(IF(IFERROR(IF($AWX6="","",IF($AWX6=0,1,1-$AWX6/HLOOKUP(AXL$3,[2]ARBOR_REAJUSTE18!$A:$AE,VLOOKUP($AWX$2,[2]ARBOR_REAJUSTE18!$A:$B,2,0),0))),"")&lt;0.01%,0.01%,(IFERROR(IF($AWX6="","",IF($AWX6=0,1,1-$AWX6/HLOOKUP(AXL$3,[2]ARBOR_REAJUSTE18!$A:$AE,VLOOKUP($AWX$2,[2]ARBOR_REAJUSTE18!$A:$B,2,0),0))),""))),4)</f>
        <v>#VALUE!</v>
      </c>
      <c r="AXM6" s="44" t="e">
        <f>ROUNDUP(IF(IFERROR(IF($AWX6="","",IF($AWX6=0,1,1-$AWX6/HLOOKUP(AXM$3,[2]ARBOR_REAJUSTE18!$A:$AE,VLOOKUP($AWX$2,[2]ARBOR_REAJUSTE18!$A:$B,2,0),0))),"")&lt;0.01%,0.01%,(IFERROR(IF($AWX6="","",IF($AWX6=0,1,1-$AWX6/HLOOKUP(AXM$3,[2]ARBOR_REAJUSTE18!$A:$AE,VLOOKUP($AWX$2,[2]ARBOR_REAJUSTE18!$A:$B,2,0),0))),""))),4)</f>
        <v>#VALUE!</v>
      </c>
      <c r="AXN6" s="44" t="e">
        <f>ROUNDUP(IF(IFERROR(IF($AWX6="","",IF($AWX6=0,1,1-$AWX6/HLOOKUP(AXN$3,[2]ARBOR_REAJUSTE18!$A:$AE,VLOOKUP($AWX$2,[2]ARBOR_REAJUSTE18!$A:$B,2,0),0))),"")&lt;0.01%,0.01%,(IFERROR(IF($AWX6="","",IF($AWX6=0,1,1-$AWX6/HLOOKUP(AXN$3,[2]ARBOR_REAJUSTE18!$A:$AE,VLOOKUP($AWX$2,[2]ARBOR_REAJUSTE18!$A:$B,2,0),0))),""))),4)</f>
        <v>#VALUE!</v>
      </c>
      <c r="AXO6" s="44" t="e">
        <f>ROUNDUP(IF(IFERROR(IF($AWX6="","",IF($AWX6=0,1,1-$AWX6/HLOOKUP(AXO$3,[2]ARBOR_REAJUSTE18!$A:$AE,VLOOKUP($AWX$2,[2]ARBOR_REAJUSTE18!$A:$B,2,0),0))),"")&lt;0.01%,0.01%,(IFERROR(IF($AWX6="","",IF($AWX6=0,1,1-$AWX6/HLOOKUP(AXO$3,[2]ARBOR_REAJUSTE18!$A:$AE,VLOOKUP($AWX$2,[2]ARBOR_REAJUSTE18!$A:$B,2,0),0))),""))),4)</f>
        <v>#VALUE!</v>
      </c>
      <c r="AXP6" s="44" t="e">
        <f>ROUNDUP(IF(IFERROR(IF($AWX6="","",IF($AWX6=0,1,1-$AWX6/HLOOKUP(AXP$3,[2]ARBOR_REAJUSTE18!$A:$AE,VLOOKUP($AWX$2,[2]ARBOR_REAJUSTE18!$A:$B,2,0),0))),"")&lt;0.01%,0.01%,(IFERROR(IF($AWX6="","",IF($AWX6=0,1,1-$AWX6/HLOOKUP(AXP$3,[2]ARBOR_REAJUSTE18!$A:$AE,VLOOKUP($AWX$2,[2]ARBOR_REAJUSTE18!$A:$B,2,0),0))),""))),4)</f>
        <v>#VALUE!</v>
      </c>
      <c r="AXQ6" s="44" t="e">
        <f>ROUNDUP(IF(IFERROR(IF($AWX6="","",IF($AWX6=0,1,1-$AWX6/HLOOKUP(AXQ$3,[2]ARBOR_REAJUSTE18!$A:$AE,VLOOKUP($AWX$2,[2]ARBOR_REAJUSTE18!$A:$B,2,0),0))),"")&lt;0.01%,0.01%,(IFERROR(IF($AWX6="","",IF($AWX6=0,1,1-$AWX6/HLOOKUP(AXQ$3,[2]ARBOR_REAJUSTE18!$A:$AE,VLOOKUP($AWX$2,[2]ARBOR_REAJUSTE18!$A:$B,2,0),0))),""))),4)</f>
        <v>#VALUE!</v>
      </c>
      <c r="AXR6" s="44" t="e">
        <f>ROUNDUP(IF(IFERROR(IF($AWX6="","",IF($AWX6=0,1,1-$AWX6/HLOOKUP(AXR$3,[2]ARBOR_REAJUSTE18!$A:$AE,VLOOKUP($AWX$2,[2]ARBOR_REAJUSTE18!$A:$B,2,0),0))),"")&lt;0.01%,0.01%,(IFERROR(IF($AWX6="","",IF($AWX6=0,1,1-$AWX6/HLOOKUP(AXR$3,[2]ARBOR_REAJUSTE18!$A:$AE,VLOOKUP($AWX$2,[2]ARBOR_REAJUSTE18!$A:$B,2,0),0))),""))),4)</f>
        <v>#VALUE!</v>
      </c>
      <c r="AXS6" s="44" t="e">
        <f>ROUNDUP(IF(IFERROR(IF($AWX6="","",IF($AWX6=0,1,1-$AWX6/HLOOKUP(AXS$3,[2]ARBOR_REAJUSTE18!$A:$AE,VLOOKUP($AWX$2,[2]ARBOR_REAJUSTE18!$A:$B,2,0),0))),"")&lt;0.01%,0.01%,(IFERROR(IF($AWX6="","",IF($AWX6=0,1,1-$AWX6/HLOOKUP(AXS$3,[2]ARBOR_REAJUSTE18!$A:$AE,VLOOKUP($AWX$2,[2]ARBOR_REAJUSTE18!$A:$B,2,0),0))),""))),4)</f>
        <v>#VALUE!</v>
      </c>
      <c r="AXT6" s="44" t="e">
        <f>ROUNDUP(IF(IFERROR(IF($AWX6="","",IF($AWX6=0,1,1-$AWX6/HLOOKUP(AXT$3,[2]ARBOR_REAJUSTE18!$A:$AE,VLOOKUP($AWX$2,[2]ARBOR_REAJUSTE18!$A:$B,2,0),0))),"")&lt;0.01%,0.01%,(IFERROR(IF($AWX6="","",IF($AWX6=0,1,1-$AWX6/HLOOKUP(AXT$3,[2]ARBOR_REAJUSTE18!$A:$AE,VLOOKUP($AWX$2,[2]ARBOR_REAJUSTE18!$A:$B,2,0),0))),""))),4)</f>
        <v>#VALUE!</v>
      </c>
      <c r="AXU6" s="44" t="e">
        <f>ROUNDUP(IF(IFERROR(IF($AWX6="","",IF($AWX6=0,1,1-$AWX6/HLOOKUP(AXU$3,[2]ARBOR_REAJUSTE18!$A:$AE,VLOOKUP($AWX$2,[2]ARBOR_REAJUSTE18!$A:$B,2,0),0))),"")&lt;0.01%,0.01%,(IFERROR(IF($AWX6="","",IF($AWX6=0,1,1-$AWX6/HLOOKUP(AXU$3,[2]ARBOR_REAJUSTE18!$A:$AE,VLOOKUP($AWX$2,[2]ARBOR_REAJUSTE18!$A:$B,2,0),0))),""))),4)</f>
        <v>#VALUE!</v>
      </c>
      <c r="AXV6" s="44" t="e">
        <f>ROUNDUP(IF(IFERROR(IF($AWX6="","",IF($AWX6=0,1,1-$AWX6/HLOOKUP(AXV$3,[2]ARBOR_REAJUSTE18!$A:$AE,VLOOKUP($AWX$2,[2]ARBOR_REAJUSTE18!$A:$B,2,0),0))),"")&lt;0.01%,0.01%,(IFERROR(IF($AWX6="","",IF($AWX6=0,1,1-$AWX6/HLOOKUP(AXV$3,[2]ARBOR_REAJUSTE18!$A:$AE,VLOOKUP($AWX$2,[2]ARBOR_REAJUSTE18!$A:$B,2,0),0))),""))),4)</f>
        <v>#VALUE!</v>
      </c>
      <c r="AXW6" s="44" t="e">
        <f>ROUNDUP(IF(IFERROR(IF($AWX6="","",IF($AWX6=0,1,1-$AWX6/HLOOKUP(AXW$3,[2]ARBOR_REAJUSTE18!$A:$AE,VLOOKUP($AWX$2,[2]ARBOR_REAJUSTE18!$A:$B,2,0),0))),"")&lt;0.01%,0.01%,(IFERROR(IF($AWX6="","",IF($AWX6=0,1,1-$AWX6/HLOOKUP(AXW$3,[2]ARBOR_REAJUSTE18!$A:$AE,VLOOKUP($AWX$2,[2]ARBOR_REAJUSTE18!$A:$B,2,0),0))),""))),4)</f>
        <v>#VALUE!</v>
      </c>
      <c r="AXX6" s="44" t="e">
        <f>ROUNDUP(IF(IFERROR(IF($AWX6="","",IF($AWX6=0,1,1-$AWX6/HLOOKUP(AXX$3,[2]ARBOR_REAJUSTE18!$A:$AE,VLOOKUP($AWX$2,[2]ARBOR_REAJUSTE18!$A:$B,2,0),0))),"")&lt;0.01%,0.01%,(IFERROR(IF($AWX6="","",IF($AWX6=0,1,1-$AWX6/HLOOKUP(AXX$3,[2]ARBOR_REAJUSTE18!$A:$AE,VLOOKUP($AWX$2,[2]ARBOR_REAJUSTE18!$A:$B,2,0),0))),""))),4)</f>
        <v>#VALUE!</v>
      </c>
      <c r="AXY6" s="44" t="e">
        <f>ROUNDUP(IF(IFERROR(IF($AWX6="","",IF($AWX6=0,1,1-$AWX6/HLOOKUP(AXY$3,[2]ARBOR_REAJUSTE18!$A:$AE,VLOOKUP($AWX$2,[2]ARBOR_REAJUSTE18!$A:$B,2,0),0))),"")&lt;0.01%,0.01%,(IFERROR(IF($AWX6="","",IF($AWX6=0,1,1-$AWX6/HLOOKUP(AXY$3,[2]ARBOR_REAJUSTE18!$A:$AE,VLOOKUP($AWX$2,[2]ARBOR_REAJUSTE18!$A:$B,2,0),0))),""))),4)</f>
        <v>#VALUE!</v>
      </c>
      <c r="AXZ6" s="44" t="e">
        <f>ROUNDUP(IF(IFERROR(IF($AWX6="","",IF($AWX6=0,1,1-$AWX6/HLOOKUP(AXZ$3,[2]ARBOR_REAJUSTE18!$A:$AE,VLOOKUP($AWX$2,[2]ARBOR_REAJUSTE18!$A:$B,2,0),0))),"")&lt;0.01%,0.01%,(IFERROR(IF($AWX6="","",IF($AWX6=0,1,1-$AWX6/HLOOKUP(AXZ$3,[2]ARBOR_REAJUSTE18!$A:$AE,VLOOKUP($AWX$2,[2]ARBOR_REAJUSTE18!$A:$B,2,0),0))),""))),4)</f>
        <v>#VALUE!</v>
      </c>
      <c r="AYA6" s="56"/>
      <c r="AYB6" s="64"/>
      <c r="AYC6" s="44" t="e">
        <f>ROUNDUP(IF(IFERROR(IF($AYA6="","",IF($AYA6=0,1,1-$AYA6/HLOOKUP(AYC$3,[2]ARBOR_REAJUSTE18!$A:$AE,VLOOKUP($AYA$2,[2]ARBOR_REAJUSTE18!$A:$B,2,0),0))),"")&lt;0.01%,0.01%,(IFERROR(IF($AYA6="","",IF($AYA6=0,1,1-$AYA6/HLOOKUP(AYC$3,[2]ARBOR_REAJUSTE18!$A:$AE,VLOOKUP($AYA$2,[2]ARBOR_REAJUSTE18!$A:$B,2,0),0))),""))),4)</f>
        <v>#VALUE!</v>
      </c>
      <c r="AYD6" s="44" t="e">
        <f>ROUNDUP(IF(IFERROR(IF($AYA6="","",IF($AYA6=0,1,1-$AYA6/HLOOKUP(AYD$3,[2]ARBOR_REAJUSTE18!$A:$AE,VLOOKUP($AYA$2,[2]ARBOR_REAJUSTE18!$A:$B,2,0),0))),"")&lt;0.01%,0.01%,(IFERROR(IF($AYA6="","",IF($AYA6=0,1,1-$AYA6/HLOOKUP(AYD$3,[2]ARBOR_REAJUSTE18!$A:$AE,VLOOKUP($AYA$2,[2]ARBOR_REAJUSTE18!$A:$B,2,0),0))),""))),4)</f>
        <v>#VALUE!</v>
      </c>
      <c r="AYE6" s="44" t="e">
        <f>ROUNDUP(IF(IFERROR(IF($AYA6="","",IF($AYA6=0,1,1-$AYA6/HLOOKUP(AYE$3,[2]ARBOR_REAJUSTE18!$A:$AE,VLOOKUP($AYA$2,[2]ARBOR_REAJUSTE18!$A:$B,2,0),0))),"")&lt;0.01%,0.01%,(IFERROR(IF($AYA6="","",IF($AYA6=0,1,1-$AYA6/HLOOKUP(AYE$3,[2]ARBOR_REAJUSTE18!$A:$AE,VLOOKUP($AYA$2,[2]ARBOR_REAJUSTE18!$A:$B,2,0),0))),""))),4)</f>
        <v>#VALUE!</v>
      </c>
      <c r="AYF6" s="44" t="e">
        <f>ROUNDUP(IF(IFERROR(IF($AYA6="","",IF($AYA6=0,1,1-$AYA6/HLOOKUP(AYF$3,[2]ARBOR_REAJUSTE18!$A:$AE,VLOOKUP($AYA$2,[2]ARBOR_REAJUSTE18!$A:$B,2,0),0))),"")&lt;0.01%,0.01%,(IFERROR(IF($AYA6="","",IF($AYA6=0,1,1-$AYA6/HLOOKUP(AYF$3,[2]ARBOR_REAJUSTE18!$A:$AE,VLOOKUP($AYA$2,[2]ARBOR_REAJUSTE18!$A:$B,2,0),0))),""))),4)</f>
        <v>#VALUE!</v>
      </c>
      <c r="AYG6" s="44" t="e">
        <f>ROUNDUP(IF(IFERROR(IF($AYA6="","",IF($AYA6=0,1,1-$AYA6/HLOOKUP(AYG$3,[2]ARBOR_REAJUSTE18!$A:$AE,VLOOKUP($AYA$2,[2]ARBOR_REAJUSTE18!$A:$B,2,0),0))),"")&lt;0.01%,0.01%,(IFERROR(IF($AYA6="","",IF($AYA6=0,1,1-$AYA6/HLOOKUP(AYG$3,[2]ARBOR_REAJUSTE18!$A:$AE,VLOOKUP($AYA$2,[2]ARBOR_REAJUSTE18!$A:$B,2,0),0))),""))),4)</f>
        <v>#VALUE!</v>
      </c>
      <c r="AYH6" s="44" t="e">
        <f>ROUNDUP(IF(IFERROR(IF($AYA6="","",IF($AYA6=0,1,1-$AYA6/HLOOKUP(AYH$3,[2]ARBOR_REAJUSTE18!$A:$AE,VLOOKUP($AYA$2,[2]ARBOR_REAJUSTE18!$A:$B,2,0),0))),"")&lt;0.01%,0.01%,(IFERROR(IF($AYA6="","",IF($AYA6=0,1,1-$AYA6/HLOOKUP(AYH$3,[2]ARBOR_REAJUSTE18!$A:$AE,VLOOKUP($AYA$2,[2]ARBOR_REAJUSTE18!$A:$B,2,0),0))),""))),4)</f>
        <v>#VALUE!</v>
      </c>
      <c r="AYI6" s="44" t="e">
        <f>ROUNDUP(IF(IFERROR(IF($AYA6="","",IF($AYA6=0,1,1-$AYA6/HLOOKUP(AYI$3,[2]ARBOR_REAJUSTE18!$A:$AE,VLOOKUP($AYA$2,[2]ARBOR_REAJUSTE18!$A:$B,2,0),0))),"")&lt;0.01%,0.01%,(IFERROR(IF($AYA6="","",IF($AYA6=0,1,1-$AYA6/HLOOKUP(AYI$3,[2]ARBOR_REAJUSTE18!$A:$AE,VLOOKUP($AYA$2,[2]ARBOR_REAJUSTE18!$A:$B,2,0),0))),""))),4)</f>
        <v>#VALUE!</v>
      </c>
      <c r="AYJ6" s="44" t="e">
        <f>ROUNDUP(IF(IFERROR(IF($AYA6="","",IF($AYA6=0,1,1-$AYA6/HLOOKUP(AYJ$3,[2]ARBOR_REAJUSTE18!$A:$AE,VLOOKUP($AYA$2,[2]ARBOR_REAJUSTE18!$A:$B,2,0),0))),"")&lt;0.01%,0.01%,(IFERROR(IF($AYA6="","",IF($AYA6=0,1,1-$AYA6/HLOOKUP(AYJ$3,[2]ARBOR_REAJUSTE18!$A:$AE,VLOOKUP($AYA$2,[2]ARBOR_REAJUSTE18!$A:$B,2,0),0))),""))),4)</f>
        <v>#VALUE!</v>
      </c>
      <c r="AYK6" s="44" t="e">
        <f>ROUNDUP(IF(IFERROR(IF($AYA6="","",IF($AYA6=0,1,1-$AYA6/HLOOKUP(AYK$3,[2]ARBOR_REAJUSTE18!$A:$AE,VLOOKUP($AYA$2,[2]ARBOR_REAJUSTE18!$A:$B,2,0),0))),"")&lt;0.01%,0.01%,(IFERROR(IF($AYA6="","",IF($AYA6=0,1,1-$AYA6/HLOOKUP(AYK$3,[2]ARBOR_REAJUSTE18!$A:$AE,VLOOKUP($AYA$2,[2]ARBOR_REAJUSTE18!$A:$B,2,0),0))),""))),4)</f>
        <v>#VALUE!</v>
      </c>
      <c r="AYL6" s="44" t="e">
        <f>ROUNDUP(IF(IFERROR(IF($AYA6="","",IF($AYA6=0,1,1-$AYA6/HLOOKUP(AYL$3,[2]ARBOR_REAJUSTE18!$A:$AE,VLOOKUP($AYA$2,[2]ARBOR_REAJUSTE18!$A:$B,2,0),0))),"")&lt;0.01%,0.01%,(IFERROR(IF($AYA6="","",IF($AYA6=0,1,1-$AYA6/HLOOKUP(AYL$3,[2]ARBOR_REAJUSTE18!$A:$AE,VLOOKUP($AYA$2,[2]ARBOR_REAJUSTE18!$A:$B,2,0),0))),""))),4)</f>
        <v>#VALUE!</v>
      </c>
      <c r="AYM6" s="44" t="e">
        <f>ROUNDUP(IF(IFERROR(IF($AYA6="","",IF($AYA6=0,1,1-$AYA6/HLOOKUP(AYM$3,[2]ARBOR_REAJUSTE18!$A:$AE,VLOOKUP($AYA$2,[2]ARBOR_REAJUSTE18!$A:$B,2,0),0))),"")&lt;0.01%,0.01%,(IFERROR(IF($AYA6="","",IF($AYA6=0,1,1-$AYA6/HLOOKUP(AYM$3,[2]ARBOR_REAJUSTE18!$A:$AE,VLOOKUP($AYA$2,[2]ARBOR_REAJUSTE18!$A:$B,2,0),0))),""))),4)</f>
        <v>#VALUE!</v>
      </c>
      <c r="AYN6" s="44" t="e">
        <f>ROUNDUP(IF(IFERROR(IF($AYA6="","",IF($AYA6=0,1,1-$AYA6/HLOOKUP(AYN$3,[2]ARBOR_REAJUSTE18!$A:$AE,VLOOKUP($AYA$2,[2]ARBOR_REAJUSTE18!$A:$B,2,0),0))),"")&lt;0.01%,0.01%,(IFERROR(IF($AYA6="","",IF($AYA6=0,1,1-$AYA6/HLOOKUP(AYN$3,[2]ARBOR_REAJUSTE18!$A:$AE,VLOOKUP($AYA$2,[2]ARBOR_REAJUSTE18!$A:$B,2,0),0))),""))),4)</f>
        <v>#VALUE!</v>
      </c>
      <c r="AYO6" s="44" t="e">
        <f>ROUNDUP(IF(IFERROR(IF($AYA6="","",IF($AYA6=0,1,1-$AYA6/HLOOKUP(AYO$3,[2]ARBOR_REAJUSTE18!$A:$AE,VLOOKUP($AYA$2,[2]ARBOR_REAJUSTE18!$A:$B,2,0),0))),"")&lt;0.01%,0.01%,(IFERROR(IF($AYA6="","",IF($AYA6=0,1,1-$AYA6/HLOOKUP(AYO$3,[2]ARBOR_REAJUSTE18!$A:$AE,VLOOKUP($AYA$2,[2]ARBOR_REAJUSTE18!$A:$B,2,0),0))),""))),4)</f>
        <v>#VALUE!</v>
      </c>
      <c r="AYP6" s="44" t="e">
        <f>ROUNDUP(IF(IFERROR(IF($AYA6="","",IF($AYA6=0,1,1-$AYA6/HLOOKUP(AYP$3,[2]ARBOR_REAJUSTE18!$A:$AE,VLOOKUP($AYA$2,[2]ARBOR_REAJUSTE18!$A:$B,2,0),0))),"")&lt;0.01%,0.01%,(IFERROR(IF($AYA6="","",IF($AYA6=0,1,1-$AYA6/HLOOKUP(AYP$3,[2]ARBOR_REAJUSTE18!$A:$AE,VLOOKUP($AYA$2,[2]ARBOR_REAJUSTE18!$A:$B,2,0),0))),""))),4)</f>
        <v>#VALUE!</v>
      </c>
      <c r="AYQ6" s="44" t="e">
        <f>ROUNDUP(IF(IFERROR(IF($AYA6="","",IF($AYA6=0,1,1-$AYA6/HLOOKUP(AYQ$3,[2]ARBOR_REAJUSTE18!$A:$AE,VLOOKUP($AYA$2,[2]ARBOR_REAJUSTE18!$A:$B,2,0),0))),"")&lt;0.01%,0.01%,(IFERROR(IF($AYA6="","",IF($AYA6=0,1,1-$AYA6/HLOOKUP(AYQ$3,[2]ARBOR_REAJUSTE18!$A:$AE,VLOOKUP($AYA$2,[2]ARBOR_REAJUSTE18!$A:$B,2,0),0))),""))),4)</f>
        <v>#VALUE!</v>
      </c>
      <c r="AYR6" s="44" t="e">
        <f>ROUNDUP(IF(IFERROR(IF($AYA6="","",IF($AYA6=0,1,1-$AYA6/HLOOKUP(AYR$3,[2]ARBOR_REAJUSTE18!$A:$AE,VLOOKUP($AYA$2,[2]ARBOR_REAJUSTE18!$A:$B,2,0),0))),"")&lt;0.01%,0.01%,(IFERROR(IF($AYA6="","",IF($AYA6=0,1,1-$AYA6/HLOOKUP(AYR$3,[2]ARBOR_REAJUSTE18!$A:$AE,VLOOKUP($AYA$2,[2]ARBOR_REAJUSTE18!$A:$B,2,0),0))),""))),4)</f>
        <v>#VALUE!</v>
      </c>
      <c r="AYS6" s="44" t="e">
        <f>ROUNDUP(IF(IFERROR(IF($AYA6="","",IF($AYA6=0,1,1-$AYA6/HLOOKUP(AYS$3,[2]ARBOR_REAJUSTE18!$A:$AE,VLOOKUP($AYA$2,[2]ARBOR_REAJUSTE18!$A:$B,2,0),0))),"")&lt;0.01%,0.01%,(IFERROR(IF($AYA6="","",IF($AYA6=0,1,1-$AYA6/HLOOKUP(AYS$3,[2]ARBOR_REAJUSTE18!$A:$AE,VLOOKUP($AYA$2,[2]ARBOR_REAJUSTE18!$A:$B,2,0),0))),""))),4)</f>
        <v>#VALUE!</v>
      </c>
      <c r="AYT6" s="44" t="e">
        <f>ROUNDUP(IF(IFERROR(IF($AYA6="","",IF($AYA6=0,1,1-$AYA6/HLOOKUP(AYT$3,[2]ARBOR_REAJUSTE18!$A:$AE,VLOOKUP($AYA$2,[2]ARBOR_REAJUSTE18!$A:$B,2,0),0))),"")&lt;0.01%,0.01%,(IFERROR(IF($AYA6="","",IF($AYA6=0,1,1-$AYA6/HLOOKUP(AYT$3,[2]ARBOR_REAJUSTE18!$A:$AE,VLOOKUP($AYA$2,[2]ARBOR_REAJUSTE18!$A:$B,2,0),0))),""))),4)</f>
        <v>#VALUE!</v>
      </c>
      <c r="AYU6" s="44" t="e">
        <f>ROUNDUP(IF(IFERROR(IF($AYA6="","",IF($AYA6=0,1,1-$AYA6/HLOOKUP(AYU$3,[2]ARBOR_REAJUSTE18!$A:$AE,VLOOKUP($AYA$2,[2]ARBOR_REAJUSTE18!$A:$B,2,0),0))),"")&lt;0.01%,0.01%,(IFERROR(IF($AYA6="","",IF($AYA6=0,1,1-$AYA6/HLOOKUP(AYU$3,[2]ARBOR_REAJUSTE18!$A:$AE,VLOOKUP($AYA$2,[2]ARBOR_REAJUSTE18!$A:$B,2,0),0))),""))),4)</f>
        <v>#VALUE!</v>
      </c>
      <c r="AYV6" s="44" t="e">
        <f>ROUNDUP(IF(IFERROR(IF($AYA6="","",IF($AYA6=0,1,1-$AYA6/HLOOKUP(AYV$3,[2]ARBOR_REAJUSTE18!$A:$AE,VLOOKUP($AYA$2,[2]ARBOR_REAJUSTE18!$A:$B,2,0),0))),"")&lt;0.01%,0.01%,(IFERROR(IF($AYA6="","",IF($AYA6=0,1,1-$AYA6/HLOOKUP(AYV$3,[2]ARBOR_REAJUSTE18!$A:$AE,VLOOKUP($AYA$2,[2]ARBOR_REAJUSTE18!$A:$B,2,0),0))),""))),4)</f>
        <v>#VALUE!</v>
      </c>
      <c r="AYW6" s="44" t="e">
        <f>ROUNDUP(IF(IFERROR(IF($AYA6="","",IF($AYA6=0,1,1-$AYA6/HLOOKUP(AYW$3,[2]ARBOR_REAJUSTE18!$A:$AE,VLOOKUP($AYA$2,[2]ARBOR_REAJUSTE18!$A:$B,2,0),0))),"")&lt;0.01%,0.01%,(IFERROR(IF($AYA6="","",IF($AYA6=0,1,1-$AYA6/HLOOKUP(AYW$3,[2]ARBOR_REAJUSTE18!$A:$AE,VLOOKUP($AYA$2,[2]ARBOR_REAJUSTE18!$A:$B,2,0),0))),""))),4)</f>
        <v>#VALUE!</v>
      </c>
      <c r="AYX6" s="44" t="e">
        <f>ROUNDUP(IF(IFERROR(IF($AYA6="","",IF($AYA6=0,1,1-$AYA6/HLOOKUP(AYX$3,[2]ARBOR_REAJUSTE18!$A:$AE,VLOOKUP($AYA$2,[2]ARBOR_REAJUSTE18!$A:$B,2,0),0))),"")&lt;0.01%,0.01%,(IFERROR(IF($AYA6="","",IF($AYA6=0,1,1-$AYA6/HLOOKUP(AYX$3,[2]ARBOR_REAJUSTE18!$A:$AE,VLOOKUP($AYA$2,[2]ARBOR_REAJUSTE18!$A:$B,2,0),0))),""))),4)</f>
        <v>#VALUE!</v>
      </c>
      <c r="AYY6" s="44" t="e">
        <f>ROUNDUP(IF(IFERROR(IF($AYA6="","",IF($AYA6=0,1,1-$AYA6/HLOOKUP(AYY$3,[2]ARBOR_REAJUSTE18!$A:$AE,VLOOKUP($AYA$2,[2]ARBOR_REAJUSTE18!$A:$B,2,0),0))),"")&lt;0.01%,0.01%,(IFERROR(IF($AYA6="","",IF($AYA6=0,1,1-$AYA6/HLOOKUP(AYY$3,[2]ARBOR_REAJUSTE18!$A:$AE,VLOOKUP($AYA$2,[2]ARBOR_REAJUSTE18!$A:$B,2,0),0))),""))),4)</f>
        <v>#VALUE!</v>
      </c>
      <c r="AYZ6" s="44" t="e">
        <f>ROUNDUP(IF(IFERROR(IF($AYA6="","",IF($AYA6=0,1,1-$AYA6/HLOOKUP(AYZ$3,[2]ARBOR_REAJUSTE18!$A:$AE,VLOOKUP($AYA$2,[2]ARBOR_REAJUSTE18!$A:$B,2,0),0))),"")&lt;0.01%,0.01%,(IFERROR(IF($AYA6="","",IF($AYA6=0,1,1-$AYA6/HLOOKUP(AYZ$3,[2]ARBOR_REAJUSTE18!$A:$AE,VLOOKUP($AYA$2,[2]ARBOR_REAJUSTE18!$A:$B,2,0),0))),""))),4)</f>
        <v>#VALUE!</v>
      </c>
      <c r="AZA6" s="44" t="e">
        <f>ROUNDUP(IF(IFERROR(IF($AYA6="","",IF($AYA6=0,1,1-$AYA6/HLOOKUP(AZA$3,[2]ARBOR_REAJUSTE18!$A:$AE,VLOOKUP($AYA$2,[2]ARBOR_REAJUSTE18!$A:$B,2,0),0))),"")&lt;0.01%,0.01%,(IFERROR(IF($AYA6="","",IF($AYA6=0,1,1-$AYA6/HLOOKUP(AZA$3,[2]ARBOR_REAJUSTE18!$A:$AE,VLOOKUP($AYA$2,[2]ARBOR_REAJUSTE18!$A:$B,2,0),0))),""))),4)</f>
        <v>#VALUE!</v>
      </c>
      <c r="AZB6" s="44" t="e">
        <f>ROUNDUP(IF(IFERROR(IF($AYA6="","",IF($AYA6=0,1,1-$AYA6/HLOOKUP(AZB$3,[2]ARBOR_REAJUSTE18!$A:$AE,VLOOKUP($AYA$2,[2]ARBOR_REAJUSTE18!$A:$B,2,0),0))),"")&lt;0.01%,0.01%,(IFERROR(IF($AYA6="","",IF($AYA6=0,1,1-$AYA6/HLOOKUP(AZB$3,[2]ARBOR_REAJUSTE18!$A:$AE,VLOOKUP($AYA$2,[2]ARBOR_REAJUSTE18!$A:$B,2,0),0))),""))),4)</f>
        <v>#VALUE!</v>
      </c>
      <c r="AZC6" s="44" t="e">
        <f>ROUNDUP(IF(IFERROR(IF($AYA6="","",IF($AYA6=0,1,1-$AYA6/HLOOKUP(AZC$3,[2]ARBOR_REAJUSTE18!$A:$AE,VLOOKUP($AYA$2,[2]ARBOR_REAJUSTE18!$A:$B,2,0),0))),"")&lt;0.01%,0.01%,(IFERROR(IF($AYA6="","",IF($AYA6=0,1,1-$AYA6/HLOOKUP(AZC$3,[2]ARBOR_REAJUSTE18!$A:$AE,VLOOKUP($AYA$2,[2]ARBOR_REAJUSTE18!$A:$B,2,0),0))),""))),4)</f>
        <v>#VALUE!</v>
      </c>
      <c r="AZD6" s="56"/>
      <c r="AZE6" s="64"/>
      <c r="AZF6" s="44" t="e">
        <f>ROUNDUP(IF(IFERROR(IF($AZD6="","",IF($AZD6=0,1,1-$AZD6/HLOOKUP(AZF$3,[2]ARBOR_REAJUSTE18!$A:$AE,VLOOKUP($AZD$2,[2]ARBOR_REAJUSTE18!$A:$B,2,0),0))),"")&lt;0.01%,0.01%,(IFERROR(IF($AZD6="","",IF($AZD6=0,1,1-$AZD6/HLOOKUP(AZF$3,[2]ARBOR_REAJUSTE18!$A:$AE,VLOOKUP($AZD$2,[2]ARBOR_REAJUSTE18!$A:$B,2,0),0))),""))),4)</f>
        <v>#VALUE!</v>
      </c>
      <c r="AZG6" s="44" t="e">
        <f>ROUNDUP(IF(IFERROR(IF($AZD6="","",IF($AZD6=0,1,1-$AZD6/HLOOKUP(AZG$3,[2]ARBOR_REAJUSTE18!$A:$AE,VLOOKUP($AZD$2,[2]ARBOR_REAJUSTE18!$A:$B,2,0),0))),"")&lt;0.01%,0.01%,(IFERROR(IF($AZD6="","",IF($AZD6=0,1,1-$AZD6/HLOOKUP(AZG$3,[2]ARBOR_REAJUSTE18!$A:$AE,VLOOKUP($AZD$2,[2]ARBOR_REAJUSTE18!$A:$B,2,0),0))),""))),4)</f>
        <v>#VALUE!</v>
      </c>
      <c r="AZH6" s="44" t="e">
        <f>ROUNDUP(IF(IFERROR(IF($AZD6="","",IF($AZD6=0,1,1-$AZD6/HLOOKUP(AZH$3,[2]ARBOR_REAJUSTE18!$A:$AE,VLOOKUP($AZD$2,[2]ARBOR_REAJUSTE18!$A:$B,2,0),0))),"")&lt;0.01%,0.01%,(IFERROR(IF($AZD6="","",IF($AZD6=0,1,1-$AZD6/HLOOKUP(AZH$3,[2]ARBOR_REAJUSTE18!$A:$AE,VLOOKUP($AZD$2,[2]ARBOR_REAJUSTE18!$A:$B,2,0),0))),""))),4)</f>
        <v>#VALUE!</v>
      </c>
      <c r="AZI6" s="44" t="e">
        <f>ROUNDUP(IF(IFERROR(IF($AZD6="","",IF($AZD6=0,1,1-$AZD6/HLOOKUP(AZI$3,[2]ARBOR_REAJUSTE18!$A:$AE,VLOOKUP($AZD$2,[2]ARBOR_REAJUSTE18!$A:$B,2,0),0))),"")&lt;0.01%,0.01%,(IFERROR(IF($AZD6="","",IF($AZD6=0,1,1-$AZD6/HLOOKUP(AZI$3,[2]ARBOR_REAJUSTE18!$A:$AE,VLOOKUP($AZD$2,[2]ARBOR_REAJUSTE18!$A:$B,2,0),0))),""))),4)</f>
        <v>#VALUE!</v>
      </c>
      <c r="AZJ6" s="44" t="e">
        <f>ROUNDUP(IF(IFERROR(IF($AZD6="","",IF($AZD6=0,1,1-$AZD6/HLOOKUP(AZJ$3,[2]ARBOR_REAJUSTE18!$A:$AE,VLOOKUP($AZD$2,[2]ARBOR_REAJUSTE18!$A:$B,2,0),0))),"")&lt;0.01%,0.01%,(IFERROR(IF($AZD6="","",IF($AZD6=0,1,1-$AZD6/HLOOKUP(AZJ$3,[2]ARBOR_REAJUSTE18!$A:$AE,VLOOKUP($AZD$2,[2]ARBOR_REAJUSTE18!$A:$B,2,0),0))),""))),4)</f>
        <v>#VALUE!</v>
      </c>
      <c r="AZK6" s="44" t="e">
        <f>ROUNDUP(IF(IFERROR(IF($AZD6="","",IF($AZD6=0,1,1-$AZD6/HLOOKUP(AZK$3,[2]ARBOR_REAJUSTE18!$A:$AE,VLOOKUP($AZD$2,[2]ARBOR_REAJUSTE18!$A:$B,2,0),0))),"")&lt;0.01%,0.01%,(IFERROR(IF($AZD6="","",IF($AZD6=0,1,1-$AZD6/HLOOKUP(AZK$3,[2]ARBOR_REAJUSTE18!$A:$AE,VLOOKUP($AZD$2,[2]ARBOR_REAJUSTE18!$A:$B,2,0),0))),""))),4)</f>
        <v>#VALUE!</v>
      </c>
      <c r="AZL6" s="44" t="e">
        <f>ROUNDUP(IF(IFERROR(IF($AZD6="","",IF($AZD6=0,1,1-$AZD6/HLOOKUP(AZL$3,[2]ARBOR_REAJUSTE18!$A:$AE,VLOOKUP($AZD$2,[2]ARBOR_REAJUSTE18!$A:$B,2,0),0))),"")&lt;0.01%,0.01%,(IFERROR(IF($AZD6="","",IF($AZD6=0,1,1-$AZD6/HLOOKUP(AZL$3,[2]ARBOR_REAJUSTE18!$A:$AE,VLOOKUP($AZD$2,[2]ARBOR_REAJUSTE18!$A:$B,2,0),0))),""))),4)</f>
        <v>#VALUE!</v>
      </c>
      <c r="AZM6" s="44" t="e">
        <f>ROUNDUP(IF(IFERROR(IF($AZD6="","",IF($AZD6=0,1,1-$AZD6/HLOOKUP(AZM$3,[2]ARBOR_REAJUSTE18!$A:$AE,VLOOKUP($AZD$2,[2]ARBOR_REAJUSTE18!$A:$B,2,0),0))),"")&lt;0.01%,0.01%,(IFERROR(IF($AZD6="","",IF($AZD6=0,1,1-$AZD6/HLOOKUP(AZM$3,[2]ARBOR_REAJUSTE18!$A:$AE,VLOOKUP($AZD$2,[2]ARBOR_REAJUSTE18!$A:$B,2,0),0))),""))),4)</f>
        <v>#VALUE!</v>
      </c>
      <c r="AZN6" s="44" t="e">
        <f>ROUNDUP(IF(IFERROR(IF($AZD6="","",IF($AZD6=0,1,1-$AZD6/HLOOKUP(AZN$3,[2]ARBOR_REAJUSTE18!$A:$AE,VLOOKUP($AZD$2,[2]ARBOR_REAJUSTE18!$A:$B,2,0),0))),"")&lt;0.01%,0.01%,(IFERROR(IF($AZD6="","",IF($AZD6=0,1,1-$AZD6/HLOOKUP(AZN$3,[2]ARBOR_REAJUSTE18!$A:$AE,VLOOKUP($AZD$2,[2]ARBOR_REAJUSTE18!$A:$B,2,0),0))),""))),4)</f>
        <v>#VALUE!</v>
      </c>
      <c r="AZO6" s="44" t="e">
        <f>ROUNDUP(IF(IFERROR(IF($AZD6="","",IF($AZD6=0,1,1-$AZD6/HLOOKUP(AZO$3,[2]ARBOR_REAJUSTE18!$A:$AE,VLOOKUP($AZD$2,[2]ARBOR_REAJUSTE18!$A:$B,2,0),0))),"")&lt;0.01%,0.01%,(IFERROR(IF($AZD6="","",IF($AZD6=0,1,1-$AZD6/HLOOKUP(AZO$3,[2]ARBOR_REAJUSTE18!$A:$AE,VLOOKUP($AZD$2,[2]ARBOR_REAJUSTE18!$A:$B,2,0),0))),""))),4)</f>
        <v>#VALUE!</v>
      </c>
      <c r="AZP6" s="44" t="e">
        <f>ROUNDUP(IF(IFERROR(IF($AZD6="","",IF($AZD6=0,1,1-$AZD6/HLOOKUP(AZP$3,[2]ARBOR_REAJUSTE18!$A:$AE,VLOOKUP($AZD$2,[2]ARBOR_REAJUSTE18!$A:$B,2,0),0))),"")&lt;0.01%,0.01%,(IFERROR(IF($AZD6="","",IF($AZD6=0,1,1-$AZD6/HLOOKUP(AZP$3,[2]ARBOR_REAJUSTE18!$A:$AE,VLOOKUP($AZD$2,[2]ARBOR_REAJUSTE18!$A:$B,2,0),0))),""))),4)</f>
        <v>#VALUE!</v>
      </c>
      <c r="AZQ6" s="44" t="e">
        <f>ROUNDUP(IF(IFERROR(IF($AZD6="","",IF($AZD6=0,1,1-$AZD6/HLOOKUP(AZQ$3,[2]ARBOR_REAJUSTE18!$A:$AE,VLOOKUP($AZD$2,[2]ARBOR_REAJUSTE18!$A:$B,2,0),0))),"")&lt;0.01%,0.01%,(IFERROR(IF($AZD6="","",IF($AZD6=0,1,1-$AZD6/HLOOKUP(AZQ$3,[2]ARBOR_REAJUSTE18!$A:$AE,VLOOKUP($AZD$2,[2]ARBOR_REAJUSTE18!$A:$B,2,0),0))),""))),4)</f>
        <v>#VALUE!</v>
      </c>
      <c r="AZR6" s="44" t="e">
        <f>ROUNDUP(IF(IFERROR(IF($AZD6="","",IF($AZD6=0,1,1-$AZD6/HLOOKUP(AZR$3,[2]ARBOR_REAJUSTE18!$A:$AE,VLOOKUP($AZD$2,[2]ARBOR_REAJUSTE18!$A:$B,2,0),0))),"")&lt;0.01%,0.01%,(IFERROR(IF($AZD6="","",IF($AZD6=0,1,1-$AZD6/HLOOKUP(AZR$3,[2]ARBOR_REAJUSTE18!$A:$AE,VLOOKUP($AZD$2,[2]ARBOR_REAJUSTE18!$A:$B,2,0),0))),""))),4)</f>
        <v>#VALUE!</v>
      </c>
      <c r="AZS6" s="44" t="e">
        <f>ROUNDUP(IF(IFERROR(IF($AZD6="","",IF($AZD6=0,1,1-$AZD6/HLOOKUP(AZS$3,[2]ARBOR_REAJUSTE18!$A:$AE,VLOOKUP($AZD$2,[2]ARBOR_REAJUSTE18!$A:$B,2,0),0))),"")&lt;0.01%,0.01%,(IFERROR(IF($AZD6="","",IF($AZD6=0,1,1-$AZD6/HLOOKUP(AZS$3,[2]ARBOR_REAJUSTE18!$A:$AE,VLOOKUP($AZD$2,[2]ARBOR_REAJUSTE18!$A:$B,2,0),0))),""))),4)</f>
        <v>#VALUE!</v>
      </c>
      <c r="AZT6" s="44" t="e">
        <f>ROUNDUP(IF(IFERROR(IF($AZD6="","",IF($AZD6=0,1,1-$AZD6/HLOOKUP(AZT$3,[2]ARBOR_REAJUSTE18!$A:$AE,VLOOKUP($AZD$2,[2]ARBOR_REAJUSTE18!$A:$B,2,0),0))),"")&lt;0.01%,0.01%,(IFERROR(IF($AZD6="","",IF($AZD6=0,1,1-$AZD6/HLOOKUP(AZT$3,[2]ARBOR_REAJUSTE18!$A:$AE,VLOOKUP($AZD$2,[2]ARBOR_REAJUSTE18!$A:$B,2,0),0))),""))),4)</f>
        <v>#VALUE!</v>
      </c>
      <c r="AZU6" s="44" t="e">
        <f>ROUNDUP(IF(IFERROR(IF($AZD6="","",IF($AZD6=0,1,1-$AZD6/HLOOKUP(AZU$3,[2]ARBOR_REAJUSTE18!$A:$AE,VLOOKUP($AZD$2,[2]ARBOR_REAJUSTE18!$A:$B,2,0),0))),"")&lt;0.01%,0.01%,(IFERROR(IF($AZD6="","",IF($AZD6=0,1,1-$AZD6/HLOOKUP(AZU$3,[2]ARBOR_REAJUSTE18!$A:$AE,VLOOKUP($AZD$2,[2]ARBOR_REAJUSTE18!$A:$B,2,0),0))),""))),4)</f>
        <v>#VALUE!</v>
      </c>
      <c r="AZV6" s="44" t="e">
        <f>ROUNDUP(IF(IFERROR(IF($AZD6="","",IF($AZD6=0,1,1-$AZD6/HLOOKUP(AZV$3,[2]ARBOR_REAJUSTE18!$A:$AE,VLOOKUP($AZD$2,[2]ARBOR_REAJUSTE18!$A:$B,2,0),0))),"")&lt;0.01%,0.01%,(IFERROR(IF($AZD6="","",IF($AZD6=0,1,1-$AZD6/HLOOKUP(AZV$3,[2]ARBOR_REAJUSTE18!$A:$AE,VLOOKUP($AZD$2,[2]ARBOR_REAJUSTE18!$A:$B,2,0),0))),""))),4)</f>
        <v>#VALUE!</v>
      </c>
      <c r="AZW6" s="44" t="e">
        <f>ROUNDUP(IF(IFERROR(IF($AZD6="","",IF($AZD6=0,1,1-$AZD6/HLOOKUP(AZW$3,[2]ARBOR_REAJUSTE18!$A:$AE,VLOOKUP($AZD$2,[2]ARBOR_REAJUSTE18!$A:$B,2,0),0))),"")&lt;0.01%,0.01%,(IFERROR(IF($AZD6="","",IF($AZD6=0,1,1-$AZD6/HLOOKUP(AZW$3,[2]ARBOR_REAJUSTE18!$A:$AE,VLOOKUP($AZD$2,[2]ARBOR_REAJUSTE18!$A:$B,2,0),0))),""))),4)</f>
        <v>#VALUE!</v>
      </c>
      <c r="AZX6" s="44" t="e">
        <f>ROUNDUP(IF(IFERROR(IF($AZD6="","",IF($AZD6=0,1,1-$AZD6/HLOOKUP(AZX$3,[2]ARBOR_REAJUSTE18!$A:$AE,VLOOKUP($AZD$2,[2]ARBOR_REAJUSTE18!$A:$B,2,0),0))),"")&lt;0.01%,0.01%,(IFERROR(IF($AZD6="","",IF($AZD6=0,1,1-$AZD6/HLOOKUP(AZX$3,[2]ARBOR_REAJUSTE18!$A:$AE,VLOOKUP($AZD$2,[2]ARBOR_REAJUSTE18!$A:$B,2,0),0))),""))),4)</f>
        <v>#VALUE!</v>
      </c>
      <c r="AZY6" s="44" t="e">
        <f>ROUNDUP(IF(IFERROR(IF($AZD6="","",IF($AZD6=0,1,1-$AZD6/HLOOKUP(AZY$3,[2]ARBOR_REAJUSTE18!$A:$AE,VLOOKUP($AZD$2,[2]ARBOR_REAJUSTE18!$A:$B,2,0),0))),"")&lt;0.01%,0.01%,(IFERROR(IF($AZD6="","",IF($AZD6=0,1,1-$AZD6/HLOOKUP(AZY$3,[2]ARBOR_REAJUSTE18!$A:$AE,VLOOKUP($AZD$2,[2]ARBOR_REAJUSTE18!$A:$B,2,0),0))),""))),4)</f>
        <v>#VALUE!</v>
      </c>
      <c r="AZZ6" s="44" t="e">
        <f>ROUNDUP(IF(IFERROR(IF($AZD6="","",IF($AZD6=0,1,1-$AZD6/HLOOKUP(AZZ$3,[2]ARBOR_REAJUSTE18!$A:$AE,VLOOKUP($AZD$2,[2]ARBOR_REAJUSTE18!$A:$B,2,0),0))),"")&lt;0.01%,0.01%,(IFERROR(IF($AZD6="","",IF($AZD6=0,1,1-$AZD6/HLOOKUP(AZZ$3,[2]ARBOR_REAJUSTE18!$A:$AE,VLOOKUP($AZD$2,[2]ARBOR_REAJUSTE18!$A:$B,2,0),0))),""))),4)</f>
        <v>#VALUE!</v>
      </c>
      <c r="BAA6" s="44" t="e">
        <f>ROUNDUP(IF(IFERROR(IF($AZD6="","",IF($AZD6=0,1,1-$AZD6/HLOOKUP(BAA$3,[2]ARBOR_REAJUSTE18!$A:$AE,VLOOKUP($AZD$2,[2]ARBOR_REAJUSTE18!$A:$B,2,0),0))),"")&lt;0.01%,0.01%,(IFERROR(IF($AZD6="","",IF($AZD6=0,1,1-$AZD6/HLOOKUP(BAA$3,[2]ARBOR_REAJUSTE18!$A:$AE,VLOOKUP($AZD$2,[2]ARBOR_REAJUSTE18!$A:$B,2,0),0))),""))),4)</f>
        <v>#VALUE!</v>
      </c>
      <c r="BAB6" s="44" t="e">
        <f>ROUNDUP(IF(IFERROR(IF($AZD6="","",IF($AZD6=0,1,1-$AZD6/HLOOKUP(BAB$3,[2]ARBOR_REAJUSTE18!$A:$AE,VLOOKUP($AZD$2,[2]ARBOR_REAJUSTE18!$A:$B,2,0),0))),"")&lt;0.01%,0.01%,(IFERROR(IF($AZD6="","",IF($AZD6=0,1,1-$AZD6/HLOOKUP(BAB$3,[2]ARBOR_REAJUSTE18!$A:$AE,VLOOKUP($AZD$2,[2]ARBOR_REAJUSTE18!$A:$B,2,0),0))),""))),4)</f>
        <v>#VALUE!</v>
      </c>
      <c r="BAC6" s="44" t="e">
        <f>ROUNDUP(IF(IFERROR(IF($AZD6="","",IF($AZD6=0,1,1-$AZD6/HLOOKUP(BAC$3,[2]ARBOR_REAJUSTE18!$A:$AE,VLOOKUP($AZD$2,[2]ARBOR_REAJUSTE18!$A:$B,2,0),0))),"")&lt;0.01%,0.01%,(IFERROR(IF($AZD6="","",IF($AZD6=0,1,1-$AZD6/HLOOKUP(BAC$3,[2]ARBOR_REAJUSTE18!$A:$AE,VLOOKUP($AZD$2,[2]ARBOR_REAJUSTE18!$A:$B,2,0),0))),""))),4)</f>
        <v>#VALUE!</v>
      </c>
      <c r="BAD6" s="44" t="e">
        <f>ROUNDUP(IF(IFERROR(IF($AZD6="","",IF($AZD6=0,1,1-$AZD6/HLOOKUP(BAD$3,[2]ARBOR_REAJUSTE18!$A:$AE,VLOOKUP($AZD$2,[2]ARBOR_REAJUSTE18!$A:$B,2,0),0))),"")&lt;0.01%,0.01%,(IFERROR(IF($AZD6="","",IF($AZD6=0,1,1-$AZD6/HLOOKUP(BAD$3,[2]ARBOR_REAJUSTE18!$A:$AE,VLOOKUP($AZD$2,[2]ARBOR_REAJUSTE18!$A:$B,2,0),0))),""))),4)</f>
        <v>#VALUE!</v>
      </c>
      <c r="BAE6" s="44" t="e">
        <f>ROUNDUP(IF(IFERROR(IF($AZD6="","",IF($AZD6=0,1,1-$AZD6/HLOOKUP(BAE$3,[2]ARBOR_REAJUSTE18!$A:$AE,VLOOKUP($AZD$2,[2]ARBOR_REAJUSTE18!$A:$B,2,0),0))),"")&lt;0.01%,0.01%,(IFERROR(IF($AZD6="","",IF($AZD6=0,1,1-$AZD6/HLOOKUP(BAE$3,[2]ARBOR_REAJUSTE18!$A:$AE,VLOOKUP($AZD$2,[2]ARBOR_REAJUSTE18!$A:$B,2,0),0))),""))),4)</f>
        <v>#VALUE!</v>
      </c>
      <c r="BAF6" s="44" t="e">
        <f>ROUNDUP(IF(IFERROR(IF($AZD6="","",IF($AZD6=0,1,1-$AZD6/HLOOKUP(BAF$3,[2]ARBOR_REAJUSTE18!$A:$AE,VLOOKUP($AZD$2,[2]ARBOR_REAJUSTE18!$A:$B,2,0),0))),"")&lt;0.01%,0.01%,(IFERROR(IF($AZD6="","",IF($AZD6=0,1,1-$AZD6/HLOOKUP(BAF$3,[2]ARBOR_REAJUSTE18!$A:$AE,VLOOKUP($AZD$2,[2]ARBOR_REAJUSTE18!$A:$B,2,0),0))),""))),4)</f>
        <v>#VALUE!</v>
      </c>
      <c r="BAG6" s="56"/>
      <c r="BAH6" s="64"/>
      <c r="BAI6" s="44" t="e">
        <f>ROUNDUP(IF(IFERROR(IF($BAG6="","",IF($BAG6=0,1,1-$BAG6/HLOOKUP(BAI$3,[2]ARBOR_REAJUSTE18!$A:$AE,VLOOKUP($BAG$2,[2]ARBOR_REAJUSTE18!$A:$B,2,0),0))),"")&lt;0.01%,0.01%,(IFERROR(IF($BAG6="","",IF($BAG6=0,1,1-$BAG6/HLOOKUP(BAI$3,[2]ARBOR_REAJUSTE18!$A:$AE,VLOOKUP($BAG$2,[2]ARBOR_REAJUSTE18!$A:$B,2,0),0))),""))),4)</f>
        <v>#VALUE!</v>
      </c>
      <c r="BAJ6" s="44" t="e">
        <f>ROUNDUP(IF(IFERROR(IF($BAG6="","",IF($BAG6=0,1,1-$BAG6/HLOOKUP(BAJ$3,[2]ARBOR_REAJUSTE18!$A:$AE,VLOOKUP($BAG$2,[2]ARBOR_REAJUSTE18!$A:$B,2,0),0))),"")&lt;0.01%,0.01%,(IFERROR(IF($BAG6="","",IF($BAG6=0,1,1-$BAG6/HLOOKUP(BAJ$3,[2]ARBOR_REAJUSTE18!$A:$AE,VLOOKUP($BAG$2,[2]ARBOR_REAJUSTE18!$A:$B,2,0),0))),""))),4)</f>
        <v>#VALUE!</v>
      </c>
      <c r="BAK6" s="44" t="e">
        <f>ROUNDUP(IF(IFERROR(IF($BAG6="","",IF($BAG6=0,1,1-$BAG6/HLOOKUP(BAK$3,[2]ARBOR_REAJUSTE18!$A:$AE,VLOOKUP($BAG$2,[2]ARBOR_REAJUSTE18!$A:$B,2,0),0))),"")&lt;0.01%,0.01%,(IFERROR(IF($BAG6="","",IF($BAG6=0,1,1-$BAG6/HLOOKUP(BAK$3,[2]ARBOR_REAJUSTE18!$A:$AE,VLOOKUP($BAG$2,[2]ARBOR_REAJUSTE18!$A:$B,2,0),0))),""))),4)</f>
        <v>#VALUE!</v>
      </c>
      <c r="BAL6" s="44" t="e">
        <f>ROUNDUP(IF(IFERROR(IF($BAG6="","",IF($BAG6=0,1,1-$BAG6/HLOOKUP(BAL$3,[2]ARBOR_REAJUSTE18!$A:$AE,VLOOKUP($BAG$2,[2]ARBOR_REAJUSTE18!$A:$B,2,0),0))),"")&lt;0.01%,0.01%,(IFERROR(IF($BAG6="","",IF($BAG6=0,1,1-$BAG6/HLOOKUP(BAL$3,[2]ARBOR_REAJUSTE18!$A:$AE,VLOOKUP($BAG$2,[2]ARBOR_REAJUSTE18!$A:$B,2,0),0))),""))),4)</f>
        <v>#VALUE!</v>
      </c>
      <c r="BAM6" s="44" t="e">
        <f>ROUNDUP(IF(IFERROR(IF($BAG6="","",IF($BAG6=0,1,1-$BAG6/HLOOKUP(BAM$3,[2]ARBOR_REAJUSTE18!$A:$AE,VLOOKUP($BAG$2,[2]ARBOR_REAJUSTE18!$A:$B,2,0),0))),"")&lt;0.01%,0.01%,(IFERROR(IF($BAG6="","",IF($BAG6=0,1,1-$BAG6/HLOOKUP(BAM$3,[2]ARBOR_REAJUSTE18!$A:$AE,VLOOKUP($BAG$2,[2]ARBOR_REAJUSTE18!$A:$B,2,0),0))),""))),4)</f>
        <v>#VALUE!</v>
      </c>
      <c r="BAN6" s="44" t="e">
        <f>ROUNDUP(IF(IFERROR(IF($BAG6="","",IF($BAG6=0,1,1-$BAG6/HLOOKUP(BAN$3,[2]ARBOR_REAJUSTE18!$A:$AE,VLOOKUP($BAG$2,[2]ARBOR_REAJUSTE18!$A:$B,2,0),0))),"")&lt;0.01%,0.01%,(IFERROR(IF($BAG6="","",IF($BAG6=0,1,1-$BAG6/HLOOKUP(BAN$3,[2]ARBOR_REAJUSTE18!$A:$AE,VLOOKUP($BAG$2,[2]ARBOR_REAJUSTE18!$A:$B,2,0),0))),""))),4)</f>
        <v>#VALUE!</v>
      </c>
      <c r="BAO6" s="44" t="e">
        <f>ROUNDUP(IF(IFERROR(IF($BAG6="","",IF($BAG6=0,1,1-$BAG6/HLOOKUP(BAO$3,[2]ARBOR_REAJUSTE18!$A:$AE,VLOOKUP($BAG$2,[2]ARBOR_REAJUSTE18!$A:$B,2,0),0))),"")&lt;0.01%,0.01%,(IFERROR(IF($BAG6="","",IF($BAG6=0,1,1-$BAG6/HLOOKUP(BAO$3,[2]ARBOR_REAJUSTE18!$A:$AE,VLOOKUP($BAG$2,[2]ARBOR_REAJUSTE18!$A:$B,2,0),0))),""))),4)</f>
        <v>#VALUE!</v>
      </c>
      <c r="BAP6" s="44" t="e">
        <f>ROUNDUP(IF(IFERROR(IF($BAG6="","",IF($BAG6=0,1,1-$BAG6/HLOOKUP(BAP$3,[2]ARBOR_REAJUSTE18!$A:$AE,VLOOKUP($BAG$2,[2]ARBOR_REAJUSTE18!$A:$B,2,0),0))),"")&lt;0.01%,0.01%,(IFERROR(IF($BAG6="","",IF($BAG6=0,1,1-$BAG6/HLOOKUP(BAP$3,[2]ARBOR_REAJUSTE18!$A:$AE,VLOOKUP($BAG$2,[2]ARBOR_REAJUSTE18!$A:$B,2,0),0))),""))),4)</f>
        <v>#VALUE!</v>
      </c>
      <c r="BAQ6" s="44" t="e">
        <f>ROUNDUP(IF(IFERROR(IF($BAG6="","",IF($BAG6=0,1,1-$BAG6/HLOOKUP(BAQ$3,[2]ARBOR_REAJUSTE18!$A:$AE,VLOOKUP($BAG$2,[2]ARBOR_REAJUSTE18!$A:$B,2,0),0))),"")&lt;0.01%,0.01%,(IFERROR(IF($BAG6="","",IF($BAG6=0,1,1-$BAG6/HLOOKUP(BAQ$3,[2]ARBOR_REAJUSTE18!$A:$AE,VLOOKUP($BAG$2,[2]ARBOR_REAJUSTE18!$A:$B,2,0),0))),""))),4)</f>
        <v>#VALUE!</v>
      </c>
      <c r="BAR6" s="44" t="e">
        <f>ROUNDUP(IF(IFERROR(IF($BAG6="","",IF($BAG6=0,1,1-$BAG6/HLOOKUP(BAR$3,[2]ARBOR_REAJUSTE18!$A:$AE,VLOOKUP($BAG$2,[2]ARBOR_REAJUSTE18!$A:$B,2,0),0))),"")&lt;0.01%,0.01%,(IFERROR(IF($BAG6="","",IF($BAG6=0,1,1-$BAG6/HLOOKUP(BAR$3,[2]ARBOR_REAJUSTE18!$A:$AE,VLOOKUP($BAG$2,[2]ARBOR_REAJUSTE18!$A:$B,2,0),0))),""))),4)</f>
        <v>#VALUE!</v>
      </c>
      <c r="BAS6" s="44" t="e">
        <f>ROUNDUP(IF(IFERROR(IF($BAG6="","",IF($BAG6=0,1,1-$BAG6/HLOOKUP(BAS$3,[2]ARBOR_REAJUSTE18!$A:$AE,VLOOKUP($BAG$2,[2]ARBOR_REAJUSTE18!$A:$B,2,0),0))),"")&lt;0.01%,0.01%,(IFERROR(IF($BAG6="","",IF($BAG6=0,1,1-$BAG6/HLOOKUP(BAS$3,[2]ARBOR_REAJUSTE18!$A:$AE,VLOOKUP($BAG$2,[2]ARBOR_REAJUSTE18!$A:$B,2,0),0))),""))),4)</f>
        <v>#VALUE!</v>
      </c>
      <c r="BAT6" s="44" t="e">
        <f>ROUNDUP(IF(IFERROR(IF($BAG6="","",IF($BAG6=0,1,1-$BAG6/HLOOKUP(BAT$3,[2]ARBOR_REAJUSTE18!$A:$AE,VLOOKUP($BAG$2,[2]ARBOR_REAJUSTE18!$A:$B,2,0),0))),"")&lt;0.01%,0.01%,(IFERROR(IF($BAG6="","",IF($BAG6=0,1,1-$BAG6/HLOOKUP(BAT$3,[2]ARBOR_REAJUSTE18!$A:$AE,VLOOKUP($BAG$2,[2]ARBOR_REAJUSTE18!$A:$B,2,0),0))),""))),4)</f>
        <v>#VALUE!</v>
      </c>
      <c r="BAU6" s="44" t="e">
        <f>ROUNDUP(IF(IFERROR(IF($BAG6="","",IF($BAG6=0,1,1-$BAG6/HLOOKUP(BAU$3,[2]ARBOR_REAJUSTE18!$A:$AE,VLOOKUP($BAG$2,[2]ARBOR_REAJUSTE18!$A:$B,2,0),0))),"")&lt;0.01%,0.01%,(IFERROR(IF($BAG6="","",IF($BAG6=0,1,1-$BAG6/HLOOKUP(BAU$3,[2]ARBOR_REAJUSTE18!$A:$AE,VLOOKUP($BAG$2,[2]ARBOR_REAJUSTE18!$A:$B,2,0),0))),""))),4)</f>
        <v>#VALUE!</v>
      </c>
      <c r="BAV6" s="44" t="e">
        <f>ROUNDUP(IF(IFERROR(IF($BAG6="","",IF($BAG6=0,1,1-$BAG6/HLOOKUP(BAV$3,[2]ARBOR_REAJUSTE18!$A:$AE,VLOOKUP($BAG$2,[2]ARBOR_REAJUSTE18!$A:$B,2,0),0))),"")&lt;0.01%,0.01%,(IFERROR(IF($BAG6="","",IF($BAG6=0,1,1-$BAG6/HLOOKUP(BAV$3,[2]ARBOR_REAJUSTE18!$A:$AE,VLOOKUP($BAG$2,[2]ARBOR_REAJUSTE18!$A:$B,2,0),0))),""))),4)</f>
        <v>#VALUE!</v>
      </c>
      <c r="BAW6" s="44" t="e">
        <f>ROUNDUP(IF(IFERROR(IF($BAG6="","",IF($BAG6=0,1,1-$BAG6/HLOOKUP(BAW$3,[2]ARBOR_REAJUSTE18!$A:$AE,VLOOKUP($BAG$2,[2]ARBOR_REAJUSTE18!$A:$B,2,0),0))),"")&lt;0.01%,0.01%,(IFERROR(IF($BAG6="","",IF($BAG6=0,1,1-$BAG6/HLOOKUP(BAW$3,[2]ARBOR_REAJUSTE18!$A:$AE,VLOOKUP($BAG$2,[2]ARBOR_REAJUSTE18!$A:$B,2,0),0))),""))),4)</f>
        <v>#VALUE!</v>
      </c>
      <c r="BAX6" s="44" t="e">
        <f>ROUNDUP(IF(IFERROR(IF($BAG6="","",IF($BAG6=0,1,1-$BAG6/HLOOKUP(BAX$3,[2]ARBOR_REAJUSTE18!$A:$AE,VLOOKUP($BAG$2,[2]ARBOR_REAJUSTE18!$A:$B,2,0),0))),"")&lt;0.01%,0.01%,(IFERROR(IF($BAG6="","",IF($BAG6=0,1,1-$BAG6/HLOOKUP(BAX$3,[2]ARBOR_REAJUSTE18!$A:$AE,VLOOKUP($BAG$2,[2]ARBOR_REAJUSTE18!$A:$B,2,0),0))),""))),4)</f>
        <v>#VALUE!</v>
      </c>
      <c r="BAY6" s="44" t="e">
        <f>ROUNDUP(IF(IFERROR(IF($BAG6="","",IF($BAG6=0,1,1-$BAG6/HLOOKUP(BAY$3,[2]ARBOR_REAJUSTE18!$A:$AE,VLOOKUP($BAG$2,[2]ARBOR_REAJUSTE18!$A:$B,2,0),0))),"")&lt;0.01%,0.01%,(IFERROR(IF($BAG6="","",IF($BAG6=0,1,1-$BAG6/HLOOKUP(BAY$3,[2]ARBOR_REAJUSTE18!$A:$AE,VLOOKUP($BAG$2,[2]ARBOR_REAJUSTE18!$A:$B,2,0),0))),""))),4)</f>
        <v>#VALUE!</v>
      </c>
      <c r="BAZ6" s="44" t="e">
        <f>ROUNDUP(IF(IFERROR(IF($BAG6="","",IF($BAG6=0,1,1-$BAG6/HLOOKUP(BAZ$3,[2]ARBOR_REAJUSTE18!$A:$AE,VLOOKUP($BAG$2,[2]ARBOR_REAJUSTE18!$A:$B,2,0),0))),"")&lt;0.01%,0.01%,(IFERROR(IF($BAG6="","",IF($BAG6=0,1,1-$BAG6/HLOOKUP(BAZ$3,[2]ARBOR_REAJUSTE18!$A:$AE,VLOOKUP($BAG$2,[2]ARBOR_REAJUSTE18!$A:$B,2,0),0))),""))),4)</f>
        <v>#VALUE!</v>
      </c>
      <c r="BBA6" s="44" t="e">
        <f>ROUNDUP(IF(IFERROR(IF($BAG6="","",IF($BAG6=0,1,1-$BAG6/HLOOKUP(BBA$3,[2]ARBOR_REAJUSTE18!$A:$AE,VLOOKUP($BAG$2,[2]ARBOR_REAJUSTE18!$A:$B,2,0),0))),"")&lt;0.01%,0.01%,(IFERROR(IF($BAG6="","",IF($BAG6=0,1,1-$BAG6/HLOOKUP(BBA$3,[2]ARBOR_REAJUSTE18!$A:$AE,VLOOKUP($BAG$2,[2]ARBOR_REAJUSTE18!$A:$B,2,0),0))),""))),4)</f>
        <v>#VALUE!</v>
      </c>
      <c r="BBB6" s="44" t="e">
        <f>ROUNDUP(IF(IFERROR(IF($BAG6="","",IF($BAG6=0,1,1-$BAG6/HLOOKUP(BBB$3,[2]ARBOR_REAJUSTE18!$A:$AE,VLOOKUP($BAG$2,[2]ARBOR_REAJUSTE18!$A:$B,2,0),0))),"")&lt;0.01%,0.01%,(IFERROR(IF($BAG6="","",IF($BAG6=0,1,1-$BAG6/HLOOKUP(BBB$3,[2]ARBOR_REAJUSTE18!$A:$AE,VLOOKUP($BAG$2,[2]ARBOR_REAJUSTE18!$A:$B,2,0),0))),""))),4)</f>
        <v>#VALUE!</v>
      </c>
      <c r="BBC6" s="44" t="e">
        <f>ROUNDUP(IF(IFERROR(IF($BAG6="","",IF($BAG6=0,1,1-$BAG6/HLOOKUP(BBC$3,[2]ARBOR_REAJUSTE18!$A:$AE,VLOOKUP($BAG$2,[2]ARBOR_REAJUSTE18!$A:$B,2,0),0))),"")&lt;0.01%,0.01%,(IFERROR(IF($BAG6="","",IF($BAG6=0,1,1-$BAG6/HLOOKUP(BBC$3,[2]ARBOR_REAJUSTE18!$A:$AE,VLOOKUP($BAG$2,[2]ARBOR_REAJUSTE18!$A:$B,2,0),0))),""))),4)</f>
        <v>#VALUE!</v>
      </c>
      <c r="BBD6" s="44" t="e">
        <f>ROUNDUP(IF(IFERROR(IF($BAG6="","",IF($BAG6=0,1,1-$BAG6/HLOOKUP(BBD$3,[2]ARBOR_REAJUSTE18!$A:$AE,VLOOKUP($BAG$2,[2]ARBOR_REAJUSTE18!$A:$B,2,0),0))),"")&lt;0.01%,0.01%,(IFERROR(IF($BAG6="","",IF($BAG6=0,1,1-$BAG6/HLOOKUP(BBD$3,[2]ARBOR_REAJUSTE18!$A:$AE,VLOOKUP($BAG$2,[2]ARBOR_REAJUSTE18!$A:$B,2,0),0))),""))),4)</f>
        <v>#VALUE!</v>
      </c>
      <c r="BBE6" s="44" t="e">
        <f>ROUNDUP(IF(IFERROR(IF($BAG6="","",IF($BAG6=0,1,1-$BAG6/HLOOKUP(BBE$3,[2]ARBOR_REAJUSTE18!$A:$AE,VLOOKUP($BAG$2,[2]ARBOR_REAJUSTE18!$A:$B,2,0),0))),"")&lt;0.01%,0.01%,(IFERROR(IF($BAG6="","",IF($BAG6=0,1,1-$BAG6/HLOOKUP(BBE$3,[2]ARBOR_REAJUSTE18!$A:$AE,VLOOKUP($BAG$2,[2]ARBOR_REAJUSTE18!$A:$B,2,0),0))),""))),4)</f>
        <v>#VALUE!</v>
      </c>
      <c r="BBF6" s="44" t="e">
        <f>ROUNDUP(IF(IFERROR(IF($BAG6="","",IF($BAG6=0,1,1-$BAG6/HLOOKUP(BBF$3,[2]ARBOR_REAJUSTE18!$A:$AE,VLOOKUP($BAG$2,[2]ARBOR_REAJUSTE18!$A:$B,2,0),0))),"")&lt;0.01%,0.01%,(IFERROR(IF($BAG6="","",IF($BAG6=0,1,1-$BAG6/HLOOKUP(BBF$3,[2]ARBOR_REAJUSTE18!$A:$AE,VLOOKUP($BAG$2,[2]ARBOR_REAJUSTE18!$A:$B,2,0),0))),""))),4)</f>
        <v>#VALUE!</v>
      </c>
      <c r="BBG6" s="44" t="e">
        <f>ROUNDUP(IF(IFERROR(IF($BAG6="","",IF($BAG6=0,1,1-$BAG6/HLOOKUP(BBG$3,[2]ARBOR_REAJUSTE18!$A:$AE,VLOOKUP($BAG$2,[2]ARBOR_REAJUSTE18!$A:$B,2,0),0))),"")&lt;0.01%,0.01%,(IFERROR(IF($BAG6="","",IF($BAG6=0,1,1-$BAG6/HLOOKUP(BBG$3,[2]ARBOR_REAJUSTE18!$A:$AE,VLOOKUP($BAG$2,[2]ARBOR_REAJUSTE18!$A:$B,2,0),0))),""))),4)</f>
        <v>#VALUE!</v>
      </c>
      <c r="BBH6" s="44" t="e">
        <f>ROUNDUP(IF(IFERROR(IF($BAG6="","",IF($BAG6=0,1,1-$BAG6/HLOOKUP(BBH$3,[2]ARBOR_REAJUSTE18!$A:$AE,VLOOKUP($BAG$2,[2]ARBOR_REAJUSTE18!$A:$B,2,0),0))),"")&lt;0.01%,0.01%,(IFERROR(IF($BAG6="","",IF($BAG6=0,1,1-$BAG6/HLOOKUP(BBH$3,[2]ARBOR_REAJUSTE18!$A:$AE,VLOOKUP($BAG$2,[2]ARBOR_REAJUSTE18!$A:$B,2,0),0))),""))),4)</f>
        <v>#VALUE!</v>
      </c>
      <c r="BBI6" s="44" t="e">
        <f>ROUNDUP(IF(IFERROR(IF($BAG6="","",IF($BAG6=0,1,1-$BAG6/HLOOKUP(BBI$3,[2]ARBOR_REAJUSTE18!$A:$AE,VLOOKUP($BAG$2,[2]ARBOR_REAJUSTE18!$A:$B,2,0),0))),"")&lt;0.01%,0.01%,(IFERROR(IF($BAG6="","",IF($BAG6=0,1,1-$BAG6/HLOOKUP(BBI$3,[2]ARBOR_REAJUSTE18!$A:$AE,VLOOKUP($BAG$2,[2]ARBOR_REAJUSTE18!$A:$B,2,0),0))),""))),4)</f>
        <v>#VALUE!</v>
      </c>
      <c r="BBJ6" s="56"/>
      <c r="BBK6" s="64"/>
      <c r="BBL6" s="44" t="e">
        <f>ROUNDUP(IF(IFERROR(IF($BBJ6="","",IF($BBJ6=0,1,1-$BBJ6/HLOOKUP(BBL$3,[2]ARBOR_REAJUSTE18!$A:$AE,VLOOKUP($BBJ$2,[2]ARBOR_REAJUSTE18!$A:$B,2,0),0))),"")&lt;0.01%,0.01%,(IFERROR(IF($BBJ6="","",IF($BBJ6=0,1,1-$BBJ6/HLOOKUP(BBL$3,[2]ARBOR_REAJUSTE18!$A:$AE,VLOOKUP($BBJ$2,[2]ARBOR_REAJUSTE18!$A:$B,2,0),0))),""))),4)</f>
        <v>#VALUE!</v>
      </c>
      <c r="BBM6" s="44" t="e">
        <f>ROUNDUP(IF(IFERROR(IF($BBJ6="","",IF($BBJ6=0,1,1-$BBJ6/HLOOKUP(BBM$3,[2]ARBOR_REAJUSTE18!$A:$AE,VLOOKUP($BBJ$2,[2]ARBOR_REAJUSTE18!$A:$B,2,0),0))),"")&lt;0.01%,0.01%,(IFERROR(IF($BBJ6="","",IF($BBJ6=0,1,1-$BBJ6/HLOOKUP(BBM$3,[2]ARBOR_REAJUSTE18!$A:$AE,VLOOKUP($BBJ$2,[2]ARBOR_REAJUSTE18!$A:$B,2,0),0))),""))),4)</f>
        <v>#VALUE!</v>
      </c>
      <c r="BBN6" s="44" t="e">
        <f>ROUNDUP(IF(IFERROR(IF($BBJ6="","",IF($BBJ6=0,1,1-$BBJ6/HLOOKUP(BBN$3,[2]ARBOR_REAJUSTE18!$A:$AE,VLOOKUP($BBJ$2,[2]ARBOR_REAJUSTE18!$A:$B,2,0),0))),"")&lt;0.01%,0.01%,(IFERROR(IF($BBJ6="","",IF($BBJ6=0,1,1-$BBJ6/HLOOKUP(BBN$3,[2]ARBOR_REAJUSTE18!$A:$AE,VLOOKUP($BBJ$2,[2]ARBOR_REAJUSTE18!$A:$B,2,0),0))),""))),4)</f>
        <v>#VALUE!</v>
      </c>
      <c r="BBO6" s="44" t="e">
        <f>ROUNDUP(IF(IFERROR(IF($BBJ6="","",IF($BBJ6=0,1,1-$BBJ6/HLOOKUP(BBO$3,[2]ARBOR_REAJUSTE18!$A:$AE,VLOOKUP($BBJ$2,[2]ARBOR_REAJUSTE18!$A:$B,2,0),0))),"")&lt;0.01%,0.01%,(IFERROR(IF($BBJ6="","",IF($BBJ6=0,1,1-$BBJ6/HLOOKUP(BBO$3,[2]ARBOR_REAJUSTE18!$A:$AE,VLOOKUP($BBJ$2,[2]ARBOR_REAJUSTE18!$A:$B,2,0),0))),""))),4)</f>
        <v>#VALUE!</v>
      </c>
      <c r="BBP6" s="44" t="e">
        <f>ROUNDUP(IF(IFERROR(IF($BBJ6="","",IF($BBJ6=0,1,1-$BBJ6/HLOOKUP(BBP$3,[2]ARBOR_REAJUSTE18!$A:$AE,VLOOKUP($BBJ$2,[2]ARBOR_REAJUSTE18!$A:$B,2,0),0))),"")&lt;0.01%,0.01%,(IFERROR(IF($BBJ6="","",IF($BBJ6=0,1,1-$BBJ6/HLOOKUP(BBP$3,[2]ARBOR_REAJUSTE18!$A:$AE,VLOOKUP($BBJ$2,[2]ARBOR_REAJUSTE18!$A:$B,2,0),0))),""))),4)</f>
        <v>#VALUE!</v>
      </c>
      <c r="BBQ6" s="44" t="e">
        <f>ROUNDUP(IF(IFERROR(IF($BBJ6="","",IF($BBJ6=0,1,1-$BBJ6/HLOOKUP(BBQ$3,[2]ARBOR_REAJUSTE18!$A:$AE,VLOOKUP($BBJ$2,[2]ARBOR_REAJUSTE18!$A:$B,2,0),0))),"")&lt;0.01%,0.01%,(IFERROR(IF($BBJ6="","",IF($BBJ6=0,1,1-$BBJ6/HLOOKUP(BBQ$3,[2]ARBOR_REAJUSTE18!$A:$AE,VLOOKUP($BBJ$2,[2]ARBOR_REAJUSTE18!$A:$B,2,0),0))),""))),4)</f>
        <v>#VALUE!</v>
      </c>
      <c r="BBR6" s="44" t="e">
        <f>ROUNDUP(IF(IFERROR(IF($BBJ6="","",IF($BBJ6=0,1,1-$BBJ6/HLOOKUP(BBR$3,[2]ARBOR_REAJUSTE18!$A:$AE,VLOOKUP($BBJ$2,[2]ARBOR_REAJUSTE18!$A:$B,2,0),0))),"")&lt;0.01%,0.01%,(IFERROR(IF($BBJ6="","",IF($BBJ6=0,1,1-$BBJ6/HLOOKUP(BBR$3,[2]ARBOR_REAJUSTE18!$A:$AE,VLOOKUP($BBJ$2,[2]ARBOR_REAJUSTE18!$A:$B,2,0),0))),""))),4)</f>
        <v>#VALUE!</v>
      </c>
      <c r="BBS6" s="44" t="e">
        <f>ROUNDUP(IF(IFERROR(IF($BBJ6="","",IF($BBJ6=0,1,1-$BBJ6/HLOOKUP(BBS$3,[2]ARBOR_REAJUSTE18!$A:$AE,VLOOKUP($BBJ$2,[2]ARBOR_REAJUSTE18!$A:$B,2,0),0))),"")&lt;0.01%,0.01%,(IFERROR(IF($BBJ6="","",IF($BBJ6=0,1,1-$BBJ6/HLOOKUP(BBS$3,[2]ARBOR_REAJUSTE18!$A:$AE,VLOOKUP($BBJ$2,[2]ARBOR_REAJUSTE18!$A:$B,2,0),0))),""))),4)</f>
        <v>#VALUE!</v>
      </c>
      <c r="BBT6" s="44" t="e">
        <f>ROUNDUP(IF(IFERROR(IF($BBJ6="","",IF($BBJ6=0,1,1-$BBJ6/HLOOKUP(BBT$3,[2]ARBOR_REAJUSTE18!$A:$AE,VLOOKUP($BBJ$2,[2]ARBOR_REAJUSTE18!$A:$B,2,0),0))),"")&lt;0.01%,0.01%,(IFERROR(IF($BBJ6="","",IF($BBJ6=0,1,1-$BBJ6/HLOOKUP(BBT$3,[2]ARBOR_REAJUSTE18!$A:$AE,VLOOKUP($BBJ$2,[2]ARBOR_REAJUSTE18!$A:$B,2,0),0))),""))),4)</f>
        <v>#VALUE!</v>
      </c>
      <c r="BBU6" s="44" t="e">
        <f>ROUNDUP(IF(IFERROR(IF($BBJ6="","",IF($BBJ6=0,1,1-$BBJ6/HLOOKUP(BBU$3,[2]ARBOR_REAJUSTE18!$A:$AE,VLOOKUP($BBJ$2,[2]ARBOR_REAJUSTE18!$A:$B,2,0),0))),"")&lt;0.01%,0.01%,(IFERROR(IF($BBJ6="","",IF($BBJ6=0,1,1-$BBJ6/HLOOKUP(BBU$3,[2]ARBOR_REAJUSTE18!$A:$AE,VLOOKUP($BBJ$2,[2]ARBOR_REAJUSTE18!$A:$B,2,0),0))),""))),4)</f>
        <v>#VALUE!</v>
      </c>
      <c r="BBV6" s="44" t="e">
        <f>ROUNDUP(IF(IFERROR(IF($BBJ6="","",IF($BBJ6=0,1,1-$BBJ6/HLOOKUP(BBV$3,[2]ARBOR_REAJUSTE18!$A:$AE,VLOOKUP($BBJ$2,[2]ARBOR_REAJUSTE18!$A:$B,2,0),0))),"")&lt;0.01%,0.01%,(IFERROR(IF($BBJ6="","",IF($BBJ6=0,1,1-$BBJ6/HLOOKUP(BBV$3,[2]ARBOR_REAJUSTE18!$A:$AE,VLOOKUP($BBJ$2,[2]ARBOR_REAJUSTE18!$A:$B,2,0),0))),""))),4)</f>
        <v>#VALUE!</v>
      </c>
      <c r="BBW6" s="44" t="e">
        <f>ROUNDUP(IF(IFERROR(IF($BBJ6="","",IF($BBJ6=0,1,1-$BBJ6/HLOOKUP(BBW$3,[2]ARBOR_REAJUSTE18!$A:$AE,VLOOKUP($BBJ$2,[2]ARBOR_REAJUSTE18!$A:$B,2,0),0))),"")&lt;0.01%,0.01%,(IFERROR(IF($BBJ6="","",IF($BBJ6=0,1,1-$BBJ6/HLOOKUP(BBW$3,[2]ARBOR_REAJUSTE18!$A:$AE,VLOOKUP($BBJ$2,[2]ARBOR_REAJUSTE18!$A:$B,2,0),0))),""))),4)</f>
        <v>#VALUE!</v>
      </c>
      <c r="BBX6" s="44" t="e">
        <f>ROUNDUP(IF(IFERROR(IF($BBJ6="","",IF($BBJ6=0,1,1-$BBJ6/HLOOKUP(BBX$3,[2]ARBOR_REAJUSTE18!$A:$AE,VLOOKUP($BBJ$2,[2]ARBOR_REAJUSTE18!$A:$B,2,0),0))),"")&lt;0.01%,0.01%,(IFERROR(IF($BBJ6="","",IF($BBJ6=0,1,1-$BBJ6/HLOOKUP(BBX$3,[2]ARBOR_REAJUSTE18!$A:$AE,VLOOKUP($BBJ$2,[2]ARBOR_REAJUSTE18!$A:$B,2,0),0))),""))),4)</f>
        <v>#VALUE!</v>
      </c>
      <c r="BBY6" s="44" t="e">
        <f>ROUNDUP(IF(IFERROR(IF($BBJ6="","",IF($BBJ6=0,1,1-$BBJ6/HLOOKUP(BBY$3,[2]ARBOR_REAJUSTE18!$A:$AE,VLOOKUP($BBJ$2,[2]ARBOR_REAJUSTE18!$A:$B,2,0),0))),"")&lt;0.01%,0.01%,(IFERROR(IF($BBJ6="","",IF($BBJ6=0,1,1-$BBJ6/HLOOKUP(BBY$3,[2]ARBOR_REAJUSTE18!$A:$AE,VLOOKUP($BBJ$2,[2]ARBOR_REAJUSTE18!$A:$B,2,0),0))),""))),4)</f>
        <v>#VALUE!</v>
      </c>
      <c r="BBZ6" s="44" t="e">
        <f>ROUNDUP(IF(IFERROR(IF($BBJ6="","",IF($BBJ6=0,1,1-$BBJ6/HLOOKUP(BBZ$3,[2]ARBOR_REAJUSTE18!$A:$AE,VLOOKUP($BBJ$2,[2]ARBOR_REAJUSTE18!$A:$B,2,0),0))),"")&lt;0.01%,0.01%,(IFERROR(IF($BBJ6="","",IF($BBJ6=0,1,1-$BBJ6/HLOOKUP(BBZ$3,[2]ARBOR_REAJUSTE18!$A:$AE,VLOOKUP($BBJ$2,[2]ARBOR_REAJUSTE18!$A:$B,2,0),0))),""))),4)</f>
        <v>#VALUE!</v>
      </c>
      <c r="BCA6" s="44" t="e">
        <f>ROUNDUP(IF(IFERROR(IF($BBJ6="","",IF($BBJ6=0,1,1-$BBJ6/HLOOKUP(BCA$3,[2]ARBOR_REAJUSTE18!$A:$AE,VLOOKUP($BBJ$2,[2]ARBOR_REAJUSTE18!$A:$B,2,0),0))),"")&lt;0.01%,0.01%,(IFERROR(IF($BBJ6="","",IF($BBJ6=0,1,1-$BBJ6/HLOOKUP(BCA$3,[2]ARBOR_REAJUSTE18!$A:$AE,VLOOKUP($BBJ$2,[2]ARBOR_REAJUSTE18!$A:$B,2,0),0))),""))),4)</f>
        <v>#VALUE!</v>
      </c>
      <c r="BCB6" s="44" t="e">
        <f>ROUNDUP(IF(IFERROR(IF($BBJ6="","",IF($BBJ6=0,1,1-$BBJ6/HLOOKUP(BCB$3,[2]ARBOR_REAJUSTE18!$A:$AE,VLOOKUP($BBJ$2,[2]ARBOR_REAJUSTE18!$A:$B,2,0),0))),"")&lt;0.01%,0.01%,(IFERROR(IF($BBJ6="","",IF($BBJ6=0,1,1-$BBJ6/HLOOKUP(BCB$3,[2]ARBOR_REAJUSTE18!$A:$AE,VLOOKUP($BBJ$2,[2]ARBOR_REAJUSTE18!$A:$B,2,0),0))),""))),4)</f>
        <v>#VALUE!</v>
      </c>
      <c r="BCC6" s="44" t="e">
        <f>ROUNDUP(IF(IFERROR(IF($BBJ6="","",IF($BBJ6=0,1,1-$BBJ6/HLOOKUP(BCC$3,[2]ARBOR_REAJUSTE18!$A:$AE,VLOOKUP($BBJ$2,[2]ARBOR_REAJUSTE18!$A:$B,2,0),0))),"")&lt;0.01%,0.01%,(IFERROR(IF($BBJ6="","",IF($BBJ6=0,1,1-$BBJ6/HLOOKUP(BCC$3,[2]ARBOR_REAJUSTE18!$A:$AE,VLOOKUP($BBJ$2,[2]ARBOR_REAJUSTE18!$A:$B,2,0),0))),""))),4)</f>
        <v>#VALUE!</v>
      </c>
      <c r="BCD6" s="44" t="e">
        <f>ROUNDUP(IF(IFERROR(IF($BBJ6="","",IF($BBJ6=0,1,1-$BBJ6/HLOOKUP(BCD$3,[2]ARBOR_REAJUSTE18!$A:$AE,VLOOKUP($BBJ$2,[2]ARBOR_REAJUSTE18!$A:$B,2,0),0))),"")&lt;0.01%,0.01%,(IFERROR(IF($BBJ6="","",IF($BBJ6=0,1,1-$BBJ6/HLOOKUP(BCD$3,[2]ARBOR_REAJUSTE18!$A:$AE,VLOOKUP($BBJ$2,[2]ARBOR_REAJUSTE18!$A:$B,2,0),0))),""))),4)</f>
        <v>#VALUE!</v>
      </c>
      <c r="BCE6" s="44" t="e">
        <f>ROUNDUP(IF(IFERROR(IF($BBJ6="","",IF($BBJ6=0,1,1-$BBJ6/HLOOKUP(BCE$3,[2]ARBOR_REAJUSTE18!$A:$AE,VLOOKUP($BBJ$2,[2]ARBOR_REAJUSTE18!$A:$B,2,0),0))),"")&lt;0.01%,0.01%,(IFERROR(IF($BBJ6="","",IF($BBJ6=0,1,1-$BBJ6/HLOOKUP(BCE$3,[2]ARBOR_REAJUSTE18!$A:$AE,VLOOKUP($BBJ$2,[2]ARBOR_REAJUSTE18!$A:$B,2,0),0))),""))),4)</f>
        <v>#VALUE!</v>
      </c>
      <c r="BCF6" s="44" t="e">
        <f>ROUNDUP(IF(IFERROR(IF($BBJ6="","",IF($BBJ6=0,1,1-$BBJ6/HLOOKUP(BCF$3,[2]ARBOR_REAJUSTE18!$A:$AE,VLOOKUP($BBJ$2,[2]ARBOR_REAJUSTE18!$A:$B,2,0),0))),"")&lt;0.01%,0.01%,(IFERROR(IF($BBJ6="","",IF($BBJ6=0,1,1-$BBJ6/HLOOKUP(BCF$3,[2]ARBOR_REAJUSTE18!$A:$AE,VLOOKUP($BBJ$2,[2]ARBOR_REAJUSTE18!$A:$B,2,0),0))),""))),4)</f>
        <v>#VALUE!</v>
      </c>
      <c r="BCG6" s="44" t="e">
        <f>ROUNDUP(IF(IFERROR(IF($BBJ6="","",IF($BBJ6=0,1,1-$BBJ6/HLOOKUP(BCG$3,[2]ARBOR_REAJUSTE18!$A:$AE,VLOOKUP($BBJ$2,[2]ARBOR_REAJUSTE18!$A:$B,2,0),0))),"")&lt;0.01%,0.01%,(IFERROR(IF($BBJ6="","",IF($BBJ6=0,1,1-$BBJ6/HLOOKUP(BCG$3,[2]ARBOR_REAJUSTE18!$A:$AE,VLOOKUP($BBJ$2,[2]ARBOR_REAJUSTE18!$A:$B,2,0),0))),""))),4)</f>
        <v>#VALUE!</v>
      </c>
      <c r="BCH6" s="44" t="e">
        <f>ROUNDUP(IF(IFERROR(IF($BBJ6="","",IF($BBJ6=0,1,1-$BBJ6/HLOOKUP(BCH$3,[2]ARBOR_REAJUSTE18!$A:$AE,VLOOKUP($BBJ$2,[2]ARBOR_REAJUSTE18!$A:$B,2,0),0))),"")&lt;0.01%,0.01%,(IFERROR(IF($BBJ6="","",IF($BBJ6=0,1,1-$BBJ6/HLOOKUP(BCH$3,[2]ARBOR_REAJUSTE18!$A:$AE,VLOOKUP($BBJ$2,[2]ARBOR_REAJUSTE18!$A:$B,2,0),0))),""))),4)</f>
        <v>#VALUE!</v>
      </c>
      <c r="BCI6" s="44" t="e">
        <f>ROUNDUP(IF(IFERROR(IF($BBJ6="","",IF($BBJ6=0,1,1-$BBJ6/HLOOKUP(BCI$3,[2]ARBOR_REAJUSTE18!$A:$AE,VLOOKUP($BBJ$2,[2]ARBOR_REAJUSTE18!$A:$B,2,0),0))),"")&lt;0.01%,0.01%,(IFERROR(IF($BBJ6="","",IF($BBJ6=0,1,1-$BBJ6/HLOOKUP(BCI$3,[2]ARBOR_REAJUSTE18!$A:$AE,VLOOKUP($BBJ$2,[2]ARBOR_REAJUSTE18!$A:$B,2,0),0))),""))),4)</f>
        <v>#VALUE!</v>
      </c>
      <c r="BCJ6" s="44" t="e">
        <f>ROUNDUP(IF(IFERROR(IF($BBJ6="","",IF($BBJ6=0,1,1-$BBJ6/HLOOKUP(BCJ$3,[2]ARBOR_REAJUSTE18!$A:$AE,VLOOKUP($BBJ$2,[2]ARBOR_REAJUSTE18!$A:$B,2,0),0))),"")&lt;0.01%,0.01%,(IFERROR(IF($BBJ6="","",IF($BBJ6=0,1,1-$BBJ6/HLOOKUP(BCJ$3,[2]ARBOR_REAJUSTE18!$A:$AE,VLOOKUP($BBJ$2,[2]ARBOR_REAJUSTE18!$A:$B,2,0),0))),""))),4)</f>
        <v>#VALUE!</v>
      </c>
      <c r="BCK6" s="44" t="e">
        <f>ROUNDUP(IF(IFERROR(IF($BBJ6="","",IF($BBJ6=0,1,1-$BBJ6/HLOOKUP(BCK$3,[2]ARBOR_REAJUSTE18!$A:$AE,VLOOKUP($BBJ$2,[2]ARBOR_REAJUSTE18!$A:$B,2,0),0))),"")&lt;0.01%,0.01%,(IFERROR(IF($BBJ6="","",IF($BBJ6=0,1,1-$BBJ6/HLOOKUP(BCK$3,[2]ARBOR_REAJUSTE18!$A:$AE,VLOOKUP($BBJ$2,[2]ARBOR_REAJUSTE18!$A:$B,2,0),0))),""))),4)</f>
        <v>#VALUE!</v>
      </c>
      <c r="BCL6" s="44" t="e">
        <f>ROUNDUP(IF(IFERROR(IF($BBJ6="","",IF($BBJ6=0,1,1-$BBJ6/HLOOKUP(BCL$3,[2]ARBOR_REAJUSTE18!$A:$AE,VLOOKUP($BBJ$2,[2]ARBOR_REAJUSTE18!$A:$B,2,0),0))),"")&lt;0.01%,0.01%,(IFERROR(IF($BBJ6="","",IF($BBJ6=0,1,1-$BBJ6/HLOOKUP(BCL$3,[2]ARBOR_REAJUSTE18!$A:$AE,VLOOKUP($BBJ$2,[2]ARBOR_REAJUSTE18!$A:$B,2,0),0))),""))),4)</f>
        <v>#VALUE!</v>
      </c>
      <c r="BCM6" s="56"/>
      <c r="BCN6" s="64"/>
      <c r="BCO6" s="44" t="e">
        <f>ROUNDUP(IF(IFERROR(IF($BCM6="","",IF($BCM6=0,1,1-$BCM6/HLOOKUP(BCO$3,[2]ARBOR_REAJUSTE18!$A:$AE,VLOOKUP($BCM$2,[2]ARBOR_REAJUSTE18!$A:$B,2,0),0))),"")&lt;0.01%,0.01%,(IFERROR(IF($BCM6="","",IF($BCM6=0,1,1-$BCM6/HLOOKUP(BCO$3,[2]ARBOR_REAJUSTE18!$A:$AE,VLOOKUP($BCM$2,[2]ARBOR_REAJUSTE18!$A:$B,2,0),0))),""))),4)</f>
        <v>#VALUE!</v>
      </c>
      <c r="BCP6" s="44" t="e">
        <f>ROUNDUP(IF(IFERROR(IF($BCM6="","",IF($BCM6=0,1,1-$BCM6/HLOOKUP(BCP$3,[2]ARBOR_REAJUSTE18!$A:$AE,VLOOKUP($BCM$2,[2]ARBOR_REAJUSTE18!$A:$B,2,0),0))),"")&lt;0.01%,0.01%,(IFERROR(IF($BCM6="","",IF($BCM6=0,1,1-$BCM6/HLOOKUP(BCP$3,[2]ARBOR_REAJUSTE18!$A:$AE,VLOOKUP($BCM$2,[2]ARBOR_REAJUSTE18!$A:$B,2,0),0))),""))),4)</f>
        <v>#VALUE!</v>
      </c>
      <c r="BCQ6" s="44" t="e">
        <f>ROUNDUP(IF(IFERROR(IF($BCM6="","",IF($BCM6=0,1,1-$BCM6/HLOOKUP(BCQ$3,[2]ARBOR_REAJUSTE18!$A:$AE,VLOOKUP($BCM$2,[2]ARBOR_REAJUSTE18!$A:$B,2,0),0))),"")&lt;0.01%,0.01%,(IFERROR(IF($BCM6="","",IF($BCM6=0,1,1-$BCM6/HLOOKUP(BCQ$3,[2]ARBOR_REAJUSTE18!$A:$AE,VLOOKUP($BCM$2,[2]ARBOR_REAJUSTE18!$A:$B,2,0),0))),""))),4)</f>
        <v>#VALUE!</v>
      </c>
      <c r="BCR6" s="44" t="e">
        <f>ROUNDUP(IF(IFERROR(IF($BCM6="","",IF($BCM6=0,1,1-$BCM6/HLOOKUP(BCR$3,[2]ARBOR_REAJUSTE18!$A:$AE,VLOOKUP($BCM$2,[2]ARBOR_REAJUSTE18!$A:$B,2,0),0))),"")&lt;0.01%,0.01%,(IFERROR(IF($BCM6="","",IF($BCM6=0,1,1-$BCM6/HLOOKUP(BCR$3,[2]ARBOR_REAJUSTE18!$A:$AE,VLOOKUP($BCM$2,[2]ARBOR_REAJUSTE18!$A:$B,2,0),0))),""))),4)</f>
        <v>#VALUE!</v>
      </c>
      <c r="BCS6" s="44" t="e">
        <f>ROUNDUP(IF(IFERROR(IF($BCM6="","",IF($BCM6=0,1,1-$BCM6/HLOOKUP(BCS$3,[2]ARBOR_REAJUSTE18!$A:$AE,VLOOKUP($BCM$2,[2]ARBOR_REAJUSTE18!$A:$B,2,0),0))),"")&lt;0.01%,0.01%,(IFERROR(IF($BCM6="","",IF($BCM6=0,1,1-$BCM6/HLOOKUP(BCS$3,[2]ARBOR_REAJUSTE18!$A:$AE,VLOOKUP($BCM$2,[2]ARBOR_REAJUSTE18!$A:$B,2,0),0))),""))),4)</f>
        <v>#VALUE!</v>
      </c>
      <c r="BCT6" s="44" t="e">
        <f>ROUNDUP(IF(IFERROR(IF($BCM6="","",IF($BCM6=0,1,1-$BCM6/HLOOKUP(BCT$3,[2]ARBOR_REAJUSTE18!$A:$AE,VLOOKUP($BCM$2,[2]ARBOR_REAJUSTE18!$A:$B,2,0),0))),"")&lt;0.01%,0.01%,(IFERROR(IF($BCM6="","",IF($BCM6=0,1,1-$BCM6/HLOOKUP(BCT$3,[2]ARBOR_REAJUSTE18!$A:$AE,VLOOKUP($BCM$2,[2]ARBOR_REAJUSTE18!$A:$B,2,0),0))),""))),4)</f>
        <v>#VALUE!</v>
      </c>
      <c r="BCU6" s="44" t="e">
        <f>ROUNDUP(IF(IFERROR(IF($BCM6="","",IF($BCM6=0,1,1-$BCM6/HLOOKUP(BCU$3,[2]ARBOR_REAJUSTE18!$A:$AE,VLOOKUP($BCM$2,[2]ARBOR_REAJUSTE18!$A:$B,2,0),0))),"")&lt;0.01%,0.01%,(IFERROR(IF($BCM6="","",IF($BCM6=0,1,1-$BCM6/HLOOKUP(BCU$3,[2]ARBOR_REAJUSTE18!$A:$AE,VLOOKUP($BCM$2,[2]ARBOR_REAJUSTE18!$A:$B,2,0),0))),""))),4)</f>
        <v>#VALUE!</v>
      </c>
      <c r="BCV6" s="44" t="e">
        <f>ROUNDUP(IF(IFERROR(IF($BCM6="","",IF($BCM6=0,1,1-$BCM6/HLOOKUP(BCV$3,[2]ARBOR_REAJUSTE18!$A:$AE,VLOOKUP($BCM$2,[2]ARBOR_REAJUSTE18!$A:$B,2,0),0))),"")&lt;0.01%,0.01%,(IFERROR(IF($BCM6="","",IF($BCM6=0,1,1-$BCM6/HLOOKUP(BCV$3,[2]ARBOR_REAJUSTE18!$A:$AE,VLOOKUP($BCM$2,[2]ARBOR_REAJUSTE18!$A:$B,2,0),0))),""))),4)</f>
        <v>#VALUE!</v>
      </c>
      <c r="BCW6" s="44" t="e">
        <f>ROUNDUP(IF(IFERROR(IF($BCM6="","",IF($BCM6=0,1,1-$BCM6/HLOOKUP(BCW$3,[2]ARBOR_REAJUSTE18!$A:$AE,VLOOKUP($BCM$2,[2]ARBOR_REAJUSTE18!$A:$B,2,0),0))),"")&lt;0.01%,0.01%,(IFERROR(IF($BCM6="","",IF($BCM6=0,1,1-$BCM6/HLOOKUP(BCW$3,[2]ARBOR_REAJUSTE18!$A:$AE,VLOOKUP($BCM$2,[2]ARBOR_REAJUSTE18!$A:$B,2,0),0))),""))),4)</f>
        <v>#VALUE!</v>
      </c>
      <c r="BCX6" s="44" t="e">
        <f>ROUNDUP(IF(IFERROR(IF($BCM6="","",IF($BCM6=0,1,1-$BCM6/HLOOKUP(BCX$3,[2]ARBOR_REAJUSTE18!$A:$AE,VLOOKUP($BCM$2,[2]ARBOR_REAJUSTE18!$A:$B,2,0),0))),"")&lt;0.01%,0.01%,(IFERROR(IF($BCM6="","",IF($BCM6=0,1,1-$BCM6/HLOOKUP(BCX$3,[2]ARBOR_REAJUSTE18!$A:$AE,VLOOKUP($BCM$2,[2]ARBOR_REAJUSTE18!$A:$B,2,0),0))),""))),4)</f>
        <v>#VALUE!</v>
      </c>
      <c r="BCY6" s="44" t="e">
        <f>ROUNDUP(IF(IFERROR(IF($BCM6="","",IF($BCM6=0,1,1-$BCM6/HLOOKUP(BCY$3,[2]ARBOR_REAJUSTE18!$A:$AE,VLOOKUP($BCM$2,[2]ARBOR_REAJUSTE18!$A:$B,2,0),0))),"")&lt;0.01%,0.01%,(IFERROR(IF($BCM6="","",IF($BCM6=0,1,1-$BCM6/HLOOKUP(BCY$3,[2]ARBOR_REAJUSTE18!$A:$AE,VLOOKUP($BCM$2,[2]ARBOR_REAJUSTE18!$A:$B,2,0),0))),""))),4)</f>
        <v>#VALUE!</v>
      </c>
      <c r="BCZ6" s="44" t="e">
        <f>ROUNDUP(IF(IFERROR(IF($BCM6="","",IF($BCM6=0,1,1-$BCM6/HLOOKUP(BCZ$3,[2]ARBOR_REAJUSTE18!$A:$AE,VLOOKUP($BCM$2,[2]ARBOR_REAJUSTE18!$A:$B,2,0),0))),"")&lt;0.01%,0.01%,(IFERROR(IF($BCM6="","",IF($BCM6=0,1,1-$BCM6/HLOOKUP(BCZ$3,[2]ARBOR_REAJUSTE18!$A:$AE,VLOOKUP($BCM$2,[2]ARBOR_REAJUSTE18!$A:$B,2,0),0))),""))),4)</f>
        <v>#VALUE!</v>
      </c>
      <c r="BDA6" s="44" t="e">
        <f>ROUNDUP(IF(IFERROR(IF($BCM6="","",IF($BCM6=0,1,1-$BCM6/HLOOKUP(BDA$3,[2]ARBOR_REAJUSTE18!$A:$AE,VLOOKUP($BCM$2,[2]ARBOR_REAJUSTE18!$A:$B,2,0),0))),"")&lt;0.01%,0.01%,(IFERROR(IF($BCM6="","",IF($BCM6=0,1,1-$BCM6/HLOOKUP(BDA$3,[2]ARBOR_REAJUSTE18!$A:$AE,VLOOKUP($BCM$2,[2]ARBOR_REAJUSTE18!$A:$B,2,0),0))),""))),4)</f>
        <v>#VALUE!</v>
      </c>
      <c r="BDB6" s="44" t="e">
        <f>ROUNDUP(IF(IFERROR(IF($BCM6="","",IF($BCM6=0,1,1-$BCM6/HLOOKUP(BDB$3,[2]ARBOR_REAJUSTE18!$A:$AE,VLOOKUP($BCM$2,[2]ARBOR_REAJUSTE18!$A:$B,2,0),0))),"")&lt;0.01%,0.01%,(IFERROR(IF($BCM6="","",IF($BCM6=0,1,1-$BCM6/HLOOKUP(BDB$3,[2]ARBOR_REAJUSTE18!$A:$AE,VLOOKUP($BCM$2,[2]ARBOR_REAJUSTE18!$A:$B,2,0),0))),""))),4)</f>
        <v>#VALUE!</v>
      </c>
      <c r="BDC6" s="44" t="e">
        <f>ROUNDUP(IF(IFERROR(IF($BCM6="","",IF($BCM6=0,1,1-$BCM6/HLOOKUP(BDC$3,[2]ARBOR_REAJUSTE18!$A:$AE,VLOOKUP($BCM$2,[2]ARBOR_REAJUSTE18!$A:$B,2,0),0))),"")&lt;0.01%,0.01%,(IFERROR(IF($BCM6="","",IF($BCM6=0,1,1-$BCM6/HLOOKUP(BDC$3,[2]ARBOR_REAJUSTE18!$A:$AE,VLOOKUP($BCM$2,[2]ARBOR_REAJUSTE18!$A:$B,2,0),0))),""))),4)</f>
        <v>#VALUE!</v>
      </c>
      <c r="BDD6" s="44" t="e">
        <f>ROUNDUP(IF(IFERROR(IF($BCM6="","",IF($BCM6=0,1,1-$BCM6/HLOOKUP(BDD$3,[2]ARBOR_REAJUSTE18!$A:$AE,VLOOKUP($BCM$2,[2]ARBOR_REAJUSTE18!$A:$B,2,0),0))),"")&lt;0.01%,0.01%,(IFERROR(IF($BCM6="","",IF($BCM6=0,1,1-$BCM6/HLOOKUP(BDD$3,[2]ARBOR_REAJUSTE18!$A:$AE,VLOOKUP($BCM$2,[2]ARBOR_REAJUSTE18!$A:$B,2,0),0))),""))),4)</f>
        <v>#VALUE!</v>
      </c>
      <c r="BDE6" s="44" t="e">
        <f>ROUNDUP(IF(IFERROR(IF($BCM6="","",IF($BCM6=0,1,1-$BCM6/HLOOKUP(BDE$3,[2]ARBOR_REAJUSTE18!$A:$AE,VLOOKUP($BCM$2,[2]ARBOR_REAJUSTE18!$A:$B,2,0),0))),"")&lt;0.01%,0.01%,(IFERROR(IF($BCM6="","",IF($BCM6=0,1,1-$BCM6/HLOOKUP(BDE$3,[2]ARBOR_REAJUSTE18!$A:$AE,VLOOKUP($BCM$2,[2]ARBOR_REAJUSTE18!$A:$B,2,0),0))),""))),4)</f>
        <v>#VALUE!</v>
      </c>
      <c r="BDF6" s="44" t="e">
        <f>ROUNDUP(IF(IFERROR(IF($BCM6="","",IF($BCM6=0,1,1-$BCM6/HLOOKUP(BDF$3,[2]ARBOR_REAJUSTE18!$A:$AE,VLOOKUP($BCM$2,[2]ARBOR_REAJUSTE18!$A:$B,2,0),0))),"")&lt;0.01%,0.01%,(IFERROR(IF($BCM6="","",IF($BCM6=0,1,1-$BCM6/HLOOKUP(BDF$3,[2]ARBOR_REAJUSTE18!$A:$AE,VLOOKUP($BCM$2,[2]ARBOR_REAJUSTE18!$A:$B,2,0),0))),""))),4)</f>
        <v>#VALUE!</v>
      </c>
      <c r="BDG6" s="44" t="e">
        <f>ROUNDUP(IF(IFERROR(IF($BCM6="","",IF($BCM6=0,1,1-$BCM6/HLOOKUP(BDG$3,[2]ARBOR_REAJUSTE18!$A:$AE,VLOOKUP($BCM$2,[2]ARBOR_REAJUSTE18!$A:$B,2,0),0))),"")&lt;0.01%,0.01%,(IFERROR(IF($BCM6="","",IF($BCM6=0,1,1-$BCM6/HLOOKUP(BDG$3,[2]ARBOR_REAJUSTE18!$A:$AE,VLOOKUP($BCM$2,[2]ARBOR_REAJUSTE18!$A:$B,2,0),0))),""))),4)</f>
        <v>#VALUE!</v>
      </c>
      <c r="BDH6" s="44" t="e">
        <f>ROUNDUP(IF(IFERROR(IF($BCM6="","",IF($BCM6=0,1,1-$BCM6/HLOOKUP(BDH$3,[2]ARBOR_REAJUSTE18!$A:$AE,VLOOKUP($BCM$2,[2]ARBOR_REAJUSTE18!$A:$B,2,0),0))),"")&lt;0.01%,0.01%,(IFERROR(IF($BCM6="","",IF($BCM6=0,1,1-$BCM6/HLOOKUP(BDH$3,[2]ARBOR_REAJUSTE18!$A:$AE,VLOOKUP($BCM$2,[2]ARBOR_REAJUSTE18!$A:$B,2,0),0))),""))),4)</f>
        <v>#VALUE!</v>
      </c>
      <c r="BDI6" s="44" t="e">
        <f>ROUNDUP(IF(IFERROR(IF($BCM6="","",IF($BCM6=0,1,1-$BCM6/HLOOKUP(BDI$3,[2]ARBOR_REAJUSTE18!$A:$AE,VLOOKUP($BCM$2,[2]ARBOR_REAJUSTE18!$A:$B,2,0),0))),"")&lt;0.01%,0.01%,(IFERROR(IF($BCM6="","",IF($BCM6=0,1,1-$BCM6/HLOOKUP(BDI$3,[2]ARBOR_REAJUSTE18!$A:$AE,VLOOKUP($BCM$2,[2]ARBOR_REAJUSTE18!$A:$B,2,0),0))),""))),4)</f>
        <v>#VALUE!</v>
      </c>
      <c r="BDJ6" s="44" t="e">
        <f>ROUNDUP(IF(IFERROR(IF($BCM6="","",IF($BCM6=0,1,1-$BCM6/HLOOKUP(BDJ$3,[2]ARBOR_REAJUSTE18!$A:$AE,VLOOKUP($BCM$2,[2]ARBOR_REAJUSTE18!$A:$B,2,0),0))),"")&lt;0.01%,0.01%,(IFERROR(IF($BCM6="","",IF($BCM6=0,1,1-$BCM6/HLOOKUP(BDJ$3,[2]ARBOR_REAJUSTE18!$A:$AE,VLOOKUP($BCM$2,[2]ARBOR_REAJUSTE18!$A:$B,2,0),0))),""))),4)</f>
        <v>#VALUE!</v>
      </c>
      <c r="BDK6" s="44" t="e">
        <f>ROUNDUP(IF(IFERROR(IF($BCM6="","",IF($BCM6=0,1,1-$BCM6/HLOOKUP(BDK$3,[2]ARBOR_REAJUSTE18!$A:$AE,VLOOKUP($BCM$2,[2]ARBOR_REAJUSTE18!$A:$B,2,0),0))),"")&lt;0.01%,0.01%,(IFERROR(IF($BCM6="","",IF($BCM6=0,1,1-$BCM6/HLOOKUP(BDK$3,[2]ARBOR_REAJUSTE18!$A:$AE,VLOOKUP($BCM$2,[2]ARBOR_REAJUSTE18!$A:$B,2,0),0))),""))),4)</f>
        <v>#VALUE!</v>
      </c>
      <c r="BDL6" s="44" t="e">
        <f>ROUNDUP(IF(IFERROR(IF($BCM6="","",IF($BCM6=0,1,1-$BCM6/HLOOKUP(BDL$3,[2]ARBOR_REAJUSTE18!$A:$AE,VLOOKUP($BCM$2,[2]ARBOR_REAJUSTE18!$A:$B,2,0),0))),"")&lt;0.01%,0.01%,(IFERROR(IF($BCM6="","",IF($BCM6=0,1,1-$BCM6/HLOOKUP(BDL$3,[2]ARBOR_REAJUSTE18!$A:$AE,VLOOKUP($BCM$2,[2]ARBOR_REAJUSTE18!$A:$B,2,0),0))),""))),4)</f>
        <v>#VALUE!</v>
      </c>
      <c r="BDM6" s="44" t="e">
        <f>ROUNDUP(IF(IFERROR(IF($BCM6="","",IF($BCM6=0,1,1-$BCM6/HLOOKUP(BDM$3,[2]ARBOR_REAJUSTE18!$A:$AE,VLOOKUP($BCM$2,[2]ARBOR_REAJUSTE18!$A:$B,2,0),0))),"")&lt;0.01%,0.01%,(IFERROR(IF($BCM6="","",IF($BCM6=0,1,1-$BCM6/HLOOKUP(BDM$3,[2]ARBOR_REAJUSTE18!$A:$AE,VLOOKUP($BCM$2,[2]ARBOR_REAJUSTE18!$A:$B,2,0),0))),""))),4)</f>
        <v>#VALUE!</v>
      </c>
      <c r="BDN6" s="44" t="e">
        <f>ROUNDUP(IF(IFERROR(IF($BCM6="","",IF($BCM6=0,1,1-$BCM6/HLOOKUP(BDN$3,[2]ARBOR_REAJUSTE18!$A:$AE,VLOOKUP($BCM$2,[2]ARBOR_REAJUSTE18!$A:$B,2,0),0))),"")&lt;0.01%,0.01%,(IFERROR(IF($BCM6="","",IF($BCM6=0,1,1-$BCM6/HLOOKUP(BDN$3,[2]ARBOR_REAJUSTE18!$A:$AE,VLOOKUP($BCM$2,[2]ARBOR_REAJUSTE18!$A:$B,2,0),0))),""))),4)</f>
        <v>#VALUE!</v>
      </c>
      <c r="BDO6" s="44" t="e">
        <f>ROUNDUP(IF(IFERROR(IF($BCM6="","",IF($BCM6=0,1,1-$BCM6/HLOOKUP(BDO$3,[2]ARBOR_REAJUSTE18!$A:$AE,VLOOKUP($BCM$2,[2]ARBOR_REAJUSTE18!$A:$B,2,0),0))),"")&lt;0.01%,0.01%,(IFERROR(IF($BCM6="","",IF($BCM6=0,1,1-$BCM6/HLOOKUP(BDO$3,[2]ARBOR_REAJUSTE18!$A:$AE,VLOOKUP($BCM$2,[2]ARBOR_REAJUSTE18!$A:$B,2,0),0))),""))),4)</f>
        <v>#VALUE!</v>
      </c>
      <c r="BDP6" s="56"/>
      <c r="BDQ6" s="64"/>
      <c r="BDR6" s="44" t="e">
        <f>ROUNDUP(IF(IFERROR(IF($BDP6="","",IF($BDP6=0,1,1-$BDP6/HLOOKUP(BDR$3,[2]ARBOR_REAJUSTE18!$A:$AE,VLOOKUP($BDP$2,[2]ARBOR_REAJUSTE18!$A:$B,2,0),0))),"")&lt;0.01%,0.01%,(IFERROR(IF($BDP6="","",IF($BDP6=0,1,1-$BDP6/HLOOKUP(BDR$3,[2]ARBOR_REAJUSTE18!$A:$AE,VLOOKUP($BDP$2,[2]ARBOR_REAJUSTE18!$A:$B,2,0),0))),""))),4)</f>
        <v>#VALUE!</v>
      </c>
      <c r="BDS6" s="44" t="e">
        <f>ROUNDUP(IF(IFERROR(IF($BDP6="","",IF($BDP6=0,1,1-$BDP6/HLOOKUP(BDS$3,[2]ARBOR_REAJUSTE18!$A:$AE,VLOOKUP($BDP$2,[2]ARBOR_REAJUSTE18!$A:$B,2,0),0))),"")&lt;0.01%,0.01%,(IFERROR(IF($BDP6="","",IF($BDP6=0,1,1-$BDP6/HLOOKUP(BDS$3,[2]ARBOR_REAJUSTE18!$A:$AE,VLOOKUP($BDP$2,[2]ARBOR_REAJUSTE18!$A:$B,2,0),0))),""))),4)</f>
        <v>#VALUE!</v>
      </c>
      <c r="BDT6" s="44" t="e">
        <f>ROUNDUP(IF(IFERROR(IF($BDP6="","",IF($BDP6=0,1,1-$BDP6/HLOOKUP(BDT$3,[2]ARBOR_REAJUSTE18!$A:$AE,VLOOKUP($BDP$2,[2]ARBOR_REAJUSTE18!$A:$B,2,0),0))),"")&lt;0.01%,0.01%,(IFERROR(IF($BDP6="","",IF($BDP6=0,1,1-$BDP6/HLOOKUP(BDT$3,[2]ARBOR_REAJUSTE18!$A:$AE,VLOOKUP($BDP$2,[2]ARBOR_REAJUSTE18!$A:$B,2,0),0))),""))),4)</f>
        <v>#VALUE!</v>
      </c>
      <c r="BDU6" s="44" t="e">
        <f>ROUNDUP(IF(IFERROR(IF($BDP6="","",IF($BDP6=0,1,1-$BDP6/HLOOKUP(BDU$3,[2]ARBOR_REAJUSTE18!$A:$AE,VLOOKUP($BDP$2,[2]ARBOR_REAJUSTE18!$A:$B,2,0),0))),"")&lt;0.01%,0.01%,(IFERROR(IF($BDP6="","",IF($BDP6=0,1,1-$BDP6/HLOOKUP(BDU$3,[2]ARBOR_REAJUSTE18!$A:$AE,VLOOKUP($BDP$2,[2]ARBOR_REAJUSTE18!$A:$B,2,0),0))),""))),4)</f>
        <v>#VALUE!</v>
      </c>
      <c r="BDV6" s="44" t="e">
        <f>ROUNDUP(IF(IFERROR(IF($BDP6="","",IF($BDP6=0,1,1-$BDP6/HLOOKUP(BDV$3,[2]ARBOR_REAJUSTE18!$A:$AE,VLOOKUP($BDP$2,[2]ARBOR_REAJUSTE18!$A:$B,2,0),0))),"")&lt;0.01%,0.01%,(IFERROR(IF($BDP6="","",IF($BDP6=0,1,1-$BDP6/HLOOKUP(BDV$3,[2]ARBOR_REAJUSTE18!$A:$AE,VLOOKUP($BDP$2,[2]ARBOR_REAJUSTE18!$A:$B,2,0),0))),""))),4)</f>
        <v>#VALUE!</v>
      </c>
      <c r="BDW6" s="44" t="e">
        <f>ROUNDUP(IF(IFERROR(IF($BDP6="","",IF($BDP6=0,1,1-$BDP6/HLOOKUP(BDW$3,[2]ARBOR_REAJUSTE18!$A:$AE,VLOOKUP($BDP$2,[2]ARBOR_REAJUSTE18!$A:$B,2,0),0))),"")&lt;0.01%,0.01%,(IFERROR(IF($BDP6="","",IF($BDP6=0,1,1-$BDP6/HLOOKUP(BDW$3,[2]ARBOR_REAJUSTE18!$A:$AE,VLOOKUP($BDP$2,[2]ARBOR_REAJUSTE18!$A:$B,2,0),0))),""))),4)</f>
        <v>#VALUE!</v>
      </c>
      <c r="BDX6" s="44" t="e">
        <f>ROUNDUP(IF(IFERROR(IF($BDP6="","",IF($BDP6=0,1,1-$BDP6/HLOOKUP(BDX$3,[2]ARBOR_REAJUSTE18!$A:$AE,VLOOKUP($BDP$2,[2]ARBOR_REAJUSTE18!$A:$B,2,0),0))),"")&lt;0.01%,0.01%,(IFERROR(IF($BDP6="","",IF($BDP6=0,1,1-$BDP6/HLOOKUP(BDX$3,[2]ARBOR_REAJUSTE18!$A:$AE,VLOOKUP($BDP$2,[2]ARBOR_REAJUSTE18!$A:$B,2,0),0))),""))),4)</f>
        <v>#VALUE!</v>
      </c>
      <c r="BDY6" s="44" t="e">
        <f>ROUNDUP(IF(IFERROR(IF($BDP6="","",IF($BDP6=0,1,1-$BDP6/HLOOKUP(BDY$3,[2]ARBOR_REAJUSTE18!$A:$AE,VLOOKUP($BDP$2,[2]ARBOR_REAJUSTE18!$A:$B,2,0),0))),"")&lt;0.01%,0.01%,(IFERROR(IF($BDP6="","",IF($BDP6=0,1,1-$BDP6/HLOOKUP(BDY$3,[2]ARBOR_REAJUSTE18!$A:$AE,VLOOKUP($BDP$2,[2]ARBOR_REAJUSTE18!$A:$B,2,0),0))),""))),4)</f>
        <v>#VALUE!</v>
      </c>
      <c r="BDZ6" s="44" t="e">
        <f>ROUNDUP(IF(IFERROR(IF($BDP6="","",IF($BDP6=0,1,1-$BDP6/HLOOKUP(BDZ$3,[2]ARBOR_REAJUSTE18!$A:$AE,VLOOKUP($BDP$2,[2]ARBOR_REAJUSTE18!$A:$B,2,0),0))),"")&lt;0.01%,0.01%,(IFERROR(IF($BDP6="","",IF($BDP6=0,1,1-$BDP6/HLOOKUP(BDZ$3,[2]ARBOR_REAJUSTE18!$A:$AE,VLOOKUP($BDP$2,[2]ARBOR_REAJUSTE18!$A:$B,2,0),0))),""))),4)</f>
        <v>#VALUE!</v>
      </c>
      <c r="BEA6" s="44" t="e">
        <f>ROUNDUP(IF(IFERROR(IF($BDP6="","",IF($BDP6=0,1,1-$BDP6/HLOOKUP(BEA$3,[2]ARBOR_REAJUSTE18!$A:$AE,VLOOKUP($BDP$2,[2]ARBOR_REAJUSTE18!$A:$B,2,0),0))),"")&lt;0.01%,0.01%,(IFERROR(IF($BDP6="","",IF($BDP6=0,1,1-$BDP6/HLOOKUP(BEA$3,[2]ARBOR_REAJUSTE18!$A:$AE,VLOOKUP($BDP$2,[2]ARBOR_REAJUSTE18!$A:$B,2,0),0))),""))),4)</f>
        <v>#VALUE!</v>
      </c>
      <c r="BEB6" s="44" t="e">
        <f>ROUNDUP(IF(IFERROR(IF($BDP6="","",IF($BDP6=0,1,1-$BDP6/HLOOKUP(BEB$3,[2]ARBOR_REAJUSTE18!$A:$AE,VLOOKUP($BDP$2,[2]ARBOR_REAJUSTE18!$A:$B,2,0),0))),"")&lt;0.01%,0.01%,(IFERROR(IF($BDP6="","",IF($BDP6=0,1,1-$BDP6/HLOOKUP(BEB$3,[2]ARBOR_REAJUSTE18!$A:$AE,VLOOKUP($BDP$2,[2]ARBOR_REAJUSTE18!$A:$B,2,0),0))),""))),4)</f>
        <v>#VALUE!</v>
      </c>
      <c r="BEC6" s="44" t="e">
        <f>ROUNDUP(IF(IFERROR(IF($BDP6="","",IF($BDP6=0,1,1-$BDP6/HLOOKUP(BEC$3,[2]ARBOR_REAJUSTE18!$A:$AE,VLOOKUP($BDP$2,[2]ARBOR_REAJUSTE18!$A:$B,2,0),0))),"")&lt;0.01%,0.01%,(IFERROR(IF($BDP6="","",IF($BDP6=0,1,1-$BDP6/HLOOKUP(BEC$3,[2]ARBOR_REAJUSTE18!$A:$AE,VLOOKUP($BDP$2,[2]ARBOR_REAJUSTE18!$A:$B,2,0),0))),""))),4)</f>
        <v>#VALUE!</v>
      </c>
      <c r="BED6" s="44" t="e">
        <f>ROUNDUP(IF(IFERROR(IF($BDP6="","",IF($BDP6=0,1,1-$BDP6/HLOOKUP(BED$3,[2]ARBOR_REAJUSTE18!$A:$AE,VLOOKUP($BDP$2,[2]ARBOR_REAJUSTE18!$A:$B,2,0),0))),"")&lt;0.01%,0.01%,(IFERROR(IF($BDP6="","",IF($BDP6=0,1,1-$BDP6/HLOOKUP(BED$3,[2]ARBOR_REAJUSTE18!$A:$AE,VLOOKUP($BDP$2,[2]ARBOR_REAJUSTE18!$A:$B,2,0),0))),""))),4)</f>
        <v>#VALUE!</v>
      </c>
      <c r="BEE6" s="44" t="e">
        <f>ROUNDUP(IF(IFERROR(IF($BDP6="","",IF($BDP6=0,1,1-$BDP6/HLOOKUP(BEE$3,[2]ARBOR_REAJUSTE18!$A:$AE,VLOOKUP($BDP$2,[2]ARBOR_REAJUSTE18!$A:$B,2,0),0))),"")&lt;0.01%,0.01%,(IFERROR(IF($BDP6="","",IF($BDP6=0,1,1-$BDP6/HLOOKUP(BEE$3,[2]ARBOR_REAJUSTE18!$A:$AE,VLOOKUP($BDP$2,[2]ARBOR_REAJUSTE18!$A:$B,2,0),0))),""))),4)</f>
        <v>#VALUE!</v>
      </c>
      <c r="BEF6" s="44" t="e">
        <f>ROUNDUP(IF(IFERROR(IF($BDP6="","",IF($BDP6=0,1,1-$BDP6/HLOOKUP(BEF$3,[2]ARBOR_REAJUSTE18!$A:$AE,VLOOKUP($BDP$2,[2]ARBOR_REAJUSTE18!$A:$B,2,0),0))),"")&lt;0.01%,0.01%,(IFERROR(IF($BDP6="","",IF($BDP6=0,1,1-$BDP6/HLOOKUP(BEF$3,[2]ARBOR_REAJUSTE18!$A:$AE,VLOOKUP($BDP$2,[2]ARBOR_REAJUSTE18!$A:$B,2,0),0))),""))),4)</f>
        <v>#VALUE!</v>
      </c>
      <c r="BEG6" s="44" t="e">
        <f>ROUNDUP(IF(IFERROR(IF($BDP6="","",IF($BDP6=0,1,1-$BDP6/HLOOKUP(BEG$3,[2]ARBOR_REAJUSTE18!$A:$AE,VLOOKUP($BDP$2,[2]ARBOR_REAJUSTE18!$A:$B,2,0),0))),"")&lt;0.01%,0.01%,(IFERROR(IF($BDP6="","",IF($BDP6=0,1,1-$BDP6/HLOOKUP(BEG$3,[2]ARBOR_REAJUSTE18!$A:$AE,VLOOKUP($BDP$2,[2]ARBOR_REAJUSTE18!$A:$B,2,0),0))),""))),4)</f>
        <v>#VALUE!</v>
      </c>
      <c r="BEH6" s="44" t="e">
        <f>ROUNDUP(IF(IFERROR(IF($BDP6="","",IF($BDP6=0,1,1-$BDP6/HLOOKUP(BEH$3,[2]ARBOR_REAJUSTE18!$A:$AE,VLOOKUP($BDP$2,[2]ARBOR_REAJUSTE18!$A:$B,2,0),0))),"")&lt;0.01%,0.01%,(IFERROR(IF($BDP6="","",IF($BDP6=0,1,1-$BDP6/HLOOKUP(BEH$3,[2]ARBOR_REAJUSTE18!$A:$AE,VLOOKUP($BDP$2,[2]ARBOR_REAJUSTE18!$A:$B,2,0),0))),""))),4)</f>
        <v>#VALUE!</v>
      </c>
      <c r="BEI6" s="44" t="e">
        <f>ROUNDUP(IF(IFERROR(IF($BDP6="","",IF($BDP6=0,1,1-$BDP6/HLOOKUP(BEI$3,[2]ARBOR_REAJUSTE18!$A:$AE,VLOOKUP($BDP$2,[2]ARBOR_REAJUSTE18!$A:$B,2,0),0))),"")&lt;0.01%,0.01%,(IFERROR(IF($BDP6="","",IF($BDP6=0,1,1-$BDP6/HLOOKUP(BEI$3,[2]ARBOR_REAJUSTE18!$A:$AE,VLOOKUP($BDP$2,[2]ARBOR_REAJUSTE18!$A:$B,2,0),0))),""))),4)</f>
        <v>#VALUE!</v>
      </c>
      <c r="BEJ6" s="44" t="e">
        <f>ROUNDUP(IF(IFERROR(IF($BDP6="","",IF($BDP6=0,1,1-$BDP6/HLOOKUP(BEJ$3,[2]ARBOR_REAJUSTE18!$A:$AE,VLOOKUP($BDP$2,[2]ARBOR_REAJUSTE18!$A:$B,2,0),0))),"")&lt;0.01%,0.01%,(IFERROR(IF($BDP6="","",IF($BDP6=0,1,1-$BDP6/HLOOKUP(BEJ$3,[2]ARBOR_REAJUSTE18!$A:$AE,VLOOKUP($BDP$2,[2]ARBOR_REAJUSTE18!$A:$B,2,0),0))),""))),4)</f>
        <v>#VALUE!</v>
      </c>
      <c r="BEK6" s="44" t="e">
        <f>ROUNDUP(IF(IFERROR(IF($BDP6="","",IF($BDP6=0,1,1-$BDP6/HLOOKUP(BEK$3,[2]ARBOR_REAJUSTE18!$A:$AE,VLOOKUP($BDP$2,[2]ARBOR_REAJUSTE18!$A:$B,2,0),0))),"")&lt;0.01%,0.01%,(IFERROR(IF($BDP6="","",IF($BDP6=0,1,1-$BDP6/HLOOKUP(BEK$3,[2]ARBOR_REAJUSTE18!$A:$AE,VLOOKUP($BDP$2,[2]ARBOR_REAJUSTE18!$A:$B,2,0),0))),""))),4)</f>
        <v>#VALUE!</v>
      </c>
      <c r="BEL6" s="44" t="e">
        <f>ROUNDUP(IF(IFERROR(IF($BDP6="","",IF($BDP6=0,1,1-$BDP6/HLOOKUP(BEL$3,[2]ARBOR_REAJUSTE18!$A:$AE,VLOOKUP($BDP$2,[2]ARBOR_REAJUSTE18!$A:$B,2,0),0))),"")&lt;0.01%,0.01%,(IFERROR(IF($BDP6="","",IF($BDP6=0,1,1-$BDP6/HLOOKUP(BEL$3,[2]ARBOR_REAJUSTE18!$A:$AE,VLOOKUP($BDP$2,[2]ARBOR_REAJUSTE18!$A:$B,2,0),0))),""))),4)</f>
        <v>#VALUE!</v>
      </c>
      <c r="BEM6" s="44" t="e">
        <f>ROUNDUP(IF(IFERROR(IF($BDP6="","",IF($BDP6=0,1,1-$BDP6/HLOOKUP(BEM$3,[2]ARBOR_REAJUSTE18!$A:$AE,VLOOKUP($BDP$2,[2]ARBOR_REAJUSTE18!$A:$B,2,0),0))),"")&lt;0.01%,0.01%,(IFERROR(IF($BDP6="","",IF($BDP6=0,1,1-$BDP6/HLOOKUP(BEM$3,[2]ARBOR_REAJUSTE18!$A:$AE,VLOOKUP($BDP$2,[2]ARBOR_REAJUSTE18!$A:$B,2,0),0))),""))),4)</f>
        <v>#VALUE!</v>
      </c>
      <c r="BEN6" s="44" t="e">
        <f>ROUNDUP(IF(IFERROR(IF($BDP6="","",IF($BDP6=0,1,1-$BDP6/HLOOKUP(BEN$3,[2]ARBOR_REAJUSTE18!$A:$AE,VLOOKUP($BDP$2,[2]ARBOR_REAJUSTE18!$A:$B,2,0),0))),"")&lt;0.01%,0.01%,(IFERROR(IF($BDP6="","",IF($BDP6=0,1,1-$BDP6/HLOOKUP(BEN$3,[2]ARBOR_REAJUSTE18!$A:$AE,VLOOKUP($BDP$2,[2]ARBOR_REAJUSTE18!$A:$B,2,0),0))),""))),4)</f>
        <v>#VALUE!</v>
      </c>
      <c r="BEO6" s="44" t="e">
        <f>ROUNDUP(IF(IFERROR(IF($BDP6="","",IF($BDP6=0,1,1-$BDP6/HLOOKUP(BEO$3,[2]ARBOR_REAJUSTE18!$A:$AE,VLOOKUP($BDP$2,[2]ARBOR_REAJUSTE18!$A:$B,2,0),0))),"")&lt;0.01%,0.01%,(IFERROR(IF($BDP6="","",IF($BDP6=0,1,1-$BDP6/HLOOKUP(BEO$3,[2]ARBOR_REAJUSTE18!$A:$AE,VLOOKUP($BDP$2,[2]ARBOR_REAJUSTE18!$A:$B,2,0),0))),""))),4)</f>
        <v>#VALUE!</v>
      </c>
      <c r="BEP6" s="44" t="e">
        <f>ROUNDUP(IF(IFERROR(IF($BDP6="","",IF($BDP6=0,1,1-$BDP6/HLOOKUP(BEP$3,[2]ARBOR_REAJUSTE18!$A:$AE,VLOOKUP($BDP$2,[2]ARBOR_REAJUSTE18!$A:$B,2,0),0))),"")&lt;0.01%,0.01%,(IFERROR(IF($BDP6="","",IF($BDP6=0,1,1-$BDP6/HLOOKUP(BEP$3,[2]ARBOR_REAJUSTE18!$A:$AE,VLOOKUP($BDP$2,[2]ARBOR_REAJUSTE18!$A:$B,2,0),0))),""))),4)</f>
        <v>#VALUE!</v>
      </c>
      <c r="BEQ6" s="44" t="e">
        <f>ROUNDUP(IF(IFERROR(IF($BDP6="","",IF($BDP6=0,1,1-$BDP6/HLOOKUP(BEQ$3,[2]ARBOR_REAJUSTE18!$A:$AE,VLOOKUP($BDP$2,[2]ARBOR_REAJUSTE18!$A:$B,2,0),0))),"")&lt;0.01%,0.01%,(IFERROR(IF($BDP6="","",IF($BDP6=0,1,1-$BDP6/HLOOKUP(BEQ$3,[2]ARBOR_REAJUSTE18!$A:$AE,VLOOKUP($BDP$2,[2]ARBOR_REAJUSTE18!$A:$B,2,0),0))),""))),4)</f>
        <v>#VALUE!</v>
      </c>
      <c r="BER6" s="44" t="e">
        <f>ROUNDUP(IF(IFERROR(IF($BDP6="","",IF($BDP6=0,1,1-$BDP6/HLOOKUP(BER$3,[2]ARBOR_REAJUSTE18!$A:$AE,VLOOKUP($BDP$2,[2]ARBOR_REAJUSTE18!$A:$B,2,0),0))),"")&lt;0.01%,0.01%,(IFERROR(IF($BDP6="","",IF($BDP6=0,1,1-$BDP6/HLOOKUP(BER$3,[2]ARBOR_REAJUSTE18!$A:$AE,VLOOKUP($BDP$2,[2]ARBOR_REAJUSTE18!$A:$B,2,0),0))),""))),4)</f>
        <v>#VALUE!</v>
      </c>
      <c r="BES6" s="56"/>
      <c r="BET6" s="64"/>
      <c r="BEU6" s="44" t="e">
        <f>ROUNDUP(IF(IFERROR(IF($BES6="","",IF($BES6=0,1,1-$BES6/HLOOKUP(BEU$3,[2]ARBOR_REAJUSTE18!$A:$AE,VLOOKUP($BES$2,[2]ARBOR_REAJUSTE18!$A:$B,2,0),0))),"")&lt;0.01%,0.01%,(IFERROR(IF($BES6="","",IF($BES6=0,1,1-$BES6/HLOOKUP(BEU$3,[2]ARBOR_REAJUSTE18!$A:$AE,VLOOKUP($BES$2,[2]ARBOR_REAJUSTE18!$A:$B,2,0),0))),""))),4)</f>
        <v>#VALUE!</v>
      </c>
      <c r="BEV6" s="44" t="e">
        <f>ROUNDUP(IF(IFERROR(IF($BES6="","",IF($BES6=0,1,1-$BES6/HLOOKUP(BEV$3,[2]ARBOR_REAJUSTE18!$A:$AE,VLOOKUP($BES$2,[2]ARBOR_REAJUSTE18!$A:$B,2,0),0))),"")&lt;0.01%,0.01%,(IFERROR(IF($BES6="","",IF($BES6=0,1,1-$BES6/HLOOKUP(BEV$3,[2]ARBOR_REAJUSTE18!$A:$AE,VLOOKUP($BES$2,[2]ARBOR_REAJUSTE18!$A:$B,2,0),0))),""))),4)</f>
        <v>#VALUE!</v>
      </c>
      <c r="BEW6" s="44" t="e">
        <f>ROUNDUP(IF(IFERROR(IF($BES6="","",IF($BES6=0,1,1-$BES6/HLOOKUP(BEW$3,[2]ARBOR_REAJUSTE18!$A:$AE,VLOOKUP($BES$2,[2]ARBOR_REAJUSTE18!$A:$B,2,0),0))),"")&lt;0.01%,0.01%,(IFERROR(IF($BES6="","",IF($BES6=0,1,1-$BES6/HLOOKUP(BEW$3,[2]ARBOR_REAJUSTE18!$A:$AE,VLOOKUP($BES$2,[2]ARBOR_REAJUSTE18!$A:$B,2,0),0))),""))),4)</f>
        <v>#VALUE!</v>
      </c>
      <c r="BEX6" s="44" t="e">
        <f>ROUNDUP(IF(IFERROR(IF($BES6="","",IF($BES6=0,1,1-$BES6/HLOOKUP(BEX$3,[2]ARBOR_REAJUSTE18!$A:$AE,VLOOKUP($BES$2,[2]ARBOR_REAJUSTE18!$A:$B,2,0),0))),"")&lt;0.01%,0.01%,(IFERROR(IF($BES6="","",IF($BES6=0,1,1-$BES6/HLOOKUP(BEX$3,[2]ARBOR_REAJUSTE18!$A:$AE,VLOOKUP($BES$2,[2]ARBOR_REAJUSTE18!$A:$B,2,0),0))),""))),4)</f>
        <v>#VALUE!</v>
      </c>
      <c r="BEY6" s="44" t="e">
        <f>ROUNDUP(IF(IFERROR(IF($BES6="","",IF($BES6=0,1,1-$BES6/HLOOKUP(BEY$3,[2]ARBOR_REAJUSTE18!$A:$AE,VLOOKUP($BES$2,[2]ARBOR_REAJUSTE18!$A:$B,2,0),0))),"")&lt;0.01%,0.01%,(IFERROR(IF($BES6="","",IF($BES6=0,1,1-$BES6/HLOOKUP(BEY$3,[2]ARBOR_REAJUSTE18!$A:$AE,VLOOKUP($BES$2,[2]ARBOR_REAJUSTE18!$A:$B,2,0),0))),""))),4)</f>
        <v>#VALUE!</v>
      </c>
      <c r="BEZ6" s="44" t="e">
        <f>ROUNDUP(IF(IFERROR(IF($BES6="","",IF($BES6=0,1,1-$BES6/HLOOKUP(BEZ$3,[2]ARBOR_REAJUSTE18!$A:$AE,VLOOKUP($BES$2,[2]ARBOR_REAJUSTE18!$A:$B,2,0),0))),"")&lt;0.01%,0.01%,(IFERROR(IF($BES6="","",IF($BES6=0,1,1-$BES6/HLOOKUP(BEZ$3,[2]ARBOR_REAJUSTE18!$A:$AE,VLOOKUP($BES$2,[2]ARBOR_REAJUSTE18!$A:$B,2,0),0))),""))),4)</f>
        <v>#VALUE!</v>
      </c>
      <c r="BFA6" s="44" t="e">
        <f>ROUNDUP(IF(IFERROR(IF($BES6="","",IF($BES6=0,1,1-$BES6/HLOOKUP(BFA$3,[2]ARBOR_REAJUSTE18!$A:$AE,VLOOKUP($BES$2,[2]ARBOR_REAJUSTE18!$A:$B,2,0),0))),"")&lt;0.01%,0.01%,(IFERROR(IF($BES6="","",IF($BES6=0,1,1-$BES6/HLOOKUP(BFA$3,[2]ARBOR_REAJUSTE18!$A:$AE,VLOOKUP($BES$2,[2]ARBOR_REAJUSTE18!$A:$B,2,0),0))),""))),4)</f>
        <v>#VALUE!</v>
      </c>
      <c r="BFB6" s="44" t="e">
        <f>ROUNDUP(IF(IFERROR(IF($BES6="","",IF($BES6=0,1,1-$BES6/HLOOKUP(BFB$3,[2]ARBOR_REAJUSTE18!$A:$AE,VLOOKUP($BES$2,[2]ARBOR_REAJUSTE18!$A:$B,2,0),0))),"")&lt;0.01%,0.01%,(IFERROR(IF($BES6="","",IF($BES6=0,1,1-$BES6/HLOOKUP(BFB$3,[2]ARBOR_REAJUSTE18!$A:$AE,VLOOKUP($BES$2,[2]ARBOR_REAJUSTE18!$A:$B,2,0),0))),""))),4)</f>
        <v>#VALUE!</v>
      </c>
      <c r="BFC6" s="44" t="e">
        <f>ROUNDUP(IF(IFERROR(IF($BES6="","",IF($BES6=0,1,1-$BES6/HLOOKUP(BFC$3,[2]ARBOR_REAJUSTE18!$A:$AE,VLOOKUP($BES$2,[2]ARBOR_REAJUSTE18!$A:$B,2,0),0))),"")&lt;0.01%,0.01%,(IFERROR(IF($BES6="","",IF($BES6=0,1,1-$BES6/HLOOKUP(BFC$3,[2]ARBOR_REAJUSTE18!$A:$AE,VLOOKUP($BES$2,[2]ARBOR_REAJUSTE18!$A:$B,2,0),0))),""))),4)</f>
        <v>#VALUE!</v>
      </c>
      <c r="BFD6" s="44" t="e">
        <f>ROUNDUP(IF(IFERROR(IF($BES6="","",IF($BES6=0,1,1-$BES6/HLOOKUP(BFD$3,[2]ARBOR_REAJUSTE18!$A:$AE,VLOOKUP($BES$2,[2]ARBOR_REAJUSTE18!$A:$B,2,0),0))),"")&lt;0.01%,0.01%,(IFERROR(IF($BES6="","",IF($BES6=0,1,1-$BES6/HLOOKUP(BFD$3,[2]ARBOR_REAJUSTE18!$A:$AE,VLOOKUP($BES$2,[2]ARBOR_REAJUSTE18!$A:$B,2,0),0))),""))),4)</f>
        <v>#VALUE!</v>
      </c>
      <c r="BFE6" s="44" t="e">
        <f>ROUNDUP(IF(IFERROR(IF($BES6="","",IF($BES6=0,1,1-$BES6/HLOOKUP(BFE$3,[2]ARBOR_REAJUSTE18!$A:$AE,VLOOKUP($BES$2,[2]ARBOR_REAJUSTE18!$A:$B,2,0),0))),"")&lt;0.01%,0.01%,(IFERROR(IF($BES6="","",IF($BES6=0,1,1-$BES6/HLOOKUP(BFE$3,[2]ARBOR_REAJUSTE18!$A:$AE,VLOOKUP($BES$2,[2]ARBOR_REAJUSTE18!$A:$B,2,0),0))),""))),4)</f>
        <v>#VALUE!</v>
      </c>
      <c r="BFF6" s="44" t="e">
        <f>ROUNDUP(IF(IFERROR(IF($BES6="","",IF($BES6=0,1,1-$BES6/HLOOKUP(BFF$3,[2]ARBOR_REAJUSTE18!$A:$AE,VLOOKUP($BES$2,[2]ARBOR_REAJUSTE18!$A:$B,2,0),0))),"")&lt;0.01%,0.01%,(IFERROR(IF($BES6="","",IF($BES6=0,1,1-$BES6/HLOOKUP(BFF$3,[2]ARBOR_REAJUSTE18!$A:$AE,VLOOKUP($BES$2,[2]ARBOR_REAJUSTE18!$A:$B,2,0),0))),""))),4)</f>
        <v>#VALUE!</v>
      </c>
      <c r="BFG6" s="44" t="e">
        <f>ROUNDUP(IF(IFERROR(IF($BES6="","",IF($BES6=0,1,1-$BES6/HLOOKUP(BFG$3,[2]ARBOR_REAJUSTE18!$A:$AE,VLOOKUP($BES$2,[2]ARBOR_REAJUSTE18!$A:$B,2,0),0))),"")&lt;0.01%,0.01%,(IFERROR(IF($BES6="","",IF($BES6=0,1,1-$BES6/HLOOKUP(BFG$3,[2]ARBOR_REAJUSTE18!$A:$AE,VLOOKUP($BES$2,[2]ARBOR_REAJUSTE18!$A:$B,2,0),0))),""))),4)</f>
        <v>#VALUE!</v>
      </c>
      <c r="BFH6" s="44" t="e">
        <f>ROUNDUP(IF(IFERROR(IF($BES6="","",IF($BES6=0,1,1-$BES6/HLOOKUP(BFH$3,[2]ARBOR_REAJUSTE18!$A:$AE,VLOOKUP($BES$2,[2]ARBOR_REAJUSTE18!$A:$B,2,0),0))),"")&lt;0.01%,0.01%,(IFERROR(IF($BES6="","",IF($BES6=0,1,1-$BES6/HLOOKUP(BFH$3,[2]ARBOR_REAJUSTE18!$A:$AE,VLOOKUP($BES$2,[2]ARBOR_REAJUSTE18!$A:$B,2,0),0))),""))),4)</f>
        <v>#VALUE!</v>
      </c>
      <c r="BFI6" s="44" t="e">
        <f>ROUNDUP(IF(IFERROR(IF($BES6="","",IF($BES6=0,1,1-$BES6/HLOOKUP(BFI$3,[2]ARBOR_REAJUSTE18!$A:$AE,VLOOKUP($BES$2,[2]ARBOR_REAJUSTE18!$A:$B,2,0),0))),"")&lt;0.01%,0.01%,(IFERROR(IF($BES6="","",IF($BES6=0,1,1-$BES6/HLOOKUP(BFI$3,[2]ARBOR_REAJUSTE18!$A:$AE,VLOOKUP($BES$2,[2]ARBOR_REAJUSTE18!$A:$B,2,0),0))),""))),4)</f>
        <v>#VALUE!</v>
      </c>
      <c r="BFJ6" s="44" t="e">
        <f>ROUNDUP(IF(IFERROR(IF($BES6="","",IF($BES6=0,1,1-$BES6/HLOOKUP(BFJ$3,[2]ARBOR_REAJUSTE18!$A:$AE,VLOOKUP($BES$2,[2]ARBOR_REAJUSTE18!$A:$B,2,0),0))),"")&lt;0.01%,0.01%,(IFERROR(IF($BES6="","",IF($BES6=0,1,1-$BES6/HLOOKUP(BFJ$3,[2]ARBOR_REAJUSTE18!$A:$AE,VLOOKUP($BES$2,[2]ARBOR_REAJUSTE18!$A:$B,2,0),0))),""))),4)</f>
        <v>#VALUE!</v>
      </c>
      <c r="BFK6" s="44" t="e">
        <f>ROUNDUP(IF(IFERROR(IF($BES6="","",IF($BES6=0,1,1-$BES6/HLOOKUP(BFK$3,[2]ARBOR_REAJUSTE18!$A:$AE,VLOOKUP($BES$2,[2]ARBOR_REAJUSTE18!$A:$B,2,0),0))),"")&lt;0.01%,0.01%,(IFERROR(IF($BES6="","",IF($BES6=0,1,1-$BES6/HLOOKUP(BFK$3,[2]ARBOR_REAJUSTE18!$A:$AE,VLOOKUP($BES$2,[2]ARBOR_REAJUSTE18!$A:$B,2,0),0))),""))),4)</f>
        <v>#VALUE!</v>
      </c>
      <c r="BFL6" s="44" t="e">
        <f>ROUNDUP(IF(IFERROR(IF($BES6="","",IF($BES6=0,1,1-$BES6/HLOOKUP(BFL$3,[2]ARBOR_REAJUSTE18!$A:$AE,VLOOKUP($BES$2,[2]ARBOR_REAJUSTE18!$A:$B,2,0),0))),"")&lt;0.01%,0.01%,(IFERROR(IF($BES6="","",IF($BES6=0,1,1-$BES6/HLOOKUP(BFL$3,[2]ARBOR_REAJUSTE18!$A:$AE,VLOOKUP($BES$2,[2]ARBOR_REAJUSTE18!$A:$B,2,0),0))),""))),4)</f>
        <v>#VALUE!</v>
      </c>
      <c r="BFM6" s="44" t="e">
        <f>ROUNDUP(IF(IFERROR(IF($BES6="","",IF($BES6=0,1,1-$BES6/HLOOKUP(BFM$3,[2]ARBOR_REAJUSTE18!$A:$AE,VLOOKUP($BES$2,[2]ARBOR_REAJUSTE18!$A:$B,2,0),0))),"")&lt;0.01%,0.01%,(IFERROR(IF($BES6="","",IF($BES6=0,1,1-$BES6/HLOOKUP(BFM$3,[2]ARBOR_REAJUSTE18!$A:$AE,VLOOKUP($BES$2,[2]ARBOR_REAJUSTE18!$A:$B,2,0),0))),""))),4)</f>
        <v>#VALUE!</v>
      </c>
      <c r="BFN6" s="44" t="e">
        <f>ROUNDUP(IF(IFERROR(IF($BES6="","",IF($BES6=0,1,1-$BES6/HLOOKUP(BFN$3,[2]ARBOR_REAJUSTE18!$A:$AE,VLOOKUP($BES$2,[2]ARBOR_REAJUSTE18!$A:$B,2,0),0))),"")&lt;0.01%,0.01%,(IFERROR(IF($BES6="","",IF($BES6=0,1,1-$BES6/HLOOKUP(BFN$3,[2]ARBOR_REAJUSTE18!$A:$AE,VLOOKUP($BES$2,[2]ARBOR_REAJUSTE18!$A:$B,2,0),0))),""))),4)</f>
        <v>#VALUE!</v>
      </c>
      <c r="BFO6" s="44" t="e">
        <f>ROUNDUP(IF(IFERROR(IF($BES6="","",IF($BES6=0,1,1-$BES6/HLOOKUP(BFO$3,[2]ARBOR_REAJUSTE18!$A:$AE,VLOOKUP($BES$2,[2]ARBOR_REAJUSTE18!$A:$B,2,0),0))),"")&lt;0.01%,0.01%,(IFERROR(IF($BES6="","",IF($BES6=0,1,1-$BES6/HLOOKUP(BFO$3,[2]ARBOR_REAJUSTE18!$A:$AE,VLOOKUP($BES$2,[2]ARBOR_REAJUSTE18!$A:$B,2,0),0))),""))),4)</f>
        <v>#VALUE!</v>
      </c>
      <c r="BFP6" s="44" t="e">
        <f>ROUNDUP(IF(IFERROR(IF($BES6="","",IF($BES6=0,1,1-$BES6/HLOOKUP(BFP$3,[2]ARBOR_REAJUSTE18!$A:$AE,VLOOKUP($BES$2,[2]ARBOR_REAJUSTE18!$A:$B,2,0),0))),"")&lt;0.01%,0.01%,(IFERROR(IF($BES6="","",IF($BES6=0,1,1-$BES6/HLOOKUP(BFP$3,[2]ARBOR_REAJUSTE18!$A:$AE,VLOOKUP($BES$2,[2]ARBOR_REAJUSTE18!$A:$B,2,0),0))),""))),4)</f>
        <v>#VALUE!</v>
      </c>
      <c r="BFQ6" s="44" t="e">
        <f>ROUNDUP(IF(IFERROR(IF($BES6="","",IF($BES6=0,1,1-$BES6/HLOOKUP(BFQ$3,[2]ARBOR_REAJUSTE18!$A:$AE,VLOOKUP($BES$2,[2]ARBOR_REAJUSTE18!$A:$B,2,0),0))),"")&lt;0.01%,0.01%,(IFERROR(IF($BES6="","",IF($BES6=0,1,1-$BES6/HLOOKUP(BFQ$3,[2]ARBOR_REAJUSTE18!$A:$AE,VLOOKUP($BES$2,[2]ARBOR_REAJUSTE18!$A:$B,2,0),0))),""))),4)</f>
        <v>#VALUE!</v>
      </c>
      <c r="BFR6" s="44" t="e">
        <f>ROUNDUP(IF(IFERROR(IF($BES6="","",IF($BES6=0,1,1-$BES6/HLOOKUP(BFR$3,[2]ARBOR_REAJUSTE18!$A:$AE,VLOOKUP($BES$2,[2]ARBOR_REAJUSTE18!$A:$B,2,0),0))),"")&lt;0.01%,0.01%,(IFERROR(IF($BES6="","",IF($BES6=0,1,1-$BES6/HLOOKUP(BFR$3,[2]ARBOR_REAJUSTE18!$A:$AE,VLOOKUP($BES$2,[2]ARBOR_REAJUSTE18!$A:$B,2,0),0))),""))),4)</f>
        <v>#VALUE!</v>
      </c>
      <c r="BFS6" s="44" t="e">
        <f>ROUNDUP(IF(IFERROR(IF($BES6="","",IF($BES6=0,1,1-$BES6/HLOOKUP(BFS$3,[2]ARBOR_REAJUSTE18!$A:$AE,VLOOKUP($BES$2,[2]ARBOR_REAJUSTE18!$A:$B,2,0),0))),"")&lt;0.01%,0.01%,(IFERROR(IF($BES6="","",IF($BES6=0,1,1-$BES6/HLOOKUP(BFS$3,[2]ARBOR_REAJUSTE18!$A:$AE,VLOOKUP($BES$2,[2]ARBOR_REAJUSTE18!$A:$B,2,0),0))),""))),4)</f>
        <v>#VALUE!</v>
      </c>
      <c r="BFT6" s="44" t="e">
        <f>ROUNDUP(IF(IFERROR(IF($BES6="","",IF($BES6=0,1,1-$BES6/HLOOKUP(BFT$3,[2]ARBOR_REAJUSTE18!$A:$AE,VLOOKUP($BES$2,[2]ARBOR_REAJUSTE18!$A:$B,2,0),0))),"")&lt;0.01%,0.01%,(IFERROR(IF($BES6="","",IF($BES6=0,1,1-$BES6/HLOOKUP(BFT$3,[2]ARBOR_REAJUSTE18!$A:$AE,VLOOKUP($BES$2,[2]ARBOR_REAJUSTE18!$A:$B,2,0),0))),""))),4)</f>
        <v>#VALUE!</v>
      </c>
      <c r="BFU6" s="44" t="e">
        <f>ROUNDUP(IF(IFERROR(IF($BES6="","",IF($BES6=0,1,1-$BES6/HLOOKUP(BFU$3,[2]ARBOR_REAJUSTE18!$A:$AE,VLOOKUP($BES$2,[2]ARBOR_REAJUSTE18!$A:$B,2,0),0))),"")&lt;0.01%,0.01%,(IFERROR(IF($BES6="","",IF($BES6=0,1,1-$BES6/HLOOKUP(BFU$3,[2]ARBOR_REAJUSTE18!$A:$AE,VLOOKUP($BES$2,[2]ARBOR_REAJUSTE18!$A:$B,2,0),0))),""))),4)</f>
        <v>#VALUE!</v>
      </c>
      <c r="BFV6" s="56"/>
      <c r="BFW6" s="64"/>
      <c r="BFX6" s="44" t="e">
        <f>ROUNDUP(IF(IFERROR(IF($BFV6="","",IF($BFV6=0,1,1-$BFV6/HLOOKUP(BFX$3,[2]ARBOR_REAJUSTE18!$A:$AE,VLOOKUP($BFV$2,[2]ARBOR_REAJUSTE18!$A:$B,2,0),0))),"")&lt;0.01%,0.01%,(IFERROR(IF($BFV6="","",IF($BFV6=0,1,1-$BFV6/HLOOKUP(BFX$3,[2]ARBOR_REAJUSTE18!$A:$AE,VLOOKUP($BFV$2,[2]ARBOR_REAJUSTE18!$A:$B,2,0),0))),""))),4)</f>
        <v>#VALUE!</v>
      </c>
      <c r="BFY6" s="44" t="e">
        <f>ROUNDUP(IF(IFERROR(IF($BFV6="","",IF($BFV6=0,1,1-$BFV6/HLOOKUP(BFY$3,[2]ARBOR_REAJUSTE18!$A:$AE,VLOOKUP($BFV$2,[2]ARBOR_REAJUSTE18!$A:$B,2,0),0))),"")&lt;0.01%,0.01%,(IFERROR(IF($BFV6="","",IF($BFV6=0,1,1-$BFV6/HLOOKUP(BFY$3,[2]ARBOR_REAJUSTE18!$A:$AE,VLOOKUP($BFV$2,[2]ARBOR_REAJUSTE18!$A:$B,2,0),0))),""))),4)</f>
        <v>#VALUE!</v>
      </c>
      <c r="BFZ6" s="44" t="e">
        <f>ROUNDUP(IF(IFERROR(IF($BFV6="","",IF($BFV6=0,1,1-$BFV6/HLOOKUP(BFZ$3,[2]ARBOR_REAJUSTE18!$A:$AE,VLOOKUP($BFV$2,[2]ARBOR_REAJUSTE18!$A:$B,2,0),0))),"")&lt;0.01%,0.01%,(IFERROR(IF($BFV6="","",IF($BFV6=0,1,1-$BFV6/HLOOKUP(BFZ$3,[2]ARBOR_REAJUSTE18!$A:$AE,VLOOKUP($BFV$2,[2]ARBOR_REAJUSTE18!$A:$B,2,0),0))),""))),4)</f>
        <v>#VALUE!</v>
      </c>
      <c r="BGA6" s="44" t="e">
        <f>ROUNDUP(IF(IFERROR(IF($BFV6="","",IF($BFV6=0,1,1-$BFV6/HLOOKUP(BGA$3,[2]ARBOR_REAJUSTE18!$A:$AE,VLOOKUP($BFV$2,[2]ARBOR_REAJUSTE18!$A:$B,2,0),0))),"")&lt;0.01%,0.01%,(IFERROR(IF($BFV6="","",IF($BFV6=0,1,1-$BFV6/HLOOKUP(BGA$3,[2]ARBOR_REAJUSTE18!$A:$AE,VLOOKUP($BFV$2,[2]ARBOR_REAJUSTE18!$A:$B,2,0),0))),""))),4)</f>
        <v>#VALUE!</v>
      </c>
      <c r="BGB6" s="44" t="e">
        <f>ROUNDUP(IF(IFERROR(IF($BFV6="","",IF($BFV6=0,1,1-$BFV6/HLOOKUP(BGB$3,[2]ARBOR_REAJUSTE18!$A:$AE,VLOOKUP($BFV$2,[2]ARBOR_REAJUSTE18!$A:$B,2,0),0))),"")&lt;0.01%,0.01%,(IFERROR(IF($BFV6="","",IF($BFV6=0,1,1-$BFV6/HLOOKUP(BGB$3,[2]ARBOR_REAJUSTE18!$A:$AE,VLOOKUP($BFV$2,[2]ARBOR_REAJUSTE18!$A:$B,2,0),0))),""))),4)</f>
        <v>#VALUE!</v>
      </c>
      <c r="BGC6" s="44" t="e">
        <f>ROUNDUP(IF(IFERROR(IF($BFV6="","",IF($BFV6=0,1,1-$BFV6/HLOOKUP(BGC$3,[2]ARBOR_REAJUSTE18!$A:$AE,VLOOKUP($BFV$2,[2]ARBOR_REAJUSTE18!$A:$B,2,0),0))),"")&lt;0.01%,0.01%,(IFERROR(IF($BFV6="","",IF($BFV6=0,1,1-$BFV6/HLOOKUP(BGC$3,[2]ARBOR_REAJUSTE18!$A:$AE,VLOOKUP($BFV$2,[2]ARBOR_REAJUSTE18!$A:$B,2,0),0))),""))),4)</f>
        <v>#VALUE!</v>
      </c>
      <c r="BGD6" s="44" t="e">
        <f>ROUNDUP(IF(IFERROR(IF($BFV6="","",IF($BFV6=0,1,1-$BFV6/HLOOKUP(BGD$3,[2]ARBOR_REAJUSTE18!$A:$AE,VLOOKUP($BFV$2,[2]ARBOR_REAJUSTE18!$A:$B,2,0),0))),"")&lt;0.01%,0.01%,(IFERROR(IF($BFV6="","",IF($BFV6=0,1,1-$BFV6/HLOOKUP(BGD$3,[2]ARBOR_REAJUSTE18!$A:$AE,VLOOKUP($BFV$2,[2]ARBOR_REAJUSTE18!$A:$B,2,0),0))),""))),4)</f>
        <v>#VALUE!</v>
      </c>
      <c r="BGE6" s="44" t="e">
        <f>ROUNDUP(IF(IFERROR(IF($BFV6="","",IF($BFV6=0,1,1-$BFV6/HLOOKUP(BGE$3,[2]ARBOR_REAJUSTE18!$A:$AE,VLOOKUP($BFV$2,[2]ARBOR_REAJUSTE18!$A:$B,2,0),0))),"")&lt;0.01%,0.01%,(IFERROR(IF($BFV6="","",IF($BFV6=0,1,1-$BFV6/HLOOKUP(BGE$3,[2]ARBOR_REAJUSTE18!$A:$AE,VLOOKUP($BFV$2,[2]ARBOR_REAJUSTE18!$A:$B,2,0),0))),""))),4)</f>
        <v>#VALUE!</v>
      </c>
      <c r="BGF6" s="44" t="e">
        <f>ROUNDUP(IF(IFERROR(IF($BFV6="","",IF($BFV6=0,1,1-$BFV6/HLOOKUP(BGF$3,[2]ARBOR_REAJUSTE18!$A:$AE,VLOOKUP($BFV$2,[2]ARBOR_REAJUSTE18!$A:$B,2,0),0))),"")&lt;0.01%,0.01%,(IFERROR(IF($BFV6="","",IF($BFV6=0,1,1-$BFV6/HLOOKUP(BGF$3,[2]ARBOR_REAJUSTE18!$A:$AE,VLOOKUP($BFV$2,[2]ARBOR_REAJUSTE18!$A:$B,2,0),0))),""))),4)</f>
        <v>#VALUE!</v>
      </c>
      <c r="BGG6" s="44" t="e">
        <f>ROUNDUP(IF(IFERROR(IF($BFV6="","",IF($BFV6=0,1,1-$BFV6/HLOOKUP(BGG$3,[2]ARBOR_REAJUSTE18!$A:$AE,VLOOKUP($BFV$2,[2]ARBOR_REAJUSTE18!$A:$B,2,0),0))),"")&lt;0.01%,0.01%,(IFERROR(IF($BFV6="","",IF($BFV6=0,1,1-$BFV6/HLOOKUP(BGG$3,[2]ARBOR_REAJUSTE18!$A:$AE,VLOOKUP($BFV$2,[2]ARBOR_REAJUSTE18!$A:$B,2,0),0))),""))),4)</f>
        <v>#VALUE!</v>
      </c>
      <c r="BGH6" s="44" t="e">
        <f>ROUNDUP(IF(IFERROR(IF($BFV6="","",IF($BFV6=0,1,1-$BFV6/HLOOKUP(BGH$3,[2]ARBOR_REAJUSTE18!$A:$AE,VLOOKUP($BFV$2,[2]ARBOR_REAJUSTE18!$A:$B,2,0),0))),"")&lt;0.01%,0.01%,(IFERROR(IF($BFV6="","",IF($BFV6=0,1,1-$BFV6/HLOOKUP(BGH$3,[2]ARBOR_REAJUSTE18!$A:$AE,VLOOKUP($BFV$2,[2]ARBOR_REAJUSTE18!$A:$B,2,0),0))),""))),4)</f>
        <v>#VALUE!</v>
      </c>
      <c r="BGI6" s="44" t="e">
        <f>ROUNDUP(IF(IFERROR(IF($BFV6="","",IF($BFV6=0,1,1-$BFV6/HLOOKUP(BGI$3,[2]ARBOR_REAJUSTE18!$A:$AE,VLOOKUP($BFV$2,[2]ARBOR_REAJUSTE18!$A:$B,2,0),0))),"")&lt;0.01%,0.01%,(IFERROR(IF($BFV6="","",IF($BFV6=0,1,1-$BFV6/HLOOKUP(BGI$3,[2]ARBOR_REAJUSTE18!$A:$AE,VLOOKUP($BFV$2,[2]ARBOR_REAJUSTE18!$A:$B,2,0),0))),""))),4)</f>
        <v>#VALUE!</v>
      </c>
      <c r="BGJ6" s="44" t="e">
        <f>ROUNDUP(IF(IFERROR(IF($BFV6="","",IF($BFV6=0,1,1-$BFV6/HLOOKUP(BGJ$3,[2]ARBOR_REAJUSTE18!$A:$AE,VLOOKUP($BFV$2,[2]ARBOR_REAJUSTE18!$A:$B,2,0),0))),"")&lt;0.01%,0.01%,(IFERROR(IF($BFV6="","",IF($BFV6=0,1,1-$BFV6/HLOOKUP(BGJ$3,[2]ARBOR_REAJUSTE18!$A:$AE,VLOOKUP($BFV$2,[2]ARBOR_REAJUSTE18!$A:$B,2,0),0))),""))),4)</f>
        <v>#VALUE!</v>
      </c>
      <c r="BGK6" s="44" t="e">
        <f>ROUNDUP(IF(IFERROR(IF($BFV6="","",IF($BFV6=0,1,1-$BFV6/HLOOKUP(BGK$3,[2]ARBOR_REAJUSTE18!$A:$AE,VLOOKUP($BFV$2,[2]ARBOR_REAJUSTE18!$A:$B,2,0),0))),"")&lt;0.01%,0.01%,(IFERROR(IF($BFV6="","",IF($BFV6=0,1,1-$BFV6/HLOOKUP(BGK$3,[2]ARBOR_REAJUSTE18!$A:$AE,VLOOKUP($BFV$2,[2]ARBOR_REAJUSTE18!$A:$B,2,0),0))),""))),4)</f>
        <v>#VALUE!</v>
      </c>
      <c r="BGL6" s="44" t="e">
        <f>ROUNDUP(IF(IFERROR(IF($BFV6="","",IF($BFV6=0,1,1-$BFV6/HLOOKUP(BGL$3,[2]ARBOR_REAJUSTE18!$A:$AE,VLOOKUP($BFV$2,[2]ARBOR_REAJUSTE18!$A:$B,2,0),0))),"")&lt;0.01%,0.01%,(IFERROR(IF($BFV6="","",IF($BFV6=0,1,1-$BFV6/HLOOKUP(BGL$3,[2]ARBOR_REAJUSTE18!$A:$AE,VLOOKUP($BFV$2,[2]ARBOR_REAJUSTE18!$A:$B,2,0),0))),""))),4)</f>
        <v>#VALUE!</v>
      </c>
      <c r="BGM6" s="44" t="e">
        <f>ROUNDUP(IF(IFERROR(IF($BFV6="","",IF($BFV6=0,1,1-$BFV6/HLOOKUP(BGM$3,[2]ARBOR_REAJUSTE18!$A:$AE,VLOOKUP($BFV$2,[2]ARBOR_REAJUSTE18!$A:$B,2,0),0))),"")&lt;0.01%,0.01%,(IFERROR(IF($BFV6="","",IF($BFV6=0,1,1-$BFV6/HLOOKUP(BGM$3,[2]ARBOR_REAJUSTE18!$A:$AE,VLOOKUP($BFV$2,[2]ARBOR_REAJUSTE18!$A:$B,2,0),0))),""))),4)</f>
        <v>#VALUE!</v>
      </c>
      <c r="BGN6" s="44" t="e">
        <f>ROUNDUP(IF(IFERROR(IF($BFV6="","",IF($BFV6=0,1,1-$BFV6/HLOOKUP(BGN$3,[2]ARBOR_REAJUSTE18!$A:$AE,VLOOKUP($BFV$2,[2]ARBOR_REAJUSTE18!$A:$B,2,0),0))),"")&lt;0.01%,0.01%,(IFERROR(IF($BFV6="","",IF($BFV6=0,1,1-$BFV6/HLOOKUP(BGN$3,[2]ARBOR_REAJUSTE18!$A:$AE,VLOOKUP($BFV$2,[2]ARBOR_REAJUSTE18!$A:$B,2,0),0))),""))),4)</f>
        <v>#VALUE!</v>
      </c>
      <c r="BGO6" s="44" t="e">
        <f>ROUNDUP(IF(IFERROR(IF($BFV6="","",IF($BFV6=0,1,1-$BFV6/HLOOKUP(BGO$3,[2]ARBOR_REAJUSTE18!$A:$AE,VLOOKUP($BFV$2,[2]ARBOR_REAJUSTE18!$A:$B,2,0),0))),"")&lt;0.01%,0.01%,(IFERROR(IF($BFV6="","",IF($BFV6=0,1,1-$BFV6/HLOOKUP(BGO$3,[2]ARBOR_REAJUSTE18!$A:$AE,VLOOKUP($BFV$2,[2]ARBOR_REAJUSTE18!$A:$B,2,0),0))),""))),4)</f>
        <v>#VALUE!</v>
      </c>
      <c r="BGP6" s="44" t="e">
        <f>ROUNDUP(IF(IFERROR(IF($BFV6="","",IF($BFV6=0,1,1-$BFV6/HLOOKUP(BGP$3,[2]ARBOR_REAJUSTE18!$A:$AE,VLOOKUP($BFV$2,[2]ARBOR_REAJUSTE18!$A:$B,2,0),0))),"")&lt;0.01%,0.01%,(IFERROR(IF($BFV6="","",IF($BFV6=0,1,1-$BFV6/HLOOKUP(BGP$3,[2]ARBOR_REAJUSTE18!$A:$AE,VLOOKUP($BFV$2,[2]ARBOR_REAJUSTE18!$A:$B,2,0),0))),""))),4)</f>
        <v>#VALUE!</v>
      </c>
      <c r="BGQ6" s="44" t="e">
        <f>ROUNDUP(IF(IFERROR(IF($BFV6="","",IF($BFV6=0,1,1-$BFV6/HLOOKUP(BGQ$3,[2]ARBOR_REAJUSTE18!$A:$AE,VLOOKUP($BFV$2,[2]ARBOR_REAJUSTE18!$A:$B,2,0),0))),"")&lt;0.01%,0.01%,(IFERROR(IF($BFV6="","",IF($BFV6=0,1,1-$BFV6/HLOOKUP(BGQ$3,[2]ARBOR_REAJUSTE18!$A:$AE,VLOOKUP($BFV$2,[2]ARBOR_REAJUSTE18!$A:$B,2,0),0))),""))),4)</f>
        <v>#VALUE!</v>
      </c>
      <c r="BGR6" s="44" t="e">
        <f>ROUNDUP(IF(IFERROR(IF($BFV6="","",IF($BFV6=0,1,1-$BFV6/HLOOKUP(BGR$3,[2]ARBOR_REAJUSTE18!$A:$AE,VLOOKUP($BFV$2,[2]ARBOR_REAJUSTE18!$A:$B,2,0),0))),"")&lt;0.01%,0.01%,(IFERROR(IF($BFV6="","",IF($BFV6=0,1,1-$BFV6/HLOOKUP(BGR$3,[2]ARBOR_REAJUSTE18!$A:$AE,VLOOKUP($BFV$2,[2]ARBOR_REAJUSTE18!$A:$B,2,0),0))),""))),4)</f>
        <v>#VALUE!</v>
      </c>
      <c r="BGS6" s="44" t="e">
        <f>ROUNDUP(IF(IFERROR(IF($BFV6="","",IF($BFV6=0,1,1-$BFV6/HLOOKUP(BGS$3,[2]ARBOR_REAJUSTE18!$A:$AE,VLOOKUP($BFV$2,[2]ARBOR_REAJUSTE18!$A:$B,2,0),0))),"")&lt;0.01%,0.01%,(IFERROR(IF($BFV6="","",IF($BFV6=0,1,1-$BFV6/HLOOKUP(BGS$3,[2]ARBOR_REAJUSTE18!$A:$AE,VLOOKUP($BFV$2,[2]ARBOR_REAJUSTE18!$A:$B,2,0),0))),""))),4)</f>
        <v>#VALUE!</v>
      </c>
      <c r="BGT6" s="44" t="e">
        <f>ROUNDUP(IF(IFERROR(IF($BFV6="","",IF($BFV6=0,1,1-$BFV6/HLOOKUP(BGT$3,[2]ARBOR_REAJUSTE18!$A:$AE,VLOOKUP($BFV$2,[2]ARBOR_REAJUSTE18!$A:$B,2,0),0))),"")&lt;0.01%,0.01%,(IFERROR(IF($BFV6="","",IF($BFV6=0,1,1-$BFV6/HLOOKUP(BGT$3,[2]ARBOR_REAJUSTE18!$A:$AE,VLOOKUP($BFV$2,[2]ARBOR_REAJUSTE18!$A:$B,2,0),0))),""))),4)</f>
        <v>#VALUE!</v>
      </c>
      <c r="BGU6" s="44" t="e">
        <f>ROUNDUP(IF(IFERROR(IF($BFV6="","",IF($BFV6=0,1,1-$BFV6/HLOOKUP(BGU$3,[2]ARBOR_REAJUSTE18!$A:$AE,VLOOKUP($BFV$2,[2]ARBOR_REAJUSTE18!$A:$B,2,0),0))),"")&lt;0.01%,0.01%,(IFERROR(IF($BFV6="","",IF($BFV6=0,1,1-$BFV6/HLOOKUP(BGU$3,[2]ARBOR_REAJUSTE18!$A:$AE,VLOOKUP($BFV$2,[2]ARBOR_REAJUSTE18!$A:$B,2,0),0))),""))),4)</f>
        <v>#VALUE!</v>
      </c>
      <c r="BGV6" s="44" t="e">
        <f>ROUNDUP(IF(IFERROR(IF($BFV6="","",IF($BFV6=0,1,1-$BFV6/HLOOKUP(BGV$3,[2]ARBOR_REAJUSTE18!$A:$AE,VLOOKUP($BFV$2,[2]ARBOR_REAJUSTE18!$A:$B,2,0),0))),"")&lt;0.01%,0.01%,(IFERROR(IF($BFV6="","",IF($BFV6=0,1,1-$BFV6/HLOOKUP(BGV$3,[2]ARBOR_REAJUSTE18!$A:$AE,VLOOKUP($BFV$2,[2]ARBOR_REAJUSTE18!$A:$B,2,0),0))),""))),4)</f>
        <v>#VALUE!</v>
      </c>
      <c r="BGW6" s="44" t="e">
        <f>ROUNDUP(IF(IFERROR(IF($BFV6="","",IF($BFV6=0,1,1-$BFV6/HLOOKUP(BGW$3,[2]ARBOR_REAJUSTE18!$A:$AE,VLOOKUP($BFV$2,[2]ARBOR_REAJUSTE18!$A:$B,2,0),0))),"")&lt;0.01%,0.01%,(IFERROR(IF($BFV6="","",IF($BFV6=0,1,1-$BFV6/HLOOKUP(BGW$3,[2]ARBOR_REAJUSTE18!$A:$AE,VLOOKUP($BFV$2,[2]ARBOR_REAJUSTE18!$A:$B,2,0),0))),""))),4)</f>
        <v>#VALUE!</v>
      </c>
      <c r="BGX6" s="44" t="e">
        <f>ROUNDUP(IF(IFERROR(IF($BFV6="","",IF($BFV6=0,1,1-$BFV6/HLOOKUP(BGX$3,[2]ARBOR_REAJUSTE18!$A:$AE,VLOOKUP($BFV$2,[2]ARBOR_REAJUSTE18!$A:$B,2,0),0))),"")&lt;0.01%,0.01%,(IFERROR(IF($BFV6="","",IF($BFV6=0,1,1-$BFV6/HLOOKUP(BGX$3,[2]ARBOR_REAJUSTE18!$A:$AE,VLOOKUP($BFV$2,[2]ARBOR_REAJUSTE18!$A:$B,2,0),0))),""))),4)</f>
        <v>#VALUE!</v>
      </c>
      <c r="BGY6" s="56"/>
      <c r="BGZ6" s="64"/>
      <c r="BHA6" s="44" t="e">
        <f>ROUNDUP(IF(IFERROR(IF($BGY6="","",IF($BGY6=0,1,1-$BGY6/HLOOKUP(BHA$3,[2]ARBOR_REAJUSTE18!$A:$AE,VLOOKUP($BGY$2,[2]ARBOR_REAJUSTE18!$A:$B,2,0),0))),"")&lt;0.01%,0.01%,(IFERROR(IF($BGY6="","",IF($BGY6=0,1,1-$BGY6/HLOOKUP(BHA$3,[2]ARBOR_REAJUSTE18!$A:$AE,VLOOKUP($BGY$2,[2]ARBOR_REAJUSTE18!$A:$B,2,0),0))),""))),4)</f>
        <v>#VALUE!</v>
      </c>
      <c r="BHB6" s="44" t="e">
        <f>ROUNDUP(IF(IFERROR(IF($BGY6="","",IF($BGY6=0,1,1-$BGY6/HLOOKUP(BHB$3,[2]ARBOR_REAJUSTE18!$A:$AE,VLOOKUP($BGY$2,[2]ARBOR_REAJUSTE18!$A:$B,2,0),0))),"")&lt;0.01%,0.01%,(IFERROR(IF($BGY6="","",IF($BGY6=0,1,1-$BGY6/HLOOKUP(BHB$3,[2]ARBOR_REAJUSTE18!$A:$AE,VLOOKUP($BGY$2,[2]ARBOR_REAJUSTE18!$A:$B,2,0),0))),""))),4)</f>
        <v>#VALUE!</v>
      </c>
      <c r="BHC6" s="44" t="e">
        <f>ROUNDUP(IF(IFERROR(IF($BGY6="","",IF($BGY6=0,1,1-$BGY6/HLOOKUP(BHC$3,[2]ARBOR_REAJUSTE18!$A:$AE,VLOOKUP($BGY$2,[2]ARBOR_REAJUSTE18!$A:$B,2,0),0))),"")&lt;0.01%,0.01%,(IFERROR(IF($BGY6="","",IF($BGY6=0,1,1-$BGY6/HLOOKUP(BHC$3,[2]ARBOR_REAJUSTE18!$A:$AE,VLOOKUP($BGY$2,[2]ARBOR_REAJUSTE18!$A:$B,2,0),0))),""))),4)</f>
        <v>#VALUE!</v>
      </c>
      <c r="BHD6" s="44" t="e">
        <f>ROUNDUP(IF(IFERROR(IF($BGY6="","",IF($BGY6=0,1,1-$BGY6/HLOOKUP(BHD$3,[2]ARBOR_REAJUSTE18!$A:$AE,VLOOKUP($BGY$2,[2]ARBOR_REAJUSTE18!$A:$B,2,0),0))),"")&lt;0.01%,0.01%,(IFERROR(IF($BGY6="","",IF($BGY6=0,1,1-$BGY6/HLOOKUP(BHD$3,[2]ARBOR_REAJUSTE18!$A:$AE,VLOOKUP($BGY$2,[2]ARBOR_REAJUSTE18!$A:$B,2,0),0))),""))),4)</f>
        <v>#VALUE!</v>
      </c>
      <c r="BHE6" s="44" t="e">
        <f>ROUNDUP(IF(IFERROR(IF($BGY6="","",IF($BGY6=0,1,1-$BGY6/HLOOKUP(BHE$3,[2]ARBOR_REAJUSTE18!$A:$AE,VLOOKUP($BGY$2,[2]ARBOR_REAJUSTE18!$A:$B,2,0),0))),"")&lt;0.01%,0.01%,(IFERROR(IF($BGY6="","",IF($BGY6=0,1,1-$BGY6/HLOOKUP(BHE$3,[2]ARBOR_REAJUSTE18!$A:$AE,VLOOKUP($BGY$2,[2]ARBOR_REAJUSTE18!$A:$B,2,0),0))),""))),4)</f>
        <v>#VALUE!</v>
      </c>
      <c r="BHF6" s="44" t="e">
        <f>ROUNDUP(IF(IFERROR(IF($BGY6="","",IF($BGY6=0,1,1-$BGY6/HLOOKUP(BHF$3,[2]ARBOR_REAJUSTE18!$A:$AE,VLOOKUP($BGY$2,[2]ARBOR_REAJUSTE18!$A:$B,2,0),0))),"")&lt;0.01%,0.01%,(IFERROR(IF($BGY6="","",IF($BGY6=0,1,1-$BGY6/HLOOKUP(BHF$3,[2]ARBOR_REAJUSTE18!$A:$AE,VLOOKUP($BGY$2,[2]ARBOR_REAJUSTE18!$A:$B,2,0),0))),""))),4)</f>
        <v>#VALUE!</v>
      </c>
      <c r="BHG6" s="44" t="e">
        <f>ROUNDUP(IF(IFERROR(IF($BGY6="","",IF($BGY6=0,1,1-$BGY6/HLOOKUP(BHG$3,[2]ARBOR_REAJUSTE18!$A:$AE,VLOOKUP($BGY$2,[2]ARBOR_REAJUSTE18!$A:$B,2,0),0))),"")&lt;0.01%,0.01%,(IFERROR(IF($BGY6="","",IF($BGY6=0,1,1-$BGY6/HLOOKUP(BHG$3,[2]ARBOR_REAJUSTE18!$A:$AE,VLOOKUP($BGY$2,[2]ARBOR_REAJUSTE18!$A:$B,2,0),0))),""))),4)</f>
        <v>#VALUE!</v>
      </c>
      <c r="BHH6" s="44" t="e">
        <f>ROUNDUP(IF(IFERROR(IF($BGY6="","",IF($BGY6=0,1,1-$BGY6/HLOOKUP(BHH$3,[2]ARBOR_REAJUSTE18!$A:$AE,VLOOKUP($BGY$2,[2]ARBOR_REAJUSTE18!$A:$B,2,0),0))),"")&lt;0.01%,0.01%,(IFERROR(IF($BGY6="","",IF($BGY6=0,1,1-$BGY6/HLOOKUP(BHH$3,[2]ARBOR_REAJUSTE18!$A:$AE,VLOOKUP($BGY$2,[2]ARBOR_REAJUSTE18!$A:$B,2,0),0))),""))),4)</f>
        <v>#VALUE!</v>
      </c>
      <c r="BHI6" s="44" t="e">
        <f>ROUNDUP(IF(IFERROR(IF($BGY6="","",IF($BGY6=0,1,1-$BGY6/HLOOKUP(BHI$3,[2]ARBOR_REAJUSTE18!$A:$AE,VLOOKUP($BGY$2,[2]ARBOR_REAJUSTE18!$A:$B,2,0),0))),"")&lt;0.01%,0.01%,(IFERROR(IF($BGY6="","",IF($BGY6=0,1,1-$BGY6/HLOOKUP(BHI$3,[2]ARBOR_REAJUSTE18!$A:$AE,VLOOKUP($BGY$2,[2]ARBOR_REAJUSTE18!$A:$B,2,0),0))),""))),4)</f>
        <v>#VALUE!</v>
      </c>
      <c r="BHJ6" s="44" t="e">
        <f>ROUNDUP(IF(IFERROR(IF($BGY6="","",IF($BGY6=0,1,1-$BGY6/HLOOKUP(BHJ$3,[2]ARBOR_REAJUSTE18!$A:$AE,VLOOKUP($BGY$2,[2]ARBOR_REAJUSTE18!$A:$B,2,0),0))),"")&lt;0.01%,0.01%,(IFERROR(IF($BGY6="","",IF($BGY6=0,1,1-$BGY6/HLOOKUP(BHJ$3,[2]ARBOR_REAJUSTE18!$A:$AE,VLOOKUP($BGY$2,[2]ARBOR_REAJUSTE18!$A:$B,2,0),0))),""))),4)</f>
        <v>#VALUE!</v>
      </c>
      <c r="BHK6" s="44" t="e">
        <f>ROUNDUP(IF(IFERROR(IF($BGY6="","",IF($BGY6=0,1,1-$BGY6/HLOOKUP(BHK$3,[2]ARBOR_REAJUSTE18!$A:$AE,VLOOKUP($BGY$2,[2]ARBOR_REAJUSTE18!$A:$B,2,0),0))),"")&lt;0.01%,0.01%,(IFERROR(IF($BGY6="","",IF($BGY6=0,1,1-$BGY6/HLOOKUP(BHK$3,[2]ARBOR_REAJUSTE18!$A:$AE,VLOOKUP($BGY$2,[2]ARBOR_REAJUSTE18!$A:$B,2,0),0))),""))),4)</f>
        <v>#VALUE!</v>
      </c>
      <c r="BHL6" s="44" t="e">
        <f>ROUNDUP(IF(IFERROR(IF($BGY6="","",IF($BGY6=0,1,1-$BGY6/HLOOKUP(BHL$3,[2]ARBOR_REAJUSTE18!$A:$AE,VLOOKUP($BGY$2,[2]ARBOR_REAJUSTE18!$A:$B,2,0),0))),"")&lt;0.01%,0.01%,(IFERROR(IF($BGY6="","",IF($BGY6=0,1,1-$BGY6/HLOOKUP(BHL$3,[2]ARBOR_REAJUSTE18!$A:$AE,VLOOKUP($BGY$2,[2]ARBOR_REAJUSTE18!$A:$B,2,0),0))),""))),4)</f>
        <v>#VALUE!</v>
      </c>
      <c r="BHM6" s="44" t="e">
        <f>ROUNDUP(IF(IFERROR(IF($BGY6="","",IF($BGY6=0,1,1-$BGY6/HLOOKUP(BHM$3,[2]ARBOR_REAJUSTE18!$A:$AE,VLOOKUP($BGY$2,[2]ARBOR_REAJUSTE18!$A:$B,2,0),0))),"")&lt;0.01%,0.01%,(IFERROR(IF($BGY6="","",IF($BGY6=0,1,1-$BGY6/HLOOKUP(BHM$3,[2]ARBOR_REAJUSTE18!$A:$AE,VLOOKUP($BGY$2,[2]ARBOR_REAJUSTE18!$A:$B,2,0),0))),""))),4)</f>
        <v>#VALUE!</v>
      </c>
      <c r="BHN6" s="44" t="e">
        <f>ROUNDUP(IF(IFERROR(IF($BGY6="","",IF($BGY6=0,1,1-$BGY6/HLOOKUP(BHN$3,[2]ARBOR_REAJUSTE18!$A:$AE,VLOOKUP($BGY$2,[2]ARBOR_REAJUSTE18!$A:$B,2,0),0))),"")&lt;0.01%,0.01%,(IFERROR(IF($BGY6="","",IF($BGY6=0,1,1-$BGY6/HLOOKUP(BHN$3,[2]ARBOR_REAJUSTE18!$A:$AE,VLOOKUP($BGY$2,[2]ARBOR_REAJUSTE18!$A:$B,2,0),0))),""))),4)</f>
        <v>#VALUE!</v>
      </c>
      <c r="BHO6" s="44" t="e">
        <f>ROUNDUP(IF(IFERROR(IF($BGY6="","",IF($BGY6=0,1,1-$BGY6/HLOOKUP(BHO$3,[2]ARBOR_REAJUSTE18!$A:$AE,VLOOKUP($BGY$2,[2]ARBOR_REAJUSTE18!$A:$B,2,0),0))),"")&lt;0.01%,0.01%,(IFERROR(IF($BGY6="","",IF($BGY6=0,1,1-$BGY6/HLOOKUP(BHO$3,[2]ARBOR_REAJUSTE18!$A:$AE,VLOOKUP($BGY$2,[2]ARBOR_REAJUSTE18!$A:$B,2,0),0))),""))),4)</f>
        <v>#VALUE!</v>
      </c>
      <c r="BHP6" s="44" t="e">
        <f>ROUNDUP(IF(IFERROR(IF($BGY6="","",IF($BGY6=0,1,1-$BGY6/HLOOKUP(BHP$3,[2]ARBOR_REAJUSTE18!$A:$AE,VLOOKUP($BGY$2,[2]ARBOR_REAJUSTE18!$A:$B,2,0),0))),"")&lt;0.01%,0.01%,(IFERROR(IF($BGY6="","",IF($BGY6=0,1,1-$BGY6/HLOOKUP(BHP$3,[2]ARBOR_REAJUSTE18!$A:$AE,VLOOKUP($BGY$2,[2]ARBOR_REAJUSTE18!$A:$B,2,0),0))),""))),4)</f>
        <v>#VALUE!</v>
      </c>
      <c r="BHQ6" s="44" t="e">
        <f>ROUNDUP(IF(IFERROR(IF($BGY6="","",IF($BGY6=0,1,1-$BGY6/HLOOKUP(BHQ$3,[2]ARBOR_REAJUSTE18!$A:$AE,VLOOKUP($BGY$2,[2]ARBOR_REAJUSTE18!$A:$B,2,0),0))),"")&lt;0.01%,0.01%,(IFERROR(IF($BGY6="","",IF($BGY6=0,1,1-$BGY6/HLOOKUP(BHQ$3,[2]ARBOR_REAJUSTE18!$A:$AE,VLOOKUP($BGY$2,[2]ARBOR_REAJUSTE18!$A:$B,2,0),0))),""))),4)</f>
        <v>#VALUE!</v>
      </c>
      <c r="BHR6" s="44" t="e">
        <f>ROUNDUP(IF(IFERROR(IF($BGY6="","",IF($BGY6=0,1,1-$BGY6/HLOOKUP(BHR$3,[2]ARBOR_REAJUSTE18!$A:$AE,VLOOKUP($BGY$2,[2]ARBOR_REAJUSTE18!$A:$B,2,0),0))),"")&lt;0.01%,0.01%,(IFERROR(IF($BGY6="","",IF($BGY6=0,1,1-$BGY6/HLOOKUP(BHR$3,[2]ARBOR_REAJUSTE18!$A:$AE,VLOOKUP($BGY$2,[2]ARBOR_REAJUSTE18!$A:$B,2,0),0))),""))),4)</f>
        <v>#VALUE!</v>
      </c>
      <c r="BHS6" s="44" t="e">
        <f>ROUNDUP(IF(IFERROR(IF($BGY6="","",IF($BGY6=0,1,1-$BGY6/HLOOKUP(BHS$3,[2]ARBOR_REAJUSTE18!$A:$AE,VLOOKUP($BGY$2,[2]ARBOR_REAJUSTE18!$A:$B,2,0),0))),"")&lt;0.01%,0.01%,(IFERROR(IF($BGY6="","",IF($BGY6=0,1,1-$BGY6/HLOOKUP(BHS$3,[2]ARBOR_REAJUSTE18!$A:$AE,VLOOKUP($BGY$2,[2]ARBOR_REAJUSTE18!$A:$B,2,0),0))),""))),4)</f>
        <v>#VALUE!</v>
      </c>
      <c r="BHT6" s="44" t="e">
        <f>ROUNDUP(IF(IFERROR(IF($BGY6="","",IF($BGY6=0,1,1-$BGY6/HLOOKUP(BHT$3,[2]ARBOR_REAJUSTE18!$A:$AE,VLOOKUP($BGY$2,[2]ARBOR_REAJUSTE18!$A:$B,2,0),0))),"")&lt;0.01%,0.01%,(IFERROR(IF($BGY6="","",IF($BGY6=0,1,1-$BGY6/HLOOKUP(BHT$3,[2]ARBOR_REAJUSTE18!$A:$AE,VLOOKUP($BGY$2,[2]ARBOR_REAJUSTE18!$A:$B,2,0),0))),""))),4)</f>
        <v>#VALUE!</v>
      </c>
      <c r="BHU6" s="44" t="e">
        <f>ROUNDUP(IF(IFERROR(IF($BGY6="","",IF($BGY6=0,1,1-$BGY6/HLOOKUP(BHU$3,[2]ARBOR_REAJUSTE18!$A:$AE,VLOOKUP($BGY$2,[2]ARBOR_REAJUSTE18!$A:$B,2,0),0))),"")&lt;0.01%,0.01%,(IFERROR(IF($BGY6="","",IF($BGY6=0,1,1-$BGY6/HLOOKUP(BHU$3,[2]ARBOR_REAJUSTE18!$A:$AE,VLOOKUP($BGY$2,[2]ARBOR_REAJUSTE18!$A:$B,2,0),0))),""))),4)</f>
        <v>#VALUE!</v>
      </c>
      <c r="BHV6" s="44" t="e">
        <f>ROUNDUP(IF(IFERROR(IF($BGY6="","",IF($BGY6=0,1,1-$BGY6/HLOOKUP(BHV$3,[2]ARBOR_REAJUSTE18!$A:$AE,VLOOKUP($BGY$2,[2]ARBOR_REAJUSTE18!$A:$B,2,0),0))),"")&lt;0.01%,0.01%,(IFERROR(IF($BGY6="","",IF($BGY6=0,1,1-$BGY6/HLOOKUP(BHV$3,[2]ARBOR_REAJUSTE18!$A:$AE,VLOOKUP($BGY$2,[2]ARBOR_REAJUSTE18!$A:$B,2,0),0))),""))),4)</f>
        <v>#VALUE!</v>
      </c>
      <c r="BHW6" s="44" t="e">
        <f>ROUNDUP(IF(IFERROR(IF($BGY6="","",IF($BGY6=0,1,1-$BGY6/HLOOKUP(BHW$3,[2]ARBOR_REAJUSTE18!$A:$AE,VLOOKUP($BGY$2,[2]ARBOR_REAJUSTE18!$A:$B,2,0),0))),"")&lt;0.01%,0.01%,(IFERROR(IF($BGY6="","",IF($BGY6=0,1,1-$BGY6/HLOOKUP(BHW$3,[2]ARBOR_REAJUSTE18!$A:$AE,VLOOKUP($BGY$2,[2]ARBOR_REAJUSTE18!$A:$B,2,0),0))),""))),4)</f>
        <v>#VALUE!</v>
      </c>
      <c r="BHX6" s="44" t="e">
        <f>ROUNDUP(IF(IFERROR(IF($BGY6="","",IF($BGY6=0,1,1-$BGY6/HLOOKUP(BHX$3,[2]ARBOR_REAJUSTE18!$A:$AE,VLOOKUP($BGY$2,[2]ARBOR_REAJUSTE18!$A:$B,2,0),0))),"")&lt;0.01%,0.01%,(IFERROR(IF($BGY6="","",IF($BGY6=0,1,1-$BGY6/HLOOKUP(BHX$3,[2]ARBOR_REAJUSTE18!$A:$AE,VLOOKUP($BGY$2,[2]ARBOR_REAJUSTE18!$A:$B,2,0),0))),""))),4)</f>
        <v>#VALUE!</v>
      </c>
      <c r="BHY6" s="44" t="e">
        <f>ROUNDUP(IF(IFERROR(IF($BGY6="","",IF($BGY6=0,1,1-$BGY6/HLOOKUP(BHY$3,[2]ARBOR_REAJUSTE18!$A:$AE,VLOOKUP($BGY$2,[2]ARBOR_REAJUSTE18!$A:$B,2,0),0))),"")&lt;0.01%,0.01%,(IFERROR(IF($BGY6="","",IF($BGY6=0,1,1-$BGY6/HLOOKUP(BHY$3,[2]ARBOR_REAJUSTE18!$A:$AE,VLOOKUP($BGY$2,[2]ARBOR_REAJUSTE18!$A:$B,2,0),0))),""))),4)</f>
        <v>#VALUE!</v>
      </c>
      <c r="BHZ6" s="44" t="e">
        <f>ROUNDUP(IF(IFERROR(IF($BGY6="","",IF($BGY6=0,1,1-$BGY6/HLOOKUP(BHZ$3,[2]ARBOR_REAJUSTE18!$A:$AE,VLOOKUP($BGY$2,[2]ARBOR_REAJUSTE18!$A:$B,2,0),0))),"")&lt;0.01%,0.01%,(IFERROR(IF($BGY6="","",IF($BGY6=0,1,1-$BGY6/HLOOKUP(BHZ$3,[2]ARBOR_REAJUSTE18!$A:$AE,VLOOKUP($BGY$2,[2]ARBOR_REAJUSTE18!$A:$B,2,0),0))),""))),4)</f>
        <v>#VALUE!</v>
      </c>
      <c r="BIA6" s="44" t="e">
        <f>ROUNDUP(IF(IFERROR(IF($BGY6="","",IF($BGY6=0,1,1-$BGY6/HLOOKUP(BIA$3,[2]ARBOR_REAJUSTE18!$A:$AE,VLOOKUP($BGY$2,[2]ARBOR_REAJUSTE18!$A:$B,2,0),0))),"")&lt;0.01%,0.01%,(IFERROR(IF($BGY6="","",IF($BGY6=0,1,1-$BGY6/HLOOKUP(BIA$3,[2]ARBOR_REAJUSTE18!$A:$AE,VLOOKUP($BGY$2,[2]ARBOR_REAJUSTE18!$A:$B,2,0),0))),""))),4)</f>
        <v>#VALUE!</v>
      </c>
      <c r="BIB6" s="56"/>
      <c r="BIC6" s="64"/>
      <c r="BID6" s="44" t="e">
        <f>ROUNDUP(IF(IFERROR(IF($BIB6="","",IF($BIB6=0,1,1-$BIB6/HLOOKUP(BID$3,[2]ARBOR_REAJUSTE18!$A:$AE,VLOOKUP($BIB$2,[2]ARBOR_REAJUSTE18!$A:$B,2,0),0))),"")&lt;0.01%,0.01%,(IFERROR(IF($BIB6="","",IF($BIB6=0,1,1-$BIB6/HLOOKUP(BID$3,[2]ARBOR_REAJUSTE18!$A:$AE,VLOOKUP($BIB$2,[2]ARBOR_REAJUSTE18!$A:$B,2,0),0))),""))),4)</f>
        <v>#VALUE!</v>
      </c>
      <c r="BIE6" s="44" t="e">
        <f>ROUNDUP(IF(IFERROR(IF($BIB6="","",IF($BIB6=0,1,1-$BIB6/HLOOKUP(BIE$3,[2]ARBOR_REAJUSTE18!$A:$AE,VLOOKUP($BIB$2,[2]ARBOR_REAJUSTE18!$A:$B,2,0),0))),"")&lt;0.01%,0.01%,(IFERROR(IF($BIB6="","",IF($BIB6=0,1,1-$BIB6/HLOOKUP(BIE$3,[2]ARBOR_REAJUSTE18!$A:$AE,VLOOKUP($BIB$2,[2]ARBOR_REAJUSTE18!$A:$B,2,0),0))),""))),4)</f>
        <v>#VALUE!</v>
      </c>
      <c r="BIF6" s="44" t="e">
        <f>ROUNDUP(IF(IFERROR(IF($BIB6="","",IF($BIB6=0,1,1-$BIB6/HLOOKUP(BIF$3,[2]ARBOR_REAJUSTE18!$A:$AE,VLOOKUP($BIB$2,[2]ARBOR_REAJUSTE18!$A:$B,2,0),0))),"")&lt;0.01%,0.01%,(IFERROR(IF($BIB6="","",IF($BIB6=0,1,1-$BIB6/HLOOKUP(BIF$3,[2]ARBOR_REAJUSTE18!$A:$AE,VLOOKUP($BIB$2,[2]ARBOR_REAJUSTE18!$A:$B,2,0),0))),""))),4)</f>
        <v>#VALUE!</v>
      </c>
      <c r="BIG6" s="44" t="e">
        <f>ROUNDUP(IF(IFERROR(IF($BIB6="","",IF($BIB6=0,1,1-$BIB6/HLOOKUP(BIG$3,[2]ARBOR_REAJUSTE18!$A:$AE,VLOOKUP($BIB$2,[2]ARBOR_REAJUSTE18!$A:$B,2,0),0))),"")&lt;0.01%,0.01%,(IFERROR(IF($BIB6="","",IF($BIB6=0,1,1-$BIB6/HLOOKUP(BIG$3,[2]ARBOR_REAJUSTE18!$A:$AE,VLOOKUP($BIB$2,[2]ARBOR_REAJUSTE18!$A:$B,2,0),0))),""))),4)</f>
        <v>#VALUE!</v>
      </c>
      <c r="BIH6" s="44" t="e">
        <f>ROUNDUP(IF(IFERROR(IF($BIB6="","",IF($BIB6=0,1,1-$BIB6/HLOOKUP(BIH$3,[2]ARBOR_REAJUSTE18!$A:$AE,VLOOKUP($BIB$2,[2]ARBOR_REAJUSTE18!$A:$B,2,0),0))),"")&lt;0.01%,0.01%,(IFERROR(IF($BIB6="","",IF($BIB6=0,1,1-$BIB6/HLOOKUP(BIH$3,[2]ARBOR_REAJUSTE18!$A:$AE,VLOOKUP($BIB$2,[2]ARBOR_REAJUSTE18!$A:$B,2,0),0))),""))),4)</f>
        <v>#VALUE!</v>
      </c>
      <c r="BII6" s="44" t="e">
        <f>ROUNDUP(IF(IFERROR(IF($BIB6="","",IF($BIB6=0,1,1-$BIB6/HLOOKUP(BII$3,[2]ARBOR_REAJUSTE18!$A:$AE,VLOOKUP($BIB$2,[2]ARBOR_REAJUSTE18!$A:$B,2,0),0))),"")&lt;0.01%,0.01%,(IFERROR(IF($BIB6="","",IF($BIB6=0,1,1-$BIB6/HLOOKUP(BII$3,[2]ARBOR_REAJUSTE18!$A:$AE,VLOOKUP($BIB$2,[2]ARBOR_REAJUSTE18!$A:$B,2,0),0))),""))),4)</f>
        <v>#VALUE!</v>
      </c>
      <c r="BIJ6" s="44" t="e">
        <f>ROUNDUP(IF(IFERROR(IF($BIB6="","",IF($BIB6=0,1,1-$BIB6/HLOOKUP(BIJ$3,[2]ARBOR_REAJUSTE18!$A:$AE,VLOOKUP($BIB$2,[2]ARBOR_REAJUSTE18!$A:$B,2,0),0))),"")&lt;0.01%,0.01%,(IFERROR(IF($BIB6="","",IF($BIB6=0,1,1-$BIB6/HLOOKUP(BIJ$3,[2]ARBOR_REAJUSTE18!$A:$AE,VLOOKUP($BIB$2,[2]ARBOR_REAJUSTE18!$A:$B,2,0),0))),""))),4)</f>
        <v>#VALUE!</v>
      </c>
      <c r="BIK6" s="44" t="e">
        <f>ROUNDUP(IF(IFERROR(IF($BIB6="","",IF($BIB6=0,1,1-$BIB6/HLOOKUP(BIK$3,[2]ARBOR_REAJUSTE18!$A:$AE,VLOOKUP($BIB$2,[2]ARBOR_REAJUSTE18!$A:$B,2,0),0))),"")&lt;0.01%,0.01%,(IFERROR(IF($BIB6="","",IF($BIB6=0,1,1-$BIB6/HLOOKUP(BIK$3,[2]ARBOR_REAJUSTE18!$A:$AE,VLOOKUP($BIB$2,[2]ARBOR_REAJUSTE18!$A:$B,2,0),0))),""))),4)</f>
        <v>#VALUE!</v>
      </c>
      <c r="BIL6" s="44" t="e">
        <f>ROUNDUP(IF(IFERROR(IF($BIB6="","",IF($BIB6=0,1,1-$BIB6/HLOOKUP(BIL$3,[2]ARBOR_REAJUSTE18!$A:$AE,VLOOKUP($BIB$2,[2]ARBOR_REAJUSTE18!$A:$B,2,0),0))),"")&lt;0.01%,0.01%,(IFERROR(IF($BIB6="","",IF($BIB6=0,1,1-$BIB6/HLOOKUP(BIL$3,[2]ARBOR_REAJUSTE18!$A:$AE,VLOOKUP($BIB$2,[2]ARBOR_REAJUSTE18!$A:$B,2,0),0))),""))),4)</f>
        <v>#VALUE!</v>
      </c>
      <c r="BIM6" s="44" t="e">
        <f>ROUNDUP(IF(IFERROR(IF($BIB6="","",IF($BIB6=0,1,1-$BIB6/HLOOKUP(BIM$3,[2]ARBOR_REAJUSTE18!$A:$AE,VLOOKUP($BIB$2,[2]ARBOR_REAJUSTE18!$A:$B,2,0),0))),"")&lt;0.01%,0.01%,(IFERROR(IF($BIB6="","",IF($BIB6=0,1,1-$BIB6/HLOOKUP(BIM$3,[2]ARBOR_REAJUSTE18!$A:$AE,VLOOKUP($BIB$2,[2]ARBOR_REAJUSTE18!$A:$B,2,0),0))),""))),4)</f>
        <v>#VALUE!</v>
      </c>
      <c r="BIN6" s="44" t="e">
        <f>ROUNDUP(IF(IFERROR(IF($BIB6="","",IF($BIB6=0,1,1-$BIB6/HLOOKUP(BIN$3,[2]ARBOR_REAJUSTE18!$A:$AE,VLOOKUP($BIB$2,[2]ARBOR_REAJUSTE18!$A:$B,2,0),0))),"")&lt;0.01%,0.01%,(IFERROR(IF($BIB6="","",IF($BIB6=0,1,1-$BIB6/HLOOKUP(BIN$3,[2]ARBOR_REAJUSTE18!$A:$AE,VLOOKUP($BIB$2,[2]ARBOR_REAJUSTE18!$A:$B,2,0),0))),""))),4)</f>
        <v>#VALUE!</v>
      </c>
      <c r="BIO6" s="44" t="e">
        <f>ROUNDUP(IF(IFERROR(IF($BIB6="","",IF($BIB6=0,1,1-$BIB6/HLOOKUP(BIO$3,[2]ARBOR_REAJUSTE18!$A:$AE,VLOOKUP($BIB$2,[2]ARBOR_REAJUSTE18!$A:$B,2,0),0))),"")&lt;0.01%,0.01%,(IFERROR(IF($BIB6="","",IF($BIB6=0,1,1-$BIB6/HLOOKUP(BIO$3,[2]ARBOR_REAJUSTE18!$A:$AE,VLOOKUP($BIB$2,[2]ARBOR_REAJUSTE18!$A:$B,2,0),0))),""))),4)</f>
        <v>#VALUE!</v>
      </c>
      <c r="BIP6" s="44" t="e">
        <f>ROUNDUP(IF(IFERROR(IF($BIB6="","",IF($BIB6=0,1,1-$BIB6/HLOOKUP(BIP$3,[2]ARBOR_REAJUSTE18!$A:$AE,VLOOKUP($BIB$2,[2]ARBOR_REAJUSTE18!$A:$B,2,0),0))),"")&lt;0.01%,0.01%,(IFERROR(IF($BIB6="","",IF($BIB6=0,1,1-$BIB6/HLOOKUP(BIP$3,[2]ARBOR_REAJUSTE18!$A:$AE,VLOOKUP($BIB$2,[2]ARBOR_REAJUSTE18!$A:$B,2,0),0))),""))),4)</f>
        <v>#VALUE!</v>
      </c>
      <c r="BIQ6" s="44" t="e">
        <f>ROUNDUP(IF(IFERROR(IF($BIB6="","",IF($BIB6=0,1,1-$BIB6/HLOOKUP(BIQ$3,[2]ARBOR_REAJUSTE18!$A:$AE,VLOOKUP($BIB$2,[2]ARBOR_REAJUSTE18!$A:$B,2,0),0))),"")&lt;0.01%,0.01%,(IFERROR(IF($BIB6="","",IF($BIB6=0,1,1-$BIB6/HLOOKUP(BIQ$3,[2]ARBOR_REAJUSTE18!$A:$AE,VLOOKUP($BIB$2,[2]ARBOR_REAJUSTE18!$A:$B,2,0),0))),""))),4)</f>
        <v>#VALUE!</v>
      </c>
      <c r="BIR6" s="44" t="e">
        <f>ROUNDUP(IF(IFERROR(IF($BIB6="","",IF($BIB6=0,1,1-$BIB6/HLOOKUP(BIR$3,[2]ARBOR_REAJUSTE18!$A:$AE,VLOOKUP($BIB$2,[2]ARBOR_REAJUSTE18!$A:$B,2,0),0))),"")&lt;0.01%,0.01%,(IFERROR(IF($BIB6="","",IF($BIB6=0,1,1-$BIB6/HLOOKUP(BIR$3,[2]ARBOR_REAJUSTE18!$A:$AE,VLOOKUP($BIB$2,[2]ARBOR_REAJUSTE18!$A:$B,2,0),0))),""))),4)</f>
        <v>#VALUE!</v>
      </c>
      <c r="BIS6" s="44" t="e">
        <f>ROUNDUP(IF(IFERROR(IF($BIB6="","",IF($BIB6=0,1,1-$BIB6/HLOOKUP(BIS$3,[2]ARBOR_REAJUSTE18!$A:$AE,VLOOKUP($BIB$2,[2]ARBOR_REAJUSTE18!$A:$B,2,0),0))),"")&lt;0.01%,0.01%,(IFERROR(IF($BIB6="","",IF($BIB6=0,1,1-$BIB6/HLOOKUP(BIS$3,[2]ARBOR_REAJUSTE18!$A:$AE,VLOOKUP($BIB$2,[2]ARBOR_REAJUSTE18!$A:$B,2,0),0))),""))),4)</f>
        <v>#VALUE!</v>
      </c>
      <c r="BIT6" s="44" t="e">
        <f>ROUNDUP(IF(IFERROR(IF($BIB6="","",IF($BIB6=0,1,1-$BIB6/HLOOKUP(BIT$3,[2]ARBOR_REAJUSTE18!$A:$AE,VLOOKUP($BIB$2,[2]ARBOR_REAJUSTE18!$A:$B,2,0),0))),"")&lt;0.01%,0.01%,(IFERROR(IF($BIB6="","",IF($BIB6=0,1,1-$BIB6/HLOOKUP(BIT$3,[2]ARBOR_REAJUSTE18!$A:$AE,VLOOKUP($BIB$2,[2]ARBOR_REAJUSTE18!$A:$B,2,0),0))),""))),4)</f>
        <v>#VALUE!</v>
      </c>
      <c r="BIU6" s="44" t="e">
        <f>ROUNDUP(IF(IFERROR(IF($BIB6="","",IF($BIB6=0,1,1-$BIB6/HLOOKUP(BIU$3,[2]ARBOR_REAJUSTE18!$A:$AE,VLOOKUP($BIB$2,[2]ARBOR_REAJUSTE18!$A:$B,2,0),0))),"")&lt;0.01%,0.01%,(IFERROR(IF($BIB6="","",IF($BIB6=0,1,1-$BIB6/HLOOKUP(BIU$3,[2]ARBOR_REAJUSTE18!$A:$AE,VLOOKUP($BIB$2,[2]ARBOR_REAJUSTE18!$A:$B,2,0),0))),""))),4)</f>
        <v>#VALUE!</v>
      </c>
      <c r="BIV6" s="44" t="e">
        <f>ROUNDUP(IF(IFERROR(IF($BIB6="","",IF($BIB6=0,1,1-$BIB6/HLOOKUP(BIV$3,[2]ARBOR_REAJUSTE18!$A:$AE,VLOOKUP($BIB$2,[2]ARBOR_REAJUSTE18!$A:$B,2,0),0))),"")&lt;0.01%,0.01%,(IFERROR(IF($BIB6="","",IF($BIB6=0,1,1-$BIB6/HLOOKUP(BIV$3,[2]ARBOR_REAJUSTE18!$A:$AE,VLOOKUP($BIB$2,[2]ARBOR_REAJUSTE18!$A:$B,2,0),0))),""))),4)</f>
        <v>#VALUE!</v>
      </c>
      <c r="BIW6" s="44" t="e">
        <f>ROUNDUP(IF(IFERROR(IF($BIB6="","",IF($BIB6=0,1,1-$BIB6/HLOOKUP(BIW$3,[2]ARBOR_REAJUSTE18!$A:$AE,VLOOKUP($BIB$2,[2]ARBOR_REAJUSTE18!$A:$B,2,0),0))),"")&lt;0.01%,0.01%,(IFERROR(IF($BIB6="","",IF($BIB6=0,1,1-$BIB6/HLOOKUP(BIW$3,[2]ARBOR_REAJUSTE18!$A:$AE,VLOOKUP($BIB$2,[2]ARBOR_REAJUSTE18!$A:$B,2,0),0))),""))),4)</f>
        <v>#VALUE!</v>
      </c>
      <c r="BIX6" s="44" t="e">
        <f>ROUNDUP(IF(IFERROR(IF($BIB6="","",IF($BIB6=0,1,1-$BIB6/HLOOKUP(BIX$3,[2]ARBOR_REAJUSTE18!$A:$AE,VLOOKUP($BIB$2,[2]ARBOR_REAJUSTE18!$A:$B,2,0),0))),"")&lt;0.01%,0.01%,(IFERROR(IF($BIB6="","",IF($BIB6=0,1,1-$BIB6/HLOOKUP(BIX$3,[2]ARBOR_REAJUSTE18!$A:$AE,VLOOKUP($BIB$2,[2]ARBOR_REAJUSTE18!$A:$B,2,0),0))),""))),4)</f>
        <v>#VALUE!</v>
      </c>
      <c r="BIY6" s="44" t="e">
        <f>ROUNDUP(IF(IFERROR(IF($BIB6="","",IF($BIB6=0,1,1-$BIB6/HLOOKUP(BIY$3,[2]ARBOR_REAJUSTE18!$A:$AE,VLOOKUP($BIB$2,[2]ARBOR_REAJUSTE18!$A:$B,2,0),0))),"")&lt;0.01%,0.01%,(IFERROR(IF($BIB6="","",IF($BIB6=0,1,1-$BIB6/HLOOKUP(BIY$3,[2]ARBOR_REAJUSTE18!$A:$AE,VLOOKUP($BIB$2,[2]ARBOR_REAJUSTE18!$A:$B,2,0),0))),""))),4)</f>
        <v>#VALUE!</v>
      </c>
      <c r="BIZ6" s="44" t="e">
        <f>ROUNDUP(IF(IFERROR(IF($BIB6="","",IF($BIB6=0,1,1-$BIB6/HLOOKUP(BIZ$3,[2]ARBOR_REAJUSTE18!$A:$AE,VLOOKUP($BIB$2,[2]ARBOR_REAJUSTE18!$A:$B,2,0),0))),"")&lt;0.01%,0.01%,(IFERROR(IF($BIB6="","",IF($BIB6=0,1,1-$BIB6/HLOOKUP(BIZ$3,[2]ARBOR_REAJUSTE18!$A:$AE,VLOOKUP($BIB$2,[2]ARBOR_REAJUSTE18!$A:$B,2,0),0))),""))),4)</f>
        <v>#VALUE!</v>
      </c>
      <c r="BJA6" s="44" t="e">
        <f>ROUNDUP(IF(IFERROR(IF($BIB6="","",IF($BIB6=0,1,1-$BIB6/HLOOKUP(BJA$3,[2]ARBOR_REAJUSTE18!$A:$AE,VLOOKUP($BIB$2,[2]ARBOR_REAJUSTE18!$A:$B,2,0),0))),"")&lt;0.01%,0.01%,(IFERROR(IF($BIB6="","",IF($BIB6=0,1,1-$BIB6/HLOOKUP(BJA$3,[2]ARBOR_REAJUSTE18!$A:$AE,VLOOKUP($BIB$2,[2]ARBOR_REAJUSTE18!$A:$B,2,0),0))),""))),4)</f>
        <v>#VALUE!</v>
      </c>
      <c r="BJB6" s="44" t="e">
        <f>ROUNDUP(IF(IFERROR(IF($BIB6="","",IF($BIB6=0,1,1-$BIB6/HLOOKUP(BJB$3,[2]ARBOR_REAJUSTE18!$A:$AE,VLOOKUP($BIB$2,[2]ARBOR_REAJUSTE18!$A:$B,2,0),0))),"")&lt;0.01%,0.01%,(IFERROR(IF($BIB6="","",IF($BIB6=0,1,1-$BIB6/HLOOKUP(BJB$3,[2]ARBOR_REAJUSTE18!$A:$AE,VLOOKUP($BIB$2,[2]ARBOR_REAJUSTE18!$A:$B,2,0),0))),""))),4)</f>
        <v>#VALUE!</v>
      </c>
      <c r="BJC6" s="44" t="e">
        <f>ROUNDUP(IF(IFERROR(IF($BIB6="","",IF($BIB6=0,1,1-$BIB6/HLOOKUP(BJC$3,[2]ARBOR_REAJUSTE18!$A:$AE,VLOOKUP($BIB$2,[2]ARBOR_REAJUSTE18!$A:$B,2,0),0))),"")&lt;0.01%,0.01%,(IFERROR(IF($BIB6="","",IF($BIB6=0,1,1-$BIB6/HLOOKUP(BJC$3,[2]ARBOR_REAJUSTE18!$A:$AE,VLOOKUP($BIB$2,[2]ARBOR_REAJUSTE18!$A:$B,2,0),0))),""))),4)</f>
        <v>#VALUE!</v>
      </c>
      <c r="BJD6" s="44" t="e">
        <f>ROUNDUP(IF(IFERROR(IF($BIB6="","",IF($BIB6=0,1,1-$BIB6/HLOOKUP(BJD$3,[2]ARBOR_REAJUSTE18!$A:$AE,VLOOKUP($BIB$2,[2]ARBOR_REAJUSTE18!$A:$B,2,0),0))),"")&lt;0.01%,0.01%,(IFERROR(IF($BIB6="","",IF($BIB6=0,1,1-$BIB6/HLOOKUP(BJD$3,[2]ARBOR_REAJUSTE18!$A:$AE,VLOOKUP($BIB$2,[2]ARBOR_REAJUSTE18!$A:$B,2,0),0))),""))),4)</f>
        <v>#VALUE!</v>
      </c>
      <c r="BJE6" s="56">
        <v>75</v>
      </c>
      <c r="BJF6" s="64" t="str">
        <f ca="1">VLOOKUP($AV6&amp;BJG6&amp;"Template desconto % Combate nível conta",[2]BENEFICIOS!$A:$G,5,0)</f>
        <v>MKT-1-10624232431</v>
      </c>
      <c r="BJG6" s="44">
        <f ca="1">ROUNDUP(IF(IFERROR(IF($BJE6="","",IF($BJE6=0,1,1-$BJE6/HLOOKUP(BJG$3,[2]ARBOR_REAJUSTE18!$A:$AE,VLOOKUP($BJE$2,[2]ARBOR_REAJUSTE18!$A:$B,2,0),0))),"")&lt;0.01%,0.01%,(IFERROR(IF($BJE6="","",IF($BJE6=0,1,1-$BJE6/HLOOKUP(BJG$3,[2]ARBOR_REAJUSTE18!$A:$AE,VLOOKUP($BJE$2,[2]ARBOR_REAJUSTE18!$A:$B,2,0),0))),""))),4)</f>
        <v>0.32029999999999997</v>
      </c>
      <c r="BJH6" s="44">
        <f ca="1">ROUNDUP(IF(IFERROR(IF($BJE6="","",IF($BJE6=0,1,1-$BJE6/HLOOKUP(BJH$3,[2]ARBOR_REAJUSTE18!$A:$AE,VLOOKUP($BJE$2,[2]ARBOR_REAJUSTE18!$A:$B,2,0),0))),"")&lt;0.01%,0.01%,(IFERROR(IF($BJE6="","",IF($BJE6=0,1,1-$BJE6/HLOOKUP(BJH$3,[2]ARBOR_REAJUSTE18!$A:$AE,VLOOKUP($BJE$2,[2]ARBOR_REAJUSTE18!$A:$B,2,0),0))),""))),4)</f>
        <v>0.32029999999999997</v>
      </c>
      <c r="BJI6" s="44">
        <f ca="1">ROUNDUP(IF(IFERROR(IF($BJE6="","",IF($BJE6=0,1,1-$BJE6/HLOOKUP(BJI$3,[2]ARBOR_REAJUSTE18!$A:$AE,VLOOKUP($BJE$2,[2]ARBOR_REAJUSTE18!$A:$B,2,0),0))),"")&lt;0.01%,0.01%,(IFERROR(IF($BJE6="","",IF($BJE6=0,1,1-$BJE6/HLOOKUP(BJI$3,[2]ARBOR_REAJUSTE18!$A:$AE,VLOOKUP($BJE$2,[2]ARBOR_REAJUSTE18!$A:$B,2,0),0))),""))),4)</f>
        <v>0.32029999999999997</v>
      </c>
      <c r="BJJ6" s="44">
        <f ca="1">ROUNDUP(IF(IFERROR(IF($BJE6="","",IF($BJE6=0,1,1-$BJE6/HLOOKUP(BJJ$3,[2]ARBOR_REAJUSTE18!$A:$AE,VLOOKUP($BJE$2,[2]ARBOR_REAJUSTE18!$A:$B,2,0),0))),"")&lt;0.01%,0.01%,(IFERROR(IF($BJE6="","",IF($BJE6=0,1,1-$BJE6/HLOOKUP(BJJ$3,[2]ARBOR_REAJUSTE18!$A:$AE,VLOOKUP($BJE$2,[2]ARBOR_REAJUSTE18!$A:$B,2,0),0))),""))),4)</f>
        <v>0.32029999999999997</v>
      </c>
      <c r="BJK6" s="44">
        <f ca="1">ROUNDUP(IF(IFERROR(IF($BJE6="","",IF($BJE6=0,1,1-$BJE6/HLOOKUP(BJK$3,[2]ARBOR_REAJUSTE18!$A:$AE,VLOOKUP($BJE$2,[2]ARBOR_REAJUSTE18!$A:$B,2,0),0))),"")&lt;0.01%,0.01%,(IFERROR(IF($BJE6="","",IF($BJE6=0,1,1-$BJE6/HLOOKUP(BJK$3,[2]ARBOR_REAJUSTE18!$A:$AE,VLOOKUP($BJE$2,[2]ARBOR_REAJUSTE18!$A:$B,2,0),0))),""))),4)</f>
        <v>0.32029999999999997</v>
      </c>
      <c r="BJL6" s="44">
        <f ca="1">ROUNDUP(IF(IFERROR(IF($BJE6="","",IF($BJE6=0,1,1-$BJE6/HLOOKUP(BJL$3,[2]ARBOR_REAJUSTE18!$A:$AE,VLOOKUP($BJE$2,[2]ARBOR_REAJUSTE18!$A:$B,2,0),0))),"")&lt;0.01%,0.01%,(IFERROR(IF($BJE6="","",IF($BJE6=0,1,1-$BJE6/HLOOKUP(BJL$3,[2]ARBOR_REAJUSTE18!$A:$AE,VLOOKUP($BJE$2,[2]ARBOR_REAJUSTE18!$A:$B,2,0),0))),""))),4)</f>
        <v>0.32029999999999997</v>
      </c>
      <c r="BJM6" s="44">
        <f ca="1">ROUNDUP(IF(IFERROR(IF($BJE6="","",IF($BJE6=0,1,1-$BJE6/HLOOKUP(BJM$3,[2]ARBOR_REAJUSTE18!$A:$AE,VLOOKUP($BJE$2,[2]ARBOR_REAJUSTE18!$A:$B,2,0),0))),"")&lt;0.01%,0.01%,(IFERROR(IF($BJE6="","",IF($BJE6=0,1,1-$BJE6/HLOOKUP(BJM$3,[2]ARBOR_REAJUSTE18!$A:$AE,VLOOKUP($BJE$2,[2]ARBOR_REAJUSTE18!$A:$B,2,0),0))),""))),4)</f>
        <v>0.32029999999999997</v>
      </c>
      <c r="BJN6" s="44">
        <f ca="1">ROUNDUP(IF(IFERROR(IF($BJE6="","",IF($BJE6=0,1,1-$BJE6/HLOOKUP(BJN$3,[2]ARBOR_REAJUSTE18!$A:$AE,VLOOKUP($BJE$2,[2]ARBOR_REAJUSTE18!$A:$B,2,0),0))),"")&lt;0.01%,0.01%,(IFERROR(IF($BJE6="","",IF($BJE6=0,1,1-$BJE6/HLOOKUP(BJN$3,[2]ARBOR_REAJUSTE18!$A:$AE,VLOOKUP($BJE$2,[2]ARBOR_REAJUSTE18!$A:$B,2,0),0))),""))),4)</f>
        <v>0.32029999999999997</v>
      </c>
      <c r="BJO6" s="44">
        <f ca="1">ROUNDUP(IF(IFERROR(IF($BJE6="","",IF($BJE6=0,1,1-$BJE6/HLOOKUP(BJO$3,[2]ARBOR_REAJUSTE18!$A:$AE,VLOOKUP($BJE$2,[2]ARBOR_REAJUSTE18!$A:$B,2,0),0))),"")&lt;0.01%,0.01%,(IFERROR(IF($BJE6="","",IF($BJE6=0,1,1-$BJE6/HLOOKUP(BJO$3,[2]ARBOR_REAJUSTE18!$A:$AE,VLOOKUP($BJE$2,[2]ARBOR_REAJUSTE18!$A:$B,2,0),0))),""))),4)</f>
        <v>0.32029999999999997</v>
      </c>
      <c r="BJP6" s="44">
        <f ca="1">ROUNDUP(IF(IFERROR(IF($BJE6="","",IF($BJE6=0,1,1-$BJE6/HLOOKUP(BJP$3,[2]ARBOR_REAJUSTE18!$A:$AE,VLOOKUP($BJE$2,[2]ARBOR_REAJUSTE18!$A:$B,2,0),0))),"")&lt;0.01%,0.01%,(IFERROR(IF($BJE6="","",IF($BJE6=0,1,1-$BJE6/HLOOKUP(BJP$3,[2]ARBOR_REAJUSTE18!$A:$AE,VLOOKUP($BJE$2,[2]ARBOR_REAJUSTE18!$A:$B,2,0),0))),""))),4)</f>
        <v>0.32029999999999997</v>
      </c>
      <c r="BJQ6" s="44">
        <f ca="1">ROUNDUP(IF(IFERROR(IF($BJE6="","",IF($BJE6=0,1,1-$BJE6/HLOOKUP(BJQ$3,[2]ARBOR_REAJUSTE18!$A:$AE,VLOOKUP($BJE$2,[2]ARBOR_REAJUSTE18!$A:$B,2,0),0))),"")&lt;0.01%,0.01%,(IFERROR(IF($BJE6="","",IF($BJE6=0,1,1-$BJE6/HLOOKUP(BJQ$3,[2]ARBOR_REAJUSTE18!$A:$AE,VLOOKUP($BJE$2,[2]ARBOR_REAJUSTE18!$A:$B,2,0),0))),""))),4)</f>
        <v>0.34449999999999997</v>
      </c>
      <c r="BJR6" s="44">
        <f ca="1">ROUNDUP(IF(IFERROR(IF($BJE6="","",IF($BJE6=0,1,1-$BJE6/HLOOKUP(BJR$3,[2]ARBOR_REAJUSTE18!$A:$AE,VLOOKUP($BJE$2,[2]ARBOR_REAJUSTE18!$A:$B,2,0),0))),"")&lt;0.01%,0.01%,(IFERROR(IF($BJE6="","",IF($BJE6=0,1,1-$BJE6/HLOOKUP(BJR$3,[2]ARBOR_REAJUSTE18!$A:$AE,VLOOKUP($BJE$2,[2]ARBOR_REAJUSTE18!$A:$B,2,0),0))),""))),4)</f>
        <v>0.32029999999999997</v>
      </c>
      <c r="BJS6" s="44">
        <f ca="1">ROUNDUP(IF(IFERROR(IF($BJE6="","",IF($BJE6=0,1,1-$BJE6/HLOOKUP(BJS$3,[2]ARBOR_REAJUSTE18!$A:$AE,VLOOKUP($BJE$2,[2]ARBOR_REAJUSTE18!$A:$B,2,0),0))),"")&lt;0.01%,0.01%,(IFERROR(IF($BJE6="","",IF($BJE6=0,1,1-$BJE6/HLOOKUP(BJS$3,[2]ARBOR_REAJUSTE18!$A:$AE,VLOOKUP($BJE$2,[2]ARBOR_REAJUSTE18!$A:$B,2,0),0))),""))),4)</f>
        <v>0.32029999999999997</v>
      </c>
      <c r="BJT6" s="44">
        <f ca="1">ROUNDUP(IF(IFERROR(IF($BJE6="","",IF($BJE6=0,1,1-$BJE6/HLOOKUP(BJT$3,[2]ARBOR_REAJUSTE18!$A:$AE,VLOOKUP($BJE$2,[2]ARBOR_REAJUSTE18!$A:$B,2,0),0))),"")&lt;0.01%,0.01%,(IFERROR(IF($BJE6="","",IF($BJE6=0,1,1-$BJE6/HLOOKUP(BJT$3,[2]ARBOR_REAJUSTE18!$A:$AE,VLOOKUP($BJE$2,[2]ARBOR_REAJUSTE18!$A:$B,2,0),0))),""))),4)</f>
        <v>0.32029999999999997</v>
      </c>
      <c r="BJU6" s="44">
        <f ca="1">ROUNDUP(IF(IFERROR(IF($BJE6="","",IF($BJE6=0,1,1-$BJE6/HLOOKUP(BJU$3,[2]ARBOR_REAJUSTE18!$A:$AE,VLOOKUP($BJE$2,[2]ARBOR_REAJUSTE18!$A:$B,2,0),0))),"")&lt;0.01%,0.01%,(IFERROR(IF($BJE6="","",IF($BJE6=0,1,1-$BJE6/HLOOKUP(BJU$3,[2]ARBOR_REAJUSTE18!$A:$AE,VLOOKUP($BJE$2,[2]ARBOR_REAJUSTE18!$A:$B,2,0),0))),""))),4)</f>
        <v>0.32029999999999997</v>
      </c>
      <c r="BJV6" s="44">
        <f ca="1">ROUNDUP(IF(IFERROR(IF($BJE6="","",IF($BJE6=0,1,1-$BJE6/HLOOKUP(BJV$3,[2]ARBOR_REAJUSTE18!$A:$AE,VLOOKUP($BJE$2,[2]ARBOR_REAJUSTE18!$A:$B,2,0),0))),"")&lt;0.01%,0.01%,(IFERROR(IF($BJE6="","",IF($BJE6=0,1,1-$BJE6/HLOOKUP(BJV$3,[2]ARBOR_REAJUSTE18!$A:$AE,VLOOKUP($BJE$2,[2]ARBOR_REAJUSTE18!$A:$B,2,0),0))),""))),4)</f>
        <v>0.32929999999999998</v>
      </c>
      <c r="BJW6" s="44">
        <f ca="1">ROUNDUP(IF(IFERROR(IF($BJE6="","",IF($BJE6=0,1,1-$BJE6/HLOOKUP(BJW$3,[2]ARBOR_REAJUSTE18!$A:$AE,VLOOKUP($BJE$2,[2]ARBOR_REAJUSTE18!$A:$B,2,0),0))),"")&lt;0.01%,0.01%,(IFERROR(IF($BJE6="","",IF($BJE6=0,1,1-$BJE6/HLOOKUP(BJW$3,[2]ARBOR_REAJUSTE18!$A:$AE,VLOOKUP($BJE$2,[2]ARBOR_REAJUSTE18!$A:$B,2,0),0))),""))),4)</f>
        <v>0.32029999999999997</v>
      </c>
      <c r="BJX6" s="44">
        <f ca="1">ROUNDUP(IF(IFERROR(IF($BJE6="","",IF($BJE6=0,1,1-$BJE6/HLOOKUP(BJX$3,[2]ARBOR_REAJUSTE18!$A:$AE,VLOOKUP($BJE$2,[2]ARBOR_REAJUSTE18!$A:$B,2,0),0))),"")&lt;0.01%,0.01%,(IFERROR(IF($BJE6="","",IF($BJE6=0,1,1-$BJE6/HLOOKUP(BJX$3,[2]ARBOR_REAJUSTE18!$A:$AE,VLOOKUP($BJE$2,[2]ARBOR_REAJUSTE18!$A:$B,2,0),0))),""))),4)</f>
        <v>0.32029999999999997</v>
      </c>
      <c r="BJY6" s="44">
        <f ca="1">ROUNDUP(IF(IFERROR(IF($BJE6="","",IF($BJE6=0,1,1-$BJE6/HLOOKUP(BJY$3,[2]ARBOR_REAJUSTE18!$A:$AE,VLOOKUP($BJE$2,[2]ARBOR_REAJUSTE18!$A:$B,2,0),0))),"")&lt;0.01%,0.01%,(IFERROR(IF($BJE6="","",IF($BJE6=0,1,1-$BJE6/HLOOKUP(BJY$3,[2]ARBOR_REAJUSTE18!$A:$AE,VLOOKUP($BJE$2,[2]ARBOR_REAJUSTE18!$A:$B,2,0),0))),""))),4)</f>
        <v>0.32029999999999997</v>
      </c>
      <c r="BJZ6" s="44">
        <f ca="1">ROUNDUP(IF(IFERROR(IF($BJE6="","",IF($BJE6=0,1,1-$BJE6/HLOOKUP(BJZ$3,[2]ARBOR_REAJUSTE18!$A:$AE,VLOOKUP($BJE$2,[2]ARBOR_REAJUSTE18!$A:$B,2,0),0))),"")&lt;0.01%,0.01%,(IFERROR(IF($BJE6="","",IF($BJE6=0,1,1-$BJE6/HLOOKUP(BJZ$3,[2]ARBOR_REAJUSTE18!$A:$AE,VLOOKUP($BJE$2,[2]ARBOR_REAJUSTE18!$A:$B,2,0),0))),""))),4)</f>
        <v>0.34449999999999997</v>
      </c>
      <c r="BKA6" s="44">
        <f ca="1">ROUNDUP(IF(IFERROR(IF($BJE6="","",IF($BJE6=0,1,1-$BJE6/HLOOKUP(BKA$3,[2]ARBOR_REAJUSTE18!$A:$AE,VLOOKUP($BJE$2,[2]ARBOR_REAJUSTE18!$A:$B,2,0),0))),"")&lt;0.01%,0.01%,(IFERROR(IF($BJE6="","",IF($BJE6=0,1,1-$BJE6/HLOOKUP(BKA$3,[2]ARBOR_REAJUSTE18!$A:$AE,VLOOKUP($BJE$2,[2]ARBOR_REAJUSTE18!$A:$B,2,0),0))),""))),4)</f>
        <v>0.32029999999999997</v>
      </c>
      <c r="BKB6" s="44">
        <f ca="1">ROUNDUP(IF(IFERROR(IF($BJE6="","",IF($BJE6=0,1,1-$BJE6/HLOOKUP(BKB$3,[2]ARBOR_REAJUSTE18!$A:$AE,VLOOKUP($BJE$2,[2]ARBOR_REAJUSTE18!$A:$B,2,0),0))),"")&lt;0.01%,0.01%,(IFERROR(IF($BJE6="","",IF($BJE6=0,1,1-$BJE6/HLOOKUP(BKB$3,[2]ARBOR_REAJUSTE18!$A:$AE,VLOOKUP($BJE$2,[2]ARBOR_REAJUSTE18!$A:$B,2,0),0))),""))),4)</f>
        <v>0.32029999999999997</v>
      </c>
      <c r="BKC6" s="44">
        <f ca="1">ROUNDUP(IF(IFERROR(IF($BJE6="","",IF($BJE6=0,1,1-$BJE6/HLOOKUP(BKC$3,[2]ARBOR_REAJUSTE18!$A:$AE,VLOOKUP($BJE$2,[2]ARBOR_REAJUSTE18!$A:$B,2,0),0))),"")&lt;0.01%,0.01%,(IFERROR(IF($BJE6="","",IF($BJE6=0,1,1-$BJE6/HLOOKUP(BKC$3,[2]ARBOR_REAJUSTE18!$A:$AE,VLOOKUP($BJE$2,[2]ARBOR_REAJUSTE18!$A:$B,2,0),0))),""))),4)</f>
        <v>0.32029999999999997</v>
      </c>
      <c r="BKD6" s="44">
        <f ca="1">ROUNDUP(IF(IFERROR(IF($BJE6="","",IF($BJE6=0,1,1-$BJE6/HLOOKUP(BKD$3,[2]ARBOR_REAJUSTE18!$A:$AE,VLOOKUP($BJE$2,[2]ARBOR_REAJUSTE18!$A:$B,2,0),0))),"")&lt;0.01%,0.01%,(IFERROR(IF($BJE6="","",IF($BJE6=0,1,1-$BJE6/HLOOKUP(BKD$3,[2]ARBOR_REAJUSTE18!$A:$AE,VLOOKUP($BJE$2,[2]ARBOR_REAJUSTE18!$A:$B,2,0),0))),""))),4)</f>
        <v>0.32029999999999997</v>
      </c>
      <c r="BKE6" s="44">
        <f ca="1">ROUNDUP(IF(IFERROR(IF($BJE6="","",IF($BJE6=0,1,1-$BJE6/HLOOKUP(BKE$3,[2]ARBOR_REAJUSTE18!$A:$AE,VLOOKUP($BJE$2,[2]ARBOR_REAJUSTE18!$A:$B,2,0),0))),"")&lt;0.01%,0.01%,(IFERROR(IF($BJE6="","",IF($BJE6=0,1,1-$BJE6/HLOOKUP(BKE$3,[2]ARBOR_REAJUSTE18!$A:$AE,VLOOKUP($BJE$2,[2]ARBOR_REAJUSTE18!$A:$B,2,0),0))),""))),4)</f>
        <v>0.32029999999999997</v>
      </c>
      <c r="BKF6" s="44">
        <f ca="1">ROUNDUP(IF(IFERROR(IF($BJE6="","",IF($BJE6=0,1,1-$BJE6/HLOOKUP(BKF$3,[2]ARBOR_REAJUSTE18!$A:$AE,VLOOKUP($BJE$2,[2]ARBOR_REAJUSTE18!$A:$B,2,0),0))),"")&lt;0.01%,0.01%,(IFERROR(IF($BJE6="","",IF($BJE6=0,1,1-$BJE6/HLOOKUP(BKF$3,[2]ARBOR_REAJUSTE18!$A:$AE,VLOOKUP($BJE$2,[2]ARBOR_REAJUSTE18!$A:$B,2,0),0))),""))),4)</f>
        <v>0.33610000000000001</v>
      </c>
      <c r="BKG6" s="44">
        <f ca="1">ROUNDUP(IF(IFERROR(IF($BJE6="","",IF($BJE6=0,1,1-$BJE6/HLOOKUP(BKG$3,[2]ARBOR_REAJUSTE18!$A:$AE,VLOOKUP($BJE$2,[2]ARBOR_REAJUSTE18!$A:$B,2,0),0))),"")&lt;0.01%,0.01%,(IFERROR(IF($BJE6="","",IF($BJE6=0,1,1-$BJE6/HLOOKUP(BKG$3,[2]ARBOR_REAJUSTE18!$A:$AE,VLOOKUP($BJE$2,[2]ARBOR_REAJUSTE18!$A:$B,2,0),0))),""))),4)</f>
        <v>0.32029999999999997</v>
      </c>
      <c r="BKH6" s="56">
        <v>19.899999999999999</v>
      </c>
      <c r="BKI6" s="64" t="str">
        <f ca="1">VLOOKUP($AV6&amp;BKJ6&amp;"Template desconto % Sexy Hot nível conta",[2]BENEFICIOS!$A:$G,5,0)</f>
        <v>MKT-1-10624227381</v>
      </c>
      <c r="BKJ6" s="44">
        <f ca="1">ROUNDUP(IF(IFERROR(IF($BKH6="","",IF($BKH6=0,1,1-$BKH6/HLOOKUP(BKJ$3,[2]ARBOR_REAJUSTE18!$A:$AE,VLOOKUP($BKH$2,[2]ARBOR_REAJUSTE18!$A:$B,2,0),0))),"")&lt;0.01%,0.01%,(IFERROR(IF($BKH6="","",IF($BKH6=0,1,1-$BKH6/HLOOKUP(BKJ$3,[2]ARBOR_REAJUSTE18!$A:$AE,VLOOKUP($BKH$2,[2]ARBOR_REAJUSTE18!$A:$B,2,0),0))),""))),4)</f>
        <v>9.3399999999999997E-2</v>
      </c>
      <c r="BKK6" s="44">
        <f ca="1">ROUNDUP(IF(IFERROR(IF($BKH6="","",IF($BKH6=0,1,1-$BKH6/HLOOKUP(BKK$3,[2]ARBOR_REAJUSTE18!$A:$AE,VLOOKUP($BKH$2,[2]ARBOR_REAJUSTE18!$A:$B,2,0),0))),"")&lt;0.01%,0.01%,(IFERROR(IF($BKH6="","",IF($BKH6=0,1,1-$BKH6/HLOOKUP(BKK$3,[2]ARBOR_REAJUSTE18!$A:$AE,VLOOKUP($BKH$2,[2]ARBOR_REAJUSTE18!$A:$B,2,0),0))),""))),4)</f>
        <v>9.3399999999999997E-2</v>
      </c>
      <c r="BKL6" s="44">
        <f ca="1">ROUNDUP(IF(IFERROR(IF($BKH6="","",IF($BKH6=0,1,1-$BKH6/HLOOKUP(BKL$3,[2]ARBOR_REAJUSTE18!$A:$AE,VLOOKUP($BKH$2,[2]ARBOR_REAJUSTE18!$A:$B,2,0),0))),"")&lt;0.01%,0.01%,(IFERROR(IF($BKH6="","",IF($BKH6=0,1,1-$BKH6/HLOOKUP(BKL$3,[2]ARBOR_REAJUSTE18!$A:$AE,VLOOKUP($BKH$2,[2]ARBOR_REAJUSTE18!$A:$B,2,0),0))),""))),4)</f>
        <v>9.3399999999999997E-2</v>
      </c>
      <c r="BKM6" s="44">
        <f ca="1">ROUNDUP(IF(IFERROR(IF($BKH6="","",IF($BKH6=0,1,1-$BKH6/HLOOKUP(BKM$3,[2]ARBOR_REAJUSTE18!$A:$AE,VLOOKUP($BKH$2,[2]ARBOR_REAJUSTE18!$A:$B,2,0),0))),"")&lt;0.01%,0.01%,(IFERROR(IF($BKH6="","",IF($BKH6=0,1,1-$BKH6/HLOOKUP(BKM$3,[2]ARBOR_REAJUSTE18!$A:$AE,VLOOKUP($BKH$2,[2]ARBOR_REAJUSTE18!$A:$B,2,0),0))),""))),4)</f>
        <v>9.3399999999999997E-2</v>
      </c>
      <c r="BKN6" s="44">
        <f ca="1">ROUNDUP(IF(IFERROR(IF($BKH6="","",IF($BKH6=0,1,1-$BKH6/HLOOKUP(BKN$3,[2]ARBOR_REAJUSTE18!$A:$AE,VLOOKUP($BKH$2,[2]ARBOR_REAJUSTE18!$A:$B,2,0),0))),"")&lt;0.01%,0.01%,(IFERROR(IF($BKH6="","",IF($BKH6=0,1,1-$BKH6/HLOOKUP(BKN$3,[2]ARBOR_REAJUSTE18!$A:$AE,VLOOKUP($BKH$2,[2]ARBOR_REAJUSTE18!$A:$B,2,0),0))),""))),4)</f>
        <v>9.3399999999999997E-2</v>
      </c>
      <c r="BKO6" s="44">
        <f ca="1">ROUNDUP(IF(IFERROR(IF($BKH6="","",IF($BKH6=0,1,1-$BKH6/HLOOKUP(BKO$3,[2]ARBOR_REAJUSTE18!$A:$AE,VLOOKUP($BKH$2,[2]ARBOR_REAJUSTE18!$A:$B,2,0),0))),"")&lt;0.01%,0.01%,(IFERROR(IF($BKH6="","",IF($BKH6=0,1,1-$BKH6/HLOOKUP(BKO$3,[2]ARBOR_REAJUSTE18!$A:$AE,VLOOKUP($BKH$2,[2]ARBOR_REAJUSTE18!$A:$B,2,0),0))),""))),4)</f>
        <v>9.3399999999999997E-2</v>
      </c>
      <c r="BKP6" s="44">
        <f ca="1">ROUNDUP(IF(IFERROR(IF($BKH6="","",IF($BKH6=0,1,1-$BKH6/HLOOKUP(BKP$3,[2]ARBOR_REAJUSTE18!$A:$AE,VLOOKUP($BKH$2,[2]ARBOR_REAJUSTE18!$A:$B,2,0),0))),"")&lt;0.01%,0.01%,(IFERROR(IF($BKH6="","",IF($BKH6=0,1,1-$BKH6/HLOOKUP(BKP$3,[2]ARBOR_REAJUSTE18!$A:$AE,VLOOKUP($BKH$2,[2]ARBOR_REAJUSTE18!$A:$B,2,0),0))),""))),4)</f>
        <v>9.2999999999999999E-2</v>
      </c>
      <c r="BKQ6" s="44">
        <f ca="1">ROUNDUP(IF(IFERROR(IF($BKH6="","",IF($BKH6=0,1,1-$BKH6/HLOOKUP(BKQ$3,[2]ARBOR_REAJUSTE18!$A:$AE,VLOOKUP($BKH$2,[2]ARBOR_REAJUSTE18!$A:$B,2,0),0))),"")&lt;0.01%,0.01%,(IFERROR(IF($BKH6="","",IF($BKH6=0,1,1-$BKH6/HLOOKUP(BKQ$3,[2]ARBOR_REAJUSTE18!$A:$AE,VLOOKUP($BKH$2,[2]ARBOR_REAJUSTE18!$A:$B,2,0),0))),""))),4)</f>
        <v>9.3399999999999997E-2</v>
      </c>
      <c r="BKR6" s="44">
        <f ca="1">ROUNDUP(IF(IFERROR(IF($BKH6="","",IF($BKH6=0,1,1-$BKH6/HLOOKUP(BKR$3,[2]ARBOR_REAJUSTE18!$A:$AE,VLOOKUP($BKH$2,[2]ARBOR_REAJUSTE18!$A:$B,2,0),0))),"")&lt;0.01%,0.01%,(IFERROR(IF($BKH6="","",IF($BKH6=0,1,1-$BKH6/HLOOKUP(BKR$3,[2]ARBOR_REAJUSTE18!$A:$AE,VLOOKUP($BKH$2,[2]ARBOR_REAJUSTE18!$A:$B,2,0),0))),""))),4)</f>
        <v>9.3399999999999997E-2</v>
      </c>
      <c r="BKS6" s="44">
        <f ca="1">ROUNDUP(IF(IFERROR(IF($BKH6="","",IF($BKH6=0,1,1-$BKH6/HLOOKUP(BKS$3,[2]ARBOR_REAJUSTE18!$A:$AE,VLOOKUP($BKH$2,[2]ARBOR_REAJUSTE18!$A:$B,2,0),0))),"")&lt;0.01%,0.01%,(IFERROR(IF($BKH6="","",IF($BKH6=0,1,1-$BKH6/HLOOKUP(BKS$3,[2]ARBOR_REAJUSTE18!$A:$AE,VLOOKUP($BKH$2,[2]ARBOR_REAJUSTE18!$A:$B,2,0),0))),""))),4)</f>
        <v>9.3399999999999997E-2</v>
      </c>
      <c r="BKT6" s="44">
        <f ca="1">ROUNDUP(IF(IFERROR(IF($BKH6="","",IF($BKH6=0,1,1-$BKH6/HLOOKUP(BKT$3,[2]ARBOR_REAJUSTE18!$A:$AE,VLOOKUP($BKH$2,[2]ARBOR_REAJUSTE18!$A:$B,2,0),0))),"")&lt;0.01%,0.01%,(IFERROR(IF($BKH6="","",IF($BKH6=0,1,1-$BKH6/HLOOKUP(BKT$3,[2]ARBOR_REAJUSTE18!$A:$AE,VLOOKUP($BKH$2,[2]ARBOR_REAJUSTE18!$A:$B,2,0),0))),""))),4)</f>
        <v>0.12529999999999999</v>
      </c>
      <c r="BKU6" s="44">
        <f ca="1">ROUNDUP(IF(IFERROR(IF($BKH6="","",IF($BKH6=0,1,1-$BKH6/HLOOKUP(BKU$3,[2]ARBOR_REAJUSTE18!$A:$AE,VLOOKUP($BKH$2,[2]ARBOR_REAJUSTE18!$A:$B,2,0),0))),"")&lt;0.01%,0.01%,(IFERROR(IF($BKH6="","",IF($BKH6=0,1,1-$BKH6/HLOOKUP(BKU$3,[2]ARBOR_REAJUSTE18!$A:$AE,VLOOKUP($BKH$2,[2]ARBOR_REAJUSTE18!$A:$B,2,0),0))),""))),4)</f>
        <v>9.3399999999999997E-2</v>
      </c>
      <c r="BKV6" s="44">
        <f ca="1">ROUNDUP(IF(IFERROR(IF($BKH6="","",IF($BKH6=0,1,1-$BKH6/HLOOKUP(BKV$3,[2]ARBOR_REAJUSTE18!$A:$AE,VLOOKUP($BKH$2,[2]ARBOR_REAJUSTE18!$A:$B,2,0),0))),"")&lt;0.01%,0.01%,(IFERROR(IF($BKH6="","",IF($BKH6=0,1,1-$BKH6/HLOOKUP(BKV$3,[2]ARBOR_REAJUSTE18!$A:$AE,VLOOKUP($BKH$2,[2]ARBOR_REAJUSTE18!$A:$B,2,0),0))),""))),4)</f>
        <v>9.3399999999999997E-2</v>
      </c>
      <c r="BKW6" s="44">
        <f ca="1">ROUNDUP(IF(IFERROR(IF($BKH6="","",IF($BKH6=0,1,1-$BKH6/HLOOKUP(BKW$3,[2]ARBOR_REAJUSTE18!$A:$AE,VLOOKUP($BKH$2,[2]ARBOR_REAJUSTE18!$A:$B,2,0),0))),"")&lt;0.01%,0.01%,(IFERROR(IF($BKH6="","",IF($BKH6=0,1,1-$BKH6/HLOOKUP(BKW$3,[2]ARBOR_REAJUSTE18!$A:$AE,VLOOKUP($BKH$2,[2]ARBOR_REAJUSTE18!$A:$B,2,0),0))),""))),4)</f>
        <v>9.3399999999999997E-2</v>
      </c>
      <c r="BKX6" s="44">
        <f ca="1">ROUNDUP(IF(IFERROR(IF($BKH6="","",IF($BKH6=0,1,1-$BKH6/HLOOKUP(BKX$3,[2]ARBOR_REAJUSTE18!$A:$AE,VLOOKUP($BKH$2,[2]ARBOR_REAJUSTE18!$A:$B,2,0),0))),"")&lt;0.01%,0.01%,(IFERROR(IF($BKH6="","",IF($BKH6=0,1,1-$BKH6/HLOOKUP(BKX$3,[2]ARBOR_REAJUSTE18!$A:$AE,VLOOKUP($BKH$2,[2]ARBOR_REAJUSTE18!$A:$B,2,0),0))),""))),4)</f>
        <v>9.3399999999999997E-2</v>
      </c>
      <c r="BKY6" s="44">
        <f ca="1">ROUNDUP(IF(IFERROR(IF($BKH6="","",IF($BKH6=0,1,1-$BKH6/HLOOKUP(BKY$3,[2]ARBOR_REAJUSTE18!$A:$AE,VLOOKUP($BKH$2,[2]ARBOR_REAJUSTE18!$A:$B,2,0),0))),"")&lt;0.01%,0.01%,(IFERROR(IF($BKH6="","",IF($BKH6=0,1,1-$BKH6/HLOOKUP(BKY$3,[2]ARBOR_REAJUSTE18!$A:$AE,VLOOKUP($BKH$2,[2]ARBOR_REAJUSTE18!$A:$B,2,0),0))),""))),4)</f>
        <v>0.1053</v>
      </c>
      <c r="BKZ6" s="44">
        <f ca="1">ROUNDUP(IF(IFERROR(IF($BKH6="","",IF($BKH6=0,1,1-$BKH6/HLOOKUP(BKZ$3,[2]ARBOR_REAJUSTE18!$A:$AE,VLOOKUP($BKH$2,[2]ARBOR_REAJUSTE18!$A:$B,2,0),0))),"")&lt;0.01%,0.01%,(IFERROR(IF($BKH6="","",IF($BKH6=0,1,1-$BKH6/HLOOKUP(BKZ$3,[2]ARBOR_REAJUSTE18!$A:$AE,VLOOKUP($BKH$2,[2]ARBOR_REAJUSTE18!$A:$B,2,0),0))),""))),4)</f>
        <v>9.3399999999999997E-2</v>
      </c>
      <c r="BLA6" s="44">
        <f ca="1">ROUNDUP(IF(IFERROR(IF($BKH6="","",IF($BKH6=0,1,1-$BKH6/HLOOKUP(BLA$3,[2]ARBOR_REAJUSTE18!$A:$AE,VLOOKUP($BKH$2,[2]ARBOR_REAJUSTE18!$A:$B,2,0),0))),"")&lt;0.01%,0.01%,(IFERROR(IF($BKH6="","",IF($BKH6=0,1,1-$BKH6/HLOOKUP(BLA$3,[2]ARBOR_REAJUSTE18!$A:$AE,VLOOKUP($BKH$2,[2]ARBOR_REAJUSTE18!$A:$B,2,0),0))),""))),4)</f>
        <v>9.3399999999999997E-2</v>
      </c>
      <c r="BLB6" s="44">
        <f ca="1">ROUNDUP(IF(IFERROR(IF($BKH6="","",IF($BKH6=0,1,1-$BKH6/HLOOKUP(BLB$3,[2]ARBOR_REAJUSTE18!$A:$AE,VLOOKUP($BKH$2,[2]ARBOR_REAJUSTE18!$A:$B,2,0),0))),"")&lt;0.01%,0.01%,(IFERROR(IF($BKH6="","",IF($BKH6=0,1,1-$BKH6/HLOOKUP(BLB$3,[2]ARBOR_REAJUSTE18!$A:$AE,VLOOKUP($BKH$2,[2]ARBOR_REAJUSTE18!$A:$B,2,0),0))),""))),4)</f>
        <v>9.3399999999999997E-2</v>
      </c>
      <c r="BLC6" s="44">
        <f ca="1">ROUNDUP(IF(IFERROR(IF($BKH6="","",IF($BKH6=0,1,1-$BKH6/HLOOKUP(BLC$3,[2]ARBOR_REAJUSTE18!$A:$AE,VLOOKUP($BKH$2,[2]ARBOR_REAJUSTE18!$A:$B,2,0),0))),"")&lt;0.01%,0.01%,(IFERROR(IF($BKH6="","",IF($BKH6=0,1,1-$BKH6/HLOOKUP(BLC$3,[2]ARBOR_REAJUSTE18!$A:$AE,VLOOKUP($BKH$2,[2]ARBOR_REAJUSTE18!$A:$B,2,0),0))),""))),4)</f>
        <v>0.12529999999999999</v>
      </c>
      <c r="BLD6" s="44">
        <f ca="1">ROUNDUP(IF(IFERROR(IF($BKH6="","",IF($BKH6=0,1,1-$BKH6/HLOOKUP(BLD$3,[2]ARBOR_REAJUSTE18!$A:$AE,VLOOKUP($BKH$2,[2]ARBOR_REAJUSTE18!$A:$B,2,0),0))),"")&lt;0.01%,0.01%,(IFERROR(IF($BKH6="","",IF($BKH6=0,1,1-$BKH6/HLOOKUP(BLD$3,[2]ARBOR_REAJUSTE18!$A:$AE,VLOOKUP($BKH$2,[2]ARBOR_REAJUSTE18!$A:$B,2,0),0))),""))),4)</f>
        <v>9.3399999999999997E-2</v>
      </c>
      <c r="BLE6" s="44">
        <f ca="1">ROUNDUP(IF(IFERROR(IF($BKH6="","",IF($BKH6=0,1,1-$BKH6/HLOOKUP(BLE$3,[2]ARBOR_REAJUSTE18!$A:$AE,VLOOKUP($BKH$2,[2]ARBOR_REAJUSTE18!$A:$B,2,0),0))),"")&lt;0.01%,0.01%,(IFERROR(IF($BKH6="","",IF($BKH6=0,1,1-$BKH6/HLOOKUP(BLE$3,[2]ARBOR_REAJUSTE18!$A:$AE,VLOOKUP($BKH$2,[2]ARBOR_REAJUSTE18!$A:$B,2,0),0))),""))),4)</f>
        <v>9.3399999999999997E-2</v>
      </c>
      <c r="BLF6" s="44">
        <f ca="1">ROUNDUP(IF(IFERROR(IF($BKH6="","",IF($BKH6=0,1,1-$BKH6/HLOOKUP(BLF$3,[2]ARBOR_REAJUSTE18!$A:$AE,VLOOKUP($BKH$2,[2]ARBOR_REAJUSTE18!$A:$B,2,0),0))),"")&lt;0.01%,0.01%,(IFERROR(IF($BKH6="","",IF($BKH6=0,1,1-$BKH6/HLOOKUP(BLF$3,[2]ARBOR_REAJUSTE18!$A:$AE,VLOOKUP($BKH$2,[2]ARBOR_REAJUSTE18!$A:$B,2,0),0))),""))),4)</f>
        <v>9.3399999999999997E-2</v>
      </c>
      <c r="BLG6" s="44">
        <f ca="1">ROUNDUP(IF(IFERROR(IF($BKH6="","",IF($BKH6=0,1,1-$BKH6/HLOOKUP(BLG$3,[2]ARBOR_REAJUSTE18!$A:$AE,VLOOKUP($BKH$2,[2]ARBOR_REAJUSTE18!$A:$B,2,0),0))),"")&lt;0.01%,0.01%,(IFERROR(IF($BKH6="","",IF($BKH6=0,1,1-$BKH6/HLOOKUP(BLG$3,[2]ARBOR_REAJUSTE18!$A:$AE,VLOOKUP($BKH$2,[2]ARBOR_REAJUSTE18!$A:$B,2,0),0))),""))),4)</f>
        <v>9.3399999999999997E-2</v>
      </c>
      <c r="BLH6" s="44">
        <f ca="1">ROUNDUP(IF(IFERROR(IF($BKH6="","",IF($BKH6=0,1,1-$BKH6/HLOOKUP(BLH$3,[2]ARBOR_REAJUSTE18!$A:$AE,VLOOKUP($BKH$2,[2]ARBOR_REAJUSTE18!$A:$B,2,0),0))),"")&lt;0.01%,0.01%,(IFERROR(IF($BKH6="","",IF($BKH6=0,1,1-$BKH6/HLOOKUP(BLH$3,[2]ARBOR_REAJUSTE18!$A:$AE,VLOOKUP($BKH$2,[2]ARBOR_REAJUSTE18!$A:$B,2,0),0))),""))),4)</f>
        <v>9.3399999999999997E-2</v>
      </c>
      <c r="BLI6" s="44">
        <f ca="1">ROUNDUP(IF(IFERROR(IF($BKH6="","",IF($BKH6=0,1,1-$BKH6/HLOOKUP(BLI$3,[2]ARBOR_REAJUSTE18!$A:$AE,VLOOKUP($BKH$2,[2]ARBOR_REAJUSTE18!$A:$B,2,0),0))),"")&lt;0.01%,0.01%,(IFERROR(IF($BKH6="","",IF($BKH6=0,1,1-$BKH6/HLOOKUP(BLI$3,[2]ARBOR_REAJUSTE18!$A:$AE,VLOOKUP($BKH$2,[2]ARBOR_REAJUSTE18!$A:$B,2,0),0))),""))),4)</f>
        <v>0.1144</v>
      </c>
      <c r="BLJ6" s="44">
        <f ca="1">ROUNDUP(IF(IFERROR(IF($BKH6="","",IF($BKH6=0,1,1-$BKH6/HLOOKUP(BLJ$3,[2]ARBOR_REAJUSTE18!$A:$AE,VLOOKUP($BKH$2,[2]ARBOR_REAJUSTE18!$A:$B,2,0),0))),"")&lt;0.01%,0.01%,(IFERROR(IF($BKH6="","",IF($BKH6=0,1,1-$BKH6/HLOOKUP(BLJ$3,[2]ARBOR_REAJUSTE18!$A:$AE,VLOOKUP($BKH$2,[2]ARBOR_REAJUSTE18!$A:$B,2,0),0))),""))),4)</f>
        <v>9.3399999999999997E-2</v>
      </c>
      <c r="BLK6" s="56">
        <v>19.899999999999999</v>
      </c>
      <c r="BLL6" s="64" t="str">
        <f ca="1">VLOOKUP($AV6&amp;BLM6&amp;"Template desconto % Playboy nível conta",[2]BENEFICIOS!$A:$G,5,0)</f>
        <v>MKT-1-10624289671</v>
      </c>
      <c r="BLM6" s="44">
        <f ca="1">ROUNDUP(IF(IFERROR(IF($BLK6="","",IF($BLK6=0,1,1-$BLK6/HLOOKUP(BLM$3,[2]ARBOR_REAJUSTE18!$A:$AE,VLOOKUP($BLK$2,[2]ARBOR_REAJUSTE18!$A:$B,2,0),0))),"")&lt;0.01%,0.01%,(IFERROR(IF($BLK6="","",IF($BLK6=0,1,1-$BLK6/HLOOKUP(BLM$3,[2]ARBOR_REAJUSTE18!$A:$AE,VLOOKUP($BLK$2,[2]ARBOR_REAJUSTE18!$A:$B,2,0),0))),""))),4)</f>
        <v>9.3399999999999997E-2</v>
      </c>
      <c r="BLN6" s="44">
        <f ca="1">ROUNDUP(IF(IFERROR(IF($BLK6="","",IF($BLK6=0,1,1-$BLK6/HLOOKUP(BLN$3,[2]ARBOR_REAJUSTE18!$A:$AE,VLOOKUP($BLK$2,[2]ARBOR_REAJUSTE18!$A:$B,2,0),0))),"")&lt;0.01%,0.01%,(IFERROR(IF($BLK6="","",IF($BLK6=0,1,1-$BLK6/HLOOKUP(BLN$3,[2]ARBOR_REAJUSTE18!$A:$AE,VLOOKUP($BLK$2,[2]ARBOR_REAJUSTE18!$A:$B,2,0),0))),""))),4)</f>
        <v>9.3399999999999997E-2</v>
      </c>
      <c r="BLO6" s="44">
        <f ca="1">ROUNDUP(IF(IFERROR(IF($BLK6="","",IF($BLK6=0,1,1-$BLK6/HLOOKUP(BLO$3,[2]ARBOR_REAJUSTE18!$A:$AE,VLOOKUP($BLK$2,[2]ARBOR_REAJUSTE18!$A:$B,2,0),0))),"")&lt;0.01%,0.01%,(IFERROR(IF($BLK6="","",IF($BLK6=0,1,1-$BLK6/HLOOKUP(BLO$3,[2]ARBOR_REAJUSTE18!$A:$AE,VLOOKUP($BLK$2,[2]ARBOR_REAJUSTE18!$A:$B,2,0),0))),""))),4)</f>
        <v>9.3399999999999997E-2</v>
      </c>
      <c r="BLP6" s="44">
        <f ca="1">ROUNDUP(IF(IFERROR(IF($BLK6="","",IF($BLK6=0,1,1-$BLK6/HLOOKUP(BLP$3,[2]ARBOR_REAJUSTE18!$A:$AE,VLOOKUP($BLK$2,[2]ARBOR_REAJUSTE18!$A:$B,2,0),0))),"")&lt;0.01%,0.01%,(IFERROR(IF($BLK6="","",IF($BLK6=0,1,1-$BLK6/HLOOKUP(BLP$3,[2]ARBOR_REAJUSTE18!$A:$AE,VLOOKUP($BLK$2,[2]ARBOR_REAJUSTE18!$A:$B,2,0),0))),""))),4)</f>
        <v>9.3399999999999997E-2</v>
      </c>
      <c r="BLQ6" s="44">
        <f ca="1">ROUNDUP(IF(IFERROR(IF($BLK6="","",IF($BLK6=0,1,1-$BLK6/HLOOKUP(BLQ$3,[2]ARBOR_REAJUSTE18!$A:$AE,VLOOKUP($BLK$2,[2]ARBOR_REAJUSTE18!$A:$B,2,0),0))),"")&lt;0.01%,0.01%,(IFERROR(IF($BLK6="","",IF($BLK6=0,1,1-$BLK6/HLOOKUP(BLQ$3,[2]ARBOR_REAJUSTE18!$A:$AE,VLOOKUP($BLK$2,[2]ARBOR_REAJUSTE18!$A:$B,2,0),0))),""))),4)</f>
        <v>9.3399999999999997E-2</v>
      </c>
      <c r="BLR6" s="44">
        <f ca="1">ROUNDUP(IF(IFERROR(IF($BLK6="","",IF($BLK6=0,1,1-$BLK6/HLOOKUP(BLR$3,[2]ARBOR_REAJUSTE18!$A:$AE,VLOOKUP($BLK$2,[2]ARBOR_REAJUSTE18!$A:$B,2,0),0))),"")&lt;0.01%,0.01%,(IFERROR(IF($BLK6="","",IF($BLK6=0,1,1-$BLK6/HLOOKUP(BLR$3,[2]ARBOR_REAJUSTE18!$A:$AE,VLOOKUP($BLK$2,[2]ARBOR_REAJUSTE18!$A:$B,2,0),0))),""))),4)</f>
        <v>9.3399999999999997E-2</v>
      </c>
      <c r="BLS6" s="44">
        <f ca="1">ROUNDUP(IF(IFERROR(IF($BLK6="","",IF($BLK6=0,1,1-$BLK6/HLOOKUP(BLS$3,[2]ARBOR_REAJUSTE18!$A:$AE,VLOOKUP($BLK$2,[2]ARBOR_REAJUSTE18!$A:$B,2,0),0))),"")&lt;0.01%,0.01%,(IFERROR(IF($BLK6="","",IF($BLK6=0,1,1-$BLK6/HLOOKUP(BLS$3,[2]ARBOR_REAJUSTE18!$A:$AE,VLOOKUP($BLK$2,[2]ARBOR_REAJUSTE18!$A:$B,2,0),0))),""))),4)</f>
        <v>9.2999999999999999E-2</v>
      </c>
      <c r="BLT6" s="44">
        <f ca="1">ROUNDUP(IF(IFERROR(IF($BLK6="","",IF($BLK6=0,1,1-$BLK6/HLOOKUP(BLT$3,[2]ARBOR_REAJUSTE18!$A:$AE,VLOOKUP($BLK$2,[2]ARBOR_REAJUSTE18!$A:$B,2,0),0))),"")&lt;0.01%,0.01%,(IFERROR(IF($BLK6="","",IF($BLK6=0,1,1-$BLK6/HLOOKUP(BLT$3,[2]ARBOR_REAJUSTE18!$A:$AE,VLOOKUP($BLK$2,[2]ARBOR_REAJUSTE18!$A:$B,2,0),0))),""))),4)</f>
        <v>9.3399999999999997E-2</v>
      </c>
      <c r="BLU6" s="44">
        <f ca="1">ROUNDUP(IF(IFERROR(IF($BLK6="","",IF($BLK6=0,1,1-$BLK6/HLOOKUP(BLU$3,[2]ARBOR_REAJUSTE18!$A:$AE,VLOOKUP($BLK$2,[2]ARBOR_REAJUSTE18!$A:$B,2,0),0))),"")&lt;0.01%,0.01%,(IFERROR(IF($BLK6="","",IF($BLK6=0,1,1-$BLK6/HLOOKUP(BLU$3,[2]ARBOR_REAJUSTE18!$A:$AE,VLOOKUP($BLK$2,[2]ARBOR_REAJUSTE18!$A:$B,2,0),0))),""))),4)</f>
        <v>9.3399999999999997E-2</v>
      </c>
      <c r="BLV6" s="44">
        <f ca="1">ROUNDUP(IF(IFERROR(IF($BLK6="","",IF($BLK6=0,1,1-$BLK6/HLOOKUP(BLV$3,[2]ARBOR_REAJUSTE18!$A:$AE,VLOOKUP($BLK$2,[2]ARBOR_REAJUSTE18!$A:$B,2,0),0))),"")&lt;0.01%,0.01%,(IFERROR(IF($BLK6="","",IF($BLK6=0,1,1-$BLK6/HLOOKUP(BLV$3,[2]ARBOR_REAJUSTE18!$A:$AE,VLOOKUP($BLK$2,[2]ARBOR_REAJUSTE18!$A:$B,2,0),0))),""))),4)</f>
        <v>9.3399999999999997E-2</v>
      </c>
      <c r="BLW6" s="44">
        <f ca="1">ROUNDUP(IF(IFERROR(IF($BLK6="","",IF($BLK6=0,1,1-$BLK6/HLOOKUP(BLW$3,[2]ARBOR_REAJUSTE18!$A:$AE,VLOOKUP($BLK$2,[2]ARBOR_REAJUSTE18!$A:$B,2,0),0))),"")&lt;0.01%,0.01%,(IFERROR(IF($BLK6="","",IF($BLK6=0,1,1-$BLK6/HLOOKUP(BLW$3,[2]ARBOR_REAJUSTE18!$A:$AE,VLOOKUP($BLK$2,[2]ARBOR_REAJUSTE18!$A:$B,2,0),0))),""))),4)</f>
        <v>0.12529999999999999</v>
      </c>
      <c r="BLX6" s="44">
        <f ca="1">ROUNDUP(IF(IFERROR(IF($BLK6="","",IF($BLK6=0,1,1-$BLK6/HLOOKUP(BLX$3,[2]ARBOR_REAJUSTE18!$A:$AE,VLOOKUP($BLK$2,[2]ARBOR_REAJUSTE18!$A:$B,2,0),0))),"")&lt;0.01%,0.01%,(IFERROR(IF($BLK6="","",IF($BLK6=0,1,1-$BLK6/HLOOKUP(BLX$3,[2]ARBOR_REAJUSTE18!$A:$AE,VLOOKUP($BLK$2,[2]ARBOR_REAJUSTE18!$A:$B,2,0),0))),""))),4)</f>
        <v>9.3399999999999997E-2</v>
      </c>
      <c r="BLY6" s="44">
        <f ca="1">ROUNDUP(IF(IFERROR(IF($BLK6="","",IF($BLK6=0,1,1-$BLK6/HLOOKUP(BLY$3,[2]ARBOR_REAJUSTE18!$A:$AE,VLOOKUP($BLK$2,[2]ARBOR_REAJUSTE18!$A:$B,2,0),0))),"")&lt;0.01%,0.01%,(IFERROR(IF($BLK6="","",IF($BLK6=0,1,1-$BLK6/HLOOKUP(BLY$3,[2]ARBOR_REAJUSTE18!$A:$AE,VLOOKUP($BLK$2,[2]ARBOR_REAJUSTE18!$A:$B,2,0),0))),""))),4)</f>
        <v>9.3399999999999997E-2</v>
      </c>
      <c r="BLZ6" s="44">
        <f ca="1">ROUNDUP(IF(IFERROR(IF($BLK6="","",IF($BLK6=0,1,1-$BLK6/HLOOKUP(BLZ$3,[2]ARBOR_REAJUSTE18!$A:$AE,VLOOKUP($BLK$2,[2]ARBOR_REAJUSTE18!$A:$B,2,0),0))),"")&lt;0.01%,0.01%,(IFERROR(IF($BLK6="","",IF($BLK6=0,1,1-$BLK6/HLOOKUP(BLZ$3,[2]ARBOR_REAJUSTE18!$A:$AE,VLOOKUP($BLK$2,[2]ARBOR_REAJUSTE18!$A:$B,2,0),0))),""))),4)</f>
        <v>9.3399999999999997E-2</v>
      </c>
      <c r="BMA6" s="44">
        <f ca="1">ROUNDUP(IF(IFERROR(IF($BLK6="","",IF($BLK6=0,1,1-$BLK6/HLOOKUP(BMA$3,[2]ARBOR_REAJUSTE18!$A:$AE,VLOOKUP($BLK$2,[2]ARBOR_REAJUSTE18!$A:$B,2,0),0))),"")&lt;0.01%,0.01%,(IFERROR(IF($BLK6="","",IF($BLK6=0,1,1-$BLK6/HLOOKUP(BMA$3,[2]ARBOR_REAJUSTE18!$A:$AE,VLOOKUP($BLK$2,[2]ARBOR_REAJUSTE18!$A:$B,2,0),0))),""))),4)</f>
        <v>9.3399999999999997E-2</v>
      </c>
      <c r="BMB6" s="44">
        <f ca="1">ROUNDUP(IF(IFERROR(IF($BLK6="","",IF($BLK6=0,1,1-$BLK6/HLOOKUP(BMB$3,[2]ARBOR_REAJUSTE18!$A:$AE,VLOOKUP($BLK$2,[2]ARBOR_REAJUSTE18!$A:$B,2,0),0))),"")&lt;0.01%,0.01%,(IFERROR(IF($BLK6="","",IF($BLK6=0,1,1-$BLK6/HLOOKUP(BMB$3,[2]ARBOR_REAJUSTE18!$A:$AE,VLOOKUP($BLK$2,[2]ARBOR_REAJUSTE18!$A:$B,2,0),0))),""))),4)</f>
        <v>0.1053</v>
      </c>
      <c r="BMC6" s="44">
        <f ca="1">ROUNDUP(IF(IFERROR(IF($BLK6="","",IF($BLK6=0,1,1-$BLK6/HLOOKUP(BMC$3,[2]ARBOR_REAJUSTE18!$A:$AE,VLOOKUP($BLK$2,[2]ARBOR_REAJUSTE18!$A:$B,2,0),0))),"")&lt;0.01%,0.01%,(IFERROR(IF($BLK6="","",IF($BLK6=0,1,1-$BLK6/HLOOKUP(BMC$3,[2]ARBOR_REAJUSTE18!$A:$AE,VLOOKUP($BLK$2,[2]ARBOR_REAJUSTE18!$A:$B,2,0),0))),""))),4)</f>
        <v>9.3399999999999997E-2</v>
      </c>
      <c r="BMD6" s="44">
        <f ca="1">ROUNDUP(IF(IFERROR(IF($BLK6="","",IF($BLK6=0,1,1-$BLK6/HLOOKUP(BMD$3,[2]ARBOR_REAJUSTE18!$A:$AE,VLOOKUP($BLK$2,[2]ARBOR_REAJUSTE18!$A:$B,2,0),0))),"")&lt;0.01%,0.01%,(IFERROR(IF($BLK6="","",IF($BLK6=0,1,1-$BLK6/HLOOKUP(BMD$3,[2]ARBOR_REAJUSTE18!$A:$AE,VLOOKUP($BLK$2,[2]ARBOR_REAJUSTE18!$A:$B,2,0),0))),""))),4)</f>
        <v>9.3399999999999997E-2</v>
      </c>
      <c r="BME6" s="44">
        <f ca="1">ROUNDUP(IF(IFERROR(IF($BLK6="","",IF($BLK6=0,1,1-$BLK6/HLOOKUP(BME$3,[2]ARBOR_REAJUSTE18!$A:$AE,VLOOKUP($BLK$2,[2]ARBOR_REAJUSTE18!$A:$B,2,0),0))),"")&lt;0.01%,0.01%,(IFERROR(IF($BLK6="","",IF($BLK6=0,1,1-$BLK6/HLOOKUP(BME$3,[2]ARBOR_REAJUSTE18!$A:$AE,VLOOKUP($BLK$2,[2]ARBOR_REAJUSTE18!$A:$B,2,0),0))),""))),4)</f>
        <v>9.3399999999999997E-2</v>
      </c>
      <c r="BMF6" s="44">
        <f ca="1">ROUNDUP(IF(IFERROR(IF($BLK6="","",IF($BLK6=0,1,1-$BLK6/HLOOKUP(BMF$3,[2]ARBOR_REAJUSTE18!$A:$AE,VLOOKUP($BLK$2,[2]ARBOR_REAJUSTE18!$A:$B,2,0),0))),"")&lt;0.01%,0.01%,(IFERROR(IF($BLK6="","",IF($BLK6=0,1,1-$BLK6/HLOOKUP(BMF$3,[2]ARBOR_REAJUSTE18!$A:$AE,VLOOKUP($BLK$2,[2]ARBOR_REAJUSTE18!$A:$B,2,0),0))),""))),4)</f>
        <v>0.12529999999999999</v>
      </c>
      <c r="BMG6" s="44">
        <f ca="1">ROUNDUP(IF(IFERROR(IF($BLK6="","",IF($BLK6=0,1,1-$BLK6/HLOOKUP(BMG$3,[2]ARBOR_REAJUSTE18!$A:$AE,VLOOKUP($BLK$2,[2]ARBOR_REAJUSTE18!$A:$B,2,0),0))),"")&lt;0.01%,0.01%,(IFERROR(IF($BLK6="","",IF($BLK6=0,1,1-$BLK6/HLOOKUP(BMG$3,[2]ARBOR_REAJUSTE18!$A:$AE,VLOOKUP($BLK$2,[2]ARBOR_REAJUSTE18!$A:$B,2,0),0))),""))),4)</f>
        <v>9.3399999999999997E-2</v>
      </c>
      <c r="BMH6" s="44">
        <f ca="1">ROUNDUP(IF(IFERROR(IF($BLK6="","",IF($BLK6=0,1,1-$BLK6/HLOOKUP(BMH$3,[2]ARBOR_REAJUSTE18!$A:$AE,VLOOKUP($BLK$2,[2]ARBOR_REAJUSTE18!$A:$B,2,0),0))),"")&lt;0.01%,0.01%,(IFERROR(IF($BLK6="","",IF($BLK6=0,1,1-$BLK6/HLOOKUP(BMH$3,[2]ARBOR_REAJUSTE18!$A:$AE,VLOOKUP($BLK$2,[2]ARBOR_REAJUSTE18!$A:$B,2,0),0))),""))),4)</f>
        <v>9.3399999999999997E-2</v>
      </c>
      <c r="BMI6" s="44">
        <f ca="1">ROUNDUP(IF(IFERROR(IF($BLK6="","",IF($BLK6=0,1,1-$BLK6/HLOOKUP(BMI$3,[2]ARBOR_REAJUSTE18!$A:$AE,VLOOKUP($BLK$2,[2]ARBOR_REAJUSTE18!$A:$B,2,0),0))),"")&lt;0.01%,0.01%,(IFERROR(IF($BLK6="","",IF($BLK6=0,1,1-$BLK6/HLOOKUP(BMI$3,[2]ARBOR_REAJUSTE18!$A:$AE,VLOOKUP($BLK$2,[2]ARBOR_REAJUSTE18!$A:$B,2,0),0))),""))),4)</f>
        <v>9.3399999999999997E-2</v>
      </c>
      <c r="BMJ6" s="44">
        <f ca="1">ROUNDUP(IF(IFERROR(IF($BLK6="","",IF($BLK6=0,1,1-$BLK6/HLOOKUP(BMJ$3,[2]ARBOR_REAJUSTE18!$A:$AE,VLOOKUP($BLK$2,[2]ARBOR_REAJUSTE18!$A:$B,2,0),0))),"")&lt;0.01%,0.01%,(IFERROR(IF($BLK6="","",IF($BLK6=0,1,1-$BLK6/HLOOKUP(BMJ$3,[2]ARBOR_REAJUSTE18!$A:$AE,VLOOKUP($BLK$2,[2]ARBOR_REAJUSTE18!$A:$B,2,0),0))),""))),4)</f>
        <v>9.3399999999999997E-2</v>
      </c>
      <c r="BMK6" s="44">
        <f ca="1">ROUNDUP(IF(IFERROR(IF($BLK6="","",IF($BLK6=0,1,1-$BLK6/HLOOKUP(BMK$3,[2]ARBOR_REAJUSTE18!$A:$AE,VLOOKUP($BLK$2,[2]ARBOR_REAJUSTE18!$A:$B,2,0),0))),"")&lt;0.01%,0.01%,(IFERROR(IF($BLK6="","",IF($BLK6=0,1,1-$BLK6/HLOOKUP(BMK$3,[2]ARBOR_REAJUSTE18!$A:$AE,VLOOKUP($BLK$2,[2]ARBOR_REAJUSTE18!$A:$B,2,0),0))),""))),4)</f>
        <v>9.3399999999999997E-2</v>
      </c>
      <c r="BML6" s="44">
        <f ca="1">ROUNDUP(IF(IFERROR(IF($BLK6="","",IF($BLK6=0,1,1-$BLK6/HLOOKUP(BML$3,[2]ARBOR_REAJUSTE18!$A:$AE,VLOOKUP($BLK$2,[2]ARBOR_REAJUSTE18!$A:$B,2,0),0))),"")&lt;0.01%,0.01%,(IFERROR(IF($BLK6="","",IF($BLK6=0,1,1-$BLK6/HLOOKUP(BML$3,[2]ARBOR_REAJUSTE18!$A:$AE,VLOOKUP($BLK$2,[2]ARBOR_REAJUSTE18!$A:$B,2,0),0))),""))),4)</f>
        <v>0.1144</v>
      </c>
      <c r="BMM6" s="44">
        <f ca="1">ROUNDUP(IF(IFERROR(IF($BLK6="","",IF($BLK6=0,1,1-$BLK6/HLOOKUP(BMM$3,[2]ARBOR_REAJUSTE18!$A:$AE,VLOOKUP($BLK$2,[2]ARBOR_REAJUSTE18!$A:$B,2,0),0))),"")&lt;0.01%,0.01%,(IFERROR(IF($BLK6="","",IF($BLK6=0,1,1-$BLK6/HLOOKUP(BMM$3,[2]ARBOR_REAJUSTE18!$A:$AE,VLOOKUP($BLK$2,[2]ARBOR_REAJUSTE18!$A:$B,2,0),0))),""))),4)</f>
        <v>9.3399999999999997E-2</v>
      </c>
      <c r="BMN6" s="56">
        <v>29.9</v>
      </c>
      <c r="BMO6" s="64" t="str">
        <f ca="1">VLOOKUP($AV6&amp;BMP6&amp;"Template desconto % Sexy Hot + Playboy nível conta",[2]BENEFICIOS!$A:$G,5,0)</f>
        <v>MKT-1-10624276721</v>
      </c>
      <c r="BMP6" s="44">
        <f ca="1">ROUNDUP(IF(IFERROR(IF($BMN6="","",IF($BMN6=0,1,1-$BMN6/HLOOKUP(BMP$3,[2]ARBOR_REAJUSTE18!$A:$AE,VLOOKUP($BMN$2,[2]ARBOR_REAJUSTE18!$A:$B,2,0),0))),"")&lt;0.01%,0.01%,(IFERROR(IF($BMN6="","",IF($BMN6=0,1,1-$BMN6/HLOOKUP(BMP$3,[2]ARBOR_REAJUSTE18!$A:$AE,VLOOKUP($BMN$2,[2]ARBOR_REAJUSTE18!$A:$B,2,0),0))),""))),4)</f>
        <v>9.3399999999999997E-2</v>
      </c>
      <c r="BMQ6" s="44">
        <f ca="1">ROUNDUP(IF(IFERROR(IF($BMN6="","",IF($BMN6=0,1,1-$BMN6/HLOOKUP(BMQ$3,[2]ARBOR_REAJUSTE18!$A:$AE,VLOOKUP($BMN$2,[2]ARBOR_REAJUSTE18!$A:$B,2,0),0))),"")&lt;0.01%,0.01%,(IFERROR(IF($BMN6="","",IF($BMN6=0,1,1-$BMN6/HLOOKUP(BMQ$3,[2]ARBOR_REAJUSTE18!$A:$AE,VLOOKUP($BMN$2,[2]ARBOR_REAJUSTE18!$A:$B,2,0),0))),""))),4)</f>
        <v>9.3399999999999997E-2</v>
      </c>
      <c r="BMR6" s="44">
        <f ca="1">ROUNDUP(IF(IFERROR(IF($BMN6="","",IF($BMN6=0,1,1-$BMN6/HLOOKUP(BMR$3,[2]ARBOR_REAJUSTE18!$A:$AE,VLOOKUP($BMN$2,[2]ARBOR_REAJUSTE18!$A:$B,2,0),0))),"")&lt;0.01%,0.01%,(IFERROR(IF($BMN6="","",IF($BMN6=0,1,1-$BMN6/HLOOKUP(BMR$3,[2]ARBOR_REAJUSTE18!$A:$AE,VLOOKUP($BMN$2,[2]ARBOR_REAJUSTE18!$A:$B,2,0),0))),""))),4)</f>
        <v>9.3399999999999997E-2</v>
      </c>
      <c r="BMS6" s="44">
        <f ca="1">ROUNDUP(IF(IFERROR(IF($BMN6="","",IF($BMN6=0,1,1-$BMN6/HLOOKUP(BMS$3,[2]ARBOR_REAJUSTE18!$A:$AE,VLOOKUP($BMN$2,[2]ARBOR_REAJUSTE18!$A:$B,2,0),0))),"")&lt;0.01%,0.01%,(IFERROR(IF($BMN6="","",IF($BMN6=0,1,1-$BMN6/HLOOKUP(BMS$3,[2]ARBOR_REAJUSTE18!$A:$AE,VLOOKUP($BMN$2,[2]ARBOR_REAJUSTE18!$A:$B,2,0),0))),""))),4)</f>
        <v>9.3399999999999997E-2</v>
      </c>
      <c r="BMT6" s="44">
        <f ca="1">ROUNDUP(IF(IFERROR(IF($BMN6="","",IF($BMN6=0,1,1-$BMN6/HLOOKUP(BMT$3,[2]ARBOR_REAJUSTE18!$A:$AE,VLOOKUP($BMN$2,[2]ARBOR_REAJUSTE18!$A:$B,2,0),0))),"")&lt;0.01%,0.01%,(IFERROR(IF($BMN6="","",IF($BMN6=0,1,1-$BMN6/HLOOKUP(BMT$3,[2]ARBOR_REAJUSTE18!$A:$AE,VLOOKUP($BMN$2,[2]ARBOR_REAJUSTE18!$A:$B,2,0),0))),""))),4)</f>
        <v>9.3399999999999997E-2</v>
      </c>
      <c r="BMU6" s="44">
        <f ca="1">ROUNDUP(IF(IFERROR(IF($BMN6="","",IF($BMN6=0,1,1-$BMN6/HLOOKUP(BMU$3,[2]ARBOR_REAJUSTE18!$A:$AE,VLOOKUP($BMN$2,[2]ARBOR_REAJUSTE18!$A:$B,2,0),0))),"")&lt;0.01%,0.01%,(IFERROR(IF($BMN6="","",IF($BMN6=0,1,1-$BMN6/HLOOKUP(BMU$3,[2]ARBOR_REAJUSTE18!$A:$AE,VLOOKUP($BMN$2,[2]ARBOR_REAJUSTE18!$A:$B,2,0),0))),""))),4)</f>
        <v>9.3399999999999997E-2</v>
      </c>
      <c r="BMV6" s="44">
        <f ca="1">ROUNDUP(IF(IFERROR(IF($BMN6="","",IF($BMN6=0,1,1-$BMN6/HLOOKUP(BMV$3,[2]ARBOR_REAJUSTE18!$A:$AE,VLOOKUP($BMN$2,[2]ARBOR_REAJUSTE18!$A:$B,2,0),0))),"")&lt;0.01%,0.01%,(IFERROR(IF($BMN6="","",IF($BMN6=0,1,1-$BMN6/HLOOKUP(BMV$3,[2]ARBOR_REAJUSTE18!$A:$AE,VLOOKUP($BMN$2,[2]ARBOR_REAJUSTE18!$A:$B,2,0),0))),""))),4)</f>
        <v>9.3200000000000005E-2</v>
      </c>
      <c r="BMW6" s="44">
        <f ca="1">ROUNDUP(IF(IFERROR(IF($BMN6="","",IF($BMN6=0,1,1-$BMN6/HLOOKUP(BMW$3,[2]ARBOR_REAJUSTE18!$A:$AE,VLOOKUP($BMN$2,[2]ARBOR_REAJUSTE18!$A:$B,2,0),0))),"")&lt;0.01%,0.01%,(IFERROR(IF($BMN6="","",IF($BMN6=0,1,1-$BMN6/HLOOKUP(BMW$3,[2]ARBOR_REAJUSTE18!$A:$AE,VLOOKUP($BMN$2,[2]ARBOR_REAJUSTE18!$A:$B,2,0),0))),""))),4)</f>
        <v>9.3399999999999997E-2</v>
      </c>
      <c r="BMX6" s="44">
        <f ca="1">ROUNDUP(IF(IFERROR(IF($BMN6="","",IF($BMN6=0,1,1-$BMN6/HLOOKUP(BMX$3,[2]ARBOR_REAJUSTE18!$A:$AE,VLOOKUP($BMN$2,[2]ARBOR_REAJUSTE18!$A:$B,2,0),0))),"")&lt;0.01%,0.01%,(IFERROR(IF($BMN6="","",IF($BMN6=0,1,1-$BMN6/HLOOKUP(BMX$3,[2]ARBOR_REAJUSTE18!$A:$AE,VLOOKUP($BMN$2,[2]ARBOR_REAJUSTE18!$A:$B,2,0),0))),""))),4)</f>
        <v>9.3399999999999997E-2</v>
      </c>
      <c r="BMY6" s="44">
        <f ca="1">ROUNDUP(IF(IFERROR(IF($BMN6="","",IF($BMN6=0,1,1-$BMN6/HLOOKUP(BMY$3,[2]ARBOR_REAJUSTE18!$A:$AE,VLOOKUP($BMN$2,[2]ARBOR_REAJUSTE18!$A:$B,2,0),0))),"")&lt;0.01%,0.01%,(IFERROR(IF($BMN6="","",IF($BMN6=0,1,1-$BMN6/HLOOKUP(BMY$3,[2]ARBOR_REAJUSTE18!$A:$AE,VLOOKUP($BMN$2,[2]ARBOR_REAJUSTE18!$A:$B,2,0),0))),""))),4)</f>
        <v>9.3399999999999997E-2</v>
      </c>
      <c r="BMZ6" s="44">
        <f ca="1">ROUNDUP(IF(IFERROR(IF($BMN6="","",IF($BMN6=0,1,1-$BMN6/HLOOKUP(BMZ$3,[2]ARBOR_REAJUSTE18!$A:$AE,VLOOKUP($BMN$2,[2]ARBOR_REAJUSTE18!$A:$B,2,0),0))),"")&lt;0.01%,0.01%,(IFERROR(IF($BMN6="","",IF($BMN6=0,1,1-$BMN6/HLOOKUP(BMZ$3,[2]ARBOR_REAJUSTE18!$A:$AE,VLOOKUP($BMN$2,[2]ARBOR_REAJUSTE18!$A:$B,2,0),0))),""))),4)</f>
        <v>0.1258</v>
      </c>
      <c r="BNA6" s="44">
        <f ca="1">ROUNDUP(IF(IFERROR(IF($BMN6="","",IF($BMN6=0,1,1-$BMN6/HLOOKUP(BNA$3,[2]ARBOR_REAJUSTE18!$A:$AE,VLOOKUP($BMN$2,[2]ARBOR_REAJUSTE18!$A:$B,2,0),0))),"")&lt;0.01%,0.01%,(IFERROR(IF($BMN6="","",IF($BMN6=0,1,1-$BMN6/HLOOKUP(BNA$3,[2]ARBOR_REAJUSTE18!$A:$AE,VLOOKUP($BMN$2,[2]ARBOR_REAJUSTE18!$A:$B,2,0),0))),""))),4)</f>
        <v>9.3399999999999997E-2</v>
      </c>
      <c r="BNB6" s="44">
        <f ca="1">ROUNDUP(IF(IFERROR(IF($BMN6="","",IF($BMN6=0,1,1-$BMN6/HLOOKUP(BNB$3,[2]ARBOR_REAJUSTE18!$A:$AE,VLOOKUP($BMN$2,[2]ARBOR_REAJUSTE18!$A:$B,2,0),0))),"")&lt;0.01%,0.01%,(IFERROR(IF($BMN6="","",IF($BMN6=0,1,1-$BMN6/HLOOKUP(BNB$3,[2]ARBOR_REAJUSTE18!$A:$AE,VLOOKUP($BMN$2,[2]ARBOR_REAJUSTE18!$A:$B,2,0),0))),""))),4)</f>
        <v>9.3399999999999997E-2</v>
      </c>
      <c r="BNC6" s="44">
        <f ca="1">ROUNDUP(IF(IFERROR(IF($BMN6="","",IF($BMN6=0,1,1-$BMN6/HLOOKUP(BNC$3,[2]ARBOR_REAJUSTE18!$A:$AE,VLOOKUP($BMN$2,[2]ARBOR_REAJUSTE18!$A:$B,2,0),0))),"")&lt;0.01%,0.01%,(IFERROR(IF($BMN6="","",IF($BMN6=0,1,1-$BMN6/HLOOKUP(BNC$3,[2]ARBOR_REAJUSTE18!$A:$AE,VLOOKUP($BMN$2,[2]ARBOR_REAJUSTE18!$A:$B,2,0),0))),""))),4)</f>
        <v>9.3399999999999997E-2</v>
      </c>
      <c r="BND6" s="44">
        <f ca="1">ROUNDUP(IF(IFERROR(IF($BMN6="","",IF($BMN6=0,1,1-$BMN6/HLOOKUP(BND$3,[2]ARBOR_REAJUSTE18!$A:$AE,VLOOKUP($BMN$2,[2]ARBOR_REAJUSTE18!$A:$B,2,0),0))),"")&lt;0.01%,0.01%,(IFERROR(IF($BMN6="","",IF($BMN6=0,1,1-$BMN6/HLOOKUP(BND$3,[2]ARBOR_REAJUSTE18!$A:$AE,VLOOKUP($BMN$2,[2]ARBOR_REAJUSTE18!$A:$B,2,0),0))),""))),4)</f>
        <v>9.3399999999999997E-2</v>
      </c>
      <c r="BNE6" s="44">
        <f ca="1">ROUNDUP(IF(IFERROR(IF($BMN6="","",IF($BMN6=0,1,1-$BMN6/HLOOKUP(BNE$3,[2]ARBOR_REAJUSTE18!$A:$AE,VLOOKUP($BMN$2,[2]ARBOR_REAJUSTE18!$A:$B,2,0),0))),"")&lt;0.01%,0.01%,(IFERROR(IF($BMN6="","",IF($BMN6=0,1,1-$BMN6/HLOOKUP(BNE$3,[2]ARBOR_REAJUSTE18!$A:$AE,VLOOKUP($BMN$2,[2]ARBOR_REAJUSTE18!$A:$B,2,0),0))),""))),4)</f>
        <v>0.1051</v>
      </c>
      <c r="BNF6" s="44">
        <f ca="1">ROUNDUP(IF(IFERROR(IF($BMN6="","",IF($BMN6=0,1,1-$BMN6/HLOOKUP(BNF$3,[2]ARBOR_REAJUSTE18!$A:$AE,VLOOKUP($BMN$2,[2]ARBOR_REAJUSTE18!$A:$B,2,0),0))),"")&lt;0.01%,0.01%,(IFERROR(IF($BMN6="","",IF($BMN6=0,1,1-$BMN6/HLOOKUP(BNF$3,[2]ARBOR_REAJUSTE18!$A:$AE,VLOOKUP($BMN$2,[2]ARBOR_REAJUSTE18!$A:$B,2,0),0))),""))),4)</f>
        <v>9.3399999999999997E-2</v>
      </c>
      <c r="BNG6" s="44">
        <f ca="1">ROUNDUP(IF(IFERROR(IF($BMN6="","",IF($BMN6=0,1,1-$BMN6/HLOOKUP(BNG$3,[2]ARBOR_REAJUSTE18!$A:$AE,VLOOKUP($BMN$2,[2]ARBOR_REAJUSTE18!$A:$B,2,0),0))),"")&lt;0.01%,0.01%,(IFERROR(IF($BMN6="","",IF($BMN6=0,1,1-$BMN6/HLOOKUP(BNG$3,[2]ARBOR_REAJUSTE18!$A:$AE,VLOOKUP($BMN$2,[2]ARBOR_REAJUSTE18!$A:$B,2,0),0))),""))),4)</f>
        <v>9.3399999999999997E-2</v>
      </c>
      <c r="BNH6" s="44">
        <f ca="1">ROUNDUP(IF(IFERROR(IF($BMN6="","",IF($BMN6=0,1,1-$BMN6/HLOOKUP(BNH$3,[2]ARBOR_REAJUSTE18!$A:$AE,VLOOKUP($BMN$2,[2]ARBOR_REAJUSTE18!$A:$B,2,0),0))),"")&lt;0.01%,0.01%,(IFERROR(IF($BMN6="","",IF($BMN6=0,1,1-$BMN6/HLOOKUP(BNH$3,[2]ARBOR_REAJUSTE18!$A:$AE,VLOOKUP($BMN$2,[2]ARBOR_REAJUSTE18!$A:$B,2,0),0))),""))),4)</f>
        <v>9.3399999999999997E-2</v>
      </c>
      <c r="BNI6" s="44">
        <f ca="1">ROUNDUP(IF(IFERROR(IF($BMN6="","",IF($BMN6=0,1,1-$BMN6/HLOOKUP(BNI$3,[2]ARBOR_REAJUSTE18!$A:$AE,VLOOKUP($BMN$2,[2]ARBOR_REAJUSTE18!$A:$B,2,0),0))),"")&lt;0.01%,0.01%,(IFERROR(IF($BMN6="","",IF($BMN6=0,1,1-$BMN6/HLOOKUP(BNI$3,[2]ARBOR_REAJUSTE18!$A:$AE,VLOOKUP($BMN$2,[2]ARBOR_REAJUSTE18!$A:$B,2,0),0))),""))),4)</f>
        <v>0.1255</v>
      </c>
      <c r="BNJ6" s="44">
        <f ca="1">ROUNDUP(IF(IFERROR(IF($BMN6="","",IF($BMN6=0,1,1-$BMN6/HLOOKUP(BNJ$3,[2]ARBOR_REAJUSTE18!$A:$AE,VLOOKUP($BMN$2,[2]ARBOR_REAJUSTE18!$A:$B,2,0),0))),"")&lt;0.01%,0.01%,(IFERROR(IF($BMN6="","",IF($BMN6=0,1,1-$BMN6/HLOOKUP(BNJ$3,[2]ARBOR_REAJUSTE18!$A:$AE,VLOOKUP($BMN$2,[2]ARBOR_REAJUSTE18!$A:$B,2,0),0))),""))),4)</f>
        <v>9.3399999999999997E-2</v>
      </c>
      <c r="BNK6" s="44">
        <f ca="1">ROUNDUP(IF(IFERROR(IF($BMN6="","",IF($BMN6=0,1,1-$BMN6/HLOOKUP(BNK$3,[2]ARBOR_REAJUSTE18!$A:$AE,VLOOKUP($BMN$2,[2]ARBOR_REAJUSTE18!$A:$B,2,0),0))),"")&lt;0.01%,0.01%,(IFERROR(IF($BMN6="","",IF($BMN6=0,1,1-$BMN6/HLOOKUP(BNK$3,[2]ARBOR_REAJUSTE18!$A:$AE,VLOOKUP($BMN$2,[2]ARBOR_REAJUSTE18!$A:$B,2,0),0))),""))),4)</f>
        <v>9.3399999999999997E-2</v>
      </c>
      <c r="BNL6" s="44">
        <f ca="1">ROUNDUP(IF(IFERROR(IF($BMN6="","",IF($BMN6=0,1,1-$BMN6/HLOOKUP(BNL$3,[2]ARBOR_REAJUSTE18!$A:$AE,VLOOKUP($BMN$2,[2]ARBOR_REAJUSTE18!$A:$B,2,0),0))),"")&lt;0.01%,0.01%,(IFERROR(IF($BMN6="","",IF($BMN6=0,1,1-$BMN6/HLOOKUP(BNL$3,[2]ARBOR_REAJUSTE18!$A:$AE,VLOOKUP($BMN$2,[2]ARBOR_REAJUSTE18!$A:$B,2,0),0))),""))),4)</f>
        <v>9.3399999999999997E-2</v>
      </c>
      <c r="BNM6" s="44">
        <f ca="1">ROUNDUP(IF(IFERROR(IF($BMN6="","",IF($BMN6=0,1,1-$BMN6/HLOOKUP(BNM$3,[2]ARBOR_REAJUSTE18!$A:$AE,VLOOKUP($BMN$2,[2]ARBOR_REAJUSTE18!$A:$B,2,0),0))),"")&lt;0.01%,0.01%,(IFERROR(IF($BMN6="","",IF($BMN6=0,1,1-$BMN6/HLOOKUP(BNM$3,[2]ARBOR_REAJUSTE18!$A:$AE,VLOOKUP($BMN$2,[2]ARBOR_REAJUSTE18!$A:$B,2,0),0))),""))),4)</f>
        <v>9.3399999999999997E-2</v>
      </c>
      <c r="BNN6" s="44">
        <f ca="1">ROUNDUP(IF(IFERROR(IF($BMN6="","",IF($BMN6=0,1,1-$BMN6/HLOOKUP(BNN$3,[2]ARBOR_REAJUSTE18!$A:$AE,VLOOKUP($BMN$2,[2]ARBOR_REAJUSTE18!$A:$B,2,0),0))),"")&lt;0.01%,0.01%,(IFERROR(IF($BMN6="","",IF($BMN6=0,1,1-$BMN6/HLOOKUP(BNN$3,[2]ARBOR_REAJUSTE18!$A:$AE,VLOOKUP($BMN$2,[2]ARBOR_REAJUSTE18!$A:$B,2,0),0))),""))),4)</f>
        <v>9.3399999999999997E-2</v>
      </c>
      <c r="BNO6" s="44">
        <f ca="1">ROUNDUP(IF(IFERROR(IF($BMN6="","",IF($BMN6=0,1,1-$BMN6/HLOOKUP(BNO$3,[2]ARBOR_REAJUSTE18!$A:$AE,VLOOKUP($BMN$2,[2]ARBOR_REAJUSTE18!$A:$B,2,0),0))),"")&lt;0.01%,0.01%,(IFERROR(IF($BMN6="","",IF($BMN6=0,1,1-$BMN6/HLOOKUP(BNO$3,[2]ARBOR_REAJUSTE18!$A:$AE,VLOOKUP($BMN$2,[2]ARBOR_REAJUSTE18!$A:$B,2,0),0))),""))),4)</f>
        <v>0.11410000000000001</v>
      </c>
      <c r="BNP6" s="44">
        <f ca="1">ROUNDUP(IF(IFERROR(IF($BMN6="","",IF($BMN6=0,1,1-$BMN6/HLOOKUP(BNP$3,[2]ARBOR_REAJUSTE18!$A:$AE,VLOOKUP($BMN$2,[2]ARBOR_REAJUSTE18!$A:$B,2,0),0))),"")&lt;0.01%,0.01%,(IFERROR(IF($BMN6="","",IF($BMN6=0,1,1-$BMN6/HLOOKUP(BNP$3,[2]ARBOR_REAJUSTE18!$A:$AE,VLOOKUP($BMN$2,[2]ARBOR_REAJUSTE18!$A:$B,2,0),0))),""))),4)</f>
        <v>9.3399999999999997E-2</v>
      </c>
      <c r="BNQ6" s="56">
        <v>14.9</v>
      </c>
      <c r="BNR6" s="64" t="str">
        <f ca="1">VLOOKUP($AV6&amp;BNS6&amp;"Template desconto % SexPrivê nível conta",[2]BENEFICIOS!$A:$G,5,0)</f>
        <v>MKT-1-10624289961</v>
      </c>
      <c r="BNS6" s="44">
        <f ca="1">ROUNDUP(IF(IFERROR(IF($BNQ6="","",IF($BNQ6=0,1,1-$BNQ6/HLOOKUP(BNS$3,[2]ARBOR_REAJUSTE18!$A:$AE,VLOOKUP($BNQ$2,[2]ARBOR_REAJUSTE18!$A:$B,2,0),0))),"")&lt;0.01%,0.01%,(IFERROR(IF($BNQ6="","",IF($BNQ6=0,1,1-$BNQ6/HLOOKUP(BNS$3,[2]ARBOR_REAJUSTE18!$A:$AE,VLOOKUP($BNQ$2,[2]ARBOR_REAJUSTE18!$A:$B,2,0),0))),""))),4)</f>
        <v>9.3200000000000005E-2</v>
      </c>
      <c r="BNT6" s="44">
        <f ca="1">ROUNDUP(IF(IFERROR(IF($BNQ6="","",IF($BNQ6=0,1,1-$BNQ6/HLOOKUP(BNT$3,[2]ARBOR_REAJUSTE18!$A:$AE,VLOOKUP($BNQ$2,[2]ARBOR_REAJUSTE18!$A:$B,2,0),0))),"")&lt;0.01%,0.01%,(IFERROR(IF($BNQ6="","",IF($BNQ6=0,1,1-$BNQ6/HLOOKUP(BNT$3,[2]ARBOR_REAJUSTE18!$A:$AE,VLOOKUP($BNQ$2,[2]ARBOR_REAJUSTE18!$A:$B,2,0),0))),""))),4)</f>
        <v>9.3200000000000005E-2</v>
      </c>
      <c r="BNU6" s="44">
        <f ca="1">ROUNDUP(IF(IFERROR(IF($BNQ6="","",IF($BNQ6=0,1,1-$BNQ6/HLOOKUP(BNU$3,[2]ARBOR_REAJUSTE18!$A:$AE,VLOOKUP($BNQ$2,[2]ARBOR_REAJUSTE18!$A:$B,2,0),0))),"")&lt;0.01%,0.01%,(IFERROR(IF($BNQ6="","",IF($BNQ6=0,1,1-$BNQ6/HLOOKUP(BNU$3,[2]ARBOR_REAJUSTE18!$A:$AE,VLOOKUP($BNQ$2,[2]ARBOR_REAJUSTE18!$A:$B,2,0),0))),""))),4)</f>
        <v>9.3200000000000005E-2</v>
      </c>
      <c r="BNV6" s="44">
        <f ca="1">ROUNDUP(IF(IFERROR(IF($BNQ6="","",IF($BNQ6=0,1,1-$BNQ6/HLOOKUP(BNV$3,[2]ARBOR_REAJUSTE18!$A:$AE,VLOOKUP($BNQ$2,[2]ARBOR_REAJUSTE18!$A:$B,2,0),0))),"")&lt;0.01%,0.01%,(IFERROR(IF($BNQ6="","",IF($BNQ6=0,1,1-$BNQ6/HLOOKUP(BNV$3,[2]ARBOR_REAJUSTE18!$A:$AE,VLOOKUP($BNQ$2,[2]ARBOR_REAJUSTE18!$A:$B,2,0),0))),""))),4)</f>
        <v>9.3200000000000005E-2</v>
      </c>
      <c r="BNW6" s="44">
        <f ca="1">ROUNDUP(IF(IFERROR(IF($BNQ6="","",IF($BNQ6=0,1,1-$BNQ6/HLOOKUP(BNW$3,[2]ARBOR_REAJUSTE18!$A:$AE,VLOOKUP($BNQ$2,[2]ARBOR_REAJUSTE18!$A:$B,2,0),0))),"")&lt;0.01%,0.01%,(IFERROR(IF($BNQ6="","",IF($BNQ6=0,1,1-$BNQ6/HLOOKUP(BNW$3,[2]ARBOR_REAJUSTE18!$A:$AE,VLOOKUP($BNQ$2,[2]ARBOR_REAJUSTE18!$A:$B,2,0),0))),""))),4)</f>
        <v>9.3200000000000005E-2</v>
      </c>
      <c r="BNX6" s="44">
        <f ca="1">ROUNDUP(IF(IFERROR(IF($BNQ6="","",IF($BNQ6=0,1,1-$BNQ6/HLOOKUP(BNX$3,[2]ARBOR_REAJUSTE18!$A:$AE,VLOOKUP($BNQ$2,[2]ARBOR_REAJUSTE18!$A:$B,2,0),0))),"")&lt;0.01%,0.01%,(IFERROR(IF($BNQ6="","",IF($BNQ6=0,1,1-$BNQ6/HLOOKUP(BNX$3,[2]ARBOR_REAJUSTE18!$A:$AE,VLOOKUP($BNQ$2,[2]ARBOR_REAJUSTE18!$A:$B,2,0),0))),""))),4)</f>
        <v>9.3200000000000005E-2</v>
      </c>
      <c r="BNY6" s="44">
        <f ca="1">ROUNDUP(IF(IFERROR(IF($BNQ6="","",IF($BNQ6=0,1,1-$BNQ6/HLOOKUP(BNY$3,[2]ARBOR_REAJUSTE18!$A:$AE,VLOOKUP($BNQ$2,[2]ARBOR_REAJUSTE18!$A:$B,2,0),0))),"")&lt;0.01%,0.01%,(IFERROR(IF($BNQ6="","",IF($BNQ6=0,1,1-$BNQ6/HLOOKUP(BNY$3,[2]ARBOR_REAJUSTE18!$A:$AE,VLOOKUP($BNQ$2,[2]ARBOR_REAJUSTE18!$A:$B,2,0),0))),""))),4)</f>
        <v>9.2600000000000002E-2</v>
      </c>
      <c r="BNZ6" s="44">
        <f ca="1">ROUNDUP(IF(IFERROR(IF($BNQ6="","",IF($BNQ6=0,1,1-$BNQ6/HLOOKUP(BNZ$3,[2]ARBOR_REAJUSTE18!$A:$AE,VLOOKUP($BNQ$2,[2]ARBOR_REAJUSTE18!$A:$B,2,0),0))),"")&lt;0.01%,0.01%,(IFERROR(IF($BNQ6="","",IF($BNQ6=0,1,1-$BNQ6/HLOOKUP(BNZ$3,[2]ARBOR_REAJUSTE18!$A:$AE,VLOOKUP($BNQ$2,[2]ARBOR_REAJUSTE18!$A:$B,2,0),0))),""))),4)</f>
        <v>9.3200000000000005E-2</v>
      </c>
      <c r="BOA6" s="44">
        <f ca="1">ROUNDUP(IF(IFERROR(IF($BNQ6="","",IF($BNQ6=0,1,1-$BNQ6/HLOOKUP(BOA$3,[2]ARBOR_REAJUSTE18!$A:$AE,VLOOKUP($BNQ$2,[2]ARBOR_REAJUSTE18!$A:$B,2,0),0))),"")&lt;0.01%,0.01%,(IFERROR(IF($BNQ6="","",IF($BNQ6=0,1,1-$BNQ6/HLOOKUP(BOA$3,[2]ARBOR_REAJUSTE18!$A:$AE,VLOOKUP($BNQ$2,[2]ARBOR_REAJUSTE18!$A:$B,2,0),0))),""))),4)</f>
        <v>9.3200000000000005E-2</v>
      </c>
      <c r="BOB6" s="44">
        <f ca="1">ROUNDUP(IF(IFERROR(IF($BNQ6="","",IF($BNQ6=0,1,1-$BNQ6/HLOOKUP(BOB$3,[2]ARBOR_REAJUSTE18!$A:$AE,VLOOKUP($BNQ$2,[2]ARBOR_REAJUSTE18!$A:$B,2,0),0))),"")&lt;0.01%,0.01%,(IFERROR(IF($BNQ6="","",IF($BNQ6=0,1,1-$BNQ6/HLOOKUP(BOB$3,[2]ARBOR_REAJUSTE18!$A:$AE,VLOOKUP($BNQ$2,[2]ARBOR_REAJUSTE18!$A:$B,2,0),0))),""))),4)</f>
        <v>9.3200000000000005E-2</v>
      </c>
      <c r="BOC6" s="44">
        <f ca="1">ROUNDUP(IF(IFERROR(IF($BNQ6="","",IF($BNQ6=0,1,1-$BNQ6/HLOOKUP(BOC$3,[2]ARBOR_REAJUSTE18!$A:$AE,VLOOKUP($BNQ$2,[2]ARBOR_REAJUSTE18!$A:$B,2,0),0))),"")&lt;0.01%,0.01%,(IFERROR(IF($BNQ6="","",IF($BNQ6=0,1,1-$BNQ6/HLOOKUP(BOC$3,[2]ARBOR_REAJUSTE18!$A:$AE,VLOOKUP($BNQ$2,[2]ARBOR_REAJUSTE18!$A:$B,2,0),0))),""))),4)</f>
        <v>0.12509999999999999</v>
      </c>
      <c r="BOD6" s="44">
        <f ca="1">ROUNDUP(IF(IFERROR(IF($BNQ6="","",IF($BNQ6=0,1,1-$BNQ6/HLOOKUP(BOD$3,[2]ARBOR_REAJUSTE18!$A:$AE,VLOOKUP($BNQ$2,[2]ARBOR_REAJUSTE18!$A:$B,2,0),0))),"")&lt;0.01%,0.01%,(IFERROR(IF($BNQ6="","",IF($BNQ6=0,1,1-$BNQ6/HLOOKUP(BOD$3,[2]ARBOR_REAJUSTE18!$A:$AE,VLOOKUP($BNQ$2,[2]ARBOR_REAJUSTE18!$A:$B,2,0),0))),""))),4)</f>
        <v>9.3200000000000005E-2</v>
      </c>
      <c r="BOE6" s="44">
        <f ca="1">ROUNDUP(IF(IFERROR(IF($BNQ6="","",IF($BNQ6=0,1,1-$BNQ6/HLOOKUP(BOE$3,[2]ARBOR_REAJUSTE18!$A:$AE,VLOOKUP($BNQ$2,[2]ARBOR_REAJUSTE18!$A:$B,2,0),0))),"")&lt;0.01%,0.01%,(IFERROR(IF($BNQ6="","",IF($BNQ6=0,1,1-$BNQ6/HLOOKUP(BOE$3,[2]ARBOR_REAJUSTE18!$A:$AE,VLOOKUP($BNQ$2,[2]ARBOR_REAJUSTE18!$A:$B,2,0),0))),""))),4)</f>
        <v>9.3200000000000005E-2</v>
      </c>
      <c r="BOF6" s="44">
        <f ca="1">ROUNDUP(IF(IFERROR(IF($BNQ6="","",IF($BNQ6=0,1,1-$BNQ6/HLOOKUP(BOF$3,[2]ARBOR_REAJUSTE18!$A:$AE,VLOOKUP($BNQ$2,[2]ARBOR_REAJUSTE18!$A:$B,2,0),0))),"")&lt;0.01%,0.01%,(IFERROR(IF($BNQ6="","",IF($BNQ6=0,1,1-$BNQ6/HLOOKUP(BOF$3,[2]ARBOR_REAJUSTE18!$A:$AE,VLOOKUP($BNQ$2,[2]ARBOR_REAJUSTE18!$A:$B,2,0),0))),""))),4)</f>
        <v>9.3200000000000005E-2</v>
      </c>
      <c r="BOG6" s="44">
        <f ca="1">ROUNDUP(IF(IFERROR(IF($BNQ6="","",IF($BNQ6=0,1,1-$BNQ6/HLOOKUP(BOG$3,[2]ARBOR_REAJUSTE18!$A:$AE,VLOOKUP($BNQ$2,[2]ARBOR_REAJUSTE18!$A:$B,2,0),0))),"")&lt;0.01%,0.01%,(IFERROR(IF($BNQ6="","",IF($BNQ6=0,1,1-$BNQ6/HLOOKUP(BOG$3,[2]ARBOR_REAJUSTE18!$A:$AE,VLOOKUP($BNQ$2,[2]ARBOR_REAJUSTE18!$A:$B,2,0),0))),""))),4)</f>
        <v>9.3200000000000005E-2</v>
      </c>
      <c r="BOH6" s="44">
        <f ca="1">ROUNDUP(IF(IFERROR(IF($BNQ6="","",IF($BNQ6=0,1,1-$BNQ6/HLOOKUP(BOH$3,[2]ARBOR_REAJUSTE18!$A:$AE,VLOOKUP($BNQ$2,[2]ARBOR_REAJUSTE18!$A:$B,2,0),0))),"")&lt;0.01%,0.01%,(IFERROR(IF($BNQ6="","",IF($BNQ6=0,1,1-$BNQ6/HLOOKUP(BOH$3,[2]ARBOR_REAJUSTE18!$A:$AE,VLOOKUP($BNQ$2,[2]ARBOR_REAJUSTE18!$A:$B,2,0),0))),""))),4)</f>
        <v>0.1046</v>
      </c>
      <c r="BOI6" s="44">
        <f ca="1">ROUNDUP(IF(IFERROR(IF($BNQ6="","",IF($BNQ6=0,1,1-$BNQ6/HLOOKUP(BOI$3,[2]ARBOR_REAJUSTE18!$A:$AE,VLOOKUP($BNQ$2,[2]ARBOR_REAJUSTE18!$A:$B,2,0),0))),"")&lt;0.01%,0.01%,(IFERROR(IF($BNQ6="","",IF($BNQ6=0,1,1-$BNQ6/HLOOKUP(BOI$3,[2]ARBOR_REAJUSTE18!$A:$AE,VLOOKUP($BNQ$2,[2]ARBOR_REAJUSTE18!$A:$B,2,0),0))),""))),4)</f>
        <v>9.3200000000000005E-2</v>
      </c>
      <c r="BOJ6" s="44">
        <f ca="1">ROUNDUP(IF(IFERROR(IF($BNQ6="","",IF($BNQ6=0,1,1-$BNQ6/HLOOKUP(BOJ$3,[2]ARBOR_REAJUSTE18!$A:$AE,VLOOKUP($BNQ$2,[2]ARBOR_REAJUSTE18!$A:$B,2,0),0))),"")&lt;0.01%,0.01%,(IFERROR(IF($BNQ6="","",IF($BNQ6=0,1,1-$BNQ6/HLOOKUP(BOJ$3,[2]ARBOR_REAJUSTE18!$A:$AE,VLOOKUP($BNQ$2,[2]ARBOR_REAJUSTE18!$A:$B,2,0),0))),""))),4)</f>
        <v>9.3200000000000005E-2</v>
      </c>
      <c r="BOK6" s="44">
        <f ca="1">ROUNDUP(IF(IFERROR(IF($BNQ6="","",IF($BNQ6=0,1,1-$BNQ6/HLOOKUP(BOK$3,[2]ARBOR_REAJUSTE18!$A:$AE,VLOOKUP($BNQ$2,[2]ARBOR_REAJUSTE18!$A:$B,2,0),0))),"")&lt;0.01%,0.01%,(IFERROR(IF($BNQ6="","",IF($BNQ6=0,1,1-$BNQ6/HLOOKUP(BOK$3,[2]ARBOR_REAJUSTE18!$A:$AE,VLOOKUP($BNQ$2,[2]ARBOR_REAJUSTE18!$A:$B,2,0),0))),""))),4)</f>
        <v>9.3200000000000005E-2</v>
      </c>
      <c r="BOL6" s="44">
        <f ca="1">ROUNDUP(IF(IFERROR(IF($BNQ6="","",IF($BNQ6=0,1,1-$BNQ6/HLOOKUP(BOL$3,[2]ARBOR_REAJUSTE18!$A:$AE,VLOOKUP($BNQ$2,[2]ARBOR_REAJUSTE18!$A:$B,2,0),0))),"")&lt;0.01%,0.01%,(IFERROR(IF($BNQ6="","",IF($BNQ6=0,1,1-$BNQ6/HLOOKUP(BOL$3,[2]ARBOR_REAJUSTE18!$A:$AE,VLOOKUP($BNQ$2,[2]ARBOR_REAJUSTE18!$A:$B,2,0),0))),""))),4)</f>
        <v>0.12509999999999999</v>
      </c>
      <c r="BOM6" s="44">
        <f ca="1">ROUNDUP(IF(IFERROR(IF($BNQ6="","",IF($BNQ6=0,1,1-$BNQ6/HLOOKUP(BOM$3,[2]ARBOR_REAJUSTE18!$A:$AE,VLOOKUP($BNQ$2,[2]ARBOR_REAJUSTE18!$A:$B,2,0),0))),"")&lt;0.01%,0.01%,(IFERROR(IF($BNQ6="","",IF($BNQ6=0,1,1-$BNQ6/HLOOKUP(BOM$3,[2]ARBOR_REAJUSTE18!$A:$AE,VLOOKUP($BNQ$2,[2]ARBOR_REAJUSTE18!$A:$B,2,0),0))),""))),4)</f>
        <v>9.3200000000000005E-2</v>
      </c>
      <c r="BON6" s="44">
        <f ca="1">ROUNDUP(IF(IFERROR(IF($BNQ6="","",IF($BNQ6=0,1,1-$BNQ6/HLOOKUP(BON$3,[2]ARBOR_REAJUSTE18!$A:$AE,VLOOKUP($BNQ$2,[2]ARBOR_REAJUSTE18!$A:$B,2,0),0))),"")&lt;0.01%,0.01%,(IFERROR(IF($BNQ6="","",IF($BNQ6=0,1,1-$BNQ6/HLOOKUP(BON$3,[2]ARBOR_REAJUSTE18!$A:$AE,VLOOKUP($BNQ$2,[2]ARBOR_REAJUSTE18!$A:$B,2,0),0))),""))),4)</f>
        <v>9.3200000000000005E-2</v>
      </c>
      <c r="BOO6" s="44">
        <f ca="1">ROUNDUP(IF(IFERROR(IF($BNQ6="","",IF($BNQ6=0,1,1-$BNQ6/HLOOKUP(BOO$3,[2]ARBOR_REAJUSTE18!$A:$AE,VLOOKUP($BNQ$2,[2]ARBOR_REAJUSTE18!$A:$B,2,0),0))),"")&lt;0.01%,0.01%,(IFERROR(IF($BNQ6="","",IF($BNQ6=0,1,1-$BNQ6/HLOOKUP(BOO$3,[2]ARBOR_REAJUSTE18!$A:$AE,VLOOKUP($BNQ$2,[2]ARBOR_REAJUSTE18!$A:$B,2,0),0))),""))),4)</f>
        <v>9.3200000000000005E-2</v>
      </c>
      <c r="BOP6" s="44">
        <f ca="1">ROUNDUP(IF(IFERROR(IF($BNQ6="","",IF($BNQ6=0,1,1-$BNQ6/HLOOKUP(BOP$3,[2]ARBOR_REAJUSTE18!$A:$AE,VLOOKUP($BNQ$2,[2]ARBOR_REAJUSTE18!$A:$B,2,0),0))),"")&lt;0.01%,0.01%,(IFERROR(IF($BNQ6="","",IF($BNQ6=0,1,1-$BNQ6/HLOOKUP(BOP$3,[2]ARBOR_REAJUSTE18!$A:$AE,VLOOKUP($BNQ$2,[2]ARBOR_REAJUSTE18!$A:$B,2,0),0))),""))),4)</f>
        <v>9.3200000000000005E-2</v>
      </c>
      <c r="BOQ6" s="44">
        <f ca="1">ROUNDUP(IF(IFERROR(IF($BNQ6="","",IF($BNQ6=0,1,1-$BNQ6/HLOOKUP(BOQ$3,[2]ARBOR_REAJUSTE18!$A:$AE,VLOOKUP($BNQ$2,[2]ARBOR_REAJUSTE18!$A:$B,2,0),0))),"")&lt;0.01%,0.01%,(IFERROR(IF($BNQ6="","",IF($BNQ6=0,1,1-$BNQ6/HLOOKUP(BOQ$3,[2]ARBOR_REAJUSTE18!$A:$AE,VLOOKUP($BNQ$2,[2]ARBOR_REAJUSTE18!$A:$B,2,0),0))),""))),4)</f>
        <v>9.3200000000000005E-2</v>
      </c>
      <c r="BOR6" s="44">
        <f ca="1">ROUNDUP(IF(IFERROR(IF($BNQ6="","",IF($BNQ6=0,1,1-$BNQ6/HLOOKUP(BOR$3,[2]ARBOR_REAJUSTE18!$A:$AE,VLOOKUP($BNQ$2,[2]ARBOR_REAJUSTE18!$A:$B,2,0),0))),"")&lt;0.01%,0.01%,(IFERROR(IF($BNQ6="","",IF($BNQ6=0,1,1-$BNQ6/HLOOKUP(BOR$3,[2]ARBOR_REAJUSTE18!$A:$AE,VLOOKUP($BNQ$2,[2]ARBOR_REAJUSTE18!$A:$B,2,0),0))),""))),4)</f>
        <v>0.1142</v>
      </c>
      <c r="BOS6" s="44">
        <f ca="1">ROUNDUP(IF(IFERROR(IF($BNQ6="","",IF($BNQ6=0,1,1-$BNQ6/HLOOKUP(BOS$3,[2]ARBOR_REAJUSTE18!$A:$AE,VLOOKUP($BNQ$2,[2]ARBOR_REAJUSTE18!$A:$B,2,0),0))),"")&lt;0.01%,0.01%,(IFERROR(IF($BNQ6="","",IF($BNQ6=0,1,1-$BNQ6/HLOOKUP(BOS$3,[2]ARBOR_REAJUSTE18!$A:$AE,VLOOKUP($BNQ$2,[2]ARBOR_REAJUSTE18!$A:$B,2,0),0))),""))),4)</f>
        <v>9.3200000000000005E-2</v>
      </c>
      <c r="BOT6" s="56"/>
      <c r="BOU6" s="56" t="s">
        <v>261</v>
      </c>
      <c r="BOV6" s="44" t="e">
        <f>ROUNDUP(IF(IFERROR(IF($BOT6="","",IF($BOT6=0,1,1-$BOT6/HLOOKUP(BOV$3,[2]ARBOR_REAJUSTE18!$A:$AE,VLOOKUP($BOT$2,[2]ARBOR_REAJUSTE18!$A:$B,2,0),0))),"")&lt;0.01%,0.01%,(IFERROR(IF($BOT6="","",IF($BOT6=0,1,1-$BOT6/HLOOKUP(BOV$3,[2]ARBOR_REAJUSTE18!$A:$AE,VLOOKUP($BOT$2,[2]ARBOR_REAJUSTE18!$A:$B,2,0),0))),""))),4)</f>
        <v>#VALUE!</v>
      </c>
      <c r="BOW6" s="44" t="e">
        <f>ROUNDUP(IF(IFERROR(IF($BOT6="","",IF($BOT6=0,1,1-$BOT6/HLOOKUP(BOW$3,[2]ARBOR_REAJUSTE18!$A:$AE,VLOOKUP($BOT$2,[2]ARBOR_REAJUSTE18!$A:$B,2,0),0))),"")&lt;0.01%,0.01%,(IFERROR(IF($BOT6="","",IF($BOT6=0,1,1-$BOT6/HLOOKUP(BOW$3,[2]ARBOR_REAJUSTE18!$A:$AE,VLOOKUP($BOT$2,[2]ARBOR_REAJUSTE18!$A:$B,2,0),0))),""))),4)</f>
        <v>#VALUE!</v>
      </c>
      <c r="BOX6" s="44" t="e">
        <f>ROUNDUP(IF(IFERROR(IF($BOT6="","",IF($BOT6=0,1,1-$BOT6/HLOOKUP(BOX$3,[2]ARBOR_REAJUSTE18!$A:$AE,VLOOKUP($BOT$2,[2]ARBOR_REAJUSTE18!$A:$B,2,0),0))),"")&lt;0.01%,0.01%,(IFERROR(IF($BOT6="","",IF($BOT6=0,1,1-$BOT6/HLOOKUP(BOX$3,[2]ARBOR_REAJUSTE18!$A:$AE,VLOOKUP($BOT$2,[2]ARBOR_REAJUSTE18!$A:$B,2,0),0))),""))),4)</f>
        <v>#VALUE!</v>
      </c>
      <c r="BOY6" s="44" t="e">
        <f>ROUNDUP(IF(IFERROR(IF($BOT6="","",IF($BOT6=0,1,1-$BOT6/HLOOKUP(BOY$3,[2]ARBOR_REAJUSTE18!$A:$AE,VLOOKUP($BOT$2,[2]ARBOR_REAJUSTE18!$A:$B,2,0),0))),"")&lt;0.01%,0.01%,(IFERROR(IF($BOT6="","",IF($BOT6=0,1,1-$BOT6/HLOOKUP(BOY$3,[2]ARBOR_REAJUSTE18!$A:$AE,VLOOKUP($BOT$2,[2]ARBOR_REAJUSTE18!$A:$B,2,0),0))),""))),4)</f>
        <v>#VALUE!</v>
      </c>
      <c r="BOZ6" s="44" t="e">
        <f>ROUNDUP(IF(IFERROR(IF($BOT6="","",IF($BOT6=0,1,1-$BOT6/HLOOKUP(BOZ$3,[2]ARBOR_REAJUSTE18!$A:$AE,VLOOKUP($BOT$2,[2]ARBOR_REAJUSTE18!$A:$B,2,0),0))),"")&lt;0.01%,0.01%,(IFERROR(IF($BOT6="","",IF($BOT6=0,1,1-$BOT6/HLOOKUP(BOZ$3,[2]ARBOR_REAJUSTE18!$A:$AE,VLOOKUP($BOT$2,[2]ARBOR_REAJUSTE18!$A:$B,2,0),0))),""))),4)</f>
        <v>#VALUE!</v>
      </c>
      <c r="BPA6" s="44" t="e">
        <f>ROUNDUP(IF(IFERROR(IF($BOT6="","",IF($BOT6=0,1,1-$BOT6/HLOOKUP(BPA$3,[2]ARBOR_REAJUSTE18!$A:$AE,VLOOKUP($BOT$2,[2]ARBOR_REAJUSTE18!$A:$B,2,0),0))),"")&lt;0.01%,0.01%,(IFERROR(IF($BOT6="","",IF($BOT6=0,1,1-$BOT6/HLOOKUP(BPA$3,[2]ARBOR_REAJUSTE18!$A:$AE,VLOOKUP($BOT$2,[2]ARBOR_REAJUSTE18!$A:$B,2,0),0))),""))),4)</f>
        <v>#VALUE!</v>
      </c>
      <c r="BPB6" s="44" t="e">
        <f>ROUNDUP(IF(IFERROR(IF($BOT6="","",IF($BOT6=0,1,1-$BOT6/HLOOKUP(BPB$3,[2]ARBOR_REAJUSTE18!$A:$AE,VLOOKUP($BOT$2,[2]ARBOR_REAJUSTE18!$A:$B,2,0),0))),"")&lt;0.01%,0.01%,(IFERROR(IF($BOT6="","",IF($BOT6=0,1,1-$BOT6/HLOOKUP(BPB$3,[2]ARBOR_REAJUSTE18!$A:$AE,VLOOKUP($BOT$2,[2]ARBOR_REAJUSTE18!$A:$B,2,0),0))),""))),4)</f>
        <v>#VALUE!</v>
      </c>
      <c r="BPC6" s="44" t="e">
        <f>ROUNDUP(IF(IFERROR(IF($BOT6="","",IF($BOT6=0,1,1-$BOT6/HLOOKUP(BPC$3,[2]ARBOR_REAJUSTE18!$A:$AE,VLOOKUP($BOT$2,[2]ARBOR_REAJUSTE18!$A:$B,2,0),0))),"")&lt;0.01%,0.01%,(IFERROR(IF($BOT6="","",IF($BOT6=0,1,1-$BOT6/HLOOKUP(BPC$3,[2]ARBOR_REAJUSTE18!$A:$AE,VLOOKUP($BOT$2,[2]ARBOR_REAJUSTE18!$A:$B,2,0),0))),""))),4)</f>
        <v>#VALUE!</v>
      </c>
      <c r="BPD6" s="44" t="e">
        <f>ROUNDUP(IF(IFERROR(IF($BOT6="","",IF($BOT6=0,1,1-$BOT6/HLOOKUP(BPD$3,[2]ARBOR_REAJUSTE18!$A:$AE,VLOOKUP($BOT$2,[2]ARBOR_REAJUSTE18!$A:$B,2,0),0))),"")&lt;0.01%,0.01%,(IFERROR(IF($BOT6="","",IF($BOT6=0,1,1-$BOT6/HLOOKUP(BPD$3,[2]ARBOR_REAJUSTE18!$A:$AE,VLOOKUP($BOT$2,[2]ARBOR_REAJUSTE18!$A:$B,2,0),0))),""))),4)</f>
        <v>#VALUE!</v>
      </c>
      <c r="BPE6" s="44" t="e">
        <f>ROUNDUP(IF(IFERROR(IF($BOT6="","",IF($BOT6=0,1,1-$BOT6/HLOOKUP(BPE$3,[2]ARBOR_REAJUSTE18!$A:$AE,VLOOKUP($BOT$2,[2]ARBOR_REAJUSTE18!$A:$B,2,0),0))),"")&lt;0.01%,0.01%,(IFERROR(IF($BOT6="","",IF($BOT6=0,1,1-$BOT6/HLOOKUP(BPE$3,[2]ARBOR_REAJUSTE18!$A:$AE,VLOOKUP($BOT$2,[2]ARBOR_REAJUSTE18!$A:$B,2,0),0))),""))),4)</f>
        <v>#VALUE!</v>
      </c>
      <c r="BPF6" s="44" t="e">
        <f>ROUNDUP(IF(IFERROR(IF($BOT6="","",IF($BOT6=0,1,1-$BOT6/HLOOKUP(BPF$3,[2]ARBOR_REAJUSTE18!$A:$AE,VLOOKUP($BOT$2,[2]ARBOR_REAJUSTE18!$A:$B,2,0),0))),"")&lt;0.01%,0.01%,(IFERROR(IF($BOT6="","",IF($BOT6=0,1,1-$BOT6/HLOOKUP(BPF$3,[2]ARBOR_REAJUSTE18!$A:$AE,VLOOKUP($BOT$2,[2]ARBOR_REAJUSTE18!$A:$B,2,0),0))),""))),4)</f>
        <v>#VALUE!</v>
      </c>
      <c r="BPG6" s="44" t="e">
        <f>ROUNDUP(IF(IFERROR(IF($BOT6="","",IF($BOT6=0,1,1-$BOT6/HLOOKUP(BPG$3,[2]ARBOR_REAJUSTE18!$A:$AE,VLOOKUP($BOT$2,[2]ARBOR_REAJUSTE18!$A:$B,2,0),0))),"")&lt;0.01%,0.01%,(IFERROR(IF($BOT6="","",IF($BOT6=0,1,1-$BOT6/HLOOKUP(BPG$3,[2]ARBOR_REAJUSTE18!$A:$AE,VLOOKUP($BOT$2,[2]ARBOR_REAJUSTE18!$A:$B,2,0),0))),""))),4)</f>
        <v>#VALUE!</v>
      </c>
      <c r="BPH6" s="44" t="e">
        <f>ROUNDUP(IF(IFERROR(IF($BOT6="","",IF($BOT6=0,1,1-$BOT6/HLOOKUP(BPH$3,[2]ARBOR_REAJUSTE18!$A:$AE,VLOOKUP($BOT$2,[2]ARBOR_REAJUSTE18!$A:$B,2,0),0))),"")&lt;0.01%,0.01%,(IFERROR(IF($BOT6="","",IF($BOT6=0,1,1-$BOT6/HLOOKUP(BPH$3,[2]ARBOR_REAJUSTE18!$A:$AE,VLOOKUP($BOT$2,[2]ARBOR_REAJUSTE18!$A:$B,2,0),0))),""))),4)</f>
        <v>#VALUE!</v>
      </c>
      <c r="BPI6" s="44" t="e">
        <f>ROUNDUP(IF(IFERROR(IF($BOT6="","",IF($BOT6=0,1,1-$BOT6/HLOOKUP(BPI$3,[2]ARBOR_REAJUSTE18!$A:$AE,VLOOKUP($BOT$2,[2]ARBOR_REAJUSTE18!$A:$B,2,0),0))),"")&lt;0.01%,0.01%,(IFERROR(IF($BOT6="","",IF($BOT6=0,1,1-$BOT6/HLOOKUP(BPI$3,[2]ARBOR_REAJUSTE18!$A:$AE,VLOOKUP($BOT$2,[2]ARBOR_REAJUSTE18!$A:$B,2,0),0))),""))),4)</f>
        <v>#VALUE!</v>
      </c>
      <c r="BPJ6" s="44" t="e">
        <f>ROUNDUP(IF(IFERROR(IF($BOT6="","",IF($BOT6=0,1,1-$BOT6/HLOOKUP(BPJ$3,[2]ARBOR_REAJUSTE18!$A:$AE,VLOOKUP($BOT$2,[2]ARBOR_REAJUSTE18!$A:$B,2,0),0))),"")&lt;0.01%,0.01%,(IFERROR(IF($BOT6="","",IF($BOT6=0,1,1-$BOT6/HLOOKUP(BPJ$3,[2]ARBOR_REAJUSTE18!$A:$AE,VLOOKUP($BOT$2,[2]ARBOR_REAJUSTE18!$A:$B,2,0),0))),""))),4)</f>
        <v>#VALUE!</v>
      </c>
      <c r="BPK6" s="44" t="e">
        <f>ROUNDUP(IF(IFERROR(IF($BOT6="","",IF($BOT6=0,1,1-$BOT6/HLOOKUP(BPK$3,[2]ARBOR_REAJUSTE18!$A:$AE,VLOOKUP($BOT$2,[2]ARBOR_REAJUSTE18!$A:$B,2,0),0))),"")&lt;0.01%,0.01%,(IFERROR(IF($BOT6="","",IF($BOT6=0,1,1-$BOT6/HLOOKUP(BPK$3,[2]ARBOR_REAJUSTE18!$A:$AE,VLOOKUP($BOT$2,[2]ARBOR_REAJUSTE18!$A:$B,2,0),0))),""))),4)</f>
        <v>#VALUE!</v>
      </c>
      <c r="BPL6" s="44" t="e">
        <f>ROUNDUP(IF(IFERROR(IF($BOT6="","",IF($BOT6=0,1,1-$BOT6/HLOOKUP(BPL$3,[2]ARBOR_REAJUSTE18!$A:$AE,VLOOKUP($BOT$2,[2]ARBOR_REAJUSTE18!$A:$B,2,0),0))),"")&lt;0.01%,0.01%,(IFERROR(IF($BOT6="","",IF($BOT6=0,1,1-$BOT6/HLOOKUP(BPL$3,[2]ARBOR_REAJUSTE18!$A:$AE,VLOOKUP($BOT$2,[2]ARBOR_REAJUSTE18!$A:$B,2,0),0))),""))),4)</f>
        <v>#VALUE!</v>
      </c>
      <c r="BPM6" s="44" t="e">
        <f>ROUNDUP(IF(IFERROR(IF($BOT6="","",IF($BOT6=0,1,1-$BOT6/HLOOKUP(BPM$3,[2]ARBOR_REAJUSTE18!$A:$AE,VLOOKUP($BOT$2,[2]ARBOR_REAJUSTE18!$A:$B,2,0),0))),"")&lt;0.01%,0.01%,(IFERROR(IF($BOT6="","",IF($BOT6=0,1,1-$BOT6/HLOOKUP(BPM$3,[2]ARBOR_REAJUSTE18!$A:$AE,VLOOKUP($BOT$2,[2]ARBOR_REAJUSTE18!$A:$B,2,0),0))),""))),4)</f>
        <v>#VALUE!</v>
      </c>
      <c r="BPN6" s="44" t="e">
        <f>ROUNDUP(IF(IFERROR(IF($BOT6="","",IF($BOT6=0,1,1-$BOT6/HLOOKUP(BPN$3,[2]ARBOR_REAJUSTE18!$A:$AE,VLOOKUP($BOT$2,[2]ARBOR_REAJUSTE18!$A:$B,2,0),0))),"")&lt;0.01%,0.01%,(IFERROR(IF($BOT6="","",IF($BOT6=0,1,1-$BOT6/HLOOKUP(BPN$3,[2]ARBOR_REAJUSTE18!$A:$AE,VLOOKUP($BOT$2,[2]ARBOR_REAJUSTE18!$A:$B,2,0),0))),""))),4)</f>
        <v>#VALUE!</v>
      </c>
      <c r="BPO6" s="44" t="e">
        <f>ROUNDUP(IF(IFERROR(IF($BOT6="","",IF($BOT6=0,1,1-$BOT6/HLOOKUP(BPO$3,[2]ARBOR_REAJUSTE18!$A:$AE,VLOOKUP($BOT$2,[2]ARBOR_REAJUSTE18!$A:$B,2,0),0))),"")&lt;0.01%,0.01%,(IFERROR(IF($BOT6="","",IF($BOT6=0,1,1-$BOT6/HLOOKUP(BPO$3,[2]ARBOR_REAJUSTE18!$A:$AE,VLOOKUP($BOT$2,[2]ARBOR_REAJUSTE18!$A:$B,2,0),0))),""))),4)</f>
        <v>#VALUE!</v>
      </c>
      <c r="BPP6" s="44" t="e">
        <f>ROUNDUP(IF(IFERROR(IF($BOT6="","",IF($BOT6=0,1,1-$BOT6/HLOOKUP(BPP$3,[2]ARBOR_REAJUSTE18!$A:$AE,VLOOKUP($BOT$2,[2]ARBOR_REAJUSTE18!$A:$B,2,0),0))),"")&lt;0.01%,0.01%,(IFERROR(IF($BOT6="","",IF($BOT6=0,1,1-$BOT6/HLOOKUP(BPP$3,[2]ARBOR_REAJUSTE18!$A:$AE,VLOOKUP($BOT$2,[2]ARBOR_REAJUSTE18!$A:$B,2,0),0))),""))),4)</f>
        <v>#VALUE!</v>
      </c>
      <c r="BPQ6" s="44" t="e">
        <f>ROUNDUP(IF(IFERROR(IF($BOT6="","",IF($BOT6=0,1,1-$BOT6/HLOOKUP(BPQ$3,[2]ARBOR_REAJUSTE18!$A:$AE,VLOOKUP($BOT$2,[2]ARBOR_REAJUSTE18!$A:$B,2,0),0))),"")&lt;0.01%,0.01%,(IFERROR(IF($BOT6="","",IF($BOT6=0,1,1-$BOT6/HLOOKUP(BPQ$3,[2]ARBOR_REAJUSTE18!$A:$AE,VLOOKUP($BOT$2,[2]ARBOR_REAJUSTE18!$A:$B,2,0),0))),""))),4)</f>
        <v>#VALUE!</v>
      </c>
      <c r="BPR6" s="44" t="e">
        <f>ROUNDUP(IF(IFERROR(IF($BOT6="","",IF($BOT6=0,1,1-$BOT6/HLOOKUP(BPR$3,[2]ARBOR_REAJUSTE18!$A:$AE,VLOOKUP($BOT$2,[2]ARBOR_REAJUSTE18!$A:$B,2,0),0))),"")&lt;0.01%,0.01%,(IFERROR(IF($BOT6="","",IF($BOT6=0,1,1-$BOT6/HLOOKUP(BPR$3,[2]ARBOR_REAJUSTE18!$A:$AE,VLOOKUP($BOT$2,[2]ARBOR_REAJUSTE18!$A:$B,2,0),0))),""))),4)</f>
        <v>#VALUE!</v>
      </c>
      <c r="BPS6" s="44" t="e">
        <f>ROUNDUP(IF(IFERROR(IF($BOT6="","",IF($BOT6=0,1,1-$BOT6/HLOOKUP(BPS$3,[2]ARBOR_REAJUSTE18!$A:$AE,VLOOKUP($BOT$2,[2]ARBOR_REAJUSTE18!$A:$B,2,0),0))),"")&lt;0.01%,0.01%,(IFERROR(IF($BOT6="","",IF($BOT6=0,1,1-$BOT6/HLOOKUP(BPS$3,[2]ARBOR_REAJUSTE18!$A:$AE,VLOOKUP($BOT$2,[2]ARBOR_REAJUSTE18!$A:$B,2,0),0))),""))),4)</f>
        <v>#VALUE!</v>
      </c>
      <c r="BPT6" s="44" t="e">
        <f>ROUNDUP(IF(IFERROR(IF($BOT6="","",IF($BOT6=0,1,1-$BOT6/HLOOKUP(BPT$3,[2]ARBOR_REAJUSTE18!$A:$AE,VLOOKUP($BOT$2,[2]ARBOR_REAJUSTE18!$A:$B,2,0),0))),"")&lt;0.01%,0.01%,(IFERROR(IF($BOT6="","",IF($BOT6=0,1,1-$BOT6/HLOOKUP(BPT$3,[2]ARBOR_REAJUSTE18!$A:$AE,VLOOKUP($BOT$2,[2]ARBOR_REAJUSTE18!$A:$B,2,0),0))),""))),4)</f>
        <v>#VALUE!</v>
      </c>
      <c r="BPU6" s="44" t="e">
        <f>ROUNDUP(IF(IFERROR(IF($BOT6="","",IF($BOT6=0,1,1-$BOT6/HLOOKUP(BPU$3,[2]ARBOR_REAJUSTE18!$A:$AE,VLOOKUP($BOT$2,[2]ARBOR_REAJUSTE18!$A:$B,2,0),0))),"")&lt;0.01%,0.01%,(IFERROR(IF($BOT6="","",IF($BOT6=0,1,1-$BOT6/HLOOKUP(BPU$3,[2]ARBOR_REAJUSTE18!$A:$AE,VLOOKUP($BOT$2,[2]ARBOR_REAJUSTE18!$A:$B,2,0),0))),""))),4)</f>
        <v>#VALUE!</v>
      </c>
      <c r="BPV6" s="44" t="e">
        <f>ROUNDUP(IF(IFERROR(IF($BOT6="","",IF($BOT6=0,1,1-$BOT6/HLOOKUP(BPV$3,[2]ARBOR_REAJUSTE18!$A:$AE,VLOOKUP($BOT$2,[2]ARBOR_REAJUSTE18!$A:$B,2,0),0))),"")&lt;0.01%,0.01%,(IFERROR(IF($BOT6="","",IF($BOT6=0,1,1-$BOT6/HLOOKUP(BPV$3,[2]ARBOR_REAJUSTE18!$A:$AE,VLOOKUP($BOT$2,[2]ARBOR_REAJUSTE18!$A:$B,2,0),0))),""))),4)</f>
        <v>#VALUE!</v>
      </c>
      <c r="BPW6" s="56"/>
      <c r="BPX6" s="56" t="s">
        <v>262</v>
      </c>
      <c r="BPY6" s="44" t="e">
        <f>ROUNDUP(IF(IFERROR(IF($BPW6="","",IF($BPW6=0,1,1-$BPW6/HLOOKUP(BPY$3,[2]ARBOR_REAJUSTE18!$A:$AE,VLOOKUP($BPW$2,[2]ARBOR_REAJUSTE18!$A:$B,2,0),0))),"")&lt;0.01%,0.01%,(IFERROR(IF($BPW6="","",IF($BPW6=0,1,1-$BPW6/HLOOKUP(BPY$3,[2]ARBOR_REAJUSTE18!$A:$AE,VLOOKUP($BPW$2,[2]ARBOR_REAJUSTE18!$A:$B,2,0),0))),""))),4)</f>
        <v>#VALUE!</v>
      </c>
      <c r="BPZ6" s="44" t="e">
        <f>ROUNDUP(IF(IFERROR(IF($BPW6="","",IF($BPW6=0,1,1-$BPW6/HLOOKUP(BPZ$3,[2]ARBOR_REAJUSTE18!$A:$AE,VLOOKUP($BPW$2,[2]ARBOR_REAJUSTE18!$A:$B,2,0),0))),"")&lt;0.01%,0.01%,(IFERROR(IF($BPW6="","",IF($BPW6=0,1,1-$BPW6/HLOOKUP(BPZ$3,[2]ARBOR_REAJUSTE18!$A:$AE,VLOOKUP($BPW$2,[2]ARBOR_REAJUSTE18!$A:$B,2,0),0))),""))),4)</f>
        <v>#VALUE!</v>
      </c>
      <c r="BQA6" s="44" t="e">
        <f>ROUNDUP(IF(IFERROR(IF($BPW6="","",IF($BPW6=0,1,1-$BPW6/HLOOKUP(BQA$3,[2]ARBOR_REAJUSTE18!$A:$AE,VLOOKUP($BPW$2,[2]ARBOR_REAJUSTE18!$A:$B,2,0),0))),"")&lt;0.01%,0.01%,(IFERROR(IF($BPW6="","",IF($BPW6=0,1,1-$BPW6/HLOOKUP(BQA$3,[2]ARBOR_REAJUSTE18!$A:$AE,VLOOKUP($BPW$2,[2]ARBOR_REAJUSTE18!$A:$B,2,0),0))),""))),4)</f>
        <v>#VALUE!</v>
      </c>
      <c r="BQB6" s="44" t="e">
        <f>ROUNDUP(IF(IFERROR(IF($BPW6="","",IF($BPW6=0,1,1-$BPW6/HLOOKUP(BQB$3,[2]ARBOR_REAJUSTE18!$A:$AE,VLOOKUP($BPW$2,[2]ARBOR_REAJUSTE18!$A:$B,2,0),0))),"")&lt;0.01%,0.01%,(IFERROR(IF($BPW6="","",IF($BPW6=0,1,1-$BPW6/HLOOKUP(BQB$3,[2]ARBOR_REAJUSTE18!$A:$AE,VLOOKUP($BPW$2,[2]ARBOR_REAJUSTE18!$A:$B,2,0),0))),""))),4)</f>
        <v>#VALUE!</v>
      </c>
      <c r="BQC6" s="44" t="e">
        <f>ROUNDUP(IF(IFERROR(IF($BPW6="","",IF($BPW6=0,1,1-$BPW6/HLOOKUP(BQC$3,[2]ARBOR_REAJUSTE18!$A:$AE,VLOOKUP($BPW$2,[2]ARBOR_REAJUSTE18!$A:$B,2,0),0))),"")&lt;0.01%,0.01%,(IFERROR(IF($BPW6="","",IF($BPW6=0,1,1-$BPW6/HLOOKUP(BQC$3,[2]ARBOR_REAJUSTE18!$A:$AE,VLOOKUP($BPW$2,[2]ARBOR_REAJUSTE18!$A:$B,2,0),0))),""))),4)</f>
        <v>#VALUE!</v>
      </c>
      <c r="BQD6" s="44" t="e">
        <f>ROUNDUP(IF(IFERROR(IF($BPW6="","",IF($BPW6=0,1,1-$BPW6/HLOOKUP(BQD$3,[2]ARBOR_REAJUSTE18!$A:$AE,VLOOKUP($BPW$2,[2]ARBOR_REAJUSTE18!$A:$B,2,0),0))),"")&lt;0.01%,0.01%,(IFERROR(IF($BPW6="","",IF($BPW6=0,1,1-$BPW6/HLOOKUP(BQD$3,[2]ARBOR_REAJUSTE18!$A:$AE,VLOOKUP($BPW$2,[2]ARBOR_REAJUSTE18!$A:$B,2,0),0))),""))),4)</f>
        <v>#VALUE!</v>
      </c>
      <c r="BQE6" s="44" t="e">
        <f>ROUNDUP(IF(IFERROR(IF($BPW6="","",IF($BPW6=0,1,1-$BPW6/HLOOKUP(BQE$3,[2]ARBOR_REAJUSTE18!$A:$AE,VLOOKUP($BPW$2,[2]ARBOR_REAJUSTE18!$A:$B,2,0),0))),"")&lt;0.01%,0.01%,(IFERROR(IF($BPW6="","",IF($BPW6=0,1,1-$BPW6/HLOOKUP(BQE$3,[2]ARBOR_REAJUSTE18!$A:$AE,VLOOKUP($BPW$2,[2]ARBOR_REAJUSTE18!$A:$B,2,0),0))),""))),4)</f>
        <v>#VALUE!</v>
      </c>
      <c r="BQF6" s="44" t="e">
        <f>ROUNDUP(IF(IFERROR(IF($BPW6="","",IF($BPW6=0,1,1-$BPW6/HLOOKUP(BQF$3,[2]ARBOR_REAJUSTE18!$A:$AE,VLOOKUP($BPW$2,[2]ARBOR_REAJUSTE18!$A:$B,2,0),0))),"")&lt;0.01%,0.01%,(IFERROR(IF($BPW6="","",IF($BPW6=0,1,1-$BPW6/HLOOKUP(BQF$3,[2]ARBOR_REAJUSTE18!$A:$AE,VLOOKUP($BPW$2,[2]ARBOR_REAJUSTE18!$A:$B,2,0),0))),""))),4)</f>
        <v>#VALUE!</v>
      </c>
      <c r="BQG6" s="44" t="e">
        <f>ROUNDUP(IF(IFERROR(IF($BPW6="","",IF($BPW6=0,1,1-$BPW6/HLOOKUP(BQG$3,[2]ARBOR_REAJUSTE18!$A:$AE,VLOOKUP($BPW$2,[2]ARBOR_REAJUSTE18!$A:$B,2,0),0))),"")&lt;0.01%,0.01%,(IFERROR(IF($BPW6="","",IF($BPW6=0,1,1-$BPW6/HLOOKUP(BQG$3,[2]ARBOR_REAJUSTE18!$A:$AE,VLOOKUP($BPW$2,[2]ARBOR_REAJUSTE18!$A:$B,2,0),0))),""))),4)</f>
        <v>#VALUE!</v>
      </c>
      <c r="BQH6" s="44" t="e">
        <f>ROUNDUP(IF(IFERROR(IF($BPW6="","",IF($BPW6=0,1,1-$BPW6/HLOOKUP(BQH$3,[2]ARBOR_REAJUSTE18!$A:$AE,VLOOKUP($BPW$2,[2]ARBOR_REAJUSTE18!$A:$B,2,0),0))),"")&lt;0.01%,0.01%,(IFERROR(IF($BPW6="","",IF($BPW6=0,1,1-$BPW6/HLOOKUP(BQH$3,[2]ARBOR_REAJUSTE18!$A:$AE,VLOOKUP($BPW$2,[2]ARBOR_REAJUSTE18!$A:$B,2,0),0))),""))),4)</f>
        <v>#VALUE!</v>
      </c>
      <c r="BQI6" s="44" t="e">
        <f>ROUNDUP(IF(IFERROR(IF($BPW6="","",IF($BPW6=0,1,1-$BPW6/HLOOKUP(BQI$3,[2]ARBOR_REAJUSTE18!$A:$AE,VLOOKUP($BPW$2,[2]ARBOR_REAJUSTE18!$A:$B,2,0),0))),"")&lt;0.01%,0.01%,(IFERROR(IF($BPW6="","",IF($BPW6=0,1,1-$BPW6/HLOOKUP(BQI$3,[2]ARBOR_REAJUSTE18!$A:$AE,VLOOKUP($BPW$2,[2]ARBOR_REAJUSTE18!$A:$B,2,0),0))),""))),4)</f>
        <v>#VALUE!</v>
      </c>
      <c r="BQJ6" s="44" t="e">
        <f>ROUNDUP(IF(IFERROR(IF($BPW6="","",IF($BPW6=0,1,1-$BPW6/HLOOKUP(BQJ$3,[2]ARBOR_REAJUSTE18!$A:$AE,VLOOKUP($BPW$2,[2]ARBOR_REAJUSTE18!$A:$B,2,0),0))),"")&lt;0.01%,0.01%,(IFERROR(IF($BPW6="","",IF($BPW6=0,1,1-$BPW6/HLOOKUP(BQJ$3,[2]ARBOR_REAJUSTE18!$A:$AE,VLOOKUP($BPW$2,[2]ARBOR_REAJUSTE18!$A:$B,2,0),0))),""))),4)</f>
        <v>#VALUE!</v>
      </c>
      <c r="BQK6" s="44" t="e">
        <f>ROUNDUP(IF(IFERROR(IF($BPW6="","",IF($BPW6=0,1,1-$BPW6/HLOOKUP(BQK$3,[2]ARBOR_REAJUSTE18!$A:$AE,VLOOKUP($BPW$2,[2]ARBOR_REAJUSTE18!$A:$B,2,0),0))),"")&lt;0.01%,0.01%,(IFERROR(IF($BPW6="","",IF($BPW6=0,1,1-$BPW6/HLOOKUP(BQK$3,[2]ARBOR_REAJUSTE18!$A:$AE,VLOOKUP($BPW$2,[2]ARBOR_REAJUSTE18!$A:$B,2,0),0))),""))),4)</f>
        <v>#VALUE!</v>
      </c>
      <c r="BQL6" s="44" t="e">
        <f>ROUNDUP(IF(IFERROR(IF($BPW6="","",IF($BPW6=0,1,1-$BPW6/HLOOKUP(BQL$3,[2]ARBOR_REAJUSTE18!$A:$AE,VLOOKUP($BPW$2,[2]ARBOR_REAJUSTE18!$A:$B,2,0),0))),"")&lt;0.01%,0.01%,(IFERROR(IF($BPW6="","",IF($BPW6=0,1,1-$BPW6/HLOOKUP(BQL$3,[2]ARBOR_REAJUSTE18!$A:$AE,VLOOKUP($BPW$2,[2]ARBOR_REAJUSTE18!$A:$B,2,0),0))),""))),4)</f>
        <v>#VALUE!</v>
      </c>
      <c r="BQM6" s="44" t="e">
        <f>ROUNDUP(IF(IFERROR(IF($BPW6="","",IF($BPW6=0,1,1-$BPW6/HLOOKUP(BQM$3,[2]ARBOR_REAJUSTE18!$A:$AE,VLOOKUP($BPW$2,[2]ARBOR_REAJUSTE18!$A:$B,2,0),0))),"")&lt;0.01%,0.01%,(IFERROR(IF($BPW6="","",IF($BPW6=0,1,1-$BPW6/HLOOKUP(BQM$3,[2]ARBOR_REAJUSTE18!$A:$AE,VLOOKUP($BPW$2,[2]ARBOR_REAJUSTE18!$A:$B,2,0),0))),""))),4)</f>
        <v>#VALUE!</v>
      </c>
      <c r="BQN6" s="44" t="e">
        <f>ROUNDUP(IF(IFERROR(IF($BPW6="","",IF($BPW6=0,1,1-$BPW6/HLOOKUP(BQN$3,[2]ARBOR_REAJUSTE18!$A:$AE,VLOOKUP($BPW$2,[2]ARBOR_REAJUSTE18!$A:$B,2,0),0))),"")&lt;0.01%,0.01%,(IFERROR(IF($BPW6="","",IF($BPW6=0,1,1-$BPW6/HLOOKUP(BQN$3,[2]ARBOR_REAJUSTE18!$A:$AE,VLOOKUP($BPW$2,[2]ARBOR_REAJUSTE18!$A:$B,2,0),0))),""))),4)</f>
        <v>#VALUE!</v>
      </c>
      <c r="BQO6" s="44" t="e">
        <f>ROUNDUP(IF(IFERROR(IF($BPW6="","",IF($BPW6=0,1,1-$BPW6/HLOOKUP(BQO$3,[2]ARBOR_REAJUSTE18!$A:$AE,VLOOKUP($BPW$2,[2]ARBOR_REAJUSTE18!$A:$B,2,0),0))),"")&lt;0.01%,0.01%,(IFERROR(IF($BPW6="","",IF($BPW6=0,1,1-$BPW6/HLOOKUP(BQO$3,[2]ARBOR_REAJUSTE18!$A:$AE,VLOOKUP($BPW$2,[2]ARBOR_REAJUSTE18!$A:$B,2,0),0))),""))),4)</f>
        <v>#VALUE!</v>
      </c>
      <c r="BQP6" s="44" t="e">
        <f>ROUNDUP(IF(IFERROR(IF($BPW6="","",IF($BPW6=0,1,1-$BPW6/HLOOKUP(BQP$3,[2]ARBOR_REAJUSTE18!$A:$AE,VLOOKUP($BPW$2,[2]ARBOR_REAJUSTE18!$A:$B,2,0),0))),"")&lt;0.01%,0.01%,(IFERROR(IF($BPW6="","",IF($BPW6=0,1,1-$BPW6/HLOOKUP(BQP$3,[2]ARBOR_REAJUSTE18!$A:$AE,VLOOKUP($BPW$2,[2]ARBOR_REAJUSTE18!$A:$B,2,0),0))),""))),4)</f>
        <v>#VALUE!</v>
      </c>
      <c r="BQQ6" s="44" t="e">
        <f>ROUNDUP(IF(IFERROR(IF($BPW6="","",IF($BPW6=0,1,1-$BPW6/HLOOKUP(BQQ$3,[2]ARBOR_REAJUSTE18!$A:$AE,VLOOKUP($BPW$2,[2]ARBOR_REAJUSTE18!$A:$B,2,0),0))),"")&lt;0.01%,0.01%,(IFERROR(IF($BPW6="","",IF($BPW6=0,1,1-$BPW6/HLOOKUP(BQQ$3,[2]ARBOR_REAJUSTE18!$A:$AE,VLOOKUP($BPW$2,[2]ARBOR_REAJUSTE18!$A:$B,2,0),0))),""))),4)</f>
        <v>#VALUE!</v>
      </c>
      <c r="BQR6" s="44" t="e">
        <f>ROUNDUP(IF(IFERROR(IF($BPW6="","",IF($BPW6=0,1,1-$BPW6/HLOOKUP(BQR$3,[2]ARBOR_REAJUSTE18!$A:$AE,VLOOKUP($BPW$2,[2]ARBOR_REAJUSTE18!$A:$B,2,0),0))),"")&lt;0.01%,0.01%,(IFERROR(IF($BPW6="","",IF($BPW6=0,1,1-$BPW6/HLOOKUP(BQR$3,[2]ARBOR_REAJUSTE18!$A:$AE,VLOOKUP($BPW$2,[2]ARBOR_REAJUSTE18!$A:$B,2,0),0))),""))),4)</f>
        <v>#VALUE!</v>
      </c>
      <c r="BQS6" s="44" t="e">
        <f>ROUNDUP(IF(IFERROR(IF($BPW6="","",IF($BPW6=0,1,1-$BPW6/HLOOKUP(BQS$3,[2]ARBOR_REAJUSTE18!$A:$AE,VLOOKUP($BPW$2,[2]ARBOR_REAJUSTE18!$A:$B,2,0),0))),"")&lt;0.01%,0.01%,(IFERROR(IF($BPW6="","",IF($BPW6=0,1,1-$BPW6/HLOOKUP(BQS$3,[2]ARBOR_REAJUSTE18!$A:$AE,VLOOKUP($BPW$2,[2]ARBOR_REAJUSTE18!$A:$B,2,0),0))),""))),4)</f>
        <v>#VALUE!</v>
      </c>
      <c r="BQT6" s="44" t="e">
        <f>ROUNDUP(IF(IFERROR(IF($BPW6="","",IF($BPW6=0,1,1-$BPW6/HLOOKUP(BQT$3,[2]ARBOR_REAJUSTE18!$A:$AE,VLOOKUP($BPW$2,[2]ARBOR_REAJUSTE18!$A:$B,2,0),0))),"")&lt;0.01%,0.01%,(IFERROR(IF($BPW6="","",IF($BPW6=0,1,1-$BPW6/HLOOKUP(BQT$3,[2]ARBOR_REAJUSTE18!$A:$AE,VLOOKUP($BPW$2,[2]ARBOR_REAJUSTE18!$A:$B,2,0),0))),""))),4)</f>
        <v>#VALUE!</v>
      </c>
      <c r="BQU6" s="44" t="e">
        <f>ROUNDUP(IF(IFERROR(IF($BPW6="","",IF($BPW6=0,1,1-$BPW6/HLOOKUP(BQU$3,[2]ARBOR_REAJUSTE18!$A:$AE,VLOOKUP($BPW$2,[2]ARBOR_REAJUSTE18!$A:$B,2,0),0))),"")&lt;0.01%,0.01%,(IFERROR(IF($BPW6="","",IF($BPW6=0,1,1-$BPW6/HLOOKUP(BQU$3,[2]ARBOR_REAJUSTE18!$A:$AE,VLOOKUP($BPW$2,[2]ARBOR_REAJUSTE18!$A:$B,2,0),0))),""))),4)</f>
        <v>#VALUE!</v>
      </c>
      <c r="BQV6" s="44" t="e">
        <f>ROUNDUP(IF(IFERROR(IF($BPW6="","",IF($BPW6=0,1,1-$BPW6/HLOOKUP(BQV$3,[2]ARBOR_REAJUSTE18!$A:$AE,VLOOKUP($BPW$2,[2]ARBOR_REAJUSTE18!$A:$B,2,0),0))),"")&lt;0.01%,0.01%,(IFERROR(IF($BPW6="","",IF($BPW6=0,1,1-$BPW6/HLOOKUP(BQV$3,[2]ARBOR_REAJUSTE18!$A:$AE,VLOOKUP($BPW$2,[2]ARBOR_REAJUSTE18!$A:$B,2,0),0))),""))),4)</f>
        <v>#VALUE!</v>
      </c>
      <c r="BQW6" s="44" t="e">
        <f>ROUNDUP(IF(IFERROR(IF($BPW6="","",IF($BPW6=0,1,1-$BPW6/HLOOKUP(BQW$3,[2]ARBOR_REAJUSTE18!$A:$AE,VLOOKUP($BPW$2,[2]ARBOR_REAJUSTE18!$A:$B,2,0),0))),"")&lt;0.01%,0.01%,(IFERROR(IF($BPW6="","",IF($BPW6=0,1,1-$BPW6/HLOOKUP(BQW$3,[2]ARBOR_REAJUSTE18!$A:$AE,VLOOKUP($BPW$2,[2]ARBOR_REAJUSTE18!$A:$B,2,0),0))),""))),4)</f>
        <v>#VALUE!</v>
      </c>
      <c r="BQX6" s="44" t="e">
        <f>ROUNDUP(IF(IFERROR(IF($BPW6="","",IF($BPW6=0,1,1-$BPW6/HLOOKUP(BQX$3,[2]ARBOR_REAJUSTE18!$A:$AE,VLOOKUP($BPW$2,[2]ARBOR_REAJUSTE18!$A:$B,2,0),0))),"")&lt;0.01%,0.01%,(IFERROR(IF($BPW6="","",IF($BPW6=0,1,1-$BPW6/HLOOKUP(BQX$3,[2]ARBOR_REAJUSTE18!$A:$AE,VLOOKUP($BPW$2,[2]ARBOR_REAJUSTE18!$A:$B,2,0),0))),""))),4)</f>
        <v>#VALUE!</v>
      </c>
      <c r="BQY6" s="44" t="e">
        <f>ROUNDUP(IF(IFERROR(IF($BPW6="","",IF($BPW6=0,1,1-$BPW6/HLOOKUP(BQY$3,[2]ARBOR_REAJUSTE18!$A:$AE,VLOOKUP($BPW$2,[2]ARBOR_REAJUSTE18!$A:$B,2,0),0))),"")&lt;0.01%,0.01%,(IFERROR(IF($BPW6="","",IF($BPW6=0,1,1-$BPW6/HLOOKUP(BQY$3,[2]ARBOR_REAJUSTE18!$A:$AE,VLOOKUP($BPW$2,[2]ARBOR_REAJUSTE18!$A:$B,2,0),0))),""))),4)</f>
        <v>#VALUE!</v>
      </c>
      <c r="BQZ6" s="56"/>
      <c r="BRA6" s="56" t="s">
        <v>296</v>
      </c>
      <c r="BRB6" s="44" t="e">
        <f>ROUNDUP(IF(IFERROR(IF($BQZ6="","",IF($BQZ6=0,1,1-$BQZ6/HLOOKUP(BRB$3,[2]ARBOR_REAJUSTE18!$A:$AE,VLOOKUP($BQZ$2,[2]ARBOR_REAJUSTE18!$A:$B,2,0),0))),"")&lt;0.01%,0.01%,(IFERROR(IF($BQZ6="","",IF($BQZ6=0,1,1-$BQZ6/HLOOKUP(BRB$3,[2]ARBOR_REAJUSTE18!$A:$AE,VLOOKUP($BQZ$2,[2]ARBOR_REAJUSTE18!$A:$B,2,0),0))),""))),4)</f>
        <v>#VALUE!</v>
      </c>
      <c r="BRC6" s="44" t="e">
        <f>ROUNDUP(IF(IFERROR(IF($BQZ6="","",IF($BQZ6=0,1,1-$BQZ6/HLOOKUP(BRC$3,[2]ARBOR_REAJUSTE18!$A:$AE,VLOOKUP($BQZ$2,[2]ARBOR_REAJUSTE18!$A:$B,2,0),0))),"")&lt;0.01%,0.01%,(IFERROR(IF($BQZ6="","",IF($BQZ6=0,1,1-$BQZ6/HLOOKUP(BRC$3,[2]ARBOR_REAJUSTE18!$A:$AE,VLOOKUP($BQZ$2,[2]ARBOR_REAJUSTE18!$A:$B,2,0),0))),""))),4)</f>
        <v>#VALUE!</v>
      </c>
      <c r="BRD6" s="44" t="e">
        <f>ROUNDUP(IF(IFERROR(IF($BQZ6="","",IF($BQZ6=0,1,1-$BQZ6/HLOOKUP(BRD$3,[2]ARBOR_REAJUSTE18!$A:$AE,VLOOKUP($BQZ$2,[2]ARBOR_REAJUSTE18!$A:$B,2,0),0))),"")&lt;0.01%,0.01%,(IFERROR(IF($BQZ6="","",IF($BQZ6=0,1,1-$BQZ6/HLOOKUP(BRD$3,[2]ARBOR_REAJUSTE18!$A:$AE,VLOOKUP($BQZ$2,[2]ARBOR_REAJUSTE18!$A:$B,2,0),0))),""))),4)</f>
        <v>#VALUE!</v>
      </c>
      <c r="BRE6" s="44" t="e">
        <f>ROUNDUP(IF(IFERROR(IF($BQZ6="","",IF($BQZ6=0,1,1-$BQZ6/HLOOKUP(BRE$3,[2]ARBOR_REAJUSTE18!$A:$AE,VLOOKUP($BQZ$2,[2]ARBOR_REAJUSTE18!$A:$B,2,0),0))),"")&lt;0.01%,0.01%,(IFERROR(IF($BQZ6="","",IF($BQZ6=0,1,1-$BQZ6/HLOOKUP(BRE$3,[2]ARBOR_REAJUSTE18!$A:$AE,VLOOKUP($BQZ$2,[2]ARBOR_REAJUSTE18!$A:$B,2,0),0))),""))),4)</f>
        <v>#VALUE!</v>
      </c>
      <c r="BRF6" s="44" t="e">
        <f>ROUNDUP(IF(IFERROR(IF($BQZ6="","",IF($BQZ6=0,1,1-$BQZ6/HLOOKUP(BRF$3,[2]ARBOR_REAJUSTE18!$A:$AE,VLOOKUP($BQZ$2,[2]ARBOR_REAJUSTE18!$A:$B,2,0),0))),"")&lt;0.01%,0.01%,(IFERROR(IF($BQZ6="","",IF($BQZ6=0,1,1-$BQZ6/HLOOKUP(BRF$3,[2]ARBOR_REAJUSTE18!$A:$AE,VLOOKUP($BQZ$2,[2]ARBOR_REAJUSTE18!$A:$B,2,0),0))),""))),4)</f>
        <v>#VALUE!</v>
      </c>
      <c r="BRG6" s="44" t="e">
        <f>ROUNDUP(IF(IFERROR(IF($BQZ6="","",IF($BQZ6=0,1,1-$BQZ6/HLOOKUP(BRG$3,[2]ARBOR_REAJUSTE18!$A:$AE,VLOOKUP($BQZ$2,[2]ARBOR_REAJUSTE18!$A:$B,2,0),0))),"")&lt;0.01%,0.01%,(IFERROR(IF($BQZ6="","",IF($BQZ6=0,1,1-$BQZ6/HLOOKUP(BRG$3,[2]ARBOR_REAJUSTE18!$A:$AE,VLOOKUP($BQZ$2,[2]ARBOR_REAJUSTE18!$A:$B,2,0),0))),""))),4)</f>
        <v>#VALUE!</v>
      </c>
      <c r="BRH6" s="44" t="e">
        <f>ROUNDUP(IF(IFERROR(IF($BQZ6="","",IF($BQZ6=0,1,1-$BQZ6/HLOOKUP(BRH$3,[2]ARBOR_REAJUSTE18!$A:$AE,VLOOKUP($BQZ$2,[2]ARBOR_REAJUSTE18!$A:$B,2,0),0))),"")&lt;0.01%,0.01%,(IFERROR(IF($BQZ6="","",IF($BQZ6=0,1,1-$BQZ6/HLOOKUP(BRH$3,[2]ARBOR_REAJUSTE18!$A:$AE,VLOOKUP($BQZ$2,[2]ARBOR_REAJUSTE18!$A:$B,2,0),0))),""))),4)</f>
        <v>#VALUE!</v>
      </c>
      <c r="BRI6" s="44" t="e">
        <f>ROUNDUP(IF(IFERROR(IF($BQZ6="","",IF($BQZ6=0,1,1-$BQZ6/HLOOKUP(BRI$3,[2]ARBOR_REAJUSTE18!$A:$AE,VLOOKUP($BQZ$2,[2]ARBOR_REAJUSTE18!$A:$B,2,0),0))),"")&lt;0.01%,0.01%,(IFERROR(IF($BQZ6="","",IF($BQZ6=0,1,1-$BQZ6/HLOOKUP(BRI$3,[2]ARBOR_REAJUSTE18!$A:$AE,VLOOKUP($BQZ$2,[2]ARBOR_REAJUSTE18!$A:$B,2,0),0))),""))),4)</f>
        <v>#VALUE!</v>
      </c>
      <c r="BRJ6" s="44" t="e">
        <f>ROUNDUP(IF(IFERROR(IF($BQZ6="","",IF($BQZ6=0,1,1-$BQZ6/HLOOKUP(BRJ$3,[2]ARBOR_REAJUSTE18!$A:$AE,VLOOKUP($BQZ$2,[2]ARBOR_REAJUSTE18!$A:$B,2,0),0))),"")&lt;0.01%,0.01%,(IFERROR(IF($BQZ6="","",IF($BQZ6=0,1,1-$BQZ6/HLOOKUP(BRJ$3,[2]ARBOR_REAJUSTE18!$A:$AE,VLOOKUP($BQZ$2,[2]ARBOR_REAJUSTE18!$A:$B,2,0),0))),""))),4)</f>
        <v>#VALUE!</v>
      </c>
      <c r="BRK6" s="44" t="e">
        <f>ROUNDUP(IF(IFERROR(IF($BQZ6="","",IF($BQZ6=0,1,1-$BQZ6/HLOOKUP(BRK$3,[2]ARBOR_REAJUSTE18!$A:$AE,VLOOKUP($BQZ$2,[2]ARBOR_REAJUSTE18!$A:$B,2,0),0))),"")&lt;0.01%,0.01%,(IFERROR(IF($BQZ6="","",IF($BQZ6=0,1,1-$BQZ6/HLOOKUP(BRK$3,[2]ARBOR_REAJUSTE18!$A:$AE,VLOOKUP($BQZ$2,[2]ARBOR_REAJUSTE18!$A:$B,2,0),0))),""))),4)</f>
        <v>#VALUE!</v>
      </c>
      <c r="BRL6" s="44" t="e">
        <f>ROUNDUP(IF(IFERROR(IF($BQZ6="","",IF($BQZ6=0,1,1-$BQZ6/HLOOKUP(BRL$3,[2]ARBOR_REAJUSTE18!$A:$AE,VLOOKUP($BQZ$2,[2]ARBOR_REAJUSTE18!$A:$B,2,0),0))),"")&lt;0.01%,0.01%,(IFERROR(IF($BQZ6="","",IF($BQZ6=0,1,1-$BQZ6/HLOOKUP(BRL$3,[2]ARBOR_REAJUSTE18!$A:$AE,VLOOKUP($BQZ$2,[2]ARBOR_REAJUSTE18!$A:$B,2,0),0))),""))),4)</f>
        <v>#VALUE!</v>
      </c>
      <c r="BRM6" s="44" t="e">
        <f>ROUNDUP(IF(IFERROR(IF($BQZ6="","",IF($BQZ6=0,1,1-$BQZ6/HLOOKUP(BRM$3,[2]ARBOR_REAJUSTE18!$A:$AE,VLOOKUP($BQZ$2,[2]ARBOR_REAJUSTE18!$A:$B,2,0),0))),"")&lt;0.01%,0.01%,(IFERROR(IF($BQZ6="","",IF($BQZ6=0,1,1-$BQZ6/HLOOKUP(BRM$3,[2]ARBOR_REAJUSTE18!$A:$AE,VLOOKUP($BQZ$2,[2]ARBOR_REAJUSTE18!$A:$B,2,0),0))),""))),4)</f>
        <v>#VALUE!</v>
      </c>
      <c r="BRN6" s="44" t="e">
        <f>ROUNDUP(IF(IFERROR(IF($BQZ6="","",IF($BQZ6=0,1,1-$BQZ6/HLOOKUP(BRN$3,[2]ARBOR_REAJUSTE18!$A:$AE,VLOOKUP($BQZ$2,[2]ARBOR_REAJUSTE18!$A:$B,2,0),0))),"")&lt;0.01%,0.01%,(IFERROR(IF($BQZ6="","",IF($BQZ6=0,1,1-$BQZ6/HLOOKUP(BRN$3,[2]ARBOR_REAJUSTE18!$A:$AE,VLOOKUP($BQZ$2,[2]ARBOR_REAJUSTE18!$A:$B,2,0),0))),""))),4)</f>
        <v>#VALUE!</v>
      </c>
      <c r="BRO6" s="44" t="e">
        <f>ROUNDUP(IF(IFERROR(IF($BQZ6="","",IF($BQZ6=0,1,1-$BQZ6/HLOOKUP(BRO$3,[2]ARBOR_REAJUSTE18!$A:$AE,VLOOKUP($BQZ$2,[2]ARBOR_REAJUSTE18!$A:$B,2,0),0))),"")&lt;0.01%,0.01%,(IFERROR(IF($BQZ6="","",IF($BQZ6=0,1,1-$BQZ6/HLOOKUP(BRO$3,[2]ARBOR_REAJUSTE18!$A:$AE,VLOOKUP($BQZ$2,[2]ARBOR_REAJUSTE18!$A:$B,2,0),0))),""))),4)</f>
        <v>#VALUE!</v>
      </c>
      <c r="BRP6" s="44" t="e">
        <f>ROUNDUP(IF(IFERROR(IF($BQZ6="","",IF($BQZ6=0,1,1-$BQZ6/HLOOKUP(BRP$3,[2]ARBOR_REAJUSTE18!$A:$AE,VLOOKUP($BQZ$2,[2]ARBOR_REAJUSTE18!$A:$B,2,0),0))),"")&lt;0.01%,0.01%,(IFERROR(IF($BQZ6="","",IF($BQZ6=0,1,1-$BQZ6/HLOOKUP(BRP$3,[2]ARBOR_REAJUSTE18!$A:$AE,VLOOKUP($BQZ$2,[2]ARBOR_REAJUSTE18!$A:$B,2,0),0))),""))),4)</f>
        <v>#VALUE!</v>
      </c>
      <c r="BRQ6" s="44" t="e">
        <f>ROUNDUP(IF(IFERROR(IF($BQZ6="","",IF($BQZ6=0,1,1-$BQZ6/HLOOKUP(BRQ$3,[2]ARBOR_REAJUSTE18!$A:$AE,VLOOKUP($BQZ$2,[2]ARBOR_REAJUSTE18!$A:$B,2,0),0))),"")&lt;0.01%,0.01%,(IFERROR(IF($BQZ6="","",IF($BQZ6=0,1,1-$BQZ6/HLOOKUP(BRQ$3,[2]ARBOR_REAJUSTE18!$A:$AE,VLOOKUP($BQZ$2,[2]ARBOR_REAJUSTE18!$A:$B,2,0),0))),""))),4)</f>
        <v>#VALUE!</v>
      </c>
      <c r="BRR6" s="44" t="e">
        <f>ROUNDUP(IF(IFERROR(IF($BQZ6="","",IF($BQZ6=0,1,1-$BQZ6/HLOOKUP(BRR$3,[2]ARBOR_REAJUSTE18!$A:$AE,VLOOKUP($BQZ$2,[2]ARBOR_REAJUSTE18!$A:$B,2,0),0))),"")&lt;0.01%,0.01%,(IFERROR(IF($BQZ6="","",IF($BQZ6=0,1,1-$BQZ6/HLOOKUP(BRR$3,[2]ARBOR_REAJUSTE18!$A:$AE,VLOOKUP($BQZ$2,[2]ARBOR_REAJUSTE18!$A:$B,2,0),0))),""))),4)</f>
        <v>#VALUE!</v>
      </c>
      <c r="BRS6" s="44" t="e">
        <f>ROUNDUP(IF(IFERROR(IF($BQZ6="","",IF($BQZ6=0,1,1-$BQZ6/HLOOKUP(BRS$3,[2]ARBOR_REAJUSTE18!$A:$AE,VLOOKUP($BQZ$2,[2]ARBOR_REAJUSTE18!$A:$B,2,0),0))),"")&lt;0.01%,0.01%,(IFERROR(IF($BQZ6="","",IF($BQZ6=0,1,1-$BQZ6/HLOOKUP(BRS$3,[2]ARBOR_REAJUSTE18!$A:$AE,VLOOKUP($BQZ$2,[2]ARBOR_REAJUSTE18!$A:$B,2,0),0))),""))),4)</f>
        <v>#VALUE!</v>
      </c>
      <c r="BRT6" s="44" t="e">
        <f>ROUNDUP(IF(IFERROR(IF($BQZ6="","",IF($BQZ6=0,1,1-$BQZ6/HLOOKUP(BRT$3,[2]ARBOR_REAJUSTE18!$A:$AE,VLOOKUP($BQZ$2,[2]ARBOR_REAJUSTE18!$A:$B,2,0),0))),"")&lt;0.01%,0.01%,(IFERROR(IF($BQZ6="","",IF($BQZ6=0,1,1-$BQZ6/HLOOKUP(BRT$3,[2]ARBOR_REAJUSTE18!$A:$AE,VLOOKUP($BQZ$2,[2]ARBOR_REAJUSTE18!$A:$B,2,0),0))),""))),4)</f>
        <v>#VALUE!</v>
      </c>
      <c r="BRU6" s="44" t="e">
        <f>ROUNDUP(IF(IFERROR(IF($BQZ6="","",IF($BQZ6=0,1,1-$BQZ6/HLOOKUP(BRU$3,[2]ARBOR_REAJUSTE18!$A:$AE,VLOOKUP($BQZ$2,[2]ARBOR_REAJUSTE18!$A:$B,2,0),0))),"")&lt;0.01%,0.01%,(IFERROR(IF($BQZ6="","",IF($BQZ6=0,1,1-$BQZ6/HLOOKUP(BRU$3,[2]ARBOR_REAJUSTE18!$A:$AE,VLOOKUP($BQZ$2,[2]ARBOR_REAJUSTE18!$A:$B,2,0),0))),""))),4)</f>
        <v>#VALUE!</v>
      </c>
      <c r="BRV6" s="44" t="e">
        <f>ROUNDUP(IF(IFERROR(IF($BQZ6="","",IF($BQZ6=0,1,1-$BQZ6/HLOOKUP(BRV$3,[2]ARBOR_REAJUSTE18!$A:$AE,VLOOKUP($BQZ$2,[2]ARBOR_REAJUSTE18!$A:$B,2,0),0))),"")&lt;0.01%,0.01%,(IFERROR(IF($BQZ6="","",IF($BQZ6=0,1,1-$BQZ6/HLOOKUP(BRV$3,[2]ARBOR_REAJUSTE18!$A:$AE,VLOOKUP($BQZ$2,[2]ARBOR_REAJUSTE18!$A:$B,2,0),0))),""))),4)</f>
        <v>#VALUE!</v>
      </c>
      <c r="BRW6" s="44" t="e">
        <f>ROUNDUP(IF(IFERROR(IF($BQZ6="","",IF($BQZ6=0,1,1-$BQZ6/HLOOKUP(BRW$3,[2]ARBOR_REAJUSTE18!$A:$AE,VLOOKUP($BQZ$2,[2]ARBOR_REAJUSTE18!$A:$B,2,0),0))),"")&lt;0.01%,0.01%,(IFERROR(IF($BQZ6="","",IF($BQZ6=0,1,1-$BQZ6/HLOOKUP(BRW$3,[2]ARBOR_REAJUSTE18!$A:$AE,VLOOKUP($BQZ$2,[2]ARBOR_REAJUSTE18!$A:$B,2,0),0))),""))),4)</f>
        <v>#VALUE!</v>
      </c>
      <c r="BRX6" s="44" t="e">
        <f>ROUNDUP(IF(IFERROR(IF($BQZ6="","",IF($BQZ6=0,1,1-$BQZ6/HLOOKUP(BRX$3,[2]ARBOR_REAJUSTE18!$A:$AE,VLOOKUP($BQZ$2,[2]ARBOR_REAJUSTE18!$A:$B,2,0),0))),"")&lt;0.01%,0.01%,(IFERROR(IF($BQZ6="","",IF($BQZ6=0,1,1-$BQZ6/HLOOKUP(BRX$3,[2]ARBOR_REAJUSTE18!$A:$AE,VLOOKUP($BQZ$2,[2]ARBOR_REAJUSTE18!$A:$B,2,0),0))),""))),4)</f>
        <v>#VALUE!</v>
      </c>
      <c r="BRY6" s="44" t="e">
        <f>ROUNDUP(IF(IFERROR(IF($BQZ6="","",IF($BQZ6=0,1,1-$BQZ6/HLOOKUP(BRY$3,[2]ARBOR_REAJUSTE18!$A:$AE,VLOOKUP($BQZ$2,[2]ARBOR_REAJUSTE18!$A:$B,2,0),0))),"")&lt;0.01%,0.01%,(IFERROR(IF($BQZ6="","",IF($BQZ6=0,1,1-$BQZ6/HLOOKUP(BRY$3,[2]ARBOR_REAJUSTE18!$A:$AE,VLOOKUP($BQZ$2,[2]ARBOR_REAJUSTE18!$A:$B,2,0),0))),""))),4)</f>
        <v>#VALUE!</v>
      </c>
      <c r="BRZ6" s="44" t="e">
        <f>ROUNDUP(IF(IFERROR(IF($BQZ6="","",IF($BQZ6=0,1,1-$BQZ6/HLOOKUP(BRZ$3,[2]ARBOR_REAJUSTE18!$A:$AE,VLOOKUP($BQZ$2,[2]ARBOR_REAJUSTE18!$A:$B,2,0),0))),"")&lt;0.01%,0.01%,(IFERROR(IF($BQZ6="","",IF($BQZ6=0,1,1-$BQZ6/HLOOKUP(BRZ$3,[2]ARBOR_REAJUSTE18!$A:$AE,VLOOKUP($BQZ$2,[2]ARBOR_REAJUSTE18!$A:$B,2,0),0))),""))),4)</f>
        <v>#VALUE!</v>
      </c>
      <c r="BSA6" s="44" t="e">
        <f>ROUNDUP(IF(IFERROR(IF($BQZ6="","",IF($BQZ6=0,1,1-$BQZ6/HLOOKUP(BSA$3,[2]ARBOR_REAJUSTE18!$A:$AE,VLOOKUP($BQZ$2,[2]ARBOR_REAJUSTE18!$A:$B,2,0),0))),"")&lt;0.01%,0.01%,(IFERROR(IF($BQZ6="","",IF($BQZ6=0,1,1-$BQZ6/HLOOKUP(BSA$3,[2]ARBOR_REAJUSTE18!$A:$AE,VLOOKUP($BQZ$2,[2]ARBOR_REAJUSTE18!$A:$B,2,0),0))),""))),4)</f>
        <v>#VALUE!</v>
      </c>
      <c r="BSB6" s="44" t="e">
        <f>ROUNDUP(IF(IFERROR(IF($BQZ6="","",IF($BQZ6=0,1,1-$BQZ6/HLOOKUP(BSB$3,[2]ARBOR_REAJUSTE18!$A:$AE,VLOOKUP($BQZ$2,[2]ARBOR_REAJUSTE18!$A:$B,2,0),0))),"")&lt;0.01%,0.01%,(IFERROR(IF($BQZ6="","",IF($BQZ6=0,1,1-$BQZ6/HLOOKUP(BSB$3,[2]ARBOR_REAJUSTE18!$A:$AE,VLOOKUP($BQZ$2,[2]ARBOR_REAJUSTE18!$A:$B,2,0),0))),""))),4)</f>
        <v>#VALUE!</v>
      </c>
      <c r="BSC6" s="56"/>
      <c r="BSD6" s="56" t="s">
        <v>264</v>
      </c>
      <c r="BSE6" s="44" t="e">
        <f>ROUNDUP(IF(IFERROR(IF($BSC6="","",IF($BSC6=0,1,1-$BSC6/HLOOKUP(BSE$3,[2]ARBOR_REAJUSTE18!$A:$AE,VLOOKUP($BSC$2,[2]ARBOR_REAJUSTE18!$A:$B,2,0),0))),"")&lt;0.01%,0.01%,(IFERROR(IF($BSC6="","",IF($BSC6=0,1,1-$BSC6/HLOOKUP(BSE$3,[2]ARBOR_REAJUSTE18!$A:$AE,VLOOKUP($BSC$2,[2]ARBOR_REAJUSTE18!$A:$B,2,0),0))),""))),4)</f>
        <v>#VALUE!</v>
      </c>
      <c r="BSF6" s="44" t="e">
        <f>ROUNDUP(IF(IFERROR(IF($BSC6="","",IF($BSC6=0,1,1-$BSC6/HLOOKUP(BSF$3,[2]ARBOR_REAJUSTE18!$A:$AE,VLOOKUP($BSC$2,[2]ARBOR_REAJUSTE18!$A:$B,2,0),0))),"")&lt;0.01%,0.01%,(IFERROR(IF($BSC6="","",IF($BSC6=0,1,1-$BSC6/HLOOKUP(BSF$3,[2]ARBOR_REAJUSTE18!$A:$AE,VLOOKUP($BSC$2,[2]ARBOR_REAJUSTE18!$A:$B,2,0),0))),""))),4)</f>
        <v>#VALUE!</v>
      </c>
      <c r="BSG6" s="44" t="e">
        <f>ROUNDUP(IF(IFERROR(IF($BSC6="","",IF($BSC6=0,1,1-$BSC6/HLOOKUP(BSG$3,[2]ARBOR_REAJUSTE18!$A:$AE,VLOOKUP($BSC$2,[2]ARBOR_REAJUSTE18!$A:$B,2,0),0))),"")&lt;0.01%,0.01%,(IFERROR(IF($BSC6="","",IF($BSC6=0,1,1-$BSC6/HLOOKUP(BSG$3,[2]ARBOR_REAJUSTE18!$A:$AE,VLOOKUP($BSC$2,[2]ARBOR_REAJUSTE18!$A:$B,2,0),0))),""))),4)</f>
        <v>#VALUE!</v>
      </c>
      <c r="BSH6" s="44" t="e">
        <f>ROUNDUP(IF(IFERROR(IF($BSC6="","",IF($BSC6=0,1,1-$BSC6/HLOOKUP(BSH$3,[2]ARBOR_REAJUSTE18!$A:$AE,VLOOKUP($BSC$2,[2]ARBOR_REAJUSTE18!$A:$B,2,0),0))),"")&lt;0.01%,0.01%,(IFERROR(IF($BSC6="","",IF($BSC6=0,1,1-$BSC6/HLOOKUP(BSH$3,[2]ARBOR_REAJUSTE18!$A:$AE,VLOOKUP($BSC$2,[2]ARBOR_REAJUSTE18!$A:$B,2,0),0))),""))),4)</f>
        <v>#VALUE!</v>
      </c>
      <c r="BSI6" s="44" t="e">
        <f>ROUNDUP(IF(IFERROR(IF($BSC6="","",IF($BSC6=0,1,1-$BSC6/HLOOKUP(BSI$3,[2]ARBOR_REAJUSTE18!$A:$AE,VLOOKUP($BSC$2,[2]ARBOR_REAJUSTE18!$A:$B,2,0),0))),"")&lt;0.01%,0.01%,(IFERROR(IF($BSC6="","",IF($BSC6=0,1,1-$BSC6/HLOOKUP(BSI$3,[2]ARBOR_REAJUSTE18!$A:$AE,VLOOKUP($BSC$2,[2]ARBOR_REAJUSTE18!$A:$B,2,0),0))),""))),4)</f>
        <v>#VALUE!</v>
      </c>
      <c r="BSJ6" s="44" t="e">
        <f>ROUNDUP(IF(IFERROR(IF($BSC6="","",IF($BSC6=0,1,1-$BSC6/HLOOKUP(BSJ$3,[2]ARBOR_REAJUSTE18!$A:$AE,VLOOKUP($BSC$2,[2]ARBOR_REAJUSTE18!$A:$B,2,0),0))),"")&lt;0.01%,0.01%,(IFERROR(IF($BSC6="","",IF($BSC6=0,1,1-$BSC6/HLOOKUP(BSJ$3,[2]ARBOR_REAJUSTE18!$A:$AE,VLOOKUP($BSC$2,[2]ARBOR_REAJUSTE18!$A:$B,2,0),0))),""))),4)</f>
        <v>#VALUE!</v>
      </c>
      <c r="BSK6" s="44" t="e">
        <f>ROUNDUP(IF(IFERROR(IF($BSC6="","",IF($BSC6=0,1,1-$BSC6/HLOOKUP(BSK$3,[2]ARBOR_REAJUSTE18!$A:$AE,VLOOKUP($BSC$2,[2]ARBOR_REAJUSTE18!$A:$B,2,0),0))),"")&lt;0.01%,0.01%,(IFERROR(IF($BSC6="","",IF($BSC6=0,1,1-$BSC6/HLOOKUP(BSK$3,[2]ARBOR_REAJUSTE18!$A:$AE,VLOOKUP($BSC$2,[2]ARBOR_REAJUSTE18!$A:$B,2,0),0))),""))),4)</f>
        <v>#VALUE!</v>
      </c>
      <c r="BSL6" s="44" t="e">
        <f>ROUNDUP(IF(IFERROR(IF($BSC6="","",IF($BSC6=0,1,1-$BSC6/HLOOKUP(BSL$3,[2]ARBOR_REAJUSTE18!$A:$AE,VLOOKUP($BSC$2,[2]ARBOR_REAJUSTE18!$A:$B,2,0),0))),"")&lt;0.01%,0.01%,(IFERROR(IF($BSC6="","",IF($BSC6=0,1,1-$BSC6/HLOOKUP(BSL$3,[2]ARBOR_REAJUSTE18!$A:$AE,VLOOKUP($BSC$2,[2]ARBOR_REAJUSTE18!$A:$B,2,0),0))),""))),4)</f>
        <v>#VALUE!</v>
      </c>
      <c r="BSM6" s="44" t="e">
        <f>ROUNDUP(IF(IFERROR(IF($BSC6="","",IF($BSC6=0,1,1-$BSC6/HLOOKUP(BSM$3,[2]ARBOR_REAJUSTE18!$A:$AE,VLOOKUP($BSC$2,[2]ARBOR_REAJUSTE18!$A:$B,2,0),0))),"")&lt;0.01%,0.01%,(IFERROR(IF($BSC6="","",IF($BSC6=0,1,1-$BSC6/HLOOKUP(BSM$3,[2]ARBOR_REAJUSTE18!$A:$AE,VLOOKUP($BSC$2,[2]ARBOR_REAJUSTE18!$A:$B,2,0),0))),""))),4)</f>
        <v>#VALUE!</v>
      </c>
      <c r="BSN6" s="44" t="e">
        <f>ROUNDUP(IF(IFERROR(IF($BSC6="","",IF($BSC6=0,1,1-$BSC6/HLOOKUP(BSN$3,[2]ARBOR_REAJUSTE18!$A:$AE,VLOOKUP($BSC$2,[2]ARBOR_REAJUSTE18!$A:$B,2,0),0))),"")&lt;0.01%,0.01%,(IFERROR(IF($BSC6="","",IF($BSC6=0,1,1-$BSC6/HLOOKUP(BSN$3,[2]ARBOR_REAJUSTE18!$A:$AE,VLOOKUP($BSC$2,[2]ARBOR_REAJUSTE18!$A:$B,2,0),0))),""))),4)</f>
        <v>#VALUE!</v>
      </c>
      <c r="BSO6" s="44" t="e">
        <f>ROUNDUP(IF(IFERROR(IF($BSC6="","",IF($BSC6=0,1,1-$BSC6/HLOOKUP(BSO$3,[2]ARBOR_REAJUSTE18!$A:$AE,VLOOKUP($BSC$2,[2]ARBOR_REAJUSTE18!$A:$B,2,0),0))),"")&lt;0.01%,0.01%,(IFERROR(IF($BSC6="","",IF($BSC6=0,1,1-$BSC6/HLOOKUP(BSO$3,[2]ARBOR_REAJUSTE18!$A:$AE,VLOOKUP($BSC$2,[2]ARBOR_REAJUSTE18!$A:$B,2,0),0))),""))),4)</f>
        <v>#VALUE!</v>
      </c>
      <c r="BSP6" s="44" t="e">
        <f>ROUNDUP(IF(IFERROR(IF($BSC6="","",IF($BSC6=0,1,1-$BSC6/HLOOKUP(BSP$3,[2]ARBOR_REAJUSTE18!$A:$AE,VLOOKUP($BSC$2,[2]ARBOR_REAJUSTE18!$A:$B,2,0),0))),"")&lt;0.01%,0.01%,(IFERROR(IF($BSC6="","",IF($BSC6=0,1,1-$BSC6/HLOOKUP(BSP$3,[2]ARBOR_REAJUSTE18!$A:$AE,VLOOKUP($BSC$2,[2]ARBOR_REAJUSTE18!$A:$B,2,0),0))),""))),4)</f>
        <v>#VALUE!</v>
      </c>
      <c r="BSQ6" s="44" t="e">
        <f>ROUNDUP(IF(IFERROR(IF($BSC6="","",IF($BSC6=0,1,1-$BSC6/HLOOKUP(BSQ$3,[2]ARBOR_REAJUSTE18!$A:$AE,VLOOKUP($BSC$2,[2]ARBOR_REAJUSTE18!$A:$B,2,0),0))),"")&lt;0.01%,0.01%,(IFERROR(IF($BSC6="","",IF($BSC6=0,1,1-$BSC6/HLOOKUP(BSQ$3,[2]ARBOR_REAJUSTE18!$A:$AE,VLOOKUP($BSC$2,[2]ARBOR_REAJUSTE18!$A:$B,2,0),0))),""))),4)</f>
        <v>#VALUE!</v>
      </c>
      <c r="BSR6" s="44" t="e">
        <f>ROUNDUP(IF(IFERROR(IF($BSC6="","",IF($BSC6=0,1,1-$BSC6/HLOOKUP(BSR$3,[2]ARBOR_REAJUSTE18!$A:$AE,VLOOKUP($BSC$2,[2]ARBOR_REAJUSTE18!$A:$B,2,0),0))),"")&lt;0.01%,0.01%,(IFERROR(IF($BSC6="","",IF($BSC6=0,1,1-$BSC6/HLOOKUP(BSR$3,[2]ARBOR_REAJUSTE18!$A:$AE,VLOOKUP($BSC$2,[2]ARBOR_REAJUSTE18!$A:$B,2,0),0))),""))),4)</f>
        <v>#VALUE!</v>
      </c>
      <c r="BSS6" s="44" t="e">
        <f>ROUNDUP(IF(IFERROR(IF($BSC6="","",IF($BSC6=0,1,1-$BSC6/HLOOKUP(BSS$3,[2]ARBOR_REAJUSTE18!$A:$AE,VLOOKUP($BSC$2,[2]ARBOR_REAJUSTE18!$A:$B,2,0),0))),"")&lt;0.01%,0.01%,(IFERROR(IF($BSC6="","",IF($BSC6=0,1,1-$BSC6/HLOOKUP(BSS$3,[2]ARBOR_REAJUSTE18!$A:$AE,VLOOKUP($BSC$2,[2]ARBOR_REAJUSTE18!$A:$B,2,0),0))),""))),4)</f>
        <v>#VALUE!</v>
      </c>
      <c r="BST6" s="44" t="e">
        <f>ROUNDUP(IF(IFERROR(IF($BSC6="","",IF($BSC6=0,1,1-$BSC6/HLOOKUP(BST$3,[2]ARBOR_REAJUSTE18!$A:$AE,VLOOKUP($BSC$2,[2]ARBOR_REAJUSTE18!$A:$B,2,0),0))),"")&lt;0.01%,0.01%,(IFERROR(IF($BSC6="","",IF($BSC6=0,1,1-$BSC6/HLOOKUP(BST$3,[2]ARBOR_REAJUSTE18!$A:$AE,VLOOKUP($BSC$2,[2]ARBOR_REAJUSTE18!$A:$B,2,0),0))),""))),4)</f>
        <v>#VALUE!</v>
      </c>
      <c r="BSU6" s="44" t="e">
        <f>ROUNDUP(IF(IFERROR(IF($BSC6="","",IF($BSC6=0,1,1-$BSC6/HLOOKUP(BSU$3,[2]ARBOR_REAJUSTE18!$A:$AE,VLOOKUP($BSC$2,[2]ARBOR_REAJUSTE18!$A:$B,2,0),0))),"")&lt;0.01%,0.01%,(IFERROR(IF($BSC6="","",IF($BSC6=0,1,1-$BSC6/HLOOKUP(BSU$3,[2]ARBOR_REAJUSTE18!$A:$AE,VLOOKUP($BSC$2,[2]ARBOR_REAJUSTE18!$A:$B,2,0),0))),""))),4)</f>
        <v>#VALUE!</v>
      </c>
      <c r="BSV6" s="44" t="e">
        <f>ROUNDUP(IF(IFERROR(IF($BSC6="","",IF($BSC6=0,1,1-$BSC6/HLOOKUP(BSV$3,[2]ARBOR_REAJUSTE18!$A:$AE,VLOOKUP($BSC$2,[2]ARBOR_REAJUSTE18!$A:$B,2,0),0))),"")&lt;0.01%,0.01%,(IFERROR(IF($BSC6="","",IF($BSC6=0,1,1-$BSC6/HLOOKUP(BSV$3,[2]ARBOR_REAJUSTE18!$A:$AE,VLOOKUP($BSC$2,[2]ARBOR_REAJUSTE18!$A:$B,2,0),0))),""))),4)</f>
        <v>#VALUE!</v>
      </c>
      <c r="BSW6" s="44" t="e">
        <f>ROUNDUP(IF(IFERROR(IF($BSC6="","",IF($BSC6=0,1,1-$BSC6/HLOOKUP(BSW$3,[2]ARBOR_REAJUSTE18!$A:$AE,VLOOKUP($BSC$2,[2]ARBOR_REAJUSTE18!$A:$B,2,0),0))),"")&lt;0.01%,0.01%,(IFERROR(IF($BSC6="","",IF($BSC6=0,1,1-$BSC6/HLOOKUP(BSW$3,[2]ARBOR_REAJUSTE18!$A:$AE,VLOOKUP($BSC$2,[2]ARBOR_REAJUSTE18!$A:$B,2,0),0))),""))),4)</f>
        <v>#VALUE!</v>
      </c>
      <c r="BSX6" s="44" t="e">
        <f>ROUNDUP(IF(IFERROR(IF($BSC6="","",IF($BSC6=0,1,1-$BSC6/HLOOKUP(BSX$3,[2]ARBOR_REAJUSTE18!$A:$AE,VLOOKUP($BSC$2,[2]ARBOR_REAJUSTE18!$A:$B,2,0),0))),"")&lt;0.01%,0.01%,(IFERROR(IF($BSC6="","",IF($BSC6=0,1,1-$BSC6/HLOOKUP(BSX$3,[2]ARBOR_REAJUSTE18!$A:$AE,VLOOKUP($BSC$2,[2]ARBOR_REAJUSTE18!$A:$B,2,0),0))),""))),4)</f>
        <v>#VALUE!</v>
      </c>
      <c r="BSY6" s="44" t="e">
        <f>ROUNDUP(IF(IFERROR(IF($BSC6="","",IF($BSC6=0,1,1-$BSC6/HLOOKUP(BSY$3,[2]ARBOR_REAJUSTE18!$A:$AE,VLOOKUP($BSC$2,[2]ARBOR_REAJUSTE18!$A:$B,2,0),0))),"")&lt;0.01%,0.01%,(IFERROR(IF($BSC6="","",IF($BSC6=0,1,1-$BSC6/HLOOKUP(BSY$3,[2]ARBOR_REAJUSTE18!$A:$AE,VLOOKUP($BSC$2,[2]ARBOR_REAJUSTE18!$A:$B,2,0),0))),""))),4)</f>
        <v>#VALUE!</v>
      </c>
      <c r="BSZ6" s="44" t="e">
        <f>ROUNDUP(IF(IFERROR(IF($BSC6="","",IF($BSC6=0,1,1-$BSC6/HLOOKUP(BSZ$3,[2]ARBOR_REAJUSTE18!$A:$AE,VLOOKUP($BSC$2,[2]ARBOR_REAJUSTE18!$A:$B,2,0),0))),"")&lt;0.01%,0.01%,(IFERROR(IF($BSC6="","",IF($BSC6=0,1,1-$BSC6/HLOOKUP(BSZ$3,[2]ARBOR_REAJUSTE18!$A:$AE,VLOOKUP($BSC$2,[2]ARBOR_REAJUSTE18!$A:$B,2,0),0))),""))),4)</f>
        <v>#VALUE!</v>
      </c>
      <c r="BTA6" s="44" t="e">
        <f>ROUNDUP(IF(IFERROR(IF($BSC6="","",IF($BSC6=0,1,1-$BSC6/HLOOKUP(BTA$3,[2]ARBOR_REAJUSTE18!$A:$AE,VLOOKUP($BSC$2,[2]ARBOR_REAJUSTE18!$A:$B,2,0),0))),"")&lt;0.01%,0.01%,(IFERROR(IF($BSC6="","",IF($BSC6=0,1,1-$BSC6/HLOOKUP(BTA$3,[2]ARBOR_REAJUSTE18!$A:$AE,VLOOKUP($BSC$2,[2]ARBOR_REAJUSTE18!$A:$B,2,0),0))),""))),4)</f>
        <v>#VALUE!</v>
      </c>
      <c r="BTB6" s="44" t="e">
        <f>ROUNDUP(IF(IFERROR(IF($BSC6="","",IF($BSC6=0,1,1-$BSC6/HLOOKUP(BTB$3,[2]ARBOR_REAJUSTE18!$A:$AE,VLOOKUP($BSC$2,[2]ARBOR_REAJUSTE18!$A:$B,2,0),0))),"")&lt;0.01%,0.01%,(IFERROR(IF($BSC6="","",IF($BSC6=0,1,1-$BSC6/HLOOKUP(BTB$3,[2]ARBOR_REAJUSTE18!$A:$AE,VLOOKUP($BSC$2,[2]ARBOR_REAJUSTE18!$A:$B,2,0),0))),""))),4)</f>
        <v>#VALUE!</v>
      </c>
      <c r="BTC6" s="44" t="e">
        <f>ROUNDUP(IF(IFERROR(IF($BSC6="","",IF($BSC6=0,1,1-$BSC6/HLOOKUP(BTC$3,[2]ARBOR_REAJUSTE18!$A:$AE,VLOOKUP($BSC$2,[2]ARBOR_REAJUSTE18!$A:$B,2,0),0))),"")&lt;0.01%,0.01%,(IFERROR(IF($BSC6="","",IF($BSC6=0,1,1-$BSC6/HLOOKUP(BTC$3,[2]ARBOR_REAJUSTE18!$A:$AE,VLOOKUP($BSC$2,[2]ARBOR_REAJUSTE18!$A:$B,2,0),0))),""))),4)</f>
        <v>#VALUE!</v>
      </c>
      <c r="BTD6" s="44" t="e">
        <f>ROUNDUP(IF(IFERROR(IF($BSC6="","",IF($BSC6=0,1,1-$BSC6/HLOOKUP(BTD$3,[2]ARBOR_REAJUSTE18!$A:$AE,VLOOKUP($BSC$2,[2]ARBOR_REAJUSTE18!$A:$B,2,0),0))),"")&lt;0.01%,0.01%,(IFERROR(IF($BSC6="","",IF($BSC6=0,1,1-$BSC6/HLOOKUP(BTD$3,[2]ARBOR_REAJUSTE18!$A:$AE,VLOOKUP($BSC$2,[2]ARBOR_REAJUSTE18!$A:$B,2,0),0))),""))),4)</f>
        <v>#VALUE!</v>
      </c>
      <c r="BTE6" s="44" t="e">
        <f>ROUNDUP(IF(IFERROR(IF($BSC6="","",IF($BSC6=0,1,1-$BSC6/HLOOKUP(BTE$3,[2]ARBOR_REAJUSTE18!$A:$AE,VLOOKUP($BSC$2,[2]ARBOR_REAJUSTE18!$A:$B,2,0),0))),"")&lt;0.01%,0.01%,(IFERROR(IF($BSC6="","",IF($BSC6=0,1,1-$BSC6/HLOOKUP(BTE$3,[2]ARBOR_REAJUSTE18!$A:$AE,VLOOKUP($BSC$2,[2]ARBOR_REAJUSTE18!$A:$B,2,0),0))),""))),4)</f>
        <v>#VALUE!</v>
      </c>
      <c r="BTF6" s="56"/>
      <c r="BTG6" s="56" t="s">
        <v>265</v>
      </c>
      <c r="BTH6" s="44" t="e">
        <f>ROUNDUP(IF(IFERROR(IF($BTF6="","",IF($BTF6=0,1,1-$BTF6/HLOOKUP(BTH$3,[2]ARBOR_REAJUSTE18!$A:$AE,VLOOKUP($BTF$2,[2]ARBOR_REAJUSTE18!$A:$B,2,0),0))),"")&lt;0.01%,0.01%,(IFERROR(IF($BTF6="","",IF($BTF6=0,1,1-$BTF6/HLOOKUP(BTH$3,[2]ARBOR_REAJUSTE18!$A:$AE,VLOOKUP($BTF$2,[2]ARBOR_REAJUSTE18!$A:$B,2,0),0))),""))),4)</f>
        <v>#VALUE!</v>
      </c>
      <c r="BTI6" s="44" t="e">
        <f>ROUNDUP(IF(IFERROR(IF($BTF6="","",IF($BTF6=0,1,1-$BTF6/HLOOKUP(BTI$3,[2]ARBOR_REAJUSTE18!$A:$AE,VLOOKUP($BTF$2,[2]ARBOR_REAJUSTE18!$A:$B,2,0),0))),"")&lt;0.01%,0.01%,(IFERROR(IF($BTF6="","",IF($BTF6=0,1,1-$BTF6/HLOOKUP(BTI$3,[2]ARBOR_REAJUSTE18!$A:$AE,VLOOKUP($BTF$2,[2]ARBOR_REAJUSTE18!$A:$B,2,0),0))),""))),4)</f>
        <v>#VALUE!</v>
      </c>
      <c r="BTJ6" s="44" t="e">
        <f>ROUNDUP(IF(IFERROR(IF($BTF6="","",IF($BTF6=0,1,1-$BTF6/HLOOKUP(BTJ$3,[2]ARBOR_REAJUSTE18!$A:$AE,VLOOKUP($BTF$2,[2]ARBOR_REAJUSTE18!$A:$B,2,0),0))),"")&lt;0.01%,0.01%,(IFERROR(IF($BTF6="","",IF($BTF6=0,1,1-$BTF6/HLOOKUP(BTJ$3,[2]ARBOR_REAJUSTE18!$A:$AE,VLOOKUP($BTF$2,[2]ARBOR_REAJUSTE18!$A:$B,2,0),0))),""))),4)</f>
        <v>#VALUE!</v>
      </c>
      <c r="BTK6" s="44" t="e">
        <f>ROUNDUP(IF(IFERROR(IF($BTF6="","",IF($BTF6=0,1,1-$BTF6/HLOOKUP(BTK$3,[2]ARBOR_REAJUSTE18!$A:$AE,VLOOKUP($BTF$2,[2]ARBOR_REAJUSTE18!$A:$B,2,0),0))),"")&lt;0.01%,0.01%,(IFERROR(IF($BTF6="","",IF($BTF6=0,1,1-$BTF6/HLOOKUP(BTK$3,[2]ARBOR_REAJUSTE18!$A:$AE,VLOOKUP($BTF$2,[2]ARBOR_REAJUSTE18!$A:$B,2,0),0))),""))),4)</f>
        <v>#VALUE!</v>
      </c>
      <c r="BTL6" s="44" t="e">
        <f>ROUNDUP(IF(IFERROR(IF($BTF6="","",IF($BTF6=0,1,1-$BTF6/HLOOKUP(BTL$3,[2]ARBOR_REAJUSTE18!$A:$AE,VLOOKUP($BTF$2,[2]ARBOR_REAJUSTE18!$A:$B,2,0),0))),"")&lt;0.01%,0.01%,(IFERROR(IF($BTF6="","",IF($BTF6=0,1,1-$BTF6/HLOOKUP(BTL$3,[2]ARBOR_REAJUSTE18!$A:$AE,VLOOKUP($BTF$2,[2]ARBOR_REAJUSTE18!$A:$B,2,0),0))),""))),4)</f>
        <v>#VALUE!</v>
      </c>
      <c r="BTM6" s="44" t="e">
        <f>ROUNDUP(IF(IFERROR(IF($BTF6="","",IF($BTF6=0,1,1-$BTF6/HLOOKUP(BTM$3,[2]ARBOR_REAJUSTE18!$A:$AE,VLOOKUP($BTF$2,[2]ARBOR_REAJUSTE18!$A:$B,2,0),0))),"")&lt;0.01%,0.01%,(IFERROR(IF($BTF6="","",IF($BTF6=0,1,1-$BTF6/HLOOKUP(BTM$3,[2]ARBOR_REAJUSTE18!$A:$AE,VLOOKUP($BTF$2,[2]ARBOR_REAJUSTE18!$A:$B,2,0),0))),""))),4)</f>
        <v>#VALUE!</v>
      </c>
      <c r="BTN6" s="44" t="e">
        <f>ROUNDUP(IF(IFERROR(IF($BTF6="","",IF($BTF6=0,1,1-$BTF6/HLOOKUP(BTN$3,[2]ARBOR_REAJUSTE18!$A:$AE,VLOOKUP($BTF$2,[2]ARBOR_REAJUSTE18!$A:$B,2,0),0))),"")&lt;0.01%,0.01%,(IFERROR(IF($BTF6="","",IF($BTF6=0,1,1-$BTF6/HLOOKUP(BTN$3,[2]ARBOR_REAJUSTE18!$A:$AE,VLOOKUP($BTF$2,[2]ARBOR_REAJUSTE18!$A:$B,2,0),0))),""))),4)</f>
        <v>#VALUE!</v>
      </c>
      <c r="BTO6" s="44" t="e">
        <f>ROUNDUP(IF(IFERROR(IF($BTF6="","",IF($BTF6=0,1,1-$BTF6/HLOOKUP(BTO$3,[2]ARBOR_REAJUSTE18!$A:$AE,VLOOKUP($BTF$2,[2]ARBOR_REAJUSTE18!$A:$B,2,0),0))),"")&lt;0.01%,0.01%,(IFERROR(IF($BTF6="","",IF($BTF6=0,1,1-$BTF6/HLOOKUP(BTO$3,[2]ARBOR_REAJUSTE18!$A:$AE,VLOOKUP($BTF$2,[2]ARBOR_REAJUSTE18!$A:$B,2,0),0))),""))),4)</f>
        <v>#VALUE!</v>
      </c>
      <c r="BTP6" s="44" t="e">
        <f>ROUNDUP(IF(IFERROR(IF($BTF6="","",IF($BTF6=0,1,1-$BTF6/HLOOKUP(BTP$3,[2]ARBOR_REAJUSTE18!$A:$AE,VLOOKUP($BTF$2,[2]ARBOR_REAJUSTE18!$A:$B,2,0),0))),"")&lt;0.01%,0.01%,(IFERROR(IF($BTF6="","",IF($BTF6=0,1,1-$BTF6/HLOOKUP(BTP$3,[2]ARBOR_REAJUSTE18!$A:$AE,VLOOKUP($BTF$2,[2]ARBOR_REAJUSTE18!$A:$B,2,0),0))),""))),4)</f>
        <v>#VALUE!</v>
      </c>
      <c r="BTQ6" s="44" t="e">
        <f>ROUNDUP(IF(IFERROR(IF($BTF6="","",IF($BTF6=0,1,1-$BTF6/HLOOKUP(BTQ$3,[2]ARBOR_REAJUSTE18!$A:$AE,VLOOKUP($BTF$2,[2]ARBOR_REAJUSTE18!$A:$B,2,0),0))),"")&lt;0.01%,0.01%,(IFERROR(IF($BTF6="","",IF($BTF6=0,1,1-$BTF6/HLOOKUP(BTQ$3,[2]ARBOR_REAJUSTE18!$A:$AE,VLOOKUP($BTF$2,[2]ARBOR_REAJUSTE18!$A:$B,2,0),0))),""))),4)</f>
        <v>#VALUE!</v>
      </c>
      <c r="BTR6" s="44" t="e">
        <f>ROUNDUP(IF(IFERROR(IF($BTF6="","",IF($BTF6=0,1,1-$BTF6/HLOOKUP(BTR$3,[2]ARBOR_REAJUSTE18!$A:$AE,VLOOKUP($BTF$2,[2]ARBOR_REAJUSTE18!$A:$B,2,0),0))),"")&lt;0.01%,0.01%,(IFERROR(IF($BTF6="","",IF($BTF6=0,1,1-$BTF6/HLOOKUP(BTR$3,[2]ARBOR_REAJUSTE18!$A:$AE,VLOOKUP($BTF$2,[2]ARBOR_REAJUSTE18!$A:$B,2,0),0))),""))),4)</f>
        <v>#VALUE!</v>
      </c>
      <c r="BTS6" s="44" t="e">
        <f>ROUNDUP(IF(IFERROR(IF($BTF6="","",IF($BTF6=0,1,1-$BTF6/HLOOKUP(BTS$3,[2]ARBOR_REAJUSTE18!$A:$AE,VLOOKUP($BTF$2,[2]ARBOR_REAJUSTE18!$A:$B,2,0),0))),"")&lt;0.01%,0.01%,(IFERROR(IF($BTF6="","",IF($BTF6=0,1,1-$BTF6/HLOOKUP(BTS$3,[2]ARBOR_REAJUSTE18!$A:$AE,VLOOKUP($BTF$2,[2]ARBOR_REAJUSTE18!$A:$B,2,0),0))),""))),4)</f>
        <v>#VALUE!</v>
      </c>
      <c r="BTT6" s="44" t="e">
        <f>ROUNDUP(IF(IFERROR(IF($BTF6="","",IF($BTF6=0,1,1-$BTF6/HLOOKUP(BTT$3,[2]ARBOR_REAJUSTE18!$A:$AE,VLOOKUP($BTF$2,[2]ARBOR_REAJUSTE18!$A:$B,2,0),0))),"")&lt;0.01%,0.01%,(IFERROR(IF($BTF6="","",IF($BTF6=0,1,1-$BTF6/HLOOKUP(BTT$3,[2]ARBOR_REAJUSTE18!$A:$AE,VLOOKUP($BTF$2,[2]ARBOR_REAJUSTE18!$A:$B,2,0),0))),""))),4)</f>
        <v>#VALUE!</v>
      </c>
      <c r="BTU6" s="44" t="e">
        <f>ROUNDUP(IF(IFERROR(IF($BTF6="","",IF($BTF6=0,1,1-$BTF6/HLOOKUP(BTU$3,[2]ARBOR_REAJUSTE18!$A:$AE,VLOOKUP($BTF$2,[2]ARBOR_REAJUSTE18!$A:$B,2,0),0))),"")&lt;0.01%,0.01%,(IFERROR(IF($BTF6="","",IF($BTF6=0,1,1-$BTF6/HLOOKUP(BTU$3,[2]ARBOR_REAJUSTE18!$A:$AE,VLOOKUP($BTF$2,[2]ARBOR_REAJUSTE18!$A:$B,2,0),0))),""))),4)</f>
        <v>#VALUE!</v>
      </c>
      <c r="BTV6" s="44" t="e">
        <f>ROUNDUP(IF(IFERROR(IF($BTF6="","",IF($BTF6=0,1,1-$BTF6/HLOOKUP(BTV$3,[2]ARBOR_REAJUSTE18!$A:$AE,VLOOKUP($BTF$2,[2]ARBOR_REAJUSTE18!$A:$B,2,0),0))),"")&lt;0.01%,0.01%,(IFERROR(IF($BTF6="","",IF($BTF6=0,1,1-$BTF6/HLOOKUP(BTV$3,[2]ARBOR_REAJUSTE18!$A:$AE,VLOOKUP($BTF$2,[2]ARBOR_REAJUSTE18!$A:$B,2,0),0))),""))),4)</f>
        <v>#VALUE!</v>
      </c>
      <c r="BTW6" s="44" t="e">
        <f>ROUNDUP(IF(IFERROR(IF($BTF6="","",IF($BTF6=0,1,1-$BTF6/HLOOKUP(BTW$3,[2]ARBOR_REAJUSTE18!$A:$AE,VLOOKUP($BTF$2,[2]ARBOR_REAJUSTE18!$A:$B,2,0),0))),"")&lt;0.01%,0.01%,(IFERROR(IF($BTF6="","",IF($BTF6=0,1,1-$BTF6/HLOOKUP(BTW$3,[2]ARBOR_REAJUSTE18!$A:$AE,VLOOKUP($BTF$2,[2]ARBOR_REAJUSTE18!$A:$B,2,0),0))),""))),4)</f>
        <v>#VALUE!</v>
      </c>
      <c r="BTX6" s="44" t="e">
        <f>ROUNDUP(IF(IFERROR(IF($BTF6="","",IF($BTF6=0,1,1-$BTF6/HLOOKUP(BTX$3,[2]ARBOR_REAJUSTE18!$A:$AE,VLOOKUP($BTF$2,[2]ARBOR_REAJUSTE18!$A:$B,2,0),0))),"")&lt;0.01%,0.01%,(IFERROR(IF($BTF6="","",IF($BTF6=0,1,1-$BTF6/HLOOKUP(BTX$3,[2]ARBOR_REAJUSTE18!$A:$AE,VLOOKUP($BTF$2,[2]ARBOR_REAJUSTE18!$A:$B,2,0),0))),""))),4)</f>
        <v>#VALUE!</v>
      </c>
      <c r="BTY6" s="44" t="e">
        <f>ROUNDUP(IF(IFERROR(IF($BTF6="","",IF($BTF6=0,1,1-$BTF6/HLOOKUP(BTY$3,[2]ARBOR_REAJUSTE18!$A:$AE,VLOOKUP($BTF$2,[2]ARBOR_REAJUSTE18!$A:$B,2,0),0))),"")&lt;0.01%,0.01%,(IFERROR(IF($BTF6="","",IF($BTF6=0,1,1-$BTF6/HLOOKUP(BTY$3,[2]ARBOR_REAJUSTE18!$A:$AE,VLOOKUP($BTF$2,[2]ARBOR_REAJUSTE18!$A:$B,2,0),0))),""))),4)</f>
        <v>#VALUE!</v>
      </c>
      <c r="BTZ6" s="44" t="e">
        <f>ROUNDUP(IF(IFERROR(IF($BTF6="","",IF($BTF6=0,1,1-$BTF6/HLOOKUP(BTZ$3,[2]ARBOR_REAJUSTE18!$A:$AE,VLOOKUP($BTF$2,[2]ARBOR_REAJUSTE18!$A:$B,2,0),0))),"")&lt;0.01%,0.01%,(IFERROR(IF($BTF6="","",IF($BTF6=0,1,1-$BTF6/HLOOKUP(BTZ$3,[2]ARBOR_REAJUSTE18!$A:$AE,VLOOKUP($BTF$2,[2]ARBOR_REAJUSTE18!$A:$B,2,0),0))),""))),4)</f>
        <v>#VALUE!</v>
      </c>
      <c r="BUA6" s="44" t="e">
        <f>ROUNDUP(IF(IFERROR(IF($BTF6="","",IF($BTF6=0,1,1-$BTF6/HLOOKUP(BUA$3,[2]ARBOR_REAJUSTE18!$A:$AE,VLOOKUP($BTF$2,[2]ARBOR_REAJUSTE18!$A:$B,2,0),0))),"")&lt;0.01%,0.01%,(IFERROR(IF($BTF6="","",IF($BTF6=0,1,1-$BTF6/HLOOKUP(BUA$3,[2]ARBOR_REAJUSTE18!$A:$AE,VLOOKUP($BTF$2,[2]ARBOR_REAJUSTE18!$A:$B,2,0),0))),""))),4)</f>
        <v>#VALUE!</v>
      </c>
      <c r="BUB6" s="44" t="e">
        <f>ROUNDUP(IF(IFERROR(IF($BTF6="","",IF($BTF6=0,1,1-$BTF6/HLOOKUP(BUB$3,[2]ARBOR_REAJUSTE18!$A:$AE,VLOOKUP($BTF$2,[2]ARBOR_REAJUSTE18!$A:$B,2,0),0))),"")&lt;0.01%,0.01%,(IFERROR(IF($BTF6="","",IF($BTF6=0,1,1-$BTF6/HLOOKUP(BUB$3,[2]ARBOR_REAJUSTE18!$A:$AE,VLOOKUP($BTF$2,[2]ARBOR_REAJUSTE18!$A:$B,2,0),0))),""))),4)</f>
        <v>#VALUE!</v>
      </c>
      <c r="BUC6" s="44" t="e">
        <f>ROUNDUP(IF(IFERROR(IF($BTF6="","",IF($BTF6=0,1,1-$BTF6/HLOOKUP(BUC$3,[2]ARBOR_REAJUSTE18!$A:$AE,VLOOKUP($BTF$2,[2]ARBOR_REAJUSTE18!$A:$B,2,0),0))),"")&lt;0.01%,0.01%,(IFERROR(IF($BTF6="","",IF($BTF6=0,1,1-$BTF6/HLOOKUP(BUC$3,[2]ARBOR_REAJUSTE18!$A:$AE,VLOOKUP($BTF$2,[2]ARBOR_REAJUSTE18!$A:$B,2,0),0))),""))),4)</f>
        <v>#VALUE!</v>
      </c>
      <c r="BUD6" s="44" t="e">
        <f>ROUNDUP(IF(IFERROR(IF($BTF6="","",IF($BTF6=0,1,1-$BTF6/HLOOKUP(BUD$3,[2]ARBOR_REAJUSTE18!$A:$AE,VLOOKUP($BTF$2,[2]ARBOR_REAJUSTE18!$A:$B,2,0),0))),"")&lt;0.01%,0.01%,(IFERROR(IF($BTF6="","",IF($BTF6=0,1,1-$BTF6/HLOOKUP(BUD$3,[2]ARBOR_REAJUSTE18!$A:$AE,VLOOKUP($BTF$2,[2]ARBOR_REAJUSTE18!$A:$B,2,0),0))),""))),4)</f>
        <v>#VALUE!</v>
      </c>
      <c r="BUE6" s="44" t="e">
        <f>ROUNDUP(IF(IFERROR(IF($BTF6="","",IF($BTF6=0,1,1-$BTF6/HLOOKUP(BUE$3,[2]ARBOR_REAJUSTE18!$A:$AE,VLOOKUP($BTF$2,[2]ARBOR_REAJUSTE18!$A:$B,2,0),0))),"")&lt;0.01%,0.01%,(IFERROR(IF($BTF6="","",IF($BTF6=0,1,1-$BTF6/HLOOKUP(BUE$3,[2]ARBOR_REAJUSTE18!$A:$AE,VLOOKUP($BTF$2,[2]ARBOR_REAJUSTE18!$A:$B,2,0),0))),""))),4)</f>
        <v>#VALUE!</v>
      </c>
      <c r="BUF6" s="44" t="e">
        <f>ROUNDUP(IF(IFERROR(IF($BTF6="","",IF($BTF6=0,1,1-$BTF6/HLOOKUP(BUF$3,[2]ARBOR_REAJUSTE18!$A:$AE,VLOOKUP($BTF$2,[2]ARBOR_REAJUSTE18!$A:$B,2,0),0))),"")&lt;0.01%,0.01%,(IFERROR(IF($BTF6="","",IF($BTF6=0,1,1-$BTF6/HLOOKUP(BUF$3,[2]ARBOR_REAJUSTE18!$A:$AE,VLOOKUP($BTF$2,[2]ARBOR_REAJUSTE18!$A:$B,2,0),0))),""))),4)</f>
        <v>#VALUE!</v>
      </c>
      <c r="BUG6" s="44" t="e">
        <f>ROUNDUP(IF(IFERROR(IF($BTF6="","",IF($BTF6=0,1,1-$BTF6/HLOOKUP(BUG$3,[2]ARBOR_REAJUSTE18!$A:$AE,VLOOKUP($BTF$2,[2]ARBOR_REAJUSTE18!$A:$B,2,0),0))),"")&lt;0.01%,0.01%,(IFERROR(IF($BTF6="","",IF($BTF6=0,1,1-$BTF6/HLOOKUP(BUG$3,[2]ARBOR_REAJUSTE18!$A:$AE,VLOOKUP($BTF$2,[2]ARBOR_REAJUSTE18!$A:$B,2,0),0))),""))),4)</f>
        <v>#VALUE!</v>
      </c>
      <c r="BUH6" s="44" t="e">
        <f>ROUNDUP(IF(IFERROR(IF($BTF6="","",IF($BTF6=0,1,1-$BTF6/HLOOKUP(BUH$3,[2]ARBOR_REAJUSTE18!$A:$AE,VLOOKUP($BTF$2,[2]ARBOR_REAJUSTE18!$A:$B,2,0),0))),"")&lt;0.01%,0.01%,(IFERROR(IF($BTF6="","",IF($BTF6=0,1,1-$BTF6/HLOOKUP(BUH$3,[2]ARBOR_REAJUSTE18!$A:$AE,VLOOKUP($BTF$2,[2]ARBOR_REAJUSTE18!$A:$B,2,0),0))),""))),4)</f>
        <v>#VALUE!</v>
      </c>
      <c r="BUI6" s="56"/>
      <c r="BUJ6" s="56" t="s">
        <v>266</v>
      </c>
      <c r="BUK6" s="44" t="e">
        <f>ROUNDUP(IF(IFERROR(IF($BUI6="","",IF($BUI6=0,1,1-$BUI6/HLOOKUP(BUK$3,[2]ARBOR_REAJUSTE18!$A:$AE,VLOOKUP($BUI$2,[2]ARBOR_REAJUSTE18!$A:$B,2,0),0))),"")&lt;0.01%,0.01%,(IFERROR(IF($BUI6="","",IF($BUI6=0,1,1-$BUI6/HLOOKUP(BUK$3,[2]ARBOR_REAJUSTE18!$A:$AE,VLOOKUP($BUI$2,[2]ARBOR_REAJUSTE18!$A:$B,2,0),0))),""))),4)</f>
        <v>#VALUE!</v>
      </c>
      <c r="BUL6" s="44" t="e">
        <f>ROUNDUP(IF(IFERROR(IF($BUI6="","",IF($BUI6=0,1,1-$BUI6/HLOOKUP(BUL$3,[2]ARBOR_REAJUSTE18!$A:$AE,VLOOKUP($BUI$2,[2]ARBOR_REAJUSTE18!$A:$B,2,0),0))),"")&lt;0.01%,0.01%,(IFERROR(IF($BUI6="","",IF($BUI6=0,1,1-$BUI6/HLOOKUP(BUL$3,[2]ARBOR_REAJUSTE18!$A:$AE,VLOOKUP($BUI$2,[2]ARBOR_REAJUSTE18!$A:$B,2,0),0))),""))),4)</f>
        <v>#VALUE!</v>
      </c>
      <c r="BUM6" s="44" t="e">
        <f>ROUNDUP(IF(IFERROR(IF($BUI6="","",IF($BUI6=0,1,1-$BUI6/HLOOKUP(BUM$3,[2]ARBOR_REAJUSTE18!$A:$AE,VLOOKUP($BUI$2,[2]ARBOR_REAJUSTE18!$A:$B,2,0),0))),"")&lt;0.01%,0.01%,(IFERROR(IF($BUI6="","",IF($BUI6=0,1,1-$BUI6/HLOOKUP(BUM$3,[2]ARBOR_REAJUSTE18!$A:$AE,VLOOKUP($BUI$2,[2]ARBOR_REAJUSTE18!$A:$B,2,0),0))),""))),4)</f>
        <v>#VALUE!</v>
      </c>
      <c r="BUN6" s="44" t="e">
        <f>ROUNDUP(IF(IFERROR(IF($BUI6="","",IF($BUI6=0,1,1-$BUI6/HLOOKUP(BUN$3,[2]ARBOR_REAJUSTE18!$A:$AE,VLOOKUP($BUI$2,[2]ARBOR_REAJUSTE18!$A:$B,2,0),0))),"")&lt;0.01%,0.01%,(IFERROR(IF($BUI6="","",IF($BUI6=0,1,1-$BUI6/HLOOKUP(BUN$3,[2]ARBOR_REAJUSTE18!$A:$AE,VLOOKUP($BUI$2,[2]ARBOR_REAJUSTE18!$A:$B,2,0),0))),""))),4)</f>
        <v>#VALUE!</v>
      </c>
      <c r="BUO6" s="44" t="e">
        <f>ROUNDUP(IF(IFERROR(IF($BUI6="","",IF($BUI6=0,1,1-$BUI6/HLOOKUP(BUO$3,[2]ARBOR_REAJUSTE18!$A:$AE,VLOOKUP($BUI$2,[2]ARBOR_REAJUSTE18!$A:$B,2,0),0))),"")&lt;0.01%,0.01%,(IFERROR(IF($BUI6="","",IF($BUI6=0,1,1-$BUI6/HLOOKUP(BUO$3,[2]ARBOR_REAJUSTE18!$A:$AE,VLOOKUP($BUI$2,[2]ARBOR_REAJUSTE18!$A:$B,2,0),0))),""))),4)</f>
        <v>#VALUE!</v>
      </c>
      <c r="BUP6" s="44" t="e">
        <f>ROUNDUP(IF(IFERROR(IF($BUI6="","",IF($BUI6=0,1,1-$BUI6/HLOOKUP(BUP$3,[2]ARBOR_REAJUSTE18!$A:$AE,VLOOKUP($BUI$2,[2]ARBOR_REAJUSTE18!$A:$B,2,0),0))),"")&lt;0.01%,0.01%,(IFERROR(IF($BUI6="","",IF($BUI6=0,1,1-$BUI6/HLOOKUP(BUP$3,[2]ARBOR_REAJUSTE18!$A:$AE,VLOOKUP($BUI$2,[2]ARBOR_REAJUSTE18!$A:$B,2,0),0))),""))),4)</f>
        <v>#VALUE!</v>
      </c>
      <c r="BUQ6" s="44" t="e">
        <f>ROUNDUP(IF(IFERROR(IF($BUI6="","",IF($BUI6=0,1,1-$BUI6/HLOOKUP(BUQ$3,[2]ARBOR_REAJUSTE18!$A:$AE,VLOOKUP($BUI$2,[2]ARBOR_REAJUSTE18!$A:$B,2,0),0))),"")&lt;0.01%,0.01%,(IFERROR(IF($BUI6="","",IF($BUI6=0,1,1-$BUI6/HLOOKUP(BUQ$3,[2]ARBOR_REAJUSTE18!$A:$AE,VLOOKUP($BUI$2,[2]ARBOR_REAJUSTE18!$A:$B,2,0),0))),""))),4)</f>
        <v>#VALUE!</v>
      </c>
      <c r="BUR6" s="44" t="e">
        <f>ROUNDUP(IF(IFERROR(IF($BUI6="","",IF($BUI6=0,1,1-$BUI6/HLOOKUP(BUR$3,[2]ARBOR_REAJUSTE18!$A:$AE,VLOOKUP($BUI$2,[2]ARBOR_REAJUSTE18!$A:$B,2,0),0))),"")&lt;0.01%,0.01%,(IFERROR(IF($BUI6="","",IF($BUI6=0,1,1-$BUI6/HLOOKUP(BUR$3,[2]ARBOR_REAJUSTE18!$A:$AE,VLOOKUP($BUI$2,[2]ARBOR_REAJUSTE18!$A:$B,2,0),0))),""))),4)</f>
        <v>#VALUE!</v>
      </c>
      <c r="BUS6" s="44" t="e">
        <f>ROUNDUP(IF(IFERROR(IF($BUI6="","",IF($BUI6=0,1,1-$BUI6/HLOOKUP(BUS$3,[2]ARBOR_REAJUSTE18!$A:$AE,VLOOKUP($BUI$2,[2]ARBOR_REAJUSTE18!$A:$B,2,0),0))),"")&lt;0.01%,0.01%,(IFERROR(IF($BUI6="","",IF($BUI6=0,1,1-$BUI6/HLOOKUP(BUS$3,[2]ARBOR_REAJUSTE18!$A:$AE,VLOOKUP($BUI$2,[2]ARBOR_REAJUSTE18!$A:$B,2,0),0))),""))),4)</f>
        <v>#VALUE!</v>
      </c>
      <c r="BUT6" s="44" t="e">
        <f>ROUNDUP(IF(IFERROR(IF($BUI6="","",IF($BUI6=0,1,1-$BUI6/HLOOKUP(BUT$3,[2]ARBOR_REAJUSTE18!$A:$AE,VLOOKUP($BUI$2,[2]ARBOR_REAJUSTE18!$A:$B,2,0),0))),"")&lt;0.01%,0.01%,(IFERROR(IF($BUI6="","",IF($BUI6=0,1,1-$BUI6/HLOOKUP(BUT$3,[2]ARBOR_REAJUSTE18!$A:$AE,VLOOKUP($BUI$2,[2]ARBOR_REAJUSTE18!$A:$B,2,0),0))),""))),4)</f>
        <v>#VALUE!</v>
      </c>
      <c r="BUU6" s="44" t="e">
        <f>ROUNDUP(IF(IFERROR(IF($BUI6="","",IF($BUI6=0,1,1-$BUI6/HLOOKUP(BUU$3,[2]ARBOR_REAJUSTE18!$A:$AE,VLOOKUP($BUI$2,[2]ARBOR_REAJUSTE18!$A:$B,2,0),0))),"")&lt;0.01%,0.01%,(IFERROR(IF($BUI6="","",IF($BUI6=0,1,1-$BUI6/HLOOKUP(BUU$3,[2]ARBOR_REAJUSTE18!$A:$AE,VLOOKUP($BUI$2,[2]ARBOR_REAJUSTE18!$A:$B,2,0),0))),""))),4)</f>
        <v>#VALUE!</v>
      </c>
      <c r="BUV6" s="44" t="e">
        <f>ROUNDUP(IF(IFERROR(IF($BUI6="","",IF($BUI6=0,1,1-$BUI6/HLOOKUP(BUV$3,[2]ARBOR_REAJUSTE18!$A:$AE,VLOOKUP($BUI$2,[2]ARBOR_REAJUSTE18!$A:$B,2,0),0))),"")&lt;0.01%,0.01%,(IFERROR(IF($BUI6="","",IF($BUI6=0,1,1-$BUI6/HLOOKUP(BUV$3,[2]ARBOR_REAJUSTE18!$A:$AE,VLOOKUP($BUI$2,[2]ARBOR_REAJUSTE18!$A:$B,2,0),0))),""))),4)</f>
        <v>#VALUE!</v>
      </c>
      <c r="BUW6" s="44" t="e">
        <f>ROUNDUP(IF(IFERROR(IF($BUI6="","",IF($BUI6=0,1,1-$BUI6/HLOOKUP(BUW$3,[2]ARBOR_REAJUSTE18!$A:$AE,VLOOKUP($BUI$2,[2]ARBOR_REAJUSTE18!$A:$B,2,0),0))),"")&lt;0.01%,0.01%,(IFERROR(IF($BUI6="","",IF($BUI6=0,1,1-$BUI6/HLOOKUP(BUW$3,[2]ARBOR_REAJUSTE18!$A:$AE,VLOOKUP($BUI$2,[2]ARBOR_REAJUSTE18!$A:$B,2,0),0))),""))),4)</f>
        <v>#VALUE!</v>
      </c>
      <c r="BUX6" s="44" t="e">
        <f>ROUNDUP(IF(IFERROR(IF($BUI6="","",IF($BUI6=0,1,1-$BUI6/HLOOKUP(BUX$3,[2]ARBOR_REAJUSTE18!$A:$AE,VLOOKUP($BUI$2,[2]ARBOR_REAJUSTE18!$A:$B,2,0),0))),"")&lt;0.01%,0.01%,(IFERROR(IF($BUI6="","",IF($BUI6=0,1,1-$BUI6/HLOOKUP(BUX$3,[2]ARBOR_REAJUSTE18!$A:$AE,VLOOKUP($BUI$2,[2]ARBOR_REAJUSTE18!$A:$B,2,0),0))),""))),4)</f>
        <v>#VALUE!</v>
      </c>
      <c r="BUY6" s="44" t="e">
        <f>ROUNDUP(IF(IFERROR(IF($BUI6="","",IF($BUI6=0,1,1-$BUI6/HLOOKUP(BUY$3,[2]ARBOR_REAJUSTE18!$A:$AE,VLOOKUP($BUI$2,[2]ARBOR_REAJUSTE18!$A:$B,2,0),0))),"")&lt;0.01%,0.01%,(IFERROR(IF($BUI6="","",IF($BUI6=0,1,1-$BUI6/HLOOKUP(BUY$3,[2]ARBOR_REAJUSTE18!$A:$AE,VLOOKUP($BUI$2,[2]ARBOR_REAJUSTE18!$A:$B,2,0),0))),""))),4)</f>
        <v>#VALUE!</v>
      </c>
      <c r="BUZ6" s="44" t="e">
        <f>ROUNDUP(IF(IFERROR(IF($BUI6="","",IF($BUI6=0,1,1-$BUI6/HLOOKUP(BUZ$3,[2]ARBOR_REAJUSTE18!$A:$AE,VLOOKUP($BUI$2,[2]ARBOR_REAJUSTE18!$A:$B,2,0),0))),"")&lt;0.01%,0.01%,(IFERROR(IF($BUI6="","",IF($BUI6=0,1,1-$BUI6/HLOOKUP(BUZ$3,[2]ARBOR_REAJUSTE18!$A:$AE,VLOOKUP($BUI$2,[2]ARBOR_REAJUSTE18!$A:$B,2,0),0))),""))),4)</f>
        <v>#VALUE!</v>
      </c>
      <c r="BVA6" s="44" t="e">
        <f>ROUNDUP(IF(IFERROR(IF($BUI6="","",IF($BUI6=0,1,1-$BUI6/HLOOKUP(BVA$3,[2]ARBOR_REAJUSTE18!$A:$AE,VLOOKUP($BUI$2,[2]ARBOR_REAJUSTE18!$A:$B,2,0),0))),"")&lt;0.01%,0.01%,(IFERROR(IF($BUI6="","",IF($BUI6=0,1,1-$BUI6/HLOOKUP(BVA$3,[2]ARBOR_REAJUSTE18!$A:$AE,VLOOKUP($BUI$2,[2]ARBOR_REAJUSTE18!$A:$B,2,0),0))),""))),4)</f>
        <v>#VALUE!</v>
      </c>
      <c r="BVB6" s="44" t="e">
        <f>ROUNDUP(IF(IFERROR(IF($BUI6="","",IF($BUI6=0,1,1-$BUI6/HLOOKUP(BVB$3,[2]ARBOR_REAJUSTE18!$A:$AE,VLOOKUP($BUI$2,[2]ARBOR_REAJUSTE18!$A:$B,2,0),0))),"")&lt;0.01%,0.01%,(IFERROR(IF($BUI6="","",IF($BUI6=0,1,1-$BUI6/HLOOKUP(BVB$3,[2]ARBOR_REAJUSTE18!$A:$AE,VLOOKUP($BUI$2,[2]ARBOR_REAJUSTE18!$A:$B,2,0),0))),""))),4)</f>
        <v>#VALUE!</v>
      </c>
      <c r="BVC6" s="44" t="e">
        <f>ROUNDUP(IF(IFERROR(IF($BUI6="","",IF($BUI6=0,1,1-$BUI6/HLOOKUP(BVC$3,[2]ARBOR_REAJUSTE18!$A:$AE,VLOOKUP($BUI$2,[2]ARBOR_REAJUSTE18!$A:$B,2,0),0))),"")&lt;0.01%,0.01%,(IFERROR(IF($BUI6="","",IF($BUI6=0,1,1-$BUI6/HLOOKUP(BVC$3,[2]ARBOR_REAJUSTE18!$A:$AE,VLOOKUP($BUI$2,[2]ARBOR_REAJUSTE18!$A:$B,2,0),0))),""))),4)</f>
        <v>#VALUE!</v>
      </c>
      <c r="BVD6" s="44" t="e">
        <f>ROUNDUP(IF(IFERROR(IF($BUI6="","",IF($BUI6=0,1,1-$BUI6/HLOOKUP(BVD$3,[2]ARBOR_REAJUSTE18!$A:$AE,VLOOKUP($BUI$2,[2]ARBOR_REAJUSTE18!$A:$B,2,0),0))),"")&lt;0.01%,0.01%,(IFERROR(IF($BUI6="","",IF($BUI6=0,1,1-$BUI6/HLOOKUP(BVD$3,[2]ARBOR_REAJUSTE18!$A:$AE,VLOOKUP($BUI$2,[2]ARBOR_REAJUSTE18!$A:$B,2,0),0))),""))),4)</f>
        <v>#VALUE!</v>
      </c>
      <c r="BVE6" s="44" t="e">
        <f>ROUNDUP(IF(IFERROR(IF($BUI6="","",IF($BUI6=0,1,1-$BUI6/HLOOKUP(BVE$3,[2]ARBOR_REAJUSTE18!$A:$AE,VLOOKUP($BUI$2,[2]ARBOR_REAJUSTE18!$A:$B,2,0),0))),"")&lt;0.01%,0.01%,(IFERROR(IF($BUI6="","",IF($BUI6=0,1,1-$BUI6/HLOOKUP(BVE$3,[2]ARBOR_REAJUSTE18!$A:$AE,VLOOKUP($BUI$2,[2]ARBOR_REAJUSTE18!$A:$B,2,0),0))),""))),4)</f>
        <v>#VALUE!</v>
      </c>
      <c r="BVF6" s="44" t="e">
        <f>ROUNDUP(IF(IFERROR(IF($BUI6="","",IF($BUI6=0,1,1-$BUI6/HLOOKUP(BVF$3,[2]ARBOR_REAJUSTE18!$A:$AE,VLOOKUP($BUI$2,[2]ARBOR_REAJUSTE18!$A:$B,2,0),0))),"")&lt;0.01%,0.01%,(IFERROR(IF($BUI6="","",IF($BUI6=0,1,1-$BUI6/HLOOKUP(BVF$3,[2]ARBOR_REAJUSTE18!$A:$AE,VLOOKUP($BUI$2,[2]ARBOR_REAJUSTE18!$A:$B,2,0),0))),""))),4)</f>
        <v>#VALUE!</v>
      </c>
      <c r="BVG6" s="44" t="e">
        <f>ROUNDUP(IF(IFERROR(IF($BUI6="","",IF($BUI6=0,1,1-$BUI6/HLOOKUP(BVG$3,[2]ARBOR_REAJUSTE18!$A:$AE,VLOOKUP($BUI$2,[2]ARBOR_REAJUSTE18!$A:$B,2,0),0))),"")&lt;0.01%,0.01%,(IFERROR(IF($BUI6="","",IF($BUI6=0,1,1-$BUI6/HLOOKUP(BVG$3,[2]ARBOR_REAJUSTE18!$A:$AE,VLOOKUP($BUI$2,[2]ARBOR_REAJUSTE18!$A:$B,2,0),0))),""))),4)</f>
        <v>#VALUE!</v>
      </c>
      <c r="BVH6" s="44" t="e">
        <f>ROUNDUP(IF(IFERROR(IF($BUI6="","",IF($BUI6=0,1,1-$BUI6/HLOOKUP(BVH$3,[2]ARBOR_REAJUSTE18!$A:$AE,VLOOKUP($BUI$2,[2]ARBOR_REAJUSTE18!$A:$B,2,0),0))),"")&lt;0.01%,0.01%,(IFERROR(IF($BUI6="","",IF($BUI6=0,1,1-$BUI6/HLOOKUP(BVH$3,[2]ARBOR_REAJUSTE18!$A:$AE,VLOOKUP($BUI$2,[2]ARBOR_REAJUSTE18!$A:$B,2,0),0))),""))),4)</f>
        <v>#VALUE!</v>
      </c>
      <c r="BVI6" s="44" t="e">
        <f>ROUNDUP(IF(IFERROR(IF($BUI6="","",IF($BUI6=0,1,1-$BUI6/HLOOKUP(BVI$3,[2]ARBOR_REAJUSTE18!$A:$AE,VLOOKUP($BUI$2,[2]ARBOR_REAJUSTE18!$A:$B,2,0),0))),"")&lt;0.01%,0.01%,(IFERROR(IF($BUI6="","",IF($BUI6=0,1,1-$BUI6/HLOOKUP(BVI$3,[2]ARBOR_REAJUSTE18!$A:$AE,VLOOKUP($BUI$2,[2]ARBOR_REAJUSTE18!$A:$B,2,0),0))),""))),4)</f>
        <v>#VALUE!</v>
      </c>
      <c r="BVJ6" s="44" t="e">
        <f>ROUNDUP(IF(IFERROR(IF($BUI6="","",IF($BUI6=0,1,1-$BUI6/HLOOKUP(BVJ$3,[2]ARBOR_REAJUSTE18!$A:$AE,VLOOKUP($BUI$2,[2]ARBOR_REAJUSTE18!$A:$B,2,0),0))),"")&lt;0.01%,0.01%,(IFERROR(IF($BUI6="","",IF($BUI6=0,1,1-$BUI6/HLOOKUP(BVJ$3,[2]ARBOR_REAJUSTE18!$A:$AE,VLOOKUP($BUI$2,[2]ARBOR_REAJUSTE18!$A:$B,2,0),0))),""))),4)</f>
        <v>#VALUE!</v>
      </c>
      <c r="BVK6" s="44" t="e">
        <f>ROUNDUP(IF(IFERROR(IF($BUI6="","",IF($BUI6=0,1,1-$BUI6/HLOOKUP(BVK$3,[2]ARBOR_REAJUSTE18!$A:$AE,VLOOKUP($BUI$2,[2]ARBOR_REAJUSTE18!$A:$B,2,0),0))),"")&lt;0.01%,0.01%,(IFERROR(IF($BUI6="","",IF($BUI6=0,1,1-$BUI6/HLOOKUP(BVK$3,[2]ARBOR_REAJUSTE18!$A:$AE,VLOOKUP($BUI$2,[2]ARBOR_REAJUSTE18!$A:$B,2,0),0))),""))),4)</f>
        <v>#VALUE!</v>
      </c>
      <c r="BVL6" s="56"/>
      <c r="BVM6" s="64"/>
      <c r="BVN6" s="44" t="e">
        <f>ROUNDUP(IF(IFERROR(IF($BVL6="","",IF($BVL6=0,1,1-$BVL6/HLOOKUP(BVN$3,[2]ARBOR_REAJUSTE18!$A:$AE,VLOOKUP($BVL$2,[2]ARBOR_REAJUSTE18!$A:$B,2,0),0))),"")&lt;0.01%,0.01%,(IFERROR(IF($BVL6="","",IF($BVL6=0,1,1-$BVL6/HLOOKUP(BVN$3,[2]ARBOR_REAJUSTE18!$A:$AE,VLOOKUP($BVL$2,[2]ARBOR_REAJUSTE18!$A:$B,2,0),0))),""))),4)</f>
        <v>#VALUE!</v>
      </c>
      <c r="BVO6" s="44" t="e">
        <f>ROUNDUP(IF(IFERROR(IF($BVL6="","",IF($BVL6=0,1,1-$BVL6/HLOOKUP(BVO$3,[2]ARBOR_REAJUSTE18!$A:$AE,VLOOKUP($BVL$2,[2]ARBOR_REAJUSTE18!$A:$B,2,0),0))),"")&lt;0.01%,0.01%,(IFERROR(IF($BVL6="","",IF($BVL6=0,1,1-$BVL6/HLOOKUP(BVO$3,[2]ARBOR_REAJUSTE18!$A:$AE,VLOOKUP($BVL$2,[2]ARBOR_REAJUSTE18!$A:$B,2,0),0))),""))),4)</f>
        <v>#VALUE!</v>
      </c>
      <c r="BVP6" s="44" t="e">
        <f>ROUNDUP(IF(IFERROR(IF($BVL6="","",IF($BVL6=0,1,1-$BVL6/HLOOKUP(BVP$3,[2]ARBOR_REAJUSTE18!$A:$AE,VLOOKUP($BVL$2,[2]ARBOR_REAJUSTE18!$A:$B,2,0),0))),"")&lt;0.01%,0.01%,(IFERROR(IF($BVL6="","",IF($BVL6=0,1,1-$BVL6/HLOOKUP(BVP$3,[2]ARBOR_REAJUSTE18!$A:$AE,VLOOKUP($BVL$2,[2]ARBOR_REAJUSTE18!$A:$B,2,0),0))),""))),4)</f>
        <v>#VALUE!</v>
      </c>
      <c r="BVQ6" s="44" t="e">
        <f>ROUNDUP(IF(IFERROR(IF($BVL6="","",IF($BVL6=0,1,1-$BVL6/HLOOKUP(BVQ$3,[2]ARBOR_REAJUSTE18!$A:$AE,VLOOKUP($BVL$2,[2]ARBOR_REAJUSTE18!$A:$B,2,0),0))),"")&lt;0.01%,0.01%,(IFERROR(IF($BVL6="","",IF($BVL6=0,1,1-$BVL6/HLOOKUP(BVQ$3,[2]ARBOR_REAJUSTE18!$A:$AE,VLOOKUP($BVL$2,[2]ARBOR_REAJUSTE18!$A:$B,2,0),0))),""))),4)</f>
        <v>#VALUE!</v>
      </c>
      <c r="BVR6" s="44" t="e">
        <f>ROUNDUP(IF(IFERROR(IF($BVL6="","",IF($BVL6=0,1,1-$BVL6/HLOOKUP(BVR$3,[2]ARBOR_REAJUSTE18!$A:$AE,VLOOKUP($BVL$2,[2]ARBOR_REAJUSTE18!$A:$B,2,0),0))),"")&lt;0.01%,0.01%,(IFERROR(IF($BVL6="","",IF($BVL6=0,1,1-$BVL6/HLOOKUP(BVR$3,[2]ARBOR_REAJUSTE18!$A:$AE,VLOOKUP($BVL$2,[2]ARBOR_REAJUSTE18!$A:$B,2,0),0))),""))),4)</f>
        <v>#VALUE!</v>
      </c>
      <c r="BVS6" s="44" t="e">
        <f>ROUNDUP(IF(IFERROR(IF($BVL6="","",IF($BVL6=0,1,1-$BVL6/HLOOKUP(BVS$3,[2]ARBOR_REAJUSTE18!$A:$AE,VLOOKUP($BVL$2,[2]ARBOR_REAJUSTE18!$A:$B,2,0),0))),"")&lt;0.01%,0.01%,(IFERROR(IF($BVL6="","",IF($BVL6=0,1,1-$BVL6/HLOOKUP(BVS$3,[2]ARBOR_REAJUSTE18!$A:$AE,VLOOKUP($BVL$2,[2]ARBOR_REAJUSTE18!$A:$B,2,0),0))),""))),4)</f>
        <v>#VALUE!</v>
      </c>
      <c r="BVT6" s="44" t="e">
        <f>ROUNDUP(IF(IFERROR(IF($BVL6="","",IF($BVL6=0,1,1-$BVL6/HLOOKUP(BVT$3,[2]ARBOR_REAJUSTE18!$A:$AE,VLOOKUP($BVL$2,[2]ARBOR_REAJUSTE18!$A:$B,2,0),0))),"")&lt;0.01%,0.01%,(IFERROR(IF($BVL6="","",IF($BVL6=0,1,1-$BVL6/HLOOKUP(BVT$3,[2]ARBOR_REAJUSTE18!$A:$AE,VLOOKUP($BVL$2,[2]ARBOR_REAJUSTE18!$A:$B,2,0),0))),""))),4)</f>
        <v>#VALUE!</v>
      </c>
      <c r="BVU6" s="44" t="e">
        <f>ROUNDUP(IF(IFERROR(IF($BVL6="","",IF($BVL6=0,1,1-$BVL6/HLOOKUP(BVU$3,[2]ARBOR_REAJUSTE18!$A:$AE,VLOOKUP($BVL$2,[2]ARBOR_REAJUSTE18!$A:$B,2,0),0))),"")&lt;0.01%,0.01%,(IFERROR(IF($BVL6="","",IF($BVL6=0,1,1-$BVL6/HLOOKUP(BVU$3,[2]ARBOR_REAJUSTE18!$A:$AE,VLOOKUP($BVL$2,[2]ARBOR_REAJUSTE18!$A:$B,2,0),0))),""))),4)</f>
        <v>#VALUE!</v>
      </c>
      <c r="BVV6" s="44" t="e">
        <f>ROUNDUP(IF(IFERROR(IF($BVL6="","",IF($BVL6=0,1,1-$BVL6/HLOOKUP(BVV$3,[2]ARBOR_REAJUSTE18!$A:$AE,VLOOKUP($BVL$2,[2]ARBOR_REAJUSTE18!$A:$B,2,0),0))),"")&lt;0.01%,0.01%,(IFERROR(IF($BVL6="","",IF($BVL6=0,1,1-$BVL6/HLOOKUP(BVV$3,[2]ARBOR_REAJUSTE18!$A:$AE,VLOOKUP($BVL$2,[2]ARBOR_REAJUSTE18!$A:$B,2,0),0))),""))),4)</f>
        <v>#VALUE!</v>
      </c>
      <c r="BVW6" s="44" t="e">
        <f>ROUNDUP(IF(IFERROR(IF($BVL6="","",IF($BVL6=0,1,1-$BVL6/HLOOKUP(BVW$3,[2]ARBOR_REAJUSTE18!$A:$AE,VLOOKUP($BVL$2,[2]ARBOR_REAJUSTE18!$A:$B,2,0),0))),"")&lt;0.01%,0.01%,(IFERROR(IF($BVL6="","",IF($BVL6=0,1,1-$BVL6/HLOOKUP(BVW$3,[2]ARBOR_REAJUSTE18!$A:$AE,VLOOKUP($BVL$2,[2]ARBOR_REAJUSTE18!$A:$B,2,0),0))),""))),4)</f>
        <v>#VALUE!</v>
      </c>
      <c r="BVX6" s="44" t="e">
        <f>ROUNDUP(IF(IFERROR(IF($BVL6="","",IF($BVL6=0,1,1-$BVL6/HLOOKUP(BVX$3,[2]ARBOR_REAJUSTE18!$A:$AE,VLOOKUP($BVL$2,[2]ARBOR_REAJUSTE18!$A:$B,2,0),0))),"")&lt;0.01%,0.01%,(IFERROR(IF($BVL6="","",IF($BVL6=0,1,1-$BVL6/HLOOKUP(BVX$3,[2]ARBOR_REAJUSTE18!$A:$AE,VLOOKUP($BVL$2,[2]ARBOR_REAJUSTE18!$A:$B,2,0),0))),""))),4)</f>
        <v>#VALUE!</v>
      </c>
      <c r="BVY6" s="44" t="e">
        <f>ROUNDUP(IF(IFERROR(IF($BVL6="","",IF($BVL6=0,1,1-$BVL6/HLOOKUP(BVY$3,[2]ARBOR_REAJUSTE18!$A:$AE,VLOOKUP($BVL$2,[2]ARBOR_REAJUSTE18!$A:$B,2,0),0))),"")&lt;0.01%,0.01%,(IFERROR(IF($BVL6="","",IF($BVL6=0,1,1-$BVL6/HLOOKUP(BVY$3,[2]ARBOR_REAJUSTE18!$A:$AE,VLOOKUP($BVL$2,[2]ARBOR_REAJUSTE18!$A:$B,2,0),0))),""))),4)</f>
        <v>#VALUE!</v>
      </c>
      <c r="BVZ6" s="44" t="e">
        <f>ROUNDUP(IF(IFERROR(IF($BVL6="","",IF($BVL6=0,1,1-$BVL6/HLOOKUP(BVZ$3,[2]ARBOR_REAJUSTE18!$A:$AE,VLOOKUP($BVL$2,[2]ARBOR_REAJUSTE18!$A:$B,2,0),0))),"")&lt;0.01%,0.01%,(IFERROR(IF($BVL6="","",IF($BVL6=0,1,1-$BVL6/HLOOKUP(BVZ$3,[2]ARBOR_REAJUSTE18!$A:$AE,VLOOKUP($BVL$2,[2]ARBOR_REAJUSTE18!$A:$B,2,0),0))),""))),4)</f>
        <v>#VALUE!</v>
      </c>
      <c r="BWA6" s="44" t="e">
        <f>ROUNDUP(IF(IFERROR(IF($BVL6="","",IF($BVL6=0,1,1-$BVL6/HLOOKUP(BWA$3,[2]ARBOR_REAJUSTE18!$A:$AE,VLOOKUP($BVL$2,[2]ARBOR_REAJUSTE18!$A:$B,2,0),0))),"")&lt;0.01%,0.01%,(IFERROR(IF($BVL6="","",IF($BVL6=0,1,1-$BVL6/HLOOKUP(BWA$3,[2]ARBOR_REAJUSTE18!$A:$AE,VLOOKUP($BVL$2,[2]ARBOR_REAJUSTE18!$A:$B,2,0),0))),""))),4)</f>
        <v>#VALUE!</v>
      </c>
      <c r="BWB6" s="44" t="e">
        <f>ROUNDUP(IF(IFERROR(IF($BVL6="","",IF($BVL6=0,1,1-$BVL6/HLOOKUP(BWB$3,[2]ARBOR_REAJUSTE18!$A:$AE,VLOOKUP($BVL$2,[2]ARBOR_REAJUSTE18!$A:$B,2,0),0))),"")&lt;0.01%,0.01%,(IFERROR(IF($BVL6="","",IF($BVL6=0,1,1-$BVL6/HLOOKUP(BWB$3,[2]ARBOR_REAJUSTE18!$A:$AE,VLOOKUP($BVL$2,[2]ARBOR_REAJUSTE18!$A:$B,2,0),0))),""))),4)</f>
        <v>#VALUE!</v>
      </c>
      <c r="BWC6" s="44" t="e">
        <f>ROUNDUP(IF(IFERROR(IF($BVL6="","",IF($BVL6=0,1,1-$BVL6/HLOOKUP(BWC$3,[2]ARBOR_REAJUSTE18!$A:$AE,VLOOKUP($BVL$2,[2]ARBOR_REAJUSTE18!$A:$B,2,0),0))),"")&lt;0.01%,0.01%,(IFERROR(IF($BVL6="","",IF($BVL6=0,1,1-$BVL6/HLOOKUP(BWC$3,[2]ARBOR_REAJUSTE18!$A:$AE,VLOOKUP($BVL$2,[2]ARBOR_REAJUSTE18!$A:$B,2,0),0))),""))),4)</f>
        <v>#VALUE!</v>
      </c>
      <c r="BWD6" s="44" t="e">
        <f>ROUNDUP(IF(IFERROR(IF($BVL6="","",IF($BVL6=0,1,1-$BVL6/HLOOKUP(BWD$3,[2]ARBOR_REAJUSTE18!$A:$AE,VLOOKUP($BVL$2,[2]ARBOR_REAJUSTE18!$A:$B,2,0),0))),"")&lt;0.01%,0.01%,(IFERROR(IF($BVL6="","",IF($BVL6=0,1,1-$BVL6/HLOOKUP(BWD$3,[2]ARBOR_REAJUSTE18!$A:$AE,VLOOKUP($BVL$2,[2]ARBOR_REAJUSTE18!$A:$B,2,0),0))),""))),4)</f>
        <v>#VALUE!</v>
      </c>
      <c r="BWE6" s="44" t="e">
        <f>ROUNDUP(IF(IFERROR(IF($BVL6="","",IF($BVL6=0,1,1-$BVL6/HLOOKUP(BWE$3,[2]ARBOR_REAJUSTE18!$A:$AE,VLOOKUP($BVL$2,[2]ARBOR_REAJUSTE18!$A:$B,2,0),0))),"")&lt;0.01%,0.01%,(IFERROR(IF($BVL6="","",IF($BVL6=0,1,1-$BVL6/HLOOKUP(BWE$3,[2]ARBOR_REAJUSTE18!$A:$AE,VLOOKUP($BVL$2,[2]ARBOR_REAJUSTE18!$A:$B,2,0),0))),""))),4)</f>
        <v>#VALUE!</v>
      </c>
      <c r="BWF6" s="44" t="e">
        <f>ROUNDUP(IF(IFERROR(IF($BVL6="","",IF($BVL6=0,1,1-$BVL6/HLOOKUP(BWF$3,[2]ARBOR_REAJUSTE18!$A:$AE,VLOOKUP($BVL$2,[2]ARBOR_REAJUSTE18!$A:$B,2,0),0))),"")&lt;0.01%,0.01%,(IFERROR(IF($BVL6="","",IF($BVL6=0,1,1-$BVL6/HLOOKUP(BWF$3,[2]ARBOR_REAJUSTE18!$A:$AE,VLOOKUP($BVL$2,[2]ARBOR_REAJUSTE18!$A:$B,2,0),0))),""))),4)</f>
        <v>#VALUE!</v>
      </c>
      <c r="BWG6" s="44" t="e">
        <f>ROUNDUP(IF(IFERROR(IF($BVL6="","",IF($BVL6=0,1,1-$BVL6/HLOOKUP(BWG$3,[2]ARBOR_REAJUSTE18!$A:$AE,VLOOKUP($BVL$2,[2]ARBOR_REAJUSTE18!$A:$B,2,0),0))),"")&lt;0.01%,0.01%,(IFERROR(IF($BVL6="","",IF($BVL6=0,1,1-$BVL6/HLOOKUP(BWG$3,[2]ARBOR_REAJUSTE18!$A:$AE,VLOOKUP($BVL$2,[2]ARBOR_REAJUSTE18!$A:$B,2,0),0))),""))),4)</f>
        <v>#VALUE!</v>
      </c>
      <c r="BWH6" s="44" t="e">
        <f>ROUNDUP(IF(IFERROR(IF($BVL6="","",IF($BVL6=0,1,1-$BVL6/HLOOKUP(BWH$3,[2]ARBOR_REAJUSTE18!$A:$AE,VLOOKUP($BVL$2,[2]ARBOR_REAJUSTE18!$A:$B,2,0),0))),"")&lt;0.01%,0.01%,(IFERROR(IF($BVL6="","",IF($BVL6=0,1,1-$BVL6/HLOOKUP(BWH$3,[2]ARBOR_REAJUSTE18!$A:$AE,VLOOKUP($BVL$2,[2]ARBOR_REAJUSTE18!$A:$B,2,0),0))),""))),4)</f>
        <v>#VALUE!</v>
      </c>
      <c r="BWI6" s="44" t="e">
        <f>ROUNDUP(IF(IFERROR(IF($BVL6="","",IF($BVL6=0,1,1-$BVL6/HLOOKUP(BWI$3,[2]ARBOR_REAJUSTE18!$A:$AE,VLOOKUP($BVL$2,[2]ARBOR_REAJUSTE18!$A:$B,2,0),0))),"")&lt;0.01%,0.01%,(IFERROR(IF($BVL6="","",IF($BVL6=0,1,1-$BVL6/HLOOKUP(BWI$3,[2]ARBOR_REAJUSTE18!$A:$AE,VLOOKUP($BVL$2,[2]ARBOR_REAJUSTE18!$A:$B,2,0),0))),""))),4)</f>
        <v>#VALUE!</v>
      </c>
      <c r="BWJ6" s="44" t="e">
        <f>ROUNDUP(IF(IFERROR(IF($BVL6="","",IF($BVL6=0,1,1-$BVL6/HLOOKUP(BWJ$3,[2]ARBOR_REAJUSTE18!$A:$AE,VLOOKUP($BVL$2,[2]ARBOR_REAJUSTE18!$A:$B,2,0),0))),"")&lt;0.01%,0.01%,(IFERROR(IF($BVL6="","",IF($BVL6=0,1,1-$BVL6/HLOOKUP(BWJ$3,[2]ARBOR_REAJUSTE18!$A:$AE,VLOOKUP($BVL$2,[2]ARBOR_REAJUSTE18!$A:$B,2,0),0))),""))),4)</f>
        <v>#VALUE!</v>
      </c>
      <c r="BWK6" s="44" t="e">
        <f>ROUNDUP(IF(IFERROR(IF($BVL6="","",IF($BVL6=0,1,1-$BVL6/HLOOKUP(BWK$3,[2]ARBOR_REAJUSTE18!$A:$AE,VLOOKUP($BVL$2,[2]ARBOR_REAJUSTE18!$A:$B,2,0),0))),"")&lt;0.01%,0.01%,(IFERROR(IF($BVL6="","",IF($BVL6=0,1,1-$BVL6/HLOOKUP(BWK$3,[2]ARBOR_REAJUSTE18!$A:$AE,VLOOKUP($BVL$2,[2]ARBOR_REAJUSTE18!$A:$B,2,0),0))),""))),4)</f>
        <v>#VALUE!</v>
      </c>
      <c r="BWL6" s="44" t="e">
        <f>ROUNDUP(IF(IFERROR(IF($BVL6="","",IF($BVL6=0,1,1-$BVL6/HLOOKUP(BWL$3,[2]ARBOR_REAJUSTE18!$A:$AE,VLOOKUP($BVL$2,[2]ARBOR_REAJUSTE18!$A:$B,2,0),0))),"")&lt;0.01%,0.01%,(IFERROR(IF($BVL6="","",IF($BVL6=0,1,1-$BVL6/HLOOKUP(BWL$3,[2]ARBOR_REAJUSTE18!$A:$AE,VLOOKUP($BVL$2,[2]ARBOR_REAJUSTE18!$A:$B,2,0),0))),""))),4)</f>
        <v>#VALUE!</v>
      </c>
      <c r="BWM6" s="44" t="e">
        <f>ROUNDUP(IF(IFERROR(IF($BVL6="","",IF($BVL6=0,1,1-$BVL6/HLOOKUP(BWM$3,[2]ARBOR_REAJUSTE18!$A:$AE,VLOOKUP($BVL$2,[2]ARBOR_REAJUSTE18!$A:$B,2,0),0))),"")&lt;0.01%,0.01%,(IFERROR(IF($BVL6="","",IF($BVL6=0,1,1-$BVL6/HLOOKUP(BWM$3,[2]ARBOR_REAJUSTE18!$A:$AE,VLOOKUP($BVL$2,[2]ARBOR_REAJUSTE18!$A:$B,2,0),0))),""))),4)</f>
        <v>#VALUE!</v>
      </c>
      <c r="BWN6" s="44" t="e">
        <f>ROUNDUP(IF(IFERROR(IF($BVL6="","",IF($BVL6=0,1,1-$BVL6/HLOOKUP(BWN$3,[2]ARBOR_REAJUSTE18!$A:$AE,VLOOKUP($BVL$2,[2]ARBOR_REAJUSTE18!$A:$B,2,0),0))),"")&lt;0.01%,0.01%,(IFERROR(IF($BVL6="","",IF($BVL6=0,1,1-$BVL6/HLOOKUP(BWN$3,[2]ARBOR_REAJUSTE18!$A:$AE,VLOOKUP($BVL$2,[2]ARBOR_REAJUSTE18!$A:$B,2,0),0))),""))),4)</f>
        <v>#VALUE!</v>
      </c>
      <c r="BWO6" s="56"/>
      <c r="BWP6" s="64"/>
      <c r="BWQ6" s="44" t="e">
        <f>ROUNDUP(IF(IFERROR(IF($BWO6="","",IF($BWO6=0,1,1-$BWO6/HLOOKUP(BWQ$3,[2]ARBOR_REAJUSTE18!$A:$AE,VLOOKUP($BWO$2,[2]ARBOR_REAJUSTE18!$A:$B,2,0),0))),"")&lt;0.01%,0.01%,(IFERROR(IF($BWO6="","",IF($BWO6=0,1,1-$BWO6/HLOOKUP(BWQ$3,[2]ARBOR_REAJUSTE18!$A:$AE,VLOOKUP($BWO$2,[2]ARBOR_REAJUSTE18!$A:$B,2,0),0))),""))),4)</f>
        <v>#VALUE!</v>
      </c>
      <c r="BWR6" s="44" t="e">
        <f>ROUNDUP(IF(IFERROR(IF($BWO6="","",IF($BWO6=0,1,1-$BWO6/HLOOKUP(BWR$3,[2]ARBOR_REAJUSTE18!$A:$AE,VLOOKUP($BWO$2,[2]ARBOR_REAJUSTE18!$A:$B,2,0),0))),"")&lt;0.01%,0.01%,(IFERROR(IF($BWO6="","",IF($BWO6=0,1,1-$BWO6/HLOOKUP(BWR$3,[2]ARBOR_REAJUSTE18!$A:$AE,VLOOKUP($BWO$2,[2]ARBOR_REAJUSTE18!$A:$B,2,0),0))),""))),4)</f>
        <v>#VALUE!</v>
      </c>
      <c r="BWS6" s="44" t="e">
        <f>ROUNDUP(IF(IFERROR(IF($BWO6="","",IF($BWO6=0,1,1-$BWO6/HLOOKUP(BWS$3,[2]ARBOR_REAJUSTE18!$A:$AE,VLOOKUP($BWO$2,[2]ARBOR_REAJUSTE18!$A:$B,2,0),0))),"")&lt;0.01%,0.01%,(IFERROR(IF($BWO6="","",IF($BWO6=0,1,1-$BWO6/HLOOKUP(BWS$3,[2]ARBOR_REAJUSTE18!$A:$AE,VLOOKUP($BWO$2,[2]ARBOR_REAJUSTE18!$A:$B,2,0),0))),""))),4)</f>
        <v>#VALUE!</v>
      </c>
      <c r="BWT6" s="44" t="e">
        <f>ROUNDUP(IF(IFERROR(IF($BWO6="","",IF($BWO6=0,1,1-$BWO6/HLOOKUP(BWT$3,[2]ARBOR_REAJUSTE18!$A:$AE,VLOOKUP($BWO$2,[2]ARBOR_REAJUSTE18!$A:$B,2,0),0))),"")&lt;0.01%,0.01%,(IFERROR(IF($BWO6="","",IF($BWO6=0,1,1-$BWO6/HLOOKUP(BWT$3,[2]ARBOR_REAJUSTE18!$A:$AE,VLOOKUP($BWO$2,[2]ARBOR_REAJUSTE18!$A:$B,2,0),0))),""))),4)</f>
        <v>#VALUE!</v>
      </c>
      <c r="BWU6" s="44" t="e">
        <f>ROUNDUP(IF(IFERROR(IF($BWO6="","",IF($BWO6=0,1,1-$BWO6/HLOOKUP(BWU$3,[2]ARBOR_REAJUSTE18!$A:$AE,VLOOKUP($BWO$2,[2]ARBOR_REAJUSTE18!$A:$B,2,0),0))),"")&lt;0.01%,0.01%,(IFERROR(IF($BWO6="","",IF($BWO6=0,1,1-$BWO6/HLOOKUP(BWU$3,[2]ARBOR_REAJUSTE18!$A:$AE,VLOOKUP($BWO$2,[2]ARBOR_REAJUSTE18!$A:$B,2,0),0))),""))),4)</f>
        <v>#VALUE!</v>
      </c>
      <c r="BWV6" s="44" t="e">
        <f>ROUNDUP(IF(IFERROR(IF($BWO6="","",IF($BWO6=0,1,1-$BWO6/HLOOKUP(BWV$3,[2]ARBOR_REAJUSTE18!$A:$AE,VLOOKUP($BWO$2,[2]ARBOR_REAJUSTE18!$A:$B,2,0),0))),"")&lt;0.01%,0.01%,(IFERROR(IF($BWO6="","",IF($BWO6=0,1,1-$BWO6/HLOOKUP(BWV$3,[2]ARBOR_REAJUSTE18!$A:$AE,VLOOKUP($BWO$2,[2]ARBOR_REAJUSTE18!$A:$B,2,0),0))),""))),4)</f>
        <v>#VALUE!</v>
      </c>
      <c r="BWW6" s="44" t="e">
        <f>ROUNDUP(IF(IFERROR(IF($BWO6="","",IF($BWO6=0,1,1-$BWO6/HLOOKUP(BWW$3,[2]ARBOR_REAJUSTE18!$A:$AE,VLOOKUP($BWO$2,[2]ARBOR_REAJUSTE18!$A:$B,2,0),0))),"")&lt;0.01%,0.01%,(IFERROR(IF($BWO6="","",IF($BWO6=0,1,1-$BWO6/HLOOKUP(BWW$3,[2]ARBOR_REAJUSTE18!$A:$AE,VLOOKUP($BWO$2,[2]ARBOR_REAJUSTE18!$A:$B,2,0),0))),""))),4)</f>
        <v>#VALUE!</v>
      </c>
      <c r="BWX6" s="44" t="e">
        <f>ROUNDUP(IF(IFERROR(IF($BWO6="","",IF($BWO6=0,1,1-$BWO6/HLOOKUP(BWX$3,[2]ARBOR_REAJUSTE18!$A:$AE,VLOOKUP($BWO$2,[2]ARBOR_REAJUSTE18!$A:$B,2,0),0))),"")&lt;0.01%,0.01%,(IFERROR(IF($BWO6="","",IF($BWO6=0,1,1-$BWO6/HLOOKUP(BWX$3,[2]ARBOR_REAJUSTE18!$A:$AE,VLOOKUP($BWO$2,[2]ARBOR_REAJUSTE18!$A:$B,2,0),0))),""))),4)</f>
        <v>#VALUE!</v>
      </c>
      <c r="BWY6" s="44" t="e">
        <f>ROUNDUP(IF(IFERROR(IF($BWO6="","",IF($BWO6=0,1,1-$BWO6/HLOOKUP(BWY$3,[2]ARBOR_REAJUSTE18!$A:$AE,VLOOKUP($BWO$2,[2]ARBOR_REAJUSTE18!$A:$B,2,0),0))),"")&lt;0.01%,0.01%,(IFERROR(IF($BWO6="","",IF($BWO6=0,1,1-$BWO6/HLOOKUP(BWY$3,[2]ARBOR_REAJUSTE18!$A:$AE,VLOOKUP($BWO$2,[2]ARBOR_REAJUSTE18!$A:$B,2,0),0))),""))),4)</f>
        <v>#VALUE!</v>
      </c>
      <c r="BWZ6" s="44" t="e">
        <f>ROUNDUP(IF(IFERROR(IF($BWO6="","",IF($BWO6=0,1,1-$BWO6/HLOOKUP(BWZ$3,[2]ARBOR_REAJUSTE18!$A:$AE,VLOOKUP($BWO$2,[2]ARBOR_REAJUSTE18!$A:$B,2,0),0))),"")&lt;0.01%,0.01%,(IFERROR(IF($BWO6="","",IF($BWO6=0,1,1-$BWO6/HLOOKUP(BWZ$3,[2]ARBOR_REAJUSTE18!$A:$AE,VLOOKUP($BWO$2,[2]ARBOR_REAJUSTE18!$A:$B,2,0),0))),""))),4)</f>
        <v>#VALUE!</v>
      </c>
      <c r="BXA6" s="44" t="e">
        <f>ROUNDUP(IF(IFERROR(IF($BWO6="","",IF($BWO6=0,1,1-$BWO6/HLOOKUP(BXA$3,[2]ARBOR_REAJUSTE18!$A:$AE,VLOOKUP($BWO$2,[2]ARBOR_REAJUSTE18!$A:$B,2,0),0))),"")&lt;0.01%,0.01%,(IFERROR(IF($BWO6="","",IF($BWO6=0,1,1-$BWO6/HLOOKUP(BXA$3,[2]ARBOR_REAJUSTE18!$A:$AE,VLOOKUP($BWO$2,[2]ARBOR_REAJUSTE18!$A:$B,2,0),0))),""))),4)</f>
        <v>#VALUE!</v>
      </c>
      <c r="BXB6" s="44" t="e">
        <f>ROUNDUP(IF(IFERROR(IF($BWO6="","",IF($BWO6=0,1,1-$BWO6/HLOOKUP(BXB$3,[2]ARBOR_REAJUSTE18!$A:$AE,VLOOKUP($BWO$2,[2]ARBOR_REAJUSTE18!$A:$B,2,0),0))),"")&lt;0.01%,0.01%,(IFERROR(IF($BWO6="","",IF($BWO6=0,1,1-$BWO6/HLOOKUP(BXB$3,[2]ARBOR_REAJUSTE18!$A:$AE,VLOOKUP($BWO$2,[2]ARBOR_REAJUSTE18!$A:$B,2,0),0))),""))),4)</f>
        <v>#VALUE!</v>
      </c>
      <c r="BXC6" s="44" t="e">
        <f>ROUNDUP(IF(IFERROR(IF($BWO6="","",IF($BWO6=0,1,1-$BWO6/HLOOKUP(BXC$3,[2]ARBOR_REAJUSTE18!$A:$AE,VLOOKUP($BWO$2,[2]ARBOR_REAJUSTE18!$A:$B,2,0),0))),"")&lt;0.01%,0.01%,(IFERROR(IF($BWO6="","",IF($BWO6=0,1,1-$BWO6/HLOOKUP(BXC$3,[2]ARBOR_REAJUSTE18!$A:$AE,VLOOKUP($BWO$2,[2]ARBOR_REAJUSTE18!$A:$B,2,0),0))),""))),4)</f>
        <v>#VALUE!</v>
      </c>
      <c r="BXD6" s="44" t="e">
        <f>ROUNDUP(IF(IFERROR(IF($BWO6="","",IF($BWO6=0,1,1-$BWO6/HLOOKUP(BXD$3,[2]ARBOR_REAJUSTE18!$A:$AE,VLOOKUP($BWO$2,[2]ARBOR_REAJUSTE18!$A:$B,2,0),0))),"")&lt;0.01%,0.01%,(IFERROR(IF($BWO6="","",IF($BWO6=0,1,1-$BWO6/HLOOKUP(BXD$3,[2]ARBOR_REAJUSTE18!$A:$AE,VLOOKUP($BWO$2,[2]ARBOR_REAJUSTE18!$A:$B,2,0),0))),""))),4)</f>
        <v>#VALUE!</v>
      </c>
      <c r="BXE6" s="44" t="e">
        <f>ROUNDUP(IF(IFERROR(IF($BWO6="","",IF($BWO6=0,1,1-$BWO6/HLOOKUP(BXE$3,[2]ARBOR_REAJUSTE18!$A:$AE,VLOOKUP($BWO$2,[2]ARBOR_REAJUSTE18!$A:$B,2,0),0))),"")&lt;0.01%,0.01%,(IFERROR(IF($BWO6="","",IF($BWO6=0,1,1-$BWO6/HLOOKUP(BXE$3,[2]ARBOR_REAJUSTE18!$A:$AE,VLOOKUP($BWO$2,[2]ARBOR_REAJUSTE18!$A:$B,2,0),0))),""))),4)</f>
        <v>#VALUE!</v>
      </c>
      <c r="BXF6" s="44" t="e">
        <f>ROUNDUP(IF(IFERROR(IF($BWO6="","",IF($BWO6=0,1,1-$BWO6/HLOOKUP(BXF$3,[2]ARBOR_REAJUSTE18!$A:$AE,VLOOKUP($BWO$2,[2]ARBOR_REAJUSTE18!$A:$B,2,0),0))),"")&lt;0.01%,0.01%,(IFERROR(IF($BWO6="","",IF($BWO6=0,1,1-$BWO6/HLOOKUP(BXF$3,[2]ARBOR_REAJUSTE18!$A:$AE,VLOOKUP($BWO$2,[2]ARBOR_REAJUSTE18!$A:$B,2,0),0))),""))),4)</f>
        <v>#VALUE!</v>
      </c>
      <c r="BXG6" s="44" t="e">
        <f>ROUNDUP(IF(IFERROR(IF($BWO6="","",IF($BWO6=0,1,1-$BWO6/HLOOKUP(BXG$3,[2]ARBOR_REAJUSTE18!$A:$AE,VLOOKUP($BWO$2,[2]ARBOR_REAJUSTE18!$A:$B,2,0),0))),"")&lt;0.01%,0.01%,(IFERROR(IF($BWO6="","",IF($BWO6=0,1,1-$BWO6/HLOOKUP(BXG$3,[2]ARBOR_REAJUSTE18!$A:$AE,VLOOKUP($BWO$2,[2]ARBOR_REAJUSTE18!$A:$B,2,0),0))),""))),4)</f>
        <v>#VALUE!</v>
      </c>
      <c r="BXH6" s="44" t="e">
        <f>ROUNDUP(IF(IFERROR(IF($BWO6="","",IF($BWO6=0,1,1-$BWO6/HLOOKUP(BXH$3,[2]ARBOR_REAJUSTE18!$A:$AE,VLOOKUP($BWO$2,[2]ARBOR_REAJUSTE18!$A:$B,2,0),0))),"")&lt;0.01%,0.01%,(IFERROR(IF($BWO6="","",IF($BWO6=0,1,1-$BWO6/HLOOKUP(BXH$3,[2]ARBOR_REAJUSTE18!$A:$AE,VLOOKUP($BWO$2,[2]ARBOR_REAJUSTE18!$A:$B,2,0),0))),""))),4)</f>
        <v>#VALUE!</v>
      </c>
      <c r="BXI6" s="44" t="e">
        <f>ROUNDUP(IF(IFERROR(IF($BWO6="","",IF($BWO6=0,1,1-$BWO6/HLOOKUP(BXI$3,[2]ARBOR_REAJUSTE18!$A:$AE,VLOOKUP($BWO$2,[2]ARBOR_REAJUSTE18!$A:$B,2,0),0))),"")&lt;0.01%,0.01%,(IFERROR(IF($BWO6="","",IF($BWO6=0,1,1-$BWO6/HLOOKUP(BXI$3,[2]ARBOR_REAJUSTE18!$A:$AE,VLOOKUP($BWO$2,[2]ARBOR_REAJUSTE18!$A:$B,2,0),0))),""))),4)</f>
        <v>#VALUE!</v>
      </c>
      <c r="BXJ6" s="44" t="e">
        <f>ROUNDUP(IF(IFERROR(IF($BWO6="","",IF($BWO6=0,1,1-$BWO6/HLOOKUP(BXJ$3,[2]ARBOR_REAJUSTE18!$A:$AE,VLOOKUP($BWO$2,[2]ARBOR_REAJUSTE18!$A:$B,2,0),0))),"")&lt;0.01%,0.01%,(IFERROR(IF($BWO6="","",IF($BWO6=0,1,1-$BWO6/HLOOKUP(BXJ$3,[2]ARBOR_REAJUSTE18!$A:$AE,VLOOKUP($BWO$2,[2]ARBOR_REAJUSTE18!$A:$B,2,0),0))),""))),4)</f>
        <v>#VALUE!</v>
      </c>
      <c r="BXK6" s="44" t="e">
        <f>ROUNDUP(IF(IFERROR(IF($BWO6="","",IF($BWO6=0,1,1-$BWO6/HLOOKUP(BXK$3,[2]ARBOR_REAJUSTE18!$A:$AE,VLOOKUP($BWO$2,[2]ARBOR_REAJUSTE18!$A:$B,2,0),0))),"")&lt;0.01%,0.01%,(IFERROR(IF($BWO6="","",IF($BWO6=0,1,1-$BWO6/HLOOKUP(BXK$3,[2]ARBOR_REAJUSTE18!$A:$AE,VLOOKUP($BWO$2,[2]ARBOR_REAJUSTE18!$A:$B,2,0),0))),""))),4)</f>
        <v>#VALUE!</v>
      </c>
      <c r="BXL6" s="44" t="e">
        <f>ROUNDUP(IF(IFERROR(IF($BWO6="","",IF($BWO6=0,1,1-$BWO6/HLOOKUP(BXL$3,[2]ARBOR_REAJUSTE18!$A:$AE,VLOOKUP($BWO$2,[2]ARBOR_REAJUSTE18!$A:$B,2,0),0))),"")&lt;0.01%,0.01%,(IFERROR(IF($BWO6="","",IF($BWO6=0,1,1-$BWO6/HLOOKUP(BXL$3,[2]ARBOR_REAJUSTE18!$A:$AE,VLOOKUP($BWO$2,[2]ARBOR_REAJUSTE18!$A:$B,2,0),0))),""))),4)</f>
        <v>#VALUE!</v>
      </c>
      <c r="BXM6" s="44" t="e">
        <f>ROUNDUP(IF(IFERROR(IF($BWO6="","",IF($BWO6=0,1,1-$BWO6/HLOOKUP(BXM$3,[2]ARBOR_REAJUSTE18!$A:$AE,VLOOKUP($BWO$2,[2]ARBOR_REAJUSTE18!$A:$B,2,0),0))),"")&lt;0.01%,0.01%,(IFERROR(IF($BWO6="","",IF($BWO6=0,1,1-$BWO6/HLOOKUP(BXM$3,[2]ARBOR_REAJUSTE18!$A:$AE,VLOOKUP($BWO$2,[2]ARBOR_REAJUSTE18!$A:$B,2,0),0))),""))),4)</f>
        <v>#VALUE!</v>
      </c>
      <c r="BXN6" s="44" t="e">
        <f>ROUNDUP(IF(IFERROR(IF($BWO6="","",IF($BWO6=0,1,1-$BWO6/HLOOKUP(BXN$3,[2]ARBOR_REAJUSTE18!$A:$AE,VLOOKUP($BWO$2,[2]ARBOR_REAJUSTE18!$A:$B,2,0),0))),"")&lt;0.01%,0.01%,(IFERROR(IF($BWO6="","",IF($BWO6=0,1,1-$BWO6/HLOOKUP(BXN$3,[2]ARBOR_REAJUSTE18!$A:$AE,VLOOKUP($BWO$2,[2]ARBOR_REAJUSTE18!$A:$B,2,0),0))),""))),4)</f>
        <v>#VALUE!</v>
      </c>
      <c r="BXO6" s="44" t="e">
        <f>ROUNDUP(IF(IFERROR(IF($BWO6="","",IF($BWO6=0,1,1-$BWO6/HLOOKUP(BXO$3,[2]ARBOR_REAJUSTE18!$A:$AE,VLOOKUP($BWO$2,[2]ARBOR_REAJUSTE18!$A:$B,2,0),0))),"")&lt;0.01%,0.01%,(IFERROR(IF($BWO6="","",IF($BWO6=0,1,1-$BWO6/HLOOKUP(BXO$3,[2]ARBOR_REAJUSTE18!$A:$AE,VLOOKUP($BWO$2,[2]ARBOR_REAJUSTE18!$A:$B,2,0),0))),""))),4)</f>
        <v>#VALUE!</v>
      </c>
      <c r="BXP6" s="44" t="e">
        <f>ROUNDUP(IF(IFERROR(IF($BWO6="","",IF($BWO6=0,1,1-$BWO6/HLOOKUP(BXP$3,[2]ARBOR_REAJUSTE18!$A:$AE,VLOOKUP($BWO$2,[2]ARBOR_REAJUSTE18!$A:$B,2,0),0))),"")&lt;0.01%,0.01%,(IFERROR(IF($BWO6="","",IF($BWO6=0,1,1-$BWO6/HLOOKUP(BXP$3,[2]ARBOR_REAJUSTE18!$A:$AE,VLOOKUP($BWO$2,[2]ARBOR_REAJUSTE18!$A:$B,2,0),0))),""))),4)</f>
        <v>#VALUE!</v>
      </c>
      <c r="BXQ6" s="44" t="e">
        <f>ROUNDUP(IF(IFERROR(IF($BWO6="","",IF($BWO6=0,1,1-$BWO6/HLOOKUP(BXQ$3,[2]ARBOR_REAJUSTE18!$A:$AE,VLOOKUP($BWO$2,[2]ARBOR_REAJUSTE18!$A:$B,2,0),0))),"")&lt;0.01%,0.01%,(IFERROR(IF($BWO6="","",IF($BWO6=0,1,1-$BWO6/HLOOKUP(BXQ$3,[2]ARBOR_REAJUSTE18!$A:$AE,VLOOKUP($BWO$2,[2]ARBOR_REAJUSTE18!$A:$B,2,0),0))),""))),4)</f>
        <v>#VALUE!</v>
      </c>
      <c r="BXR6" s="56"/>
      <c r="BXS6" s="64"/>
      <c r="BXT6" s="44" t="e">
        <f>ROUNDUP(IF(IFERROR(IF($BXR6="","",IF($BXR6=0,1,1-$BXR6/HLOOKUP(BXT$3,[2]ARBOR_REAJUSTE18!$A:$AE,VLOOKUP($BXR$2,[2]ARBOR_REAJUSTE18!$A:$B,2,0),0))),"")&lt;0.01%,0.01%,(IFERROR(IF($BXR6="","",IF($BXR6=0,1,1-$BXR6/HLOOKUP(BXT$3,[2]ARBOR_REAJUSTE18!$A:$AE,VLOOKUP($BXR$2,[2]ARBOR_REAJUSTE18!$A:$B,2,0),0))),""))),4)</f>
        <v>#VALUE!</v>
      </c>
      <c r="BXU6" s="44" t="e">
        <f>ROUNDUP(IF(IFERROR(IF($BXR6="","",IF($BXR6=0,1,1-$BXR6/HLOOKUP(BXU$3,[2]ARBOR_REAJUSTE18!$A:$AE,VLOOKUP($BXR$2,[2]ARBOR_REAJUSTE18!$A:$B,2,0),0))),"")&lt;0.01%,0.01%,(IFERROR(IF($BXR6="","",IF($BXR6=0,1,1-$BXR6/HLOOKUP(BXU$3,[2]ARBOR_REAJUSTE18!$A:$AE,VLOOKUP($BXR$2,[2]ARBOR_REAJUSTE18!$A:$B,2,0),0))),""))),4)</f>
        <v>#VALUE!</v>
      </c>
      <c r="BXV6" s="44" t="e">
        <f>ROUNDUP(IF(IFERROR(IF($BXR6="","",IF($BXR6=0,1,1-$BXR6/HLOOKUP(BXV$3,[2]ARBOR_REAJUSTE18!$A:$AE,VLOOKUP($BXR$2,[2]ARBOR_REAJUSTE18!$A:$B,2,0),0))),"")&lt;0.01%,0.01%,(IFERROR(IF($BXR6="","",IF($BXR6=0,1,1-$BXR6/HLOOKUP(BXV$3,[2]ARBOR_REAJUSTE18!$A:$AE,VLOOKUP($BXR$2,[2]ARBOR_REAJUSTE18!$A:$B,2,0),0))),""))),4)</f>
        <v>#VALUE!</v>
      </c>
      <c r="BXW6" s="44" t="e">
        <f>ROUNDUP(IF(IFERROR(IF($BXR6="","",IF($BXR6=0,1,1-$BXR6/HLOOKUP(BXW$3,[2]ARBOR_REAJUSTE18!$A:$AE,VLOOKUP($BXR$2,[2]ARBOR_REAJUSTE18!$A:$B,2,0),0))),"")&lt;0.01%,0.01%,(IFERROR(IF($BXR6="","",IF($BXR6=0,1,1-$BXR6/HLOOKUP(BXW$3,[2]ARBOR_REAJUSTE18!$A:$AE,VLOOKUP($BXR$2,[2]ARBOR_REAJUSTE18!$A:$B,2,0),0))),""))),4)</f>
        <v>#VALUE!</v>
      </c>
      <c r="BXX6" s="44" t="e">
        <f>ROUNDUP(IF(IFERROR(IF($BXR6="","",IF($BXR6=0,1,1-$BXR6/HLOOKUP(BXX$3,[2]ARBOR_REAJUSTE18!$A:$AE,VLOOKUP($BXR$2,[2]ARBOR_REAJUSTE18!$A:$B,2,0),0))),"")&lt;0.01%,0.01%,(IFERROR(IF($BXR6="","",IF($BXR6=0,1,1-$BXR6/HLOOKUP(BXX$3,[2]ARBOR_REAJUSTE18!$A:$AE,VLOOKUP($BXR$2,[2]ARBOR_REAJUSTE18!$A:$B,2,0),0))),""))),4)</f>
        <v>#VALUE!</v>
      </c>
      <c r="BXY6" s="44" t="e">
        <f>ROUNDUP(IF(IFERROR(IF($BXR6="","",IF($BXR6=0,1,1-$BXR6/HLOOKUP(BXY$3,[2]ARBOR_REAJUSTE18!$A:$AE,VLOOKUP($BXR$2,[2]ARBOR_REAJUSTE18!$A:$B,2,0),0))),"")&lt;0.01%,0.01%,(IFERROR(IF($BXR6="","",IF($BXR6=0,1,1-$BXR6/HLOOKUP(BXY$3,[2]ARBOR_REAJUSTE18!$A:$AE,VLOOKUP($BXR$2,[2]ARBOR_REAJUSTE18!$A:$B,2,0),0))),""))),4)</f>
        <v>#VALUE!</v>
      </c>
      <c r="BXZ6" s="44" t="e">
        <f>ROUNDUP(IF(IFERROR(IF($BXR6="","",IF($BXR6=0,1,1-$BXR6/HLOOKUP(BXZ$3,[2]ARBOR_REAJUSTE18!$A:$AE,VLOOKUP($BXR$2,[2]ARBOR_REAJUSTE18!$A:$B,2,0),0))),"")&lt;0.01%,0.01%,(IFERROR(IF($BXR6="","",IF($BXR6=0,1,1-$BXR6/HLOOKUP(BXZ$3,[2]ARBOR_REAJUSTE18!$A:$AE,VLOOKUP($BXR$2,[2]ARBOR_REAJUSTE18!$A:$B,2,0),0))),""))),4)</f>
        <v>#VALUE!</v>
      </c>
      <c r="BYA6" s="44" t="e">
        <f>ROUNDUP(IF(IFERROR(IF($BXR6="","",IF($BXR6=0,1,1-$BXR6/HLOOKUP(BYA$3,[2]ARBOR_REAJUSTE18!$A:$AE,VLOOKUP($BXR$2,[2]ARBOR_REAJUSTE18!$A:$B,2,0),0))),"")&lt;0.01%,0.01%,(IFERROR(IF($BXR6="","",IF($BXR6=0,1,1-$BXR6/HLOOKUP(BYA$3,[2]ARBOR_REAJUSTE18!$A:$AE,VLOOKUP($BXR$2,[2]ARBOR_REAJUSTE18!$A:$B,2,0),0))),""))),4)</f>
        <v>#VALUE!</v>
      </c>
      <c r="BYB6" s="44" t="e">
        <f>ROUNDUP(IF(IFERROR(IF($BXR6="","",IF($BXR6=0,1,1-$BXR6/HLOOKUP(BYB$3,[2]ARBOR_REAJUSTE18!$A:$AE,VLOOKUP($BXR$2,[2]ARBOR_REAJUSTE18!$A:$B,2,0),0))),"")&lt;0.01%,0.01%,(IFERROR(IF($BXR6="","",IF($BXR6=0,1,1-$BXR6/HLOOKUP(BYB$3,[2]ARBOR_REAJUSTE18!$A:$AE,VLOOKUP($BXR$2,[2]ARBOR_REAJUSTE18!$A:$B,2,0),0))),""))),4)</f>
        <v>#VALUE!</v>
      </c>
      <c r="BYC6" s="44" t="e">
        <f>ROUNDUP(IF(IFERROR(IF($BXR6="","",IF($BXR6=0,1,1-$BXR6/HLOOKUP(BYC$3,[2]ARBOR_REAJUSTE18!$A:$AE,VLOOKUP($BXR$2,[2]ARBOR_REAJUSTE18!$A:$B,2,0),0))),"")&lt;0.01%,0.01%,(IFERROR(IF($BXR6="","",IF($BXR6=0,1,1-$BXR6/HLOOKUP(BYC$3,[2]ARBOR_REAJUSTE18!$A:$AE,VLOOKUP($BXR$2,[2]ARBOR_REAJUSTE18!$A:$B,2,0),0))),""))),4)</f>
        <v>#VALUE!</v>
      </c>
      <c r="BYD6" s="44" t="e">
        <f>ROUNDUP(IF(IFERROR(IF($BXR6="","",IF($BXR6=0,1,1-$BXR6/HLOOKUP(BYD$3,[2]ARBOR_REAJUSTE18!$A:$AE,VLOOKUP($BXR$2,[2]ARBOR_REAJUSTE18!$A:$B,2,0),0))),"")&lt;0.01%,0.01%,(IFERROR(IF($BXR6="","",IF($BXR6=0,1,1-$BXR6/HLOOKUP(BYD$3,[2]ARBOR_REAJUSTE18!$A:$AE,VLOOKUP($BXR$2,[2]ARBOR_REAJUSTE18!$A:$B,2,0),0))),""))),4)</f>
        <v>#VALUE!</v>
      </c>
      <c r="BYE6" s="44" t="e">
        <f>ROUNDUP(IF(IFERROR(IF($BXR6="","",IF($BXR6=0,1,1-$BXR6/HLOOKUP(BYE$3,[2]ARBOR_REAJUSTE18!$A:$AE,VLOOKUP($BXR$2,[2]ARBOR_REAJUSTE18!$A:$B,2,0),0))),"")&lt;0.01%,0.01%,(IFERROR(IF($BXR6="","",IF($BXR6=0,1,1-$BXR6/HLOOKUP(BYE$3,[2]ARBOR_REAJUSTE18!$A:$AE,VLOOKUP($BXR$2,[2]ARBOR_REAJUSTE18!$A:$B,2,0),0))),""))),4)</f>
        <v>#VALUE!</v>
      </c>
      <c r="BYF6" s="44" t="e">
        <f>ROUNDUP(IF(IFERROR(IF($BXR6="","",IF($BXR6=0,1,1-$BXR6/HLOOKUP(BYF$3,[2]ARBOR_REAJUSTE18!$A:$AE,VLOOKUP($BXR$2,[2]ARBOR_REAJUSTE18!$A:$B,2,0),0))),"")&lt;0.01%,0.01%,(IFERROR(IF($BXR6="","",IF($BXR6=0,1,1-$BXR6/HLOOKUP(BYF$3,[2]ARBOR_REAJUSTE18!$A:$AE,VLOOKUP($BXR$2,[2]ARBOR_REAJUSTE18!$A:$B,2,0),0))),""))),4)</f>
        <v>#VALUE!</v>
      </c>
      <c r="BYG6" s="44" t="e">
        <f>ROUNDUP(IF(IFERROR(IF($BXR6="","",IF($BXR6=0,1,1-$BXR6/HLOOKUP(BYG$3,[2]ARBOR_REAJUSTE18!$A:$AE,VLOOKUP($BXR$2,[2]ARBOR_REAJUSTE18!$A:$B,2,0),0))),"")&lt;0.01%,0.01%,(IFERROR(IF($BXR6="","",IF($BXR6=0,1,1-$BXR6/HLOOKUP(BYG$3,[2]ARBOR_REAJUSTE18!$A:$AE,VLOOKUP($BXR$2,[2]ARBOR_REAJUSTE18!$A:$B,2,0),0))),""))),4)</f>
        <v>#VALUE!</v>
      </c>
      <c r="BYH6" s="44" t="e">
        <f>ROUNDUP(IF(IFERROR(IF($BXR6="","",IF($BXR6=0,1,1-$BXR6/HLOOKUP(BYH$3,[2]ARBOR_REAJUSTE18!$A:$AE,VLOOKUP($BXR$2,[2]ARBOR_REAJUSTE18!$A:$B,2,0),0))),"")&lt;0.01%,0.01%,(IFERROR(IF($BXR6="","",IF($BXR6=0,1,1-$BXR6/HLOOKUP(BYH$3,[2]ARBOR_REAJUSTE18!$A:$AE,VLOOKUP($BXR$2,[2]ARBOR_REAJUSTE18!$A:$B,2,0),0))),""))),4)</f>
        <v>#VALUE!</v>
      </c>
      <c r="BYI6" s="44" t="e">
        <f>ROUNDUP(IF(IFERROR(IF($BXR6="","",IF($BXR6=0,1,1-$BXR6/HLOOKUP(BYI$3,[2]ARBOR_REAJUSTE18!$A:$AE,VLOOKUP($BXR$2,[2]ARBOR_REAJUSTE18!$A:$B,2,0),0))),"")&lt;0.01%,0.01%,(IFERROR(IF($BXR6="","",IF($BXR6=0,1,1-$BXR6/HLOOKUP(BYI$3,[2]ARBOR_REAJUSTE18!$A:$AE,VLOOKUP($BXR$2,[2]ARBOR_REAJUSTE18!$A:$B,2,0),0))),""))),4)</f>
        <v>#VALUE!</v>
      </c>
      <c r="BYJ6" s="44" t="e">
        <f>ROUNDUP(IF(IFERROR(IF($BXR6="","",IF($BXR6=0,1,1-$BXR6/HLOOKUP(BYJ$3,[2]ARBOR_REAJUSTE18!$A:$AE,VLOOKUP($BXR$2,[2]ARBOR_REAJUSTE18!$A:$B,2,0),0))),"")&lt;0.01%,0.01%,(IFERROR(IF($BXR6="","",IF($BXR6=0,1,1-$BXR6/HLOOKUP(BYJ$3,[2]ARBOR_REAJUSTE18!$A:$AE,VLOOKUP($BXR$2,[2]ARBOR_REAJUSTE18!$A:$B,2,0),0))),""))),4)</f>
        <v>#VALUE!</v>
      </c>
      <c r="BYK6" s="44" t="e">
        <f>ROUNDUP(IF(IFERROR(IF($BXR6="","",IF($BXR6=0,1,1-$BXR6/HLOOKUP(BYK$3,[2]ARBOR_REAJUSTE18!$A:$AE,VLOOKUP($BXR$2,[2]ARBOR_REAJUSTE18!$A:$B,2,0),0))),"")&lt;0.01%,0.01%,(IFERROR(IF($BXR6="","",IF($BXR6=0,1,1-$BXR6/HLOOKUP(BYK$3,[2]ARBOR_REAJUSTE18!$A:$AE,VLOOKUP($BXR$2,[2]ARBOR_REAJUSTE18!$A:$B,2,0),0))),""))),4)</f>
        <v>#VALUE!</v>
      </c>
      <c r="BYL6" s="44" t="e">
        <f>ROUNDUP(IF(IFERROR(IF($BXR6="","",IF($BXR6=0,1,1-$BXR6/HLOOKUP(BYL$3,[2]ARBOR_REAJUSTE18!$A:$AE,VLOOKUP($BXR$2,[2]ARBOR_REAJUSTE18!$A:$B,2,0),0))),"")&lt;0.01%,0.01%,(IFERROR(IF($BXR6="","",IF($BXR6=0,1,1-$BXR6/HLOOKUP(BYL$3,[2]ARBOR_REAJUSTE18!$A:$AE,VLOOKUP($BXR$2,[2]ARBOR_REAJUSTE18!$A:$B,2,0),0))),""))),4)</f>
        <v>#VALUE!</v>
      </c>
      <c r="BYM6" s="44" t="e">
        <f>ROUNDUP(IF(IFERROR(IF($BXR6="","",IF($BXR6=0,1,1-$BXR6/HLOOKUP(BYM$3,[2]ARBOR_REAJUSTE18!$A:$AE,VLOOKUP($BXR$2,[2]ARBOR_REAJUSTE18!$A:$B,2,0),0))),"")&lt;0.01%,0.01%,(IFERROR(IF($BXR6="","",IF($BXR6=0,1,1-$BXR6/HLOOKUP(BYM$3,[2]ARBOR_REAJUSTE18!$A:$AE,VLOOKUP($BXR$2,[2]ARBOR_REAJUSTE18!$A:$B,2,0),0))),""))),4)</f>
        <v>#VALUE!</v>
      </c>
      <c r="BYN6" s="44" t="e">
        <f>ROUNDUP(IF(IFERROR(IF($BXR6="","",IF($BXR6=0,1,1-$BXR6/HLOOKUP(BYN$3,[2]ARBOR_REAJUSTE18!$A:$AE,VLOOKUP($BXR$2,[2]ARBOR_REAJUSTE18!$A:$B,2,0),0))),"")&lt;0.01%,0.01%,(IFERROR(IF($BXR6="","",IF($BXR6=0,1,1-$BXR6/HLOOKUP(BYN$3,[2]ARBOR_REAJUSTE18!$A:$AE,VLOOKUP($BXR$2,[2]ARBOR_REAJUSTE18!$A:$B,2,0),0))),""))),4)</f>
        <v>#VALUE!</v>
      </c>
      <c r="BYO6" s="44" t="e">
        <f>ROUNDUP(IF(IFERROR(IF($BXR6="","",IF($BXR6=0,1,1-$BXR6/HLOOKUP(BYO$3,[2]ARBOR_REAJUSTE18!$A:$AE,VLOOKUP($BXR$2,[2]ARBOR_REAJUSTE18!$A:$B,2,0),0))),"")&lt;0.01%,0.01%,(IFERROR(IF($BXR6="","",IF($BXR6=0,1,1-$BXR6/HLOOKUP(BYO$3,[2]ARBOR_REAJUSTE18!$A:$AE,VLOOKUP($BXR$2,[2]ARBOR_REAJUSTE18!$A:$B,2,0),0))),""))),4)</f>
        <v>#VALUE!</v>
      </c>
      <c r="BYP6" s="44" t="e">
        <f>ROUNDUP(IF(IFERROR(IF($BXR6="","",IF($BXR6=0,1,1-$BXR6/HLOOKUP(BYP$3,[2]ARBOR_REAJUSTE18!$A:$AE,VLOOKUP($BXR$2,[2]ARBOR_REAJUSTE18!$A:$B,2,0),0))),"")&lt;0.01%,0.01%,(IFERROR(IF($BXR6="","",IF($BXR6=0,1,1-$BXR6/HLOOKUP(BYP$3,[2]ARBOR_REAJUSTE18!$A:$AE,VLOOKUP($BXR$2,[2]ARBOR_REAJUSTE18!$A:$B,2,0),0))),""))),4)</f>
        <v>#VALUE!</v>
      </c>
      <c r="BYQ6" s="44" t="e">
        <f>ROUNDUP(IF(IFERROR(IF($BXR6="","",IF($BXR6=0,1,1-$BXR6/HLOOKUP(BYQ$3,[2]ARBOR_REAJUSTE18!$A:$AE,VLOOKUP($BXR$2,[2]ARBOR_REAJUSTE18!$A:$B,2,0),0))),"")&lt;0.01%,0.01%,(IFERROR(IF($BXR6="","",IF($BXR6=0,1,1-$BXR6/HLOOKUP(BYQ$3,[2]ARBOR_REAJUSTE18!$A:$AE,VLOOKUP($BXR$2,[2]ARBOR_REAJUSTE18!$A:$B,2,0),0))),""))),4)</f>
        <v>#VALUE!</v>
      </c>
      <c r="BYR6" s="44" t="e">
        <f>ROUNDUP(IF(IFERROR(IF($BXR6="","",IF($BXR6=0,1,1-$BXR6/HLOOKUP(BYR$3,[2]ARBOR_REAJUSTE18!$A:$AE,VLOOKUP($BXR$2,[2]ARBOR_REAJUSTE18!$A:$B,2,0),0))),"")&lt;0.01%,0.01%,(IFERROR(IF($BXR6="","",IF($BXR6=0,1,1-$BXR6/HLOOKUP(BYR$3,[2]ARBOR_REAJUSTE18!$A:$AE,VLOOKUP($BXR$2,[2]ARBOR_REAJUSTE18!$A:$B,2,0),0))),""))),4)</f>
        <v>#VALUE!</v>
      </c>
      <c r="BYS6" s="44" t="e">
        <f>ROUNDUP(IF(IFERROR(IF($BXR6="","",IF($BXR6=0,1,1-$BXR6/HLOOKUP(BYS$3,[2]ARBOR_REAJUSTE18!$A:$AE,VLOOKUP($BXR$2,[2]ARBOR_REAJUSTE18!$A:$B,2,0),0))),"")&lt;0.01%,0.01%,(IFERROR(IF($BXR6="","",IF($BXR6=0,1,1-$BXR6/HLOOKUP(BYS$3,[2]ARBOR_REAJUSTE18!$A:$AE,VLOOKUP($BXR$2,[2]ARBOR_REAJUSTE18!$A:$B,2,0),0))),""))),4)</f>
        <v>#VALUE!</v>
      </c>
      <c r="BYT6" s="44" t="e">
        <f>ROUNDUP(IF(IFERROR(IF($BXR6="","",IF($BXR6=0,1,1-$BXR6/HLOOKUP(BYT$3,[2]ARBOR_REAJUSTE18!$A:$AE,VLOOKUP($BXR$2,[2]ARBOR_REAJUSTE18!$A:$B,2,0),0))),"")&lt;0.01%,0.01%,(IFERROR(IF($BXR6="","",IF($BXR6=0,1,1-$BXR6/HLOOKUP(BYT$3,[2]ARBOR_REAJUSTE18!$A:$AE,VLOOKUP($BXR$2,[2]ARBOR_REAJUSTE18!$A:$B,2,0),0))),""))),4)</f>
        <v>#VALUE!</v>
      </c>
      <c r="BYU6" s="65" t="s">
        <v>297</v>
      </c>
      <c r="BYV6" s="66"/>
      <c r="BYW6" s="66"/>
      <c r="BYX6" s="66"/>
      <c r="BYY6" s="66"/>
      <c r="BYZ6" s="66"/>
      <c r="BZA6" s="66"/>
      <c r="BZB6" s="66"/>
      <c r="BZC6" s="66"/>
      <c r="BZD6" s="66"/>
      <c r="BZE6" s="66"/>
      <c r="BZF6" s="66"/>
      <c r="BZG6" s="66"/>
      <c r="BZH6" s="66"/>
      <c r="BZI6" s="66"/>
      <c r="BZJ6" s="66"/>
      <c r="BZK6" s="66"/>
      <c r="BZL6" s="66"/>
      <c r="BZM6" s="66"/>
      <c r="BZN6" s="66"/>
      <c r="BZO6" s="66"/>
      <c r="BZP6" s="66"/>
      <c r="BZQ6" s="66"/>
      <c r="BZR6" s="66"/>
      <c r="BZS6" s="66"/>
      <c r="BZT6" s="66"/>
      <c r="BZU6" s="66"/>
      <c r="BZV6" s="66"/>
      <c r="BZW6" s="65">
        <v>24.9</v>
      </c>
      <c r="BZX6" s="66"/>
      <c r="BZY6" s="66"/>
      <c r="BZZ6" s="66"/>
      <c r="CAA6" s="66"/>
      <c r="CAB6" s="66"/>
      <c r="CAC6" s="66"/>
      <c r="CAD6" s="66"/>
      <c r="CAE6" s="66"/>
      <c r="CAF6" s="66"/>
      <c r="CAG6" s="66"/>
      <c r="CAH6" s="66"/>
      <c r="CAI6" s="66"/>
      <c r="CAJ6" s="66"/>
      <c r="CAK6" s="66"/>
      <c r="CAL6" s="66"/>
      <c r="CAM6" s="66"/>
      <c r="CAN6" s="66"/>
      <c r="CAO6" s="66"/>
      <c r="CAP6" s="66"/>
      <c r="CAQ6" s="66"/>
      <c r="CAR6" s="66"/>
      <c r="CAS6" s="66"/>
      <c r="CAT6" s="66"/>
      <c r="CAU6" s="66"/>
      <c r="CAV6" s="66"/>
      <c r="CAW6" s="66"/>
      <c r="CAX6" s="66"/>
      <c r="CAY6" s="65">
        <v>24.9</v>
      </c>
      <c r="CAZ6" s="66"/>
      <c r="CBA6" s="66"/>
      <c r="CBB6" s="66"/>
      <c r="CBC6" s="66"/>
      <c r="CBD6" s="66"/>
      <c r="CBE6" s="66"/>
      <c r="CBF6" s="66"/>
      <c r="CBG6" s="66"/>
      <c r="CBH6" s="66"/>
      <c r="CBI6" s="66"/>
      <c r="CBJ6" s="66"/>
      <c r="CBK6" s="66"/>
      <c r="CBL6" s="66"/>
      <c r="CBM6" s="66"/>
      <c r="CBN6" s="66"/>
      <c r="CBO6" s="66"/>
      <c r="CBP6" s="66"/>
      <c r="CBQ6" s="66"/>
      <c r="CBR6" s="66"/>
      <c r="CBS6" s="66"/>
      <c r="CBT6" s="66"/>
      <c r="CBU6" s="66"/>
      <c r="CBV6" s="66"/>
      <c r="CBW6" s="66"/>
      <c r="CBX6" s="66"/>
      <c r="CBY6" s="66"/>
      <c r="CBZ6" s="66"/>
      <c r="CCA6" s="65">
        <v>24.9</v>
      </c>
      <c r="CCB6" s="44">
        <f ca="1">ROUNDUP(IF(IFERROR(IF($CCA6="","",IF($CCA6=0,1,1-$CCA6/HLOOKUP(CCB$3,[2]ARBOR_REAJUSTE18!$A:$AE,VLOOKUP($BYU$2,[2]ARBOR_REAJUSTE18!$A:$B,2,0),0))),"")&lt;0.01%,0.01%,(IFERROR(IF($CCA6="","",IF($CCA6=0,1,1-$CCA6/HLOOKUP(CCB$3,[2]ARBOR_REAJUSTE18!$A:$AE,VLOOKUP($BYU$2,[2]ARBOR_REAJUSTE18!$A:$B,2,0),0))),""))),4)</f>
        <v>0.16729999999999998</v>
      </c>
      <c r="CCC6" s="44">
        <f ca="1">ROUNDUP(IF(IFERROR(IF($CCA6="","",IF($CCA6=0,1,1-$CCA6/HLOOKUP(CCC$3,[2]ARBOR_REAJUSTE18!$A:$AE,VLOOKUP($BYU$2,[2]ARBOR_REAJUSTE18!$A:$B,2,0),0))),"")&lt;0.01%,0.01%,(IFERROR(IF($CCA6="","",IF($CCA6=0,1,1-$CCA6/HLOOKUP(CCC$3,[2]ARBOR_REAJUSTE18!$A:$AE,VLOOKUP($BYU$2,[2]ARBOR_REAJUSTE18!$A:$B,2,0),0))),""))),4)</f>
        <v>0.16729999999999998</v>
      </c>
      <c r="CCD6" s="44">
        <f ca="1">ROUNDUP(IF(IFERROR(IF($CCA6="","",IF($CCA6=0,1,1-$CCA6/HLOOKUP(CCD$3,[2]ARBOR_REAJUSTE18!$A:$AE,VLOOKUP($BYU$2,[2]ARBOR_REAJUSTE18!$A:$B,2,0),0))),"")&lt;0.01%,0.01%,(IFERROR(IF($CCA6="","",IF($CCA6=0,1,1-$CCA6/HLOOKUP(CCD$3,[2]ARBOR_REAJUSTE18!$A:$AE,VLOOKUP($BYU$2,[2]ARBOR_REAJUSTE18!$A:$B,2,0),0))),""))),4)</f>
        <v>0.16729999999999998</v>
      </c>
      <c r="CCE6" s="44">
        <f ca="1">ROUNDUP(IF(IFERROR(IF($CCA6="","",IF($CCA6=0,1,1-$CCA6/HLOOKUP(CCE$3,[2]ARBOR_REAJUSTE18!$A:$AE,VLOOKUP($BYU$2,[2]ARBOR_REAJUSTE18!$A:$B,2,0),0))),"")&lt;0.01%,0.01%,(IFERROR(IF($CCA6="","",IF($CCA6=0,1,1-$CCA6/HLOOKUP(CCE$3,[2]ARBOR_REAJUSTE18!$A:$AE,VLOOKUP($BYU$2,[2]ARBOR_REAJUSTE18!$A:$B,2,0),0))),""))),4)</f>
        <v>0.16729999999999998</v>
      </c>
      <c r="CCF6" s="44">
        <f ca="1">ROUNDUP(IF(IFERROR(IF($CCA6="","",IF($CCA6=0,1,1-$CCA6/HLOOKUP(CCF$3,[2]ARBOR_REAJUSTE18!$A:$AE,VLOOKUP($BYU$2,[2]ARBOR_REAJUSTE18!$A:$B,2,0),0))),"")&lt;0.01%,0.01%,(IFERROR(IF($CCA6="","",IF($CCA6=0,1,1-$CCA6/HLOOKUP(CCF$3,[2]ARBOR_REAJUSTE18!$A:$AE,VLOOKUP($BYU$2,[2]ARBOR_REAJUSTE18!$A:$B,2,0),0))),""))),4)</f>
        <v>0.16729999999999998</v>
      </c>
      <c r="CCG6" s="44">
        <f ca="1">ROUNDUP(IF(IFERROR(IF($CCA6="","",IF($CCA6=0,1,1-$CCA6/HLOOKUP(CCG$3,[2]ARBOR_REAJUSTE18!$A:$AE,VLOOKUP($BYU$2,[2]ARBOR_REAJUSTE18!$A:$B,2,0),0))),"")&lt;0.01%,0.01%,(IFERROR(IF($CCA6="","",IF($CCA6=0,1,1-$CCA6/HLOOKUP(CCG$3,[2]ARBOR_REAJUSTE18!$A:$AE,VLOOKUP($BYU$2,[2]ARBOR_REAJUSTE18!$A:$B,2,0),0))),""))),4)</f>
        <v>0.16729999999999998</v>
      </c>
      <c r="CCH6" s="44">
        <f ca="1">ROUNDUP(IF(IFERROR(IF($CCA6="","",IF($CCA6=0,1,1-$CCA6/HLOOKUP(CCH$3,[2]ARBOR_REAJUSTE18!$A:$AE,VLOOKUP($BYU$2,[2]ARBOR_REAJUSTE18!$A:$B,2,0),0))),"")&lt;0.01%,0.01%,(IFERROR(IF($CCA6="","",IF($CCA6=0,1,1-$CCA6/HLOOKUP(CCH$3,[2]ARBOR_REAJUSTE18!$A:$AE,VLOOKUP($BYU$2,[2]ARBOR_REAJUSTE18!$A:$B,2,0),0))),""))),4)</f>
        <v>0.18469999999999998</v>
      </c>
      <c r="CCI6" s="44">
        <f ca="1">ROUNDUP(IF(IFERROR(IF($CCA6="","",IF($CCA6=0,1,1-$CCA6/HLOOKUP(CCI$3,[2]ARBOR_REAJUSTE18!$A:$AE,VLOOKUP($BYU$2,[2]ARBOR_REAJUSTE18!$A:$B,2,0),0))),"")&lt;0.01%,0.01%,(IFERROR(IF($CCA6="","",IF($CCA6=0,1,1-$CCA6/HLOOKUP(CCI$3,[2]ARBOR_REAJUSTE18!$A:$AE,VLOOKUP($BYU$2,[2]ARBOR_REAJUSTE18!$A:$B,2,0),0))),""))),4)</f>
        <v>0.16729999999999998</v>
      </c>
      <c r="CCJ6" s="44">
        <f ca="1">ROUNDUP(IF(IFERROR(IF($CCA6="","",IF($CCA6=0,1,1-$CCA6/HLOOKUP(CCJ$3,[2]ARBOR_REAJUSTE18!$A:$AE,VLOOKUP($BYU$2,[2]ARBOR_REAJUSTE18!$A:$B,2,0),0))),"")&lt;0.01%,0.01%,(IFERROR(IF($CCA6="","",IF($CCA6=0,1,1-$CCA6/HLOOKUP(CCJ$3,[2]ARBOR_REAJUSTE18!$A:$AE,VLOOKUP($BYU$2,[2]ARBOR_REAJUSTE18!$A:$B,2,0),0))),""))),4)</f>
        <v>0.16729999999999998</v>
      </c>
      <c r="CCK6" s="44">
        <f ca="1">ROUNDUP(IF(IFERROR(IF($CCA6="","",IF($CCA6=0,1,1-$CCA6/HLOOKUP(CCK$3,[2]ARBOR_REAJUSTE18!$A:$AE,VLOOKUP($BYU$2,[2]ARBOR_REAJUSTE18!$A:$B,2,0),0))),"")&lt;0.01%,0.01%,(IFERROR(IF($CCA6="","",IF($CCA6=0,1,1-$CCA6/HLOOKUP(CCK$3,[2]ARBOR_REAJUSTE18!$A:$AE,VLOOKUP($BYU$2,[2]ARBOR_REAJUSTE18!$A:$B,2,0),0))),""))),4)</f>
        <v>0.16729999999999998</v>
      </c>
      <c r="CCL6" s="44">
        <f ca="1">ROUNDUP(IF(IFERROR(IF($CCA6="","",IF($CCA6=0,1,1-$CCA6/HLOOKUP(CCL$3,[2]ARBOR_REAJUSTE18!$A:$AE,VLOOKUP($BYU$2,[2]ARBOR_REAJUSTE18!$A:$B,2,0),0))),"")&lt;0.01%,0.01%,(IFERROR(IF($CCA6="","",IF($CCA6=0,1,1-$CCA6/HLOOKUP(CCL$3,[2]ARBOR_REAJUSTE18!$A:$AE,VLOOKUP($BYU$2,[2]ARBOR_REAJUSTE18!$A:$B,2,0),0))),""))),4)</f>
        <v>0.1968</v>
      </c>
      <c r="CCM6" s="44">
        <f ca="1">ROUNDUP(IF(IFERROR(IF($CCA6="","",IF($CCA6=0,1,1-$CCA6/HLOOKUP(CCM$3,[2]ARBOR_REAJUSTE18!$A:$AE,VLOOKUP($BYU$2,[2]ARBOR_REAJUSTE18!$A:$B,2,0),0))),"")&lt;0.01%,0.01%,(IFERROR(IF($CCA6="","",IF($CCA6=0,1,1-$CCA6/HLOOKUP(CCM$3,[2]ARBOR_REAJUSTE18!$A:$AE,VLOOKUP($BYU$2,[2]ARBOR_REAJUSTE18!$A:$B,2,0),0))),""))),4)</f>
        <v>0.16729999999999998</v>
      </c>
      <c r="CCN6" s="44">
        <f ca="1">ROUNDUP(IF(IFERROR(IF($CCA6="","",IF($CCA6=0,1,1-$CCA6/HLOOKUP(CCN$3,[2]ARBOR_REAJUSTE18!$A:$AE,VLOOKUP($BYU$2,[2]ARBOR_REAJUSTE18!$A:$B,2,0),0))),"")&lt;0.01%,0.01%,(IFERROR(IF($CCA6="","",IF($CCA6=0,1,1-$CCA6/HLOOKUP(CCN$3,[2]ARBOR_REAJUSTE18!$A:$AE,VLOOKUP($BYU$2,[2]ARBOR_REAJUSTE18!$A:$B,2,0),0))),""))),4)</f>
        <v>0.16729999999999998</v>
      </c>
      <c r="CCO6" s="44">
        <f ca="1">ROUNDUP(IF(IFERROR(IF($CCA6="","",IF($CCA6=0,1,1-$CCA6/HLOOKUP(CCO$3,[2]ARBOR_REAJUSTE18!$A:$AE,VLOOKUP($BYU$2,[2]ARBOR_REAJUSTE18!$A:$B,2,0),0))),"")&lt;0.01%,0.01%,(IFERROR(IF($CCA6="","",IF($CCA6=0,1,1-$CCA6/HLOOKUP(CCO$3,[2]ARBOR_REAJUSTE18!$A:$AE,VLOOKUP($BYU$2,[2]ARBOR_REAJUSTE18!$A:$B,2,0),0))),""))),4)</f>
        <v>0.16729999999999998</v>
      </c>
      <c r="CCP6" s="44">
        <f ca="1">ROUNDUP(IF(IFERROR(IF($CCA6="","",IF($CCA6=0,1,1-$CCA6/HLOOKUP(CCP$3,[2]ARBOR_REAJUSTE18!$A:$AE,VLOOKUP($BYU$2,[2]ARBOR_REAJUSTE18!$A:$B,2,0),0))),"")&lt;0.01%,0.01%,(IFERROR(IF($CCA6="","",IF($CCA6=0,1,1-$CCA6/HLOOKUP(CCP$3,[2]ARBOR_REAJUSTE18!$A:$AE,VLOOKUP($BYU$2,[2]ARBOR_REAJUSTE18!$A:$B,2,0),0))),""))),4)</f>
        <v>0.16729999999999998</v>
      </c>
      <c r="CCQ6" s="44">
        <f ca="1">ROUNDUP(IF(IFERROR(IF($CCA6="","",IF($CCA6=0,1,1-$CCA6/HLOOKUP(CCQ$3,[2]ARBOR_REAJUSTE18!$A:$AE,VLOOKUP($BYU$2,[2]ARBOR_REAJUSTE18!$A:$B,2,0),0))),"")&lt;0.01%,0.01%,(IFERROR(IF($CCA6="","",IF($CCA6=0,1,1-$CCA6/HLOOKUP(CCQ$3,[2]ARBOR_REAJUSTE18!$A:$AE,VLOOKUP($BYU$2,[2]ARBOR_REAJUSTE18!$A:$B,2,0),0))),""))),4)</f>
        <v>0.17799999999999999</v>
      </c>
      <c r="CCR6" s="44">
        <f ca="1">ROUNDUP(IF(IFERROR(IF($CCA6="","",IF($CCA6=0,1,1-$CCA6/HLOOKUP(CCR$3,[2]ARBOR_REAJUSTE18!$A:$AE,VLOOKUP($BYU$2,[2]ARBOR_REAJUSTE18!$A:$B,2,0),0))),"")&lt;0.01%,0.01%,(IFERROR(IF($CCA6="","",IF($CCA6=0,1,1-$CCA6/HLOOKUP(CCR$3,[2]ARBOR_REAJUSTE18!$A:$AE,VLOOKUP($BYU$2,[2]ARBOR_REAJUSTE18!$A:$B,2,0),0))),""))),4)</f>
        <v>0.16729999999999998</v>
      </c>
      <c r="CCS6" s="44">
        <f ca="1">ROUNDUP(IF(IFERROR(IF($CCA6="","",IF($CCA6=0,1,1-$CCA6/HLOOKUP(CCS$3,[2]ARBOR_REAJUSTE18!$A:$AE,VLOOKUP($BYU$2,[2]ARBOR_REAJUSTE18!$A:$B,2,0),0))),"")&lt;0.01%,0.01%,(IFERROR(IF($CCA6="","",IF($CCA6=0,1,1-$CCA6/HLOOKUP(CCS$3,[2]ARBOR_REAJUSTE18!$A:$AE,VLOOKUP($BYU$2,[2]ARBOR_REAJUSTE18!$A:$B,2,0),0))),""))),4)</f>
        <v>0.16729999999999998</v>
      </c>
      <c r="CCT6" s="44">
        <f ca="1">ROUNDUP(IF(IFERROR(IF($CCA6="","",IF($CCA6=0,1,1-$CCA6/HLOOKUP(CCT$3,[2]ARBOR_REAJUSTE18!$A:$AE,VLOOKUP($BYU$2,[2]ARBOR_REAJUSTE18!$A:$B,2,0),0))),"")&lt;0.01%,0.01%,(IFERROR(IF($CCA6="","",IF($CCA6=0,1,1-$CCA6/HLOOKUP(CCT$3,[2]ARBOR_REAJUSTE18!$A:$AE,VLOOKUP($BYU$2,[2]ARBOR_REAJUSTE18!$A:$B,2,0),0))),""))),4)</f>
        <v>0.16729999999999998</v>
      </c>
      <c r="CCU6" s="44">
        <f ca="1">ROUNDUP(IF(IFERROR(IF($CCA6="","",IF($CCA6=0,1,1-$CCA6/HLOOKUP(CCU$3,[2]ARBOR_REAJUSTE18!$A:$AE,VLOOKUP($BYU$2,[2]ARBOR_REAJUSTE18!$A:$B,2,0),0))),"")&lt;0.01%,0.01%,(IFERROR(IF($CCA6="","",IF($CCA6=0,1,1-$CCA6/HLOOKUP(CCU$3,[2]ARBOR_REAJUSTE18!$A:$AE,VLOOKUP($BYU$2,[2]ARBOR_REAJUSTE18!$A:$B,2,0),0))),""))),4)</f>
        <v>0.1968</v>
      </c>
      <c r="CCV6" s="44">
        <f ca="1">ROUNDUP(IF(IFERROR(IF($CCA6="","",IF($CCA6=0,1,1-$CCA6/HLOOKUP(CCV$3,[2]ARBOR_REAJUSTE18!$A:$AE,VLOOKUP($BYU$2,[2]ARBOR_REAJUSTE18!$A:$B,2,0),0))),"")&lt;0.01%,0.01%,(IFERROR(IF($CCA6="","",IF($CCA6=0,1,1-$CCA6/HLOOKUP(CCV$3,[2]ARBOR_REAJUSTE18!$A:$AE,VLOOKUP($BYU$2,[2]ARBOR_REAJUSTE18!$A:$B,2,0),0))),""))),4)</f>
        <v>0.16729999999999998</v>
      </c>
      <c r="CCW6" s="44">
        <f ca="1">ROUNDUP(IF(IFERROR(IF($CCA6="","",IF($CCA6=0,1,1-$CCA6/HLOOKUP(CCW$3,[2]ARBOR_REAJUSTE18!$A:$AE,VLOOKUP($BYU$2,[2]ARBOR_REAJUSTE18!$A:$B,2,0),0))),"")&lt;0.01%,0.01%,(IFERROR(IF($CCA6="","",IF($CCA6=0,1,1-$CCA6/HLOOKUP(CCW$3,[2]ARBOR_REAJUSTE18!$A:$AE,VLOOKUP($BYU$2,[2]ARBOR_REAJUSTE18!$A:$B,2,0),0))),""))),4)</f>
        <v>0.16729999999999998</v>
      </c>
      <c r="CCX6" s="44">
        <f ca="1">ROUNDUP(IF(IFERROR(IF($CCA6="","",IF($CCA6=0,1,1-$CCA6/HLOOKUP(CCX$3,[2]ARBOR_REAJUSTE18!$A:$AE,VLOOKUP($BYU$2,[2]ARBOR_REAJUSTE18!$A:$B,2,0),0))),"")&lt;0.01%,0.01%,(IFERROR(IF($CCA6="","",IF($CCA6=0,1,1-$CCA6/HLOOKUP(CCX$3,[2]ARBOR_REAJUSTE18!$A:$AE,VLOOKUP($BYU$2,[2]ARBOR_REAJUSTE18!$A:$B,2,0),0))),""))),4)</f>
        <v>0.16729999999999998</v>
      </c>
      <c r="CCY6" s="44">
        <f ca="1">ROUNDUP(IF(IFERROR(IF($CCA6="","",IF($CCA6=0,1,1-$CCA6/HLOOKUP(CCY$3,[2]ARBOR_REAJUSTE18!$A:$AE,VLOOKUP($BYU$2,[2]ARBOR_REAJUSTE18!$A:$B,2,0),0))),"")&lt;0.01%,0.01%,(IFERROR(IF($CCA6="","",IF($CCA6=0,1,1-$CCA6/HLOOKUP(CCY$3,[2]ARBOR_REAJUSTE18!$A:$AE,VLOOKUP($BYU$2,[2]ARBOR_REAJUSTE18!$A:$B,2,0),0))),""))),4)</f>
        <v>0.16729999999999998</v>
      </c>
      <c r="CCZ6" s="44">
        <f ca="1">ROUNDUP(IF(IFERROR(IF($CCA6="","",IF($CCA6=0,1,1-$CCA6/HLOOKUP(CCZ$3,[2]ARBOR_REAJUSTE18!$A:$AE,VLOOKUP($BYU$2,[2]ARBOR_REAJUSTE18!$A:$B,2,0),0))),"")&lt;0.01%,0.01%,(IFERROR(IF($CCA6="","",IF($CCA6=0,1,1-$CCA6/HLOOKUP(CCZ$3,[2]ARBOR_REAJUSTE18!$A:$AE,VLOOKUP($BYU$2,[2]ARBOR_REAJUSTE18!$A:$B,2,0),0))),""))),4)</f>
        <v>0.16729999999999998</v>
      </c>
      <c r="CDA6" s="44">
        <f ca="1">ROUNDUP(IF(IFERROR(IF($CCA6="","",IF($CCA6=0,1,1-$CCA6/HLOOKUP(CDA$3,[2]ARBOR_REAJUSTE18!$A:$AE,VLOOKUP($BYU$2,[2]ARBOR_REAJUSTE18!$A:$B,2,0),0))),"")&lt;0.01%,0.01%,(IFERROR(IF($CCA6="","",IF($CCA6=0,1,1-$CCA6/HLOOKUP(CDA$3,[2]ARBOR_REAJUSTE18!$A:$AE,VLOOKUP($BYU$2,[2]ARBOR_REAJUSTE18!$A:$B,2,0),0))),""))),4)</f>
        <v>0.18629999999999999</v>
      </c>
      <c r="CDB6" s="44">
        <f ca="1">ROUNDUP(IF(IFERROR(IF($CCA6="","",IF($CCA6=0,1,1-$CCA6/HLOOKUP(CDB$3,[2]ARBOR_REAJUSTE18!$A:$AE,VLOOKUP($BYU$2,[2]ARBOR_REAJUSTE18!$A:$B,2,0),0))),"")&lt;0.01%,0.01%,(IFERROR(IF($CCA6="","",IF($CCA6=0,1,1-$CCA6/HLOOKUP(CDB$3,[2]ARBOR_REAJUSTE18!$A:$AE,VLOOKUP($BYU$2,[2]ARBOR_REAJUSTE18!$A:$B,2,0),0))),""))),4)</f>
        <v>0.16729999999999998</v>
      </c>
      <c r="CDC6" s="64" t="str">
        <f ca="1">VLOOKUP($AV6&amp;CCB6&amp;"Template desconto % Ponto adicional nível conta",[2]BENEFICIOS!$A:$G,5,0)</f>
        <v>MKT-1-10624277011</v>
      </c>
      <c r="CDD6" s="65"/>
      <c r="CDE6" s="67"/>
      <c r="CDF6" s="44"/>
      <c r="CDG6" s="44"/>
      <c r="CDH6" s="44"/>
      <c r="CDI6" s="44"/>
      <c r="CDJ6" s="44"/>
      <c r="CDK6" s="44"/>
      <c r="CDL6" s="44"/>
      <c r="CDM6" s="44"/>
      <c r="CDN6" s="44"/>
      <c r="CDO6" s="44"/>
      <c r="CDP6" s="44"/>
      <c r="CDQ6" s="44"/>
      <c r="CDR6" s="44"/>
      <c r="CDS6" s="44"/>
      <c r="CDT6" s="44"/>
      <c r="CDU6" s="44"/>
      <c r="CDV6" s="44"/>
      <c r="CDW6" s="44"/>
      <c r="CDX6" s="44"/>
      <c r="CDY6" s="44"/>
      <c r="CDZ6" s="44"/>
      <c r="CEA6" s="44"/>
      <c r="CEB6" s="44"/>
      <c r="CEC6" s="44"/>
      <c r="CED6" s="44"/>
      <c r="CEE6" s="44"/>
      <c r="CEF6" s="44"/>
      <c r="CEG6" s="44"/>
      <c r="CEH6" s="68"/>
      <c r="CEI6" s="44"/>
      <c r="CEJ6" s="44"/>
      <c r="CEK6" s="44"/>
      <c r="CEL6" s="44"/>
      <c r="CEM6" s="44"/>
      <c r="CEN6" s="44"/>
      <c r="CEO6" s="44"/>
      <c r="CEP6" s="44"/>
      <c r="CEQ6" s="44"/>
      <c r="CER6" s="44"/>
      <c r="CES6" s="44"/>
      <c r="CET6" s="44"/>
      <c r="CEU6" s="44"/>
      <c r="CEV6" s="44"/>
      <c r="CEW6" s="44"/>
      <c r="CEX6" s="44"/>
      <c r="CEY6" s="44"/>
      <c r="CEZ6" s="44"/>
      <c r="CFA6" s="44"/>
      <c r="CFB6" s="44"/>
      <c r="CFC6" s="44"/>
      <c r="CFD6" s="44"/>
      <c r="CFE6" s="44"/>
      <c r="CFF6" s="44"/>
      <c r="CFG6" s="44"/>
      <c r="CFH6" s="44"/>
      <c r="CFI6" s="44"/>
      <c r="CFJ6" s="44"/>
      <c r="CFK6" s="67"/>
      <c r="CFL6" s="44"/>
      <c r="CFM6" s="44"/>
      <c r="CFN6" s="44"/>
      <c r="CFO6" s="44"/>
      <c r="CFP6" s="44"/>
      <c r="CFQ6" s="44"/>
      <c r="CFR6" s="44"/>
      <c r="CFS6" s="44"/>
      <c r="CFT6" s="44"/>
      <c r="CFU6" s="44"/>
      <c r="CFV6" s="44"/>
      <c r="CFW6" s="44"/>
      <c r="CFX6" s="44"/>
      <c r="CFY6" s="44"/>
      <c r="CFZ6" s="44"/>
      <c r="CGA6" s="44"/>
      <c r="CGB6" s="44"/>
      <c r="CGC6" s="44"/>
      <c r="CGD6" s="44"/>
      <c r="CGE6" s="44"/>
      <c r="CGF6" s="44"/>
      <c r="CGG6" s="44"/>
      <c r="CGH6" s="44"/>
      <c r="CGI6" s="44"/>
      <c r="CGJ6" s="44"/>
      <c r="CGK6" s="44"/>
      <c r="CGL6" s="44"/>
      <c r="CGM6" s="44"/>
      <c r="CGN6" s="67"/>
      <c r="CGO6" s="67"/>
      <c r="CGP6" s="44"/>
      <c r="CGQ6" s="44"/>
      <c r="CGR6" s="44"/>
      <c r="CGS6" s="44"/>
      <c r="CGT6" s="44"/>
      <c r="CGU6" s="44"/>
      <c r="CGV6" s="44"/>
      <c r="CGW6" s="44"/>
      <c r="CGX6" s="44"/>
      <c r="CGY6" s="44"/>
      <c r="CGZ6" s="44"/>
      <c r="CHA6" s="44"/>
      <c r="CHB6" s="44"/>
      <c r="CHC6" s="44"/>
      <c r="CHD6" s="44"/>
      <c r="CHE6" s="44"/>
      <c r="CHF6" s="44"/>
      <c r="CHG6" s="44"/>
      <c r="CHH6" s="44"/>
      <c r="CHI6" s="44"/>
      <c r="CHJ6" s="44"/>
      <c r="CHK6" s="44"/>
      <c r="CHL6" s="44"/>
      <c r="CHM6" s="44"/>
      <c r="CHN6" s="44"/>
      <c r="CHO6" s="44"/>
      <c r="CHP6" s="44"/>
      <c r="CHQ6" s="44"/>
      <c r="CHR6" s="67"/>
      <c r="CHS6" s="69"/>
      <c r="CHT6" s="70"/>
      <c r="CHU6" s="70"/>
      <c r="CHV6" s="70"/>
      <c r="CHW6" s="70"/>
      <c r="CHX6" s="65"/>
      <c r="CHY6" s="67"/>
      <c r="CHZ6" s="71"/>
      <c r="CIA6" s="71"/>
      <c r="CIB6" s="71"/>
      <c r="CIC6" s="71"/>
      <c r="CID6" s="71"/>
      <c r="CIE6" s="71"/>
      <c r="CIF6" s="71"/>
      <c r="CIG6" s="71"/>
      <c r="CIH6" s="71"/>
      <c r="CII6" s="71"/>
      <c r="CIJ6" s="71"/>
      <c r="CIK6" s="71"/>
      <c r="CIL6" s="71"/>
      <c r="CIM6" s="71"/>
      <c r="CIN6" s="71"/>
      <c r="CIO6" s="71"/>
      <c r="CIP6" s="71"/>
      <c r="CIQ6" s="71"/>
      <c r="CIR6" s="71"/>
      <c r="CIS6" s="71"/>
      <c r="CIT6" s="71"/>
      <c r="CIU6" s="71"/>
      <c r="CIV6" s="71"/>
      <c r="CIW6" s="71"/>
      <c r="CIX6" s="71"/>
      <c r="CIY6" s="71"/>
      <c r="CIZ6" s="71"/>
      <c r="CJA6" s="72"/>
      <c r="CJB6" s="68"/>
      <c r="CJC6" s="44"/>
      <c r="CJD6" s="44"/>
      <c r="CJE6" s="44"/>
      <c r="CJF6" s="44"/>
      <c r="CJG6" s="44"/>
      <c r="CJH6" s="44"/>
      <c r="CJI6" s="44"/>
      <c r="CJJ6" s="44"/>
      <c r="CJK6" s="44"/>
      <c r="CJL6" s="44"/>
      <c r="CJM6" s="44"/>
      <c r="CJN6" s="44"/>
      <c r="CJO6" s="44"/>
      <c r="CJP6" s="44"/>
      <c r="CJQ6" s="44"/>
      <c r="CJR6" s="44"/>
      <c r="CJS6" s="44"/>
      <c r="CJT6" s="44"/>
      <c r="CJU6" s="44"/>
      <c r="CJV6" s="44"/>
      <c r="CJW6" s="44"/>
      <c r="CJX6" s="44"/>
      <c r="CJY6" s="44"/>
      <c r="CJZ6" s="44"/>
      <c r="CKA6" s="44"/>
      <c r="CKB6" s="44"/>
      <c r="CKC6" s="44"/>
      <c r="CKD6" s="73"/>
      <c r="CKE6" s="67"/>
      <c r="CKF6" s="44"/>
      <c r="CKG6" s="44"/>
      <c r="CKH6" s="44"/>
      <c r="CKI6" s="44"/>
      <c r="CKJ6" s="44"/>
      <c r="CKK6" s="44"/>
      <c r="CKL6" s="44"/>
      <c r="CKM6" s="44"/>
      <c r="CKN6" s="44"/>
      <c r="CKO6" s="44"/>
      <c r="CKP6" s="44"/>
      <c r="CKQ6" s="44"/>
      <c r="CKR6" s="44"/>
      <c r="CKS6" s="44"/>
      <c r="CKT6" s="44"/>
      <c r="CKU6" s="44"/>
      <c r="CKV6" s="44"/>
      <c r="CKW6" s="44"/>
      <c r="CKX6" s="44"/>
      <c r="CKY6" s="44"/>
      <c r="CKZ6" s="44"/>
      <c r="CLA6" s="44"/>
      <c r="CLB6" s="44"/>
      <c r="CLC6" s="44"/>
      <c r="CLD6" s="44"/>
      <c r="CLE6" s="44"/>
      <c r="CLF6" s="44"/>
      <c r="CLG6" s="73"/>
      <c r="CLH6" s="67"/>
      <c r="CLI6" s="67"/>
      <c r="CLJ6" s="44" t="s">
        <v>316</v>
      </c>
      <c r="CLK6" s="44" t="s">
        <v>317</v>
      </c>
      <c r="CLL6" s="44"/>
      <c r="CLM6" s="44"/>
      <c r="CLN6" s="44"/>
      <c r="CLO6" s="44"/>
      <c r="CLP6" s="44"/>
      <c r="CLQ6" s="44"/>
      <c r="CLR6" s="44"/>
      <c r="CLS6" s="44"/>
      <c r="CLT6" s="44"/>
      <c r="CLU6" s="44"/>
      <c r="CLV6" s="44"/>
      <c r="CLW6" s="44"/>
      <c r="CLX6" s="44"/>
      <c r="CLY6" s="44"/>
      <c r="CLZ6" s="44"/>
      <c r="CMA6" s="44"/>
      <c r="CMB6" s="44"/>
      <c r="CMC6" s="44"/>
      <c r="CMD6" s="44"/>
      <c r="CME6" s="44"/>
      <c r="CMF6" s="44"/>
      <c r="CMG6" s="44"/>
      <c r="CMH6" s="44"/>
      <c r="CMI6" s="44"/>
      <c r="CMJ6" s="44"/>
      <c r="CMK6" s="73"/>
      <c r="CML6" s="67"/>
      <c r="CMM6" s="74"/>
      <c r="CMN6" s="75"/>
      <c r="CMO6" s="76"/>
      <c r="CMP6" s="65"/>
      <c r="CMQ6" s="65"/>
      <c r="CMR6" s="65"/>
      <c r="CMS6" s="77"/>
      <c r="CMT6" s="77"/>
      <c r="CMU6" s="44"/>
      <c r="CMV6" s="44"/>
      <c r="CMW6" s="44"/>
      <c r="CMX6" s="44"/>
      <c r="CMY6" s="44"/>
      <c r="CMZ6" s="44"/>
      <c r="CNA6" s="44"/>
      <c r="CNB6" s="44"/>
      <c r="CNC6" s="44"/>
      <c r="CND6" s="44"/>
      <c r="CNE6" s="44"/>
      <c r="CNF6" s="44"/>
      <c r="CNG6" s="44"/>
      <c r="CNH6" s="44"/>
      <c r="CNI6" s="44"/>
      <c r="CNJ6" s="44"/>
      <c r="CNK6" s="44"/>
      <c r="CNL6" s="44"/>
      <c r="CNM6" s="44"/>
      <c r="CNN6" s="44"/>
      <c r="CNO6" s="44"/>
      <c r="CNP6" s="44"/>
      <c r="CNQ6" s="44"/>
      <c r="CNR6" s="44"/>
      <c r="CNS6" s="44"/>
      <c r="CNT6" s="44"/>
      <c r="CNU6" s="44"/>
      <c r="CNV6" s="44"/>
      <c r="CNW6" s="67"/>
      <c r="CNX6" s="44"/>
      <c r="CNY6" s="44"/>
      <c r="CNZ6" s="44"/>
      <c r="COA6" s="44"/>
      <c r="COB6" s="44"/>
      <c r="COC6" s="44"/>
      <c r="COD6" s="44"/>
      <c r="COE6" s="44"/>
      <c r="COF6" s="44"/>
      <c r="COG6" s="44"/>
      <c r="COH6" s="44"/>
      <c r="COI6" s="44"/>
      <c r="COJ6" s="44"/>
      <c r="COK6" s="44"/>
      <c r="COL6" s="44"/>
      <c r="COM6" s="44"/>
      <c r="CON6" s="44"/>
      <c r="COO6" s="44"/>
      <c r="COP6" s="44"/>
      <c r="COQ6" s="44"/>
      <c r="COR6" s="44"/>
      <c r="COS6" s="44"/>
      <c r="COT6" s="44"/>
      <c r="COU6" s="44"/>
      <c r="COV6" s="44"/>
      <c r="COW6" s="44"/>
      <c r="COX6" s="44"/>
      <c r="COY6" s="44"/>
      <c r="COZ6" s="67"/>
      <c r="CPA6" s="44"/>
      <c r="CPB6" s="44"/>
      <c r="CPC6" s="44"/>
      <c r="CPD6" s="44"/>
      <c r="CPE6" s="44"/>
      <c r="CPF6" s="44"/>
      <c r="CPG6" s="44"/>
      <c r="CPH6" s="44"/>
      <c r="CPI6" s="44"/>
      <c r="CPJ6" s="44"/>
      <c r="CPK6" s="44"/>
      <c r="CPL6" s="44"/>
      <c r="CPM6" s="44"/>
      <c r="CPN6" s="44"/>
      <c r="CPO6" s="44"/>
      <c r="CPP6" s="44"/>
      <c r="CPQ6" s="44"/>
      <c r="CPR6" s="44"/>
      <c r="CPS6" s="44"/>
      <c r="CPT6" s="44"/>
      <c r="CPU6" s="44"/>
      <c r="CPV6" s="44"/>
      <c r="CPW6" s="44"/>
      <c r="CPX6" s="44"/>
      <c r="CPY6" s="44"/>
      <c r="CPZ6" s="44"/>
      <c r="CQA6" s="44"/>
      <c r="CQB6" s="44"/>
      <c r="CQC6" s="67"/>
      <c r="CQD6" s="44"/>
      <c r="CQE6" s="44"/>
      <c r="CQF6" s="44"/>
      <c r="CQG6" s="44"/>
      <c r="CQH6" s="44"/>
      <c r="CQI6" s="44"/>
      <c r="CQJ6" s="44"/>
      <c r="CQK6" s="44"/>
      <c r="CQL6" s="44"/>
      <c r="CQM6" s="44"/>
      <c r="CQN6" s="44"/>
      <c r="CQO6" s="44"/>
      <c r="CQP6" s="44"/>
      <c r="CQQ6" s="44"/>
      <c r="CQR6" s="44"/>
      <c r="CQS6" s="44"/>
      <c r="CQT6" s="44"/>
      <c r="CQU6" s="44"/>
      <c r="CQV6" s="44"/>
      <c r="CQW6" s="44"/>
      <c r="CQX6" s="44"/>
      <c r="CQY6" s="44"/>
      <c r="CQZ6" s="44"/>
      <c r="CRA6" s="44"/>
      <c r="CRB6" s="44"/>
      <c r="CRC6" s="44"/>
      <c r="CRD6" s="44"/>
      <c r="CRE6" s="44"/>
      <c r="CRF6" s="67"/>
      <c r="CRG6" s="67"/>
      <c r="CRH6" s="67"/>
      <c r="CRI6" s="67"/>
      <c r="CRJ6" s="75" t="s">
        <v>281</v>
      </c>
      <c r="CRK6" s="74">
        <v>399</v>
      </c>
      <c r="CRL6" s="75">
        <v>12</v>
      </c>
      <c r="CRM6" s="75" t="s">
        <v>298</v>
      </c>
      <c r="CRN6" s="48" t="str">
        <f t="shared" si="6"/>
        <v>Oi benefício fidelização Multiprodutos</v>
      </c>
      <c r="CRO6" s="78" t="str">
        <f t="shared" si="7"/>
        <v>PCS-Fk83324</v>
      </c>
      <c r="CRP6" s="78" t="str">
        <f t="shared" si="8"/>
        <v>PCS-SBL553142</v>
      </c>
      <c r="CRQ6" s="75" t="s">
        <v>299</v>
      </c>
      <c r="CRR6" s="79"/>
      <c r="CRS6" s="80">
        <f t="shared" si="9"/>
        <v>99.800000000000011</v>
      </c>
      <c r="CRT6" s="81">
        <f t="shared" si="10"/>
        <v>35</v>
      </c>
      <c r="CRU6" s="81">
        <f t="shared" si="11"/>
        <v>35</v>
      </c>
      <c r="CRV6" s="81">
        <f t="shared" si="12"/>
        <v>35</v>
      </c>
      <c r="CRW6" s="81">
        <f t="shared" si="13"/>
        <v>35</v>
      </c>
      <c r="CRX6" s="81">
        <f t="shared" si="14"/>
        <v>35</v>
      </c>
      <c r="CRY6" s="81">
        <f t="shared" si="15"/>
        <v>35</v>
      </c>
      <c r="CRZ6" s="81">
        <f t="shared" si="16"/>
        <v>35</v>
      </c>
      <c r="CSA6" s="81">
        <f t="shared" si="17"/>
        <v>35</v>
      </c>
      <c r="CSB6" s="81">
        <f t="shared" si="18"/>
        <v>35</v>
      </c>
      <c r="CSC6" s="81">
        <f t="shared" si="19"/>
        <v>35</v>
      </c>
      <c r="CSD6" s="81">
        <f t="shared" si="20"/>
        <v>35</v>
      </c>
      <c r="CSE6" s="81">
        <f t="shared" si="21"/>
        <v>35</v>
      </c>
      <c r="CSF6" s="81">
        <f t="shared" si="22"/>
        <v>35</v>
      </c>
      <c r="CSG6" s="81">
        <f t="shared" si="23"/>
        <v>35</v>
      </c>
      <c r="CSH6" s="81">
        <f t="shared" si="24"/>
        <v>35</v>
      </c>
      <c r="CSI6" s="81">
        <f t="shared" si="25"/>
        <v>35</v>
      </c>
      <c r="CSJ6" s="81">
        <f t="shared" si="26"/>
        <v>35</v>
      </c>
      <c r="CSK6" s="81">
        <f t="shared" si="27"/>
        <v>35</v>
      </c>
      <c r="CSL6" s="81">
        <f t="shared" si="28"/>
        <v>35</v>
      </c>
      <c r="CSM6" s="81">
        <f t="shared" si="29"/>
        <v>35</v>
      </c>
      <c r="CSN6" s="81">
        <f t="shared" si="30"/>
        <v>35</v>
      </c>
      <c r="CSO6" s="81">
        <f t="shared" si="31"/>
        <v>35</v>
      </c>
      <c r="CSP6" s="81">
        <f t="shared" si="32"/>
        <v>35</v>
      </c>
      <c r="CSQ6" s="81">
        <f t="shared" si="33"/>
        <v>35</v>
      </c>
      <c r="CSR6" s="82"/>
      <c r="CSS6" s="14" t="s">
        <v>300</v>
      </c>
    </row>
  </sheetData>
  <mergeCells count="142">
    <mergeCell ref="R1:AE2"/>
    <mergeCell ref="AF1:AH2"/>
    <mergeCell ref="AI1:AJ2"/>
    <mergeCell ref="AK1:AQ2"/>
    <mergeCell ref="AR1:AT2"/>
    <mergeCell ref="AU1:AW2"/>
    <mergeCell ref="A1:A2"/>
    <mergeCell ref="B1:B2"/>
    <mergeCell ref="C1:C2"/>
    <mergeCell ref="D1:D2"/>
    <mergeCell ref="E1:E2"/>
    <mergeCell ref="F1:Q2"/>
    <mergeCell ref="FI1:GL1"/>
    <mergeCell ref="GM1:HP1"/>
    <mergeCell ref="HQ1:IT1"/>
    <mergeCell ref="IU1:JX1"/>
    <mergeCell ref="JY1:LB1"/>
    <mergeCell ref="LC1:MF1"/>
    <mergeCell ref="AX1:BA2"/>
    <mergeCell ref="BB1:DL1"/>
    <mergeCell ref="DM1:DO1"/>
    <mergeCell ref="DP1:DZ1"/>
    <mergeCell ref="EA1:ED1"/>
    <mergeCell ref="EE1:FH1"/>
    <mergeCell ref="BB2:DL2"/>
    <mergeCell ref="DM2:DO2"/>
    <mergeCell ref="DP2:DZ2"/>
    <mergeCell ref="EE2:FH2"/>
    <mergeCell ref="FI2:GL2"/>
    <mergeCell ref="GM2:HP2"/>
    <mergeCell ref="HQ2:IT2"/>
    <mergeCell ref="AAI1:ACQ1"/>
    <mergeCell ref="ACR1:ADT1"/>
    <mergeCell ref="ADU1:AGA1"/>
    <mergeCell ref="AGB1:AGD1"/>
    <mergeCell ref="AGE1:AHG1"/>
    <mergeCell ref="AHH1:AIJ1"/>
    <mergeCell ref="MG1:OO1"/>
    <mergeCell ref="OP1:QX1"/>
    <mergeCell ref="QY1:TG1"/>
    <mergeCell ref="TH1:VP1"/>
    <mergeCell ref="VQ1:XY1"/>
    <mergeCell ref="XZ1:AAH1"/>
    <mergeCell ref="ASL1:ATN1"/>
    <mergeCell ref="ATO1:AUQ1"/>
    <mergeCell ref="AUR1:AVT1"/>
    <mergeCell ref="AIK1:AJM1"/>
    <mergeCell ref="AJN1:AKP1"/>
    <mergeCell ref="AKQ1:ALS1"/>
    <mergeCell ref="ALT1:AMV1"/>
    <mergeCell ref="AMW1:ANY1"/>
    <mergeCell ref="ANZ1:APB1"/>
    <mergeCell ref="BCM1:BDO1"/>
    <mergeCell ref="BDP1:BER1"/>
    <mergeCell ref="BES1:BFU1"/>
    <mergeCell ref="IU2:JX2"/>
    <mergeCell ref="JY2:LB2"/>
    <mergeCell ref="LC2:MF2"/>
    <mergeCell ref="MG2:OO2"/>
    <mergeCell ref="OP2:QX2"/>
    <mergeCell ref="QY2:TG2"/>
    <mergeCell ref="AVU1:AWW1"/>
    <mergeCell ref="AWX1:AXZ1"/>
    <mergeCell ref="AYA1:AZC1"/>
    <mergeCell ref="AZD1:BAF1"/>
    <mergeCell ref="BAG1:BBI1"/>
    <mergeCell ref="BBJ1:BCL1"/>
    <mergeCell ref="APC1:AQE1"/>
    <mergeCell ref="AQF1:ARH1"/>
    <mergeCell ref="ARI1:ASK1"/>
    <mergeCell ref="AGE2:AHG2"/>
    <mergeCell ref="AHH2:AIJ2"/>
    <mergeCell ref="AIK2:AJM2"/>
    <mergeCell ref="AJN2:AKP2"/>
    <mergeCell ref="AKQ2:ALS2"/>
    <mergeCell ref="ALT2:AMV2"/>
    <mergeCell ref="CMP1:CRI1"/>
    <mergeCell ref="CRJ1:CRP1"/>
    <mergeCell ref="CRS1:CSQ1"/>
    <mergeCell ref="BYU1:CDC1"/>
    <mergeCell ref="CDD1:CHR1"/>
    <mergeCell ref="CMM1:CMO1"/>
    <mergeCell ref="BFV1:BGX1"/>
    <mergeCell ref="BGY1:BIA1"/>
    <mergeCell ref="BIB1:BJD1"/>
    <mergeCell ref="BWO1:BXQ1"/>
    <mergeCell ref="BXR1:BYT1"/>
    <mergeCell ref="BPW1:BQY1"/>
    <mergeCell ref="BQZ1:BSB1"/>
    <mergeCell ref="BSC1:BTE1"/>
    <mergeCell ref="BTF1:BUH1"/>
    <mergeCell ref="BUI1:BVK1"/>
    <mergeCell ref="BVL1:BWN1"/>
    <mergeCell ref="BJE1:BKG1"/>
    <mergeCell ref="BKH1:BLJ1"/>
    <mergeCell ref="BLK1:BMM1"/>
    <mergeCell ref="BMN1:BNP1"/>
    <mergeCell ref="BNQ1:BOS1"/>
    <mergeCell ref="BOT1:BPV1"/>
    <mergeCell ref="TH2:VP2"/>
    <mergeCell ref="VQ2:XY2"/>
    <mergeCell ref="XZ2:AAH2"/>
    <mergeCell ref="AAI2:ACQ2"/>
    <mergeCell ref="ACR2:ADT2"/>
    <mergeCell ref="ADU2:AGA2"/>
    <mergeCell ref="ATO2:AUQ2"/>
    <mergeCell ref="AUR2:AVT2"/>
    <mergeCell ref="AVU2:AWW2"/>
    <mergeCell ref="AWX2:AXZ2"/>
    <mergeCell ref="AYA2:AZC2"/>
    <mergeCell ref="AZD2:BAF2"/>
    <mergeCell ref="AMW2:ANY2"/>
    <mergeCell ref="ANZ2:APB2"/>
    <mergeCell ref="APC2:AQE2"/>
    <mergeCell ref="AQF2:ARH2"/>
    <mergeCell ref="ARI2:ASK2"/>
    <mergeCell ref="ASL2:ATN2"/>
    <mergeCell ref="BGY2:BIA2"/>
    <mergeCell ref="BIB2:BJD2"/>
    <mergeCell ref="BJE2:BKG2"/>
    <mergeCell ref="BKH2:BLJ2"/>
    <mergeCell ref="BLK2:BMM2"/>
    <mergeCell ref="BMN2:BNP2"/>
    <mergeCell ref="BAG2:BBI2"/>
    <mergeCell ref="BBJ2:BCL2"/>
    <mergeCell ref="BCM2:BDO2"/>
    <mergeCell ref="BDP2:BER2"/>
    <mergeCell ref="BES2:BFU2"/>
    <mergeCell ref="BFV2:BGX2"/>
    <mergeCell ref="CRJ2:CRP2"/>
    <mergeCell ref="BUI2:BVK2"/>
    <mergeCell ref="BVL2:BWN2"/>
    <mergeCell ref="BWO2:BXQ2"/>
    <mergeCell ref="BXR2:BYT2"/>
    <mergeCell ref="BYU2:CDC2"/>
    <mergeCell ref="CDD2:CHR2"/>
    <mergeCell ref="BNQ2:BOS2"/>
    <mergeCell ref="BOT2:BPV2"/>
    <mergeCell ref="BPW2:BQY2"/>
    <mergeCell ref="BQZ2:BSB2"/>
    <mergeCell ref="BSC2:BTE2"/>
    <mergeCell ref="BTF2:BUH2"/>
  </mergeCells>
  <conditionalFormatting sqref="CG3">
    <cfRule type="expression" dxfId="714" priority="711">
      <formula>$CI3&lt;43.33</formula>
    </cfRule>
  </conditionalFormatting>
  <conditionalFormatting sqref="EE3">
    <cfRule type="cellIs" dxfId="713" priority="700" operator="equal">
      <formula>"Tratamento"</formula>
    </cfRule>
  </conditionalFormatting>
  <conditionalFormatting sqref="CI3">
    <cfRule type="expression" dxfId="712" priority="701">
      <formula>$CI3&lt;43.33</formula>
    </cfRule>
  </conditionalFormatting>
  <conditionalFormatting sqref="GM3">
    <cfRule type="cellIs" dxfId="711" priority="698" operator="equal">
      <formula>"Tratamento"</formula>
    </cfRule>
  </conditionalFormatting>
  <conditionalFormatting sqref="FI3">
    <cfRule type="cellIs" dxfId="710" priority="699" operator="equal">
      <formula>"Tratamento"</formula>
    </cfRule>
  </conditionalFormatting>
  <conditionalFormatting sqref="HQ3">
    <cfRule type="cellIs" dxfId="709" priority="697" operator="equal">
      <formula>"Tratamento"</formula>
    </cfRule>
  </conditionalFormatting>
  <conditionalFormatting sqref="IU3">
    <cfRule type="cellIs" dxfId="708" priority="696" operator="equal">
      <formula>"Tratamento"</formula>
    </cfRule>
  </conditionalFormatting>
  <conditionalFormatting sqref="QY3">
    <cfRule type="cellIs" dxfId="707" priority="695" operator="equal">
      <formula>"Tratamento"</formula>
    </cfRule>
  </conditionalFormatting>
  <conditionalFormatting sqref="TH3">
    <cfRule type="cellIs" dxfId="706" priority="694" operator="equal">
      <formula>"Tratamento"</formula>
    </cfRule>
  </conditionalFormatting>
  <conditionalFormatting sqref="CDD3">
    <cfRule type="expression" dxfId="705" priority="685">
      <formula>"SE(ESQUERDA(AR4;23)&lt;&gt;""Oi Total Fixo + Oi Mais"</formula>
    </cfRule>
    <cfRule type="expression" dxfId="704" priority="692">
      <formula>CHR3/(CGO3+CHR3)&gt;50%</formula>
    </cfRule>
    <cfRule type="expression" dxfId="703" priority="693">
      <formula>CEH3/(CDD3-CDE3)&gt;30%</formula>
    </cfRule>
  </conditionalFormatting>
  <conditionalFormatting sqref="CHX3">
    <cfRule type="expression" dxfId="702" priority="690">
      <formula>CML3/(CLI3+CML3)&gt;50%</formula>
    </cfRule>
    <cfRule type="expression" dxfId="701" priority="691">
      <formula>CJB3/CHX3&gt;30%</formula>
    </cfRule>
  </conditionalFormatting>
  <conditionalFormatting sqref="JY3">
    <cfRule type="cellIs" dxfId="700" priority="689" operator="equal">
      <formula>"Tratamento"</formula>
    </cfRule>
  </conditionalFormatting>
  <conditionalFormatting sqref="LC3">
    <cfRule type="cellIs" dxfId="699" priority="688" operator="equal">
      <formula>"Tratamento"</formula>
    </cfRule>
  </conditionalFormatting>
  <conditionalFormatting sqref="MG3">
    <cfRule type="cellIs" dxfId="698" priority="687" operator="equal">
      <formula>"Tratamento"</formula>
    </cfRule>
  </conditionalFormatting>
  <conditionalFormatting sqref="OP3">
    <cfRule type="cellIs" dxfId="697" priority="686" operator="equal">
      <formula>"Tratamento"</formula>
    </cfRule>
  </conditionalFormatting>
  <conditionalFormatting sqref="CDD3">
    <cfRule type="expression" dxfId="696" priority="684">
      <formula>LEFT(AV3,23)&lt;&gt;"Oi Total Fixo + Oi Mais"</formula>
    </cfRule>
  </conditionalFormatting>
  <conditionalFormatting sqref="CHX3">
    <cfRule type="expression" dxfId="695" priority="683">
      <formula>LEFT(AV3,23)&lt;&gt;"Oi Total Fixo + Oi Mais"</formula>
    </cfRule>
  </conditionalFormatting>
  <conditionalFormatting sqref="CMQ3">
    <cfRule type="expression" dxfId="694" priority="682">
      <formula>LEFT(AV3,19)&lt;&gt;"Oi Total Fixo + Pós"</formula>
    </cfRule>
  </conditionalFormatting>
  <conditionalFormatting sqref="CMP3">
    <cfRule type="expression" dxfId="693" priority="681">
      <formula>LEFT(AV3,19)&lt;&gt;"Oi Total Fixo + Pós"</formula>
    </cfRule>
  </conditionalFormatting>
  <conditionalFormatting sqref="CMP3">
    <cfRule type="expression" dxfId="692" priority="680">
      <formula>AV3&lt;&gt;"Oi Total Fixo + Pós Conectado Mais + Banda Larga"</formula>
    </cfRule>
  </conditionalFormatting>
  <conditionalFormatting sqref="BF3:CD3 CF3 CN3:DJ3 DL3">
    <cfRule type="cellIs" dxfId="691" priority="679" operator="equal">
      <formula>0.01%</formula>
    </cfRule>
  </conditionalFormatting>
  <conditionalFormatting sqref="CL3:CM3">
    <cfRule type="cellIs" dxfId="690" priority="678" operator="equal">
      <formula>0.01%</formula>
    </cfRule>
  </conditionalFormatting>
  <conditionalFormatting sqref="EI3:FF3 FH3 NQ3:OM3 OO3 PZ3:QV3 QX3 SI3:TE3 TG3 UR3:VN3 VP3 ACV3:ADQ3 ADS3:ADT3 ADY3:AET3 AEV3:AEW3 FL3:GL3 GP3:HP3 HT3:IT3 IX3:JX3 KB3:LB3 LF3:MF3 MJ3:NJ3 OS3:PS3 RB3:SB3 TK3:UK3 VT3:WT3 WY3:XY3 YC3:ZC3 ZH3:AAH3 AAL3:ABL3 ABQ3:ACQ3 BID3:BJD3">
    <cfRule type="cellIs" dxfId="689" priority="677" operator="equal">
      <formula>0.0001</formula>
    </cfRule>
  </conditionalFormatting>
  <conditionalFormatting sqref="NO3:NP3">
    <cfRule type="cellIs" dxfId="688" priority="676" operator="equal">
      <formula>0.0001</formula>
    </cfRule>
  </conditionalFormatting>
  <conditionalFormatting sqref="PX3:PY3">
    <cfRule type="cellIs" dxfId="687" priority="675" operator="equal">
      <formula>0.0001</formula>
    </cfRule>
  </conditionalFormatting>
  <conditionalFormatting sqref="SG3:SH3">
    <cfRule type="cellIs" dxfId="686" priority="674" operator="equal">
      <formula>0.0001</formula>
    </cfRule>
  </conditionalFormatting>
  <conditionalFormatting sqref="UP3:UQ3">
    <cfRule type="cellIs" dxfId="685" priority="673" operator="equal">
      <formula>0.0001</formula>
    </cfRule>
  </conditionalFormatting>
  <conditionalFormatting sqref="ACT3:ACU3">
    <cfRule type="cellIs" dxfId="684" priority="672" operator="equal">
      <formula>0.0001</formula>
    </cfRule>
  </conditionalFormatting>
  <conditionalFormatting sqref="ADW3:ADX3">
    <cfRule type="cellIs" dxfId="683" priority="671" operator="equal">
      <formula>0.0001</formula>
    </cfRule>
  </conditionalFormatting>
  <conditionalFormatting sqref="AHJ3:AIG3 AII3:AIJ3">
    <cfRule type="cellIs" dxfId="682" priority="670" operator="equal">
      <formula>0.0001</formula>
    </cfRule>
  </conditionalFormatting>
  <conditionalFormatting sqref="AJP3:AKM3 AKO3:AKP3">
    <cfRule type="cellIs" dxfId="681" priority="669" operator="equal">
      <formula>0.0001</formula>
    </cfRule>
  </conditionalFormatting>
  <conditionalFormatting sqref="AGG3:AHG3">
    <cfRule type="cellIs" dxfId="680" priority="668" operator="equal">
      <formula>0.0001</formula>
    </cfRule>
  </conditionalFormatting>
  <conditionalFormatting sqref="AIM3:AJJ3 AJL3:AJM3">
    <cfRule type="cellIs" dxfId="679" priority="667" operator="equal">
      <formula>0.0001</formula>
    </cfRule>
  </conditionalFormatting>
  <conditionalFormatting sqref="AKS3:ALP3 ALR3:ALS3">
    <cfRule type="cellIs" dxfId="678" priority="666" operator="equal">
      <formula>0.0001</formula>
    </cfRule>
  </conditionalFormatting>
  <conditionalFormatting sqref="ALV3:AMS3 AMU3:AMV3">
    <cfRule type="cellIs" dxfId="677" priority="665" operator="equal">
      <formula>0.0001</formula>
    </cfRule>
  </conditionalFormatting>
  <conditionalFormatting sqref="AMY3:ANV3 ANX3:ANY3">
    <cfRule type="cellIs" dxfId="676" priority="664" operator="equal">
      <formula>0.0001</formula>
    </cfRule>
  </conditionalFormatting>
  <conditionalFormatting sqref="AOB3:AOY3 APA3:APB3">
    <cfRule type="cellIs" dxfId="675" priority="663" operator="equal">
      <formula>0.0001</formula>
    </cfRule>
  </conditionalFormatting>
  <conditionalFormatting sqref="APE3:AQB3 AQD3:AQE3">
    <cfRule type="cellIs" dxfId="674" priority="662" operator="equal">
      <formula>0.0001</formula>
    </cfRule>
  </conditionalFormatting>
  <conditionalFormatting sqref="AQH3:ARE3 ARG3:ARH3">
    <cfRule type="cellIs" dxfId="673" priority="661" operator="equal">
      <formula>0.0001</formula>
    </cfRule>
  </conditionalFormatting>
  <conditionalFormatting sqref="ARK3:ASH3 ASJ3:ASK3">
    <cfRule type="cellIs" dxfId="672" priority="660" operator="equal">
      <formula>0.0001</formula>
    </cfRule>
  </conditionalFormatting>
  <conditionalFormatting sqref="ASN3:ATK3 ATM3:ATN3">
    <cfRule type="cellIs" dxfId="671" priority="659" operator="equal">
      <formula>0.0001</formula>
    </cfRule>
  </conditionalFormatting>
  <conditionalFormatting sqref="ATQ3:AUN3 AUP3:AUQ3">
    <cfRule type="cellIs" dxfId="670" priority="658" operator="equal">
      <formula>0.0001</formula>
    </cfRule>
  </conditionalFormatting>
  <conditionalFormatting sqref="AUT3:AVQ3 AVS3:AVT3">
    <cfRule type="cellIs" dxfId="669" priority="657" operator="equal">
      <formula>0.0001</formula>
    </cfRule>
  </conditionalFormatting>
  <conditionalFormatting sqref="AVW3:AWT3 AWV3:AWW3">
    <cfRule type="cellIs" dxfId="668" priority="656" operator="equal">
      <formula>0.0001</formula>
    </cfRule>
  </conditionalFormatting>
  <conditionalFormatting sqref="AWZ3:AXW3 AXY3:AXZ3">
    <cfRule type="cellIs" dxfId="667" priority="655" operator="equal">
      <formula>0.0001</formula>
    </cfRule>
  </conditionalFormatting>
  <conditionalFormatting sqref="AYC3:AYZ3 AZB3:AZC3">
    <cfRule type="cellIs" dxfId="666" priority="654" operator="equal">
      <formula>0.0001</formula>
    </cfRule>
  </conditionalFormatting>
  <conditionalFormatting sqref="AZF3:BAC3 BAE3:BAF3">
    <cfRule type="cellIs" dxfId="665" priority="653" operator="equal">
      <formula>0.0001</formula>
    </cfRule>
  </conditionalFormatting>
  <conditionalFormatting sqref="BAI3:BBF3 BBH3:BBI3">
    <cfRule type="cellIs" dxfId="664" priority="652" operator="equal">
      <formula>0.0001</formula>
    </cfRule>
  </conditionalFormatting>
  <conditionalFormatting sqref="BBL3:BCI3 BCK3:BCL3">
    <cfRule type="cellIs" dxfId="663" priority="651" operator="equal">
      <formula>0.0001</formula>
    </cfRule>
  </conditionalFormatting>
  <conditionalFormatting sqref="BCO3:BDL3 BDN3:BDO3">
    <cfRule type="cellIs" dxfId="662" priority="650" operator="equal">
      <formula>0.0001</formula>
    </cfRule>
  </conditionalFormatting>
  <conditionalFormatting sqref="BDR3:BEO3 BEQ3:BER3">
    <cfRule type="cellIs" dxfId="661" priority="649" operator="equal">
      <formula>0.0001</formula>
    </cfRule>
  </conditionalFormatting>
  <conditionalFormatting sqref="BFX3:BGU3 BGW3:BGX3">
    <cfRule type="cellIs" dxfId="660" priority="648" operator="equal">
      <formula>0.0001</formula>
    </cfRule>
  </conditionalFormatting>
  <conditionalFormatting sqref="BHA3:BHX3 BHZ3:BIA3">
    <cfRule type="cellIs" dxfId="659" priority="647" operator="equal">
      <formula>0.0001</formula>
    </cfRule>
  </conditionalFormatting>
  <conditionalFormatting sqref="BJG3:BKD3 BKF3:BKG3">
    <cfRule type="cellIs" dxfId="658" priority="646" operator="equal">
      <formula>0.0001</formula>
    </cfRule>
  </conditionalFormatting>
  <conditionalFormatting sqref="BKJ3:BLG3 BLI3:BLJ3">
    <cfRule type="cellIs" dxfId="657" priority="645" operator="equal">
      <formula>0.0001</formula>
    </cfRule>
  </conditionalFormatting>
  <conditionalFormatting sqref="BLM3:BMJ3 BML3:BMM3">
    <cfRule type="cellIs" dxfId="656" priority="644" operator="equal">
      <formula>0.0001</formula>
    </cfRule>
  </conditionalFormatting>
  <conditionalFormatting sqref="BMP3:BNM3 BNO3:BNP3">
    <cfRule type="cellIs" dxfId="655" priority="643" operator="equal">
      <formula>0.0001</formula>
    </cfRule>
  </conditionalFormatting>
  <conditionalFormatting sqref="BNS3:BOP3 BOR3:BOS3">
    <cfRule type="cellIs" dxfId="654" priority="642" operator="equal">
      <formula>0.0001</formula>
    </cfRule>
  </conditionalFormatting>
  <conditionalFormatting sqref="BOV3:BPS3 BPU3:BPV3">
    <cfRule type="cellIs" dxfId="653" priority="641" operator="equal">
      <formula>0.0001</formula>
    </cfRule>
  </conditionalFormatting>
  <conditionalFormatting sqref="BPY3:BQV3 BQX3:BQY3">
    <cfRule type="cellIs" dxfId="652" priority="640" operator="equal">
      <formula>0.0001</formula>
    </cfRule>
  </conditionalFormatting>
  <conditionalFormatting sqref="BRB3:BRY3 BSA3:BSB3">
    <cfRule type="cellIs" dxfId="651" priority="639" operator="equal">
      <formula>0.0001</formula>
    </cfRule>
  </conditionalFormatting>
  <conditionalFormatting sqref="BSE3:BTB3 BTD3:BTE3">
    <cfRule type="cellIs" dxfId="650" priority="638" operator="equal">
      <formula>0.0001</formula>
    </cfRule>
  </conditionalFormatting>
  <conditionalFormatting sqref="BTH3:BUE3 BUG3:BUH3">
    <cfRule type="cellIs" dxfId="649" priority="637" operator="equal">
      <formula>0.0001</formula>
    </cfRule>
  </conditionalFormatting>
  <conditionalFormatting sqref="BUK3:BVH3 BVJ3:BVK3">
    <cfRule type="cellIs" dxfId="648" priority="636" operator="equal">
      <formula>0.0001</formula>
    </cfRule>
  </conditionalFormatting>
  <conditionalFormatting sqref="BVN3:BWK3 BWM3:BWN3">
    <cfRule type="cellIs" dxfId="647" priority="635" operator="equal">
      <formula>0.0001</formula>
    </cfRule>
  </conditionalFormatting>
  <conditionalFormatting sqref="BWQ3:BXN3 BXP3:BXQ3">
    <cfRule type="cellIs" dxfId="646" priority="634" operator="equal">
      <formula>0.0001</formula>
    </cfRule>
  </conditionalFormatting>
  <conditionalFormatting sqref="BXT3:BYQ3 BYS3:BYT3">
    <cfRule type="cellIs" dxfId="645" priority="633" operator="equal">
      <formula>0.0001</formula>
    </cfRule>
  </conditionalFormatting>
  <conditionalFormatting sqref="BZX3:CAU3 CAW3:CAX3">
    <cfRule type="cellIs" dxfId="644" priority="632" operator="equal">
      <formula>0.0001</formula>
    </cfRule>
  </conditionalFormatting>
  <conditionalFormatting sqref="CAZ3:CBW3 CBY3:CBZ3">
    <cfRule type="cellIs" dxfId="643" priority="631" operator="equal">
      <formula>0.0001</formula>
    </cfRule>
  </conditionalFormatting>
  <conditionalFormatting sqref="CFL3:CGI3 CGK3:CGL3">
    <cfRule type="cellIs" dxfId="642" priority="630" operator="equal">
      <formula>0.0001</formula>
    </cfRule>
  </conditionalFormatting>
  <conditionalFormatting sqref="CEI3:CFF3 CFH3:CFI3">
    <cfRule type="cellIs" dxfId="641" priority="629" operator="equal">
      <formula>0.0001</formula>
    </cfRule>
  </conditionalFormatting>
  <conditionalFormatting sqref="CDF3:CEC3 CEE3:CEF3">
    <cfRule type="cellIs" dxfId="640" priority="628" operator="equal">
      <formula>0.0001</formula>
    </cfRule>
  </conditionalFormatting>
  <conditionalFormatting sqref="CCB3:CCY3 CDA3:CDB3">
    <cfRule type="cellIs" dxfId="639" priority="627" operator="equal">
      <formula>0.0001</formula>
    </cfRule>
  </conditionalFormatting>
  <conditionalFormatting sqref="CGP3:CHM3 CHO3:CHP3">
    <cfRule type="cellIs" dxfId="638" priority="626" operator="equal">
      <formula>0.0001</formula>
    </cfRule>
  </conditionalFormatting>
  <conditionalFormatting sqref="CHZ3:CIW3 CIY3:CJA3">
    <cfRule type="cellIs" dxfId="637" priority="625" operator="equal">
      <formula>0.0001</formula>
    </cfRule>
  </conditionalFormatting>
  <conditionalFormatting sqref="CJC3:CJZ3 CKB3:CKC3">
    <cfRule type="cellIs" dxfId="636" priority="624" operator="equal">
      <formula>0.0001</formula>
    </cfRule>
  </conditionalFormatting>
  <conditionalFormatting sqref="CKF3:CLC3 CLE3:CLF3">
    <cfRule type="cellIs" dxfId="635" priority="623" operator="equal">
      <formula>0.0001</formula>
    </cfRule>
  </conditionalFormatting>
  <conditionalFormatting sqref="CLJ3:CMG3 CMI3:CMJ3">
    <cfRule type="cellIs" dxfId="634" priority="622" operator="equal">
      <formula>0.0001</formula>
    </cfRule>
  </conditionalFormatting>
  <conditionalFormatting sqref="CMU3:CNR3 CNT3:CNU3">
    <cfRule type="cellIs" dxfId="633" priority="621" operator="equal">
      <formula>0.0001</formula>
    </cfRule>
  </conditionalFormatting>
  <conditionalFormatting sqref="CNX3:COU3 COW3:COX3">
    <cfRule type="cellIs" dxfId="632" priority="620" operator="equal">
      <formula>0.0001</formula>
    </cfRule>
  </conditionalFormatting>
  <conditionalFormatting sqref="CQD3:CRA3 CRC3:CRD3">
    <cfRule type="cellIs" dxfId="631" priority="619" operator="equal">
      <formula>0.0001</formula>
    </cfRule>
  </conditionalFormatting>
  <conditionalFormatting sqref="CE3">
    <cfRule type="cellIs" dxfId="630" priority="579" operator="equal">
      <formula>0.01%</formula>
    </cfRule>
  </conditionalFormatting>
  <conditionalFormatting sqref="DK3">
    <cfRule type="cellIs" dxfId="629" priority="578" operator="equal">
      <formula>0.01%</formula>
    </cfRule>
  </conditionalFormatting>
  <conditionalFormatting sqref="FG3">
    <cfRule type="cellIs" dxfId="628" priority="577" operator="equal">
      <formula>0.0001</formula>
    </cfRule>
  </conditionalFormatting>
  <conditionalFormatting sqref="ON3">
    <cfRule type="cellIs" dxfId="627" priority="576" operator="equal">
      <formula>0.0001</formula>
    </cfRule>
  </conditionalFormatting>
  <conditionalFormatting sqref="QW3">
    <cfRule type="cellIs" dxfId="626" priority="575" operator="equal">
      <formula>0.0001</formula>
    </cfRule>
  </conditionalFormatting>
  <conditionalFormatting sqref="TF3">
    <cfRule type="cellIs" dxfId="625" priority="574" operator="equal">
      <formula>0.0001</formula>
    </cfRule>
  </conditionalFormatting>
  <conditionalFormatting sqref="VO3">
    <cfRule type="cellIs" dxfId="624" priority="573" operator="equal">
      <formula>0.0001</formula>
    </cfRule>
  </conditionalFormatting>
  <conditionalFormatting sqref="ADR3">
    <cfRule type="cellIs" dxfId="623" priority="572" operator="equal">
      <formula>0.0001</formula>
    </cfRule>
  </conditionalFormatting>
  <conditionalFormatting sqref="AEU3">
    <cfRule type="cellIs" dxfId="622" priority="571" operator="equal">
      <formula>0.0001</formula>
    </cfRule>
  </conditionalFormatting>
  <conditionalFormatting sqref="AIH3">
    <cfRule type="cellIs" dxfId="621" priority="570" operator="equal">
      <formula>0.0001</formula>
    </cfRule>
  </conditionalFormatting>
  <conditionalFormatting sqref="AJK3">
    <cfRule type="cellIs" dxfId="620" priority="569" operator="equal">
      <formula>0.0001</formula>
    </cfRule>
  </conditionalFormatting>
  <conditionalFormatting sqref="AKN3">
    <cfRule type="cellIs" dxfId="619" priority="568" operator="equal">
      <formula>0.0001</formula>
    </cfRule>
  </conditionalFormatting>
  <conditionalFormatting sqref="ALQ3">
    <cfRule type="cellIs" dxfId="618" priority="567" operator="equal">
      <formula>0.0001</formula>
    </cfRule>
  </conditionalFormatting>
  <conditionalFormatting sqref="AMT3">
    <cfRule type="cellIs" dxfId="617" priority="566" operator="equal">
      <formula>0.0001</formula>
    </cfRule>
  </conditionalFormatting>
  <conditionalFormatting sqref="ANW3">
    <cfRule type="cellIs" dxfId="616" priority="565" operator="equal">
      <formula>0.0001</formula>
    </cfRule>
  </conditionalFormatting>
  <conditionalFormatting sqref="AOZ3">
    <cfRule type="cellIs" dxfId="615" priority="564" operator="equal">
      <formula>0.0001</formula>
    </cfRule>
  </conditionalFormatting>
  <conditionalFormatting sqref="AQC3">
    <cfRule type="cellIs" dxfId="614" priority="563" operator="equal">
      <formula>0.0001</formula>
    </cfRule>
  </conditionalFormatting>
  <conditionalFormatting sqref="ARF3">
    <cfRule type="cellIs" dxfId="613" priority="562" operator="equal">
      <formula>0.0001</formula>
    </cfRule>
  </conditionalFormatting>
  <conditionalFormatting sqref="ASI3">
    <cfRule type="cellIs" dxfId="612" priority="561" operator="equal">
      <formula>0.0001</formula>
    </cfRule>
  </conditionalFormatting>
  <conditionalFormatting sqref="ATL3">
    <cfRule type="cellIs" dxfId="611" priority="560" operator="equal">
      <formula>0.0001</formula>
    </cfRule>
  </conditionalFormatting>
  <conditionalFormatting sqref="AUO3">
    <cfRule type="cellIs" dxfId="610" priority="559" operator="equal">
      <formula>0.0001</formula>
    </cfRule>
  </conditionalFormatting>
  <conditionalFormatting sqref="AVR3">
    <cfRule type="cellIs" dxfId="609" priority="558" operator="equal">
      <formula>0.0001</formula>
    </cfRule>
  </conditionalFormatting>
  <conditionalFormatting sqref="AWU3">
    <cfRule type="cellIs" dxfId="608" priority="557" operator="equal">
      <formula>0.0001</formula>
    </cfRule>
  </conditionalFormatting>
  <conditionalFormatting sqref="AXX3">
    <cfRule type="cellIs" dxfId="607" priority="556" operator="equal">
      <formula>0.0001</formula>
    </cfRule>
  </conditionalFormatting>
  <conditionalFormatting sqref="AZA3">
    <cfRule type="cellIs" dxfId="606" priority="555" operator="equal">
      <formula>0.0001</formula>
    </cfRule>
  </conditionalFormatting>
  <conditionalFormatting sqref="BAD3">
    <cfRule type="cellIs" dxfId="605" priority="554" operator="equal">
      <formula>0.0001</formula>
    </cfRule>
  </conditionalFormatting>
  <conditionalFormatting sqref="BBG3">
    <cfRule type="cellIs" dxfId="604" priority="553" operator="equal">
      <formula>0.0001</formula>
    </cfRule>
  </conditionalFormatting>
  <conditionalFormatting sqref="BCJ3">
    <cfRule type="cellIs" dxfId="603" priority="552" operator="equal">
      <formula>0.0001</formula>
    </cfRule>
  </conditionalFormatting>
  <conditionalFormatting sqref="BDM3">
    <cfRule type="cellIs" dxfId="602" priority="551" operator="equal">
      <formula>0.0001</formula>
    </cfRule>
  </conditionalFormatting>
  <conditionalFormatting sqref="BEP3">
    <cfRule type="cellIs" dxfId="601" priority="550" operator="equal">
      <formula>0.0001</formula>
    </cfRule>
  </conditionalFormatting>
  <conditionalFormatting sqref="BGV3">
    <cfRule type="cellIs" dxfId="600" priority="549" operator="equal">
      <formula>0.0001</formula>
    </cfRule>
  </conditionalFormatting>
  <conditionalFormatting sqref="BHY3">
    <cfRule type="cellIs" dxfId="599" priority="548" operator="equal">
      <formula>0.0001</formula>
    </cfRule>
  </conditionalFormatting>
  <conditionalFormatting sqref="BKE3">
    <cfRule type="cellIs" dxfId="598" priority="547" operator="equal">
      <formula>0.0001</formula>
    </cfRule>
  </conditionalFormatting>
  <conditionalFormatting sqref="BLH3">
    <cfRule type="cellIs" dxfId="597" priority="546" operator="equal">
      <formula>0.0001</formula>
    </cfRule>
  </conditionalFormatting>
  <conditionalFormatting sqref="BMK3">
    <cfRule type="cellIs" dxfId="596" priority="545" operator="equal">
      <formula>0.0001</formula>
    </cfRule>
  </conditionalFormatting>
  <conditionalFormatting sqref="BNN3">
    <cfRule type="cellIs" dxfId="595" priority="544" operator="equal">
      <formula>0.0001</formula>
    </cfRule>
  </conditionalFormatting>
  <conditionalFormatting sqref="BOQ3">
    <cfRule type="cellIs" dxfId="594" priority="543" operator="equal">
      <formula>0.0001</formula>
    </cfRule>
  </conditionalFormatting>
  <conditionalFormatting sqref="BPT3">
    <cfRule type="cellIs" dxfId="593" priority="542" operator="equal">
      <formula>0.0001</formula>
    </cfRule>
  </conditionalFormatting>
  <conditionalFormatting sqref="BQW3">
    <cfRule type="cellIs" dxfId="592" priority="541" operator="equal">
      <formula>0.0001</formula>
    </cfRule>
  </conditionalFormatting>
  <conditionalFormatting sqref="BRZ3">
    <cfRule type="cellIs" dxfId="591" priority="540" operator="equal">
      <formula>0.0001</formula>
    </cfRule>
  </conditionalFormatting>
  <conditionalFormatting sqref="BTC3">
    <cfRule type="cellIs" dxfId="590" priority="539" operator="equal">
      <formula>0.0001</formula>
    </cfRule>
  </conditionalFormatting>
  <conditionalFormatting sqref="BUF3">
    <cfRule type="cellIs" dxfId="589" priority="538" operator="equal">
      <formula>0.0001</formula>
    </cfRule>
  </conditionalFormatting>
  <conditionalFormatting sqref="BVI3">
    <cfRule type="cellIs" dxfId="588" priority="537" operator="equal">
      <formula>0.0001</formula>
    </cfRule>
  </conditionalFormatting>
  <conditionalFormatting sqref="BWL3">
    <cfRule type="cellIs" dxfId="587" priority="536" operator="equal">
      <formula>0.0001</formula>
    </cfRule>
  </conditionalFormatting>
  <conditionalFormatting sqref="BXO3">
    <cfRule type="cellIs" dxfId="586" priority="535" operator="equal">
      <formula>0.0001</formula>
    </cfRule>
  </conditionalFormatting>
  <conditionalFormatting sqref="BYR3">
    <cfRule type="cellIs" dxfId="585" priority="534" operator="equal">
      <formula>0.0001</formula>
    </cfRule>
  </conditionalFormatting>
  <conditionalFormatting sqref="CAV3">
    <cfRule type="cellIs" dxfId="584" priority="533" operator="equal">
      <formula>0.0001</formula>
    </cfRule>
  </conditionalFormatting>
  <conditionalFormatting sqref="CBX3">
    <cfRule type="cellIs" dxfId="583" priority="532" operator="equal">
      <formula>0.0001</formula>
    </cfRule>
  </conditionalFormatting>
  <conditionalFormatting sqref="CCZ3">
    <cfRule type="cellIs" dxfId="582" priority="531" operator="equal">
      <formula>0.0001</formula>
    </cfRule>
  </conditionalFormatting>
  <conditionalFormatting sqref="CED3">
    <cfRule type="cellIs" dxfId="581" priority="530" operator="equal">
      <formula>0.0001</formula>
    </cfRule>
  </conditionalFormatting>
  <conditionalFormatting sqref="CFG3">
    <cfRule type="cellIs" dxfId="580" priority="529" operator="equal">
      <formula>0.0001</formula>
    </cfRule>
  </conditionalFormatting>
  <conditionalFormatting sqref="CGJ3">
    <cfRule type="cellIs" dxfId="579" priority="528" operator="equal">
      <formula>0.0001</formula>
    </cfRule>
  </conditionalFormatting>
  <conditionalFormatting sqref="CHN3">
    <cfRule type="cellIs" dxfId="578" priority="527" operator="equal">
      <formula>0.0001</formula>
    </cfRule>
  </conditionalFormatting>
  <conditionalFormatting sqref="CIX3">
    <cfRule type="cellIs" dxfId="577" priority="526" operator="equal">
      <formula>0.0001</formula>
    </cfRule>
  </conditionalFormatting>
  <conditionalFormatting sqref="CKA3">
    <cfRule type="cellIs" dxfId="576" priority="525" operator="equal">
      <formula>0.0001</formula>
    </cfRule>
  </conditionalFormatting>
  <conditionalFormatting sqref="CLD3">
    <cfRule type="cellIs" dxfId="575" priority="524" operator="equal">
      <formula>0.0001</formula>
    </cfRule>
  </conditionalFormatting>
  <conditionalFormatting sqref="CMH3">
    <cfRule type="cellIs" dxfId="574" priority="523" operator="equal">
      <formula>0.0001</formula>
    </cfRule>
  </conditionalFormatting>
  <conditionalFormatting sqref="CNS3">
    <cfRule type="cellIs" dxfId="573" priority="522" operator="equal">
      <formula>0.0001</formula>
    </cfRule>
  </conditionalFormatting>
  <conditionalFormatting sqref="COV3">
    <cfRule type="cellIs" dxfId="572" priority="521" operator="equal">
      <formula>0.0001</formula>
    </cfRule>
  </conditionalFormatting>
  <conditionalFormatting sqref="CRB3">
    <cfRule type="cellIs" dxfId="571" priority="520" operator="equal">
      <formula>0.0001</formula>
    </cfRule>
  </conditionalFormatting>
  <conditionalFormatting sqref="BYV3:BZV3">
    <cfRule type="cellIs" dxfId="570" priority="519" operator="equal">
      <formula>0.0001</formula>
    </cfRule>
  </conditionalFormatting>
  <conditionalFormatting sqref="BEU3:BFU3">
    <cfRule type="cellIs" dxfId="569" priority="518" operator="equal">
      <formula>0.0001</formula>
    </cfRule>
  </conditionalFormatting>
  <conditionalFormatting sqref="BB3">
    <cfRule type="expression" dxfId="568" priority="702">
      <formula>#REF!=""</formula>
    </cfRule>
    <cfRule type="expression" dxfId="567" priority="703">
      <formula>$BB3&lt;43.33</formula>
    </cfRule>
  </conditionalFormatting>
  <conditionalFormatting sqref="JZ3 LD3">
    <cfRule type="expression" dxfId="566" priority="704">
      <formula>#REF!&gt;0</formula>
    </cfRule>
  </conditionalFormatting>
  <conditionalFormatting sqref="CI3">
    <cfRule type="expression" dxfId="565" priority="705">
      <formula>#REF!=""</formula>
    </cfRule>
  </conditionalFormatting>
  <conditionalFormatting sqref="CJ3">
    <cfRule type="expression" dxfId="564" priority="706">
      <formula>#REF!=""</formula>
    </cfRule>
  </conditionalFormatting>
  <conditionalFormatting sqref="DZ3">
    <cfRule type="expression" dxfId="563" priority="707">
      <formula>#REF!&lt;1</formula>
    </cfRule>
  </conditionalFormatting>
  <conditionalFormatting sqref="COZ3">
    <cfRule type="expression" dxfId="562" priority="708">
      <formula>#REF!&lt;=0</formula>
    </cfRule>
  </conditionalFormatting>
  <conditionalFormatting sqref="CG3">
    <cfRule type="expression" dxfId="561" priority="517">
      <formula>#REF!=""</formula>
    </cfRule>
  </conditionalFormatting>
  <conditionalFormatting sqref="VQ3">
    <cfRule type="cellIs" dxfId="560" priority="511" operator="equal">
      <formula>"Tratamento"</formula>
    </cfRule>
  </conditionalFormatting>
  <conditionalFormatting sqref="XZ3">
    <cfRule type="cellIs" dxfId="559" priority="510" operator="equal">
      <formula>"Tratamento"</formula>
    </cfRule>
  </conditionalFormatting>
  <conditionalFormatting sqref="AAI3">
    <cfRule type="cellIs" dxfId="558" priority="509" operator="equal">
      <formula>"Tratamento"</formula>
    </cfRule>
  </conditionalFormatting>
  <conditionalFormatting sqref="EH3">
    <cfRule type="cellIs" dxfId="557" priority="508" operator="equal">
      <formula>0.0001</formula>
    </cfRule>
  </conditionalFormatting>
  <conditionalFormatting sqref="AU3">
    <cfRule type="duplicateValues" dxfId="556" priority="712"/>
  </conditionalFormatting>
  <conditionalFormatting sqref="AU3">
    <cfRule type="duplicateValues" dxfId="555" priority="713"/>
  </conditionalFormatting>
  <conditionalFormatting sqref="AF3">
    <cfRule type="duplicateValues" dxfId="554" priority="714"/>
    <cfRule type="duplicateValues" dxfId="553" priority="715"/>
  </conditionalFormatting>
  <conditionalFormatting sqref="CG4 CI4">
    <cfRule type="expression" dxfId="552" priority="496">
      <formula>$CI4&lt;43.33</formula>
    </cfRule>
  </conditionalFormatting>
  <conditionalFormatting sqref="CDD4">
    <cfRule type="expression" dxfId="551" priority="491">
      <formula>"SE(ESQUERDA(AR4;23)&lt;&gt;""Oi Total Fixo + Oi Mais"</formula>
    </cfRule>
    <cfRule type="expression" dxfId="550" priority="494">
      <formula>CHR4/(CGO4+CHR4)&gt;50%</formula>
    </cfRule>
    <cfRule type="expression" dxfId="549" priority="495">
      <formula>CEH4/(CDD4-CDE4)&gt;30%</formula>
    </cfRule>
  </conditionalFormatting>
  <conditionalFormatting sqref="CHX4">
    <cfRule type="expression" dxfId="548" priority="492">
      <formula>CML4/(CLI4+CML4)&gt;50%</formula>
    </cfRule>
    <cfRule type="expression" dxfId="547" priority="493">
      <formula>CJB4/CHX4&gt;30%</formula>
    </cfRule>
  </conditionalFormatting>
  <conditionalFormatting sqref="CDD4">
    <cfRule type="expression" dxfId="546" priority="490">
      <formula>LEFT(AV4,23)&lt;&gt;"Oi Total Fixo + Oi Mais"</formula>
    </cfRule>
  </conditionalFormatting>
  <conditionalFormatting sqref="CHX4">
    <cfRule type="expression" dxfId="545" priority="489">
      <formula>LEFT(AV4,23)&lt;&gt;"Oi Total Fixo + Oi Mais"</formula>
    </cfRule>
  </conditionalFormatting>
  <conditionalFormatting sqref="CMQ4">
    <cfRule type="expression" dxfId="544" priority="488">
      <formula>LEFT(AV4,19)&lt;&gt;"Oi Total Fixo + Pós"</formula>
    </cfRule>
  </conditionalFormatting>
  <conditionalFormatting sqref="CMP4">
    <cfRule type="expression" dxfId="543" priority="487">
      <formula>LEFT(AV4,19)&lt;&gt;"Oi Total Fixo + Pós"</formula>
    </cfRule>
  </conditionalFormatting>
  <conditionalFormatting sqref="CMP4">
    <cfRule type="expression" dxfId="542" priority="486">
      <formula>AV4&lt;&gt;"Oi Total Fixo + Pós Conectado Mais + Banda Larga"</formula>
    </cfRule>
  </conditionalFormatting>
  <conditionalFormatting sqref="FL4:GL4 GP4:HP4 HT4:IT4 IX4:JX4 KB4:LB4 LF4:MF4 MJ4:NJ4 OS4:PS4 RB4:SB4 TK4:UK4 CJA4 VT4:WT4 WY4:XY4 YC4:ZC4 ZH4:AAH4 AAL4:ABL4 ABQ4:ACQ4 BID4:BJD4">
    <cfRule type="cellIs" dxfId="541" priority="483" operator="equal">
      <formula>0.0001</formula>
    </cfRule>
  </conditionalFormatting>
  <conditionalFormatting sqref="EE4">
    <cfRule type="cellIs" dxfId="540" priority="476" operator="equal">
      <formula>"Tratamento"</formula>
    </cfRule>
  </conditionalFormatting>
  <conditionalFormatting sqref="GM4">
    <cfRule type="cellIs" dxfId="539" priority="474" operator="equal">
      <formula>"Tratamento"</formula>
    </cfRule>
  </conditionalFormatting>
  <conditionalFormatting sqref="FI4">
    <cfRule type="cellIs" dxfId="538" priority="475" operator="equal">
      <formula>"Tratamento"</formula>
    </cfRule>
  </conditionalFormatting>
  <conditionalFormatting sqref="HQ4">
    <cfRule type="cellIs" dxfId="537" priority="473" operator="equal">
      <formula>"Tratamento"</formula>
    </cfRule>
  </conditionalFormatting>
  <conditionalFormatting sqref="IU4">
    <cfRule type="cellIs" dxfId="536" priority="472" operator="equal">
      <formula>"Tratamento"</formula>
    </cfRule>
  </conditionalFormatting>
  <conditionalFormatting sqref="QY4">
    <cfRule type="cellIs" dxfId="535" priority="471" operator="equal">
      <formula>"Tratamento"</formula>
    </cfRule>
  </conditionalFormatting>
  <conditionalFormatting sqref="TH4">
    <cfRule type="cellIs" dxfId="534" priority="470" operator="equal">
      <formula>"Tratamento"</formula>
    </cfRule>
  </conditionalFormatting>
  <conditionalFormatting sqref="JY4">
    <cfRule type="cellIs" dxfId="533" priority="469" operator="equal">
      <formula>"Tratamento"</formula>
    </cfRule>
  </conditionalFormatting>
  <conditionalFormatting sqref="LC4">
    <cfRule type="cellIs" dxfId="532" priority="468" operator="equal">
      <formula>"Tratamento"</formula>
    </cfRule>
  </conditionalFormatting>
  <conditionalFormatting sqref="MG4">
    <cfRule type="cellIs" dxfId="531" priority="467" operator="equal">
      <formula>"Tratamento"</formula>
    </cfRule>
  </conditionalFormatting>
  <conditionalFormatting sqref="OP4">
    <cfRule type="cellIs" dxfId="530" priority="466" operator="equal">
      <formula>"Tratamento"</formula>
    </cfRule>
  </conditionalFormatting>
  <conditionalFormatting sqref="BF4:CD4 CF4 CN4:DJ4 DL4">
    <cfRule type="cellIs" dxfId="529" priority="465" operator="equal">
      <formula>0.01%</formula>
    </cfRule>
  </conditionalFormatting>
  <conditionalFormatting sqref="CL4:CM4">
    <cfRule type="cellIs" dxfId="528" priority="464" operator="equal">
      <formula>0.01%</formula>
    </cfRule>
  </conditionalFormatting>
  <conditionalFormatting sqref="EH4:FF4 FH4 NQ4:OM4 OO4 PZ4:QV4 QX4 SI4:TE4 TG4 UR4:VN4 VP4 ACV4:ADQ4 ADS4:ADT4 ADY4:AET4 AEV4:AEW4">
    <cfRule type="cellIs" dxfId="527" priority="463" operator="equal">
      <formula>0.0001</formula>
    </cfRule>
  </conditionalFormatting>
  <conditionalFormatting sqref="NO4:NP4">
    <cfRule type="cellIs" dxfId="526" priority="462" operator="equal">
      <formula>0.0001</formula>
    </cfRule>
  </conditionalFormatting>
  <conditionalFormatting sqref="PX4:PY4">
    <cfRule type="cellIs" dxfId="525" priority="461" operator="equal">
      <formula>0.0001</formula>
    </cfRule>
  </conditionalFormatting>
  <conditionalFormatting sqref="SG4:SH4">
    <cfRule type="cellIs" dxfId="524" priority="460" operator="equal">
      <formula>0.0001</formula>
    </cfRule>
  </conditionalFormatting>
  <conditionalFormatting sqref="UP4:UQ4">
    <cfRule type="cellIs" dxfId="523" priority="459" operator="equal">
      <formula>0.0001</formula>
    </cfRule>
  </conditionalFormatting>
  <conditionalFormatting sqref="ACT4:ACU4">
    <cfRule type="cellIs" dxfId="522" priority="458" operator="equal">
      <formula>0.0001</formula>
    </cfRule>
  </conditionalFormatting>
  <conditionalFormatting sqref="ADW4:ADX4">
    <cfRule type="cellIs" dxfId="521" priority="457" operator="equal">
      <formula>0.0001</formula>
    </cfRule>
  </conditionalFormatting>
  <conditionalFormatting sqref="AHJ4:AIG4 AII4:AIJ4">
    <cfRule type="cellIs" dxfId="520" priority="456" operator="equal">
      <formula>0.0001</formula>
    </cfRule>
  </conditionalFormatting>
  <conditionalFormatting sqref="AJP4:AKM4 AKO4:AKP4">
    <cfRule type="cellIs" dxfId="519" priority="455" operator="equal">
      <formula>0.0001</formula>
    </cfRule>
  </conditionalFormatting>
  <conditionalFormatting sqref="AGG4:AHG4">
    <cfRule type="cellIs" dxfId="518" priority="454" operator="equal">
      <formula>0.0001</formula>
    </cfRule>
  </conditionalFormatting>
  <conditionalFormatting sqref="AIM4:AJJ4 AJL4:AJM4">
    <cfRule type="cellIs" dxfId="517" priority="453" operator="equal">
      <formula>0.0001</formula>
    </cfRule>
  </conditionalFormatting>
  <conditionalFormatting sqref="AKS4:ALP4 ALR4:ALS4">
    <cfRule type="cellIs" dxfId="516" priority="452" operator="equal">
      <formula>0.0001</formula>
    </cfRule>
  </conditionalFormatting>
  <conditionalFormatting sqref="ALV4:AMS4 AMU4:AMV4">
    <cfRule type="cellIs" dxfId="515" priority="451" operator="equal">
      <formula>0.0001</formula>
    </cfRule>
  </conditionalFormatting>
  <conditionalFormatting sqref="AMY4:ANV4 ANX4:ANY4">
    <cfRule type="cellIs" dxfId="514" priority="450" operator="equal">
      <formula>0.0001</formula>
    </cfRule>
  </conditionalFormatting>
  <conditionalFormatting sqref="AOB4:AOY4 APA4:APB4">
    <cfRule type="cellIs" dxfId="513" priority="449" operator="equal">
      <formula>0.0001</formula>
    </cfRule>
  </conditionalFormatting>
  <conditionalFormatting sqref="APE4:AQB4 AQD4:AQE4">
    <cfRule type="cellIs" dxfId="512" priority="448" operator="equal">
      <formula>0.0001</formula>
    </cfRule>
  </conditionalFormatting>
  <conditionalFormatting sqref="AQH4:ARE4 ARG4:ARH4">
    <cfRule type="cellIs" dxfId="511" priority="447" operator="equal">
      <formula>0.0001</formula>
    </cfRule>
  </conditionalFormatting>
  <conditionalFormatting sqref="ARK4:ASH4 ASJ4:ASK4">
    <cfRule type="cellIs" dxfId="510" priority="446" operator="equal">
      <formula>0.0001</formula>
    </cfRule>
  </conditionalFormatting>
  <conditionalFormatting sqref="ASN4:ATK4 ATM4:ATN4">
    <cfRule type="cellIs" dxfId="509" priority="445" operator="equal">
      <formula>0.0001</formula>
    </cfRule>
  </conditionalFormatting>
  <conditionalFormatting sqref="ATQ4:AUN4 AUP4:AUQ4">
    <cfRule type="cellIs" dxfId="508" priority="444" operator="equal">
      <formula>0.0001</formula>
    </cfRule>
  </conditionalFormatting>
  <conditionalFormatting sqref="AUT4:AVQ4 AVS4:AVT4">
    <cfRule type="cellIs" dxfId="507" priority="443" operator="equal">
      <formula>0.0001</formula>
    </cfRule>
  </conditionalFormatting>
  <conditionalFormatting sqref="AVW4:AWT4 AWV4:AWW4">
    <cfRule type="cellIs" dxfId="506" priority="442" operator="equal">
      <formula>0.0001</formula>
    </cfRule>
  </conditionalFormatting>
  <conditionalFormatting sqref="AWZ4:AXW4 AXY4:AXZ4">
    <cfRule type="cellIs" dxfId="505" priority="441" operator="equal">
      <formula>0.0001</formula>
    </cfRule>
  </conditionalFormatting>
  <conditionalFormatting sqref="AYC4:AYZ4 AZB4:AZC4">
    <cfRule type="cellIs" dxfId="504" priority="440" operator="equal">
      <formula>0.0001</formula>
    </cfRule>
  </conditionalFormatting>
  <conditionalFormatting sqref="AZF4:BAC4 BAE4:BAF4">
    <cfRule type="cellIs" dxfId="503" priority="439" operator="equal">
      <formula>0.0001</formula>
    </cfRule>
  </conditionalFormatting>
  <conditionalFormatting sqref="BAI4:BBF4 BBH4:BBI4">
    <cfRule type="cellIs" dxfId="502" priority="438" operator="equal">
      <formula>0.0001</formula>
    </cfRule>
  </conditionalFormatting>
  <conditionalFormatting sqref="BBL4:BCI4 BCK4:BCL4">
    <cfRule type="cellIs" dxfId="501" priority="437" operator="equal">
      <formula>0.0001</formula>
    </cfRule>
  </conditionalFormatting>
  <conditionalFormatting sqref="BCO4:BDL4 BDN4:BDO4">
    <cfRule type="cellIs" dxfId="500" priority="436" operator="equal">
      <formula>0.0001</formula>
    </cfRule>
  </conditionalFormatting>
  <conditionalFormatting sqref="BDR4:BEO4 BEQ4:BER4">
    <cfRule type="cellIs" dxfId="499" priority="435" operator="equal">
      <formula>0.0001</formula>
    </cfRule>
  </conditionalFormatting>
  <conditionalFormatting sqref="BFX4:BGU4 BGW4:BGX4">
    <cfRule type="cellIs" dxfId="498" priority="434" operator="equal">
      <formula>0.0001</formula>
    </cfRule>
  </conditionalFormatting>
  <conditionalFormatting sqref="BHA4:BHX4 BHZ4:BIA4">
    <cfRule type="cellIs" dxfId="497" priority="433" operator="equal">
      <formula>0.0001</formula>
    </cfRule>
  </conditionalFormatting>
  <conditionalFormatting sqref="BJG4:BKD4 BKF4:BKG4">
    <cfRule type="cellIs" dxfId="496" priority="432" operator="equal">
      <formula>0.0001</formula>
    </cfRule>
  </conditionalFormatting>
  <conditionalFormatting sqref="BKJ4:BLG4 BLI4:BLJ4">
    <cfRule type="cellIs" dxfId="495" priority="431" operator="equal">
      <formula>0.0001</formula>
    </cfRule>
  </conditionalFormatting>
  <conditionalFormatting sqref="BLM4:BMJ4 BML4:BMM4">
    <cfRule type="cellIs" dxfId="494" priority="430" operator="equal">
      <formula>0.0001</formula>
    </cfRule>
  </conditionalFormatting>
  <conditionalFormatting sqref="BMP4:BNM4 BNO4:BNP4">
    <cfRule type="cellIs" dxfId="493" priority="429" operator="equal">
      <formula>0.0001</formula>
    </cfRule>
  </conditionalFormatting>
  <conditionalFormatting sqref="BNS4:BOP4 BOR4:BOS4">
    <cfRule type="cellIs" dxfId="492" priority="428" operator="equal">
      <formula>0.0001</formula>
    </cfRule>
  </conditionalFormatting>
  <conditionalFormatting sqref="BOV4:BPS4 BPU4:BPV4">
    <cfRule type="cellIs" dxfId="491" priority="427" operator="equal">
      <formula>0.0001</formula>
    </cfRule>
  </conditionalFormatting>
  <conditionalFormatting sqref="BPY4:BQV4 BQX4:BQY4">
    <cfRule type="cellIs" dxfId="490" priority="426" operator="equal">
      <formula>0.0001</formula>
    </cfRule>
  </conditionalFormatting>
  <conditionalFormatting sqref="BRB4:BRY4 BSA4:BSB4">
    <cfRule type="cellIs" dxfId="489" priority="425" operator="equal">
      <formula>0.0001</formula>
    </cfRule>
  </conditionalFormatting>
  <conditionalFormatting sqref="BSE4:BTB4 BTD4:BTE4">
    <cfRule type="cellIs" dxfId="488" priority="424" operator="equal">
      <formula>0.0001</formula>
    </cfRule>
  </conditionalFormatting>
  <conditionalFormatting sqref="BTH4:BUE4 BUG4:BUH4">
    <cfRule type="cellIs" dxfId="487" priority="423" operator="equal">
      <formula>0.0001</formula>
    </cfRule>
  </conditionalFormatting>
  <conditionalFormatting sqref="BUK4:BVH4 BVJ4:BVK4">
    <cfRule type="cellIs" dxfId="486" priority="422" operator="equal">
      <formula>0.0001</formula>
    </cfRule>
  </conditionalFormatting>
  <conditionalFormatting sqref="BVN4:BWK4 BWM4:BWN4">
    <cfRule type="cellIs" dxfId="485" priority="421" operator="equal">
      <formula>0.0001</formula>
    </cfRule>
  </conditionalFormatting>
  <conditionalFormatting sqref="BWQ4:BXN4 BXP4:BXQ4">
    <cfRule type="cellIs" dxfId="484" priority="420" operator="equal">
      <formula>0.0001</formula>
    </cfRule>
  </conditionalFormatting>
  <conditionalFormatting sqref="BXT4:BYQ4 BYS4:BYT4">
    <cfRule type="cellIs" dxfId="483" priority="419" operator="equal">
      <formula>0.0001</formula>
    </cfRule>
  </conditionalFormatting>
  <conditionalFormatting sqref="BZX4:CAU4 CAW4:CAX4">
    <cfRule type="cellIs" dxfId="482" priority="418" operator="equal">
      <formula>0.0001</formula>
    </cfRule>
  </conditionalFormatting>
  <conditionalFormatting sqref="CAZ4:CBW4 CBY4:CBZ4">
    <cfRule type="cellIs" dxfId="481" priority="417" operator="equal">
      <formula>0.0001</formula>
    </cfRule>
  </conditionalFormatting>
  <conditionalFormatting sqref="CFL4:CGI4 CGK4:CGL4">
    <cfRule type="cellIs" dxfId="480" priority="416" operator="equal">
      <formula>0.0001</formula>
    </cfRule>
  </conditionalFormatting>
  <conditionalFormatting sqref="CEI4:CFF4 CFH4:CFI4">
    <cfRule type="cellIs" dxfId="479" priority="415" operator="equal">
      <formula>0.0001</formula>
    </cfRule>
  </conditionalFormatting>
  <conditionalFormatting sqref="CDF4:CEC4 CEE4:CEF4">
    <cfRule type="cellIs" dxfId="478" priority="414" operator="equal">
      <formula>0.0001</formula>
    </cfRule>
  </conditionalFormatting>
  <conditionalFormatting sqref="CCB4:CCY4 CDA4:CDB4">
    <cfRule type="cellIs" dxfId="477" priority="413" operator="equal">
      <formula>0.0001</formula>
    </cfRule>
  </conditionalFormatting>
  <conditionalFormatting sqref="CGP4:CHM4 CHO4:CHP4">
    <cfRule type="cellIs" dxfId="476" priority="412" operator="equal">
      <formula>0.0001</formula>
    </cfRule>
  </conditionalFormatting>
  <conditionalFormatting sqref="CHZ4:CIW4 CIY4:CIZ4">
    <cfRule type="cellIs" dxfId="475" priority="411" operator="equal">
      <formula>0.0001</formula>
    </cfRule>
  </conditionalFormatting>
  <conditionalFormatting sqref="CJC4:CJZ4 CKB4:CKC4">
    <cfRule type="cellIs" dxfId="474" priority="410" operator="equal">
      <formula>0.0001</formula>
    </cfRule>
  </conditionalFormatting>
  <conditionalFormatting sqref="CKF4:CLC4 CLE4:CLF4">
    <cfRule type="cellIs" dxfId="473" priority="409" operator="equal">
      <formula>0.0001</formula>
    </cfRule>
  </conditionalFormatting>
  <conditionalFormatting sqref="CLJ4:CMG4 CMI4:CMJ4">
    <cfRule type="cellIs" dxfId="472" priority="408" operator="equal">
      <formula>0.0001</formula>
    </cfRule>
  </conditionalFormatting>
  <conditionalFormatting sqref="CMU4:CNR4 CNT4:CNU4">
    <cfRule type="cellIs" dxfId="471" priority="407" operator="equal">
      <formula>0.0001</formula>
    </cfRule>
  </conditionalFormatting>
  <conditionalFormatting sqref="CNX4:COU4 COW4:COX4">
    <cfRule type="cellIs" dxfId="470" priority="406" operator="equal">
      <formula>0.0001</formula>
    </cfRule>
  </conditionalFormatting>
  <conditionalFormatting sqref="CQD4:CRA4 CRC4:CRD4">
    <cfRule type="cellIs" dxfId="469" priority="405" operator="equal">
      <formula>0.0001</formula>
    </cfRule>
  </conditionalFormatting>
  <conditionalFormatting sqref="CE4">
    <cfRule type="cellIs" dxfId="468" priority="366" operator="equal">
      <formula>0.01%</formula>
    </cfRule>
  </conditionalFormatting>
  <conditionalFormatting sqref="DK4">
    <cfRule type="cellIs" dxfId="467" priority="365" operator="equal">
      <formula>0.01%</formula>
    </cfRule>
  </conditionalFormatting>
  <conditionalFormatting sqref="FG4">
    <cfRule type="cellIs" dxfId="466" priority="364" operator="equal">
      <formula>0.0001</formula>
    </cfRule>
  </conditionalFormatting>
  <conditionalFormatting sqref="ON4">
    <cfRule type="cellIs" dxfId="465" priority="363" operator="equal">
      <formula>0.0001</formula>
    </cfRule>
  </conditionalFormatting>
  <conditionalFormatting sqref="QW4">
    <cfRule type="cellIs" dxfId="464" priority="362" operator="equal">
      <formula>0.0001</formula>
    </cfRule>
  </conditionalFormatting>
  <conditionalFormatting sqref="TF4">
    <cfRule type="cellIs" dxfId="463" priority="361" operator="equal">
      <formula>0.0001</formula>
    </cfRule>
  </conditionalFormatting>
  <conditionalFormatting sqref="VO4">
    <cfRule type="cellIs" dxfId="462" priority="360" operator="equal">
      <formula>0.0001</formula>
    </cfRule>
  </conditionalFormatting>
  <conditionalFormatting sqref="ADR4">
    <cfRule type="cellIs" dxfId="461" priority="359" operator="equal">
      <formula>0.0001</formula>
    </cfRule>
  </conditionalFormatting>
  <conditionalFormatting sqref="AEU4">
    <cfRule type="cellIs" dxfId="460" priority="358" operator="equal">
      <formula>0.0001</formula>
    </cfRule>
  </conditionalFormatting>
  <conditionalFormatting sqref="AIH4">
    <cfRule type="cellIs" dxfId="459" priority="357" operator="equal">
      <formula>0.0001</formula>
    </cfRule>
  </conditionalFormatting>
  <conditionalFormatting sqref="AJK4">
    <cfRule type="cellIs" dxfId="458" priority="356" operator="equal">
      <formula>0.0001</formula>
    </cfRule>
  </conditionalFormatting>
  <conditionalFormatting sqref="AKN4">
    <cfRule type="cellIs" dxfId="457" priority="355" operator="equal">
      <formula>0.0001</formula>
    </cfRule>
  </conditionalFormatting>
  <conditionalFormatting sqref="ALQ4">
    <cfRule type="cellIs" dxfId="456" priority="354" operator="equal">
      <formula>0.0001</formula>
    </cfRule>
  </conditionalFormatting>
  <conditionalFormatting sqref="AMT4">
    <cfRule type="cellIs" dxfId="455" priority="353" operator="equal">
      <formula>0.0001</formula>
    </cfRule>
  </conditionalFormatting>
  <conditionalFormatting sqref="ANW4">
    <cfRule type="cellIs" dxfId="454" priority="352" operator="equal">
      <formula>0.0001</formula>
    </cfRule>
  </conditionalFormatting>
  <conditionalFormatting sqref="AOZ4">
    <cfRule type="cellIs" dxfId="453" priority="351" operator="equal">
      <formula>0.0001</formula>
    </cfRule>
  </conditionalFormatting>
  <conditionalFormatting sqref="AQC4">
    <cfRule type="cellIs" dxfId="452" priority="350" operator="equal">
      <formula>0.0001</formula>
    </cfRule>
  </conditionalFormatting>
  <conditionalFormatting sqref="ARF4">
    <cfRule type="cellIs" dxfId="451" priority="349" operator="equal">
      <formula>0.0001</formula>
    </cfRule>
  </conditionalFormatting>
  <conditionalFormatting sqref="ASI4">
    <cfRule type="cellIs" dxfId="450" priority="348" operator="equal">
      <formula>0.0001</formula>
    </cfRule>
  </conditionalFormatting>
  <conditionalFormatting sqref="ATL4">
    <cfRule type="cellIs" dxfId="449" priority="347" operator="equal">
      <formula>0.0001</formula>
    </cfRule>
  </conditionalFormatting>
  <conditionalFormatting sqref="AUO4">
    <cfRule type="cellIs" dxfId="448" priority="346" operator="equal">
      <formula>0.0001</formula>
    </cfRule>
  </conditionalFormatting>
  <conditionalFormatting sqref="AVR4">
    <cfRule type="cellIs" dxfId="447" priority="345" operator="equal">
      <formula>0.0001</formula>
    </cfRule>
  </conditionalFormatting>
  <conditionalFormatting sqref="AWU4">
    <cfRule type="cellIs" dxfId="446" priority="344" operator="equal">
      <formula>0.0001</formula>
    </cfRule>
  </conditionalFormatting>
  <conditionalFormatting sqref="AXX4">
    <cfRule type="cellIs" dxfId="445" priority="343" operator="equal">
      <formula>0.0001</formula>
    </cfRule>
  </conditionalFormatting>
  <conditionalFormatting sqref="AZA4">
    <cfRule type="cellIs" dxfId="444" priority="342" operator="equal">
      <formula>0.0001</formula>
    </cfRule>
  </conditionalFormatting>
  <conditionalFormatting sqref="BAD4">
    <cfRule type="cellIs" dxfId="443" priority="341" operator="equal">
      <formula>0.0001</formula>
    </cfRule>
  </conditionalFormatting>
  <conditionalFormatting sqref="BBG4">
    <cfRule type="cellIs" dxfId="442" priority="340" operator="equal">
      <formula>0.0001</formula>
    </cfRule>
  </conditionalFormatting>
  <conditionalFormatting sqref="BCJ4">
    <cfRule type="cellIs" dxfId="441" priority="339" operator="equal">
      <formula>0.0001</formula>
    </cfRule>
  </conditionalFormatting>
  <conditionalFormatting sqref="BDM4">
    <cfRule type="cellIs" dxfId="440" priority="338" operator="equal">
      <formula>0.0001</formula>
    </cfRule>
  </conditionalFormatting>
  <conditionalFormatting sqref="BEP4">
    <cfRule type="cellIs" dxfId="439" priority="337" operator="equal">
      <formula>0.0001</formula>
    </cfRule>
  </conditionalFormatting>
  <conditionalFormatting sqref="BGV4">
    <cfRule type="cellIs" dxfId="438" priority="336" operator="equal">
      <formula>0.0001</formula>
    </cfRule>
  </conditionalFormatting>
  <conditionalFormatting sqref="BHY4">
    <cfRule type="cellIs" dxfId="437" priority="335" operator="equal">
      <formula>0.0001</formula>
    </cfRule>
  </conditionalFormatting>
  <conditionalFormatting sqref="BKE4">
    <cfRule type="cellIs" dxfId="436" priority="334" operator="equal">
      <formula>0.0001</formula>
    </cfRule>
  </conditionalFormatting>
  <conditionalFormatting sqref="BLH4">
    <cfRule type="cellIs" dxfId="435" priority="333" operator="equal">
      <formula>0.0001</formula>
    </cfRule>
  </conditionalFormatting>
  <conditionalFormatting sqref="BMK4">
    <cfRule type="cellIs" dxfId="434" priority="332" operator="equal">
      <formula>0.0001</formula>
    </cfRule>
  </conditionalFormatting>
  <conditionalFormatting sqref="BNN4">
    <cfRule type="cellIs" dxfId="433" priority="331" operator="equal">
      <formula>0.0001</formula>
    </cfRule>
  </conditionalFormatting>
  <conditionalFormatting sqref="BOQ4">
    <cfRule type="cellIs" dxfId="432" priority="330" operator="equal">
      <formula>0.0001</formula>
    </cfRule>
  </conditionalFormatting>
  <conditionalFormatting sqref="BPT4">
    <cfRule type="cellIs" dxfId="431" priority="329" operator="equal">
      <formula>0.0001</formula>
    </cfRule>
  </conditionalFormatting>
  <conditionalFormatting sqref="BQW4">
    <cfRule type="cellIs" dxfId="430" priority="328" operator="equal">
      <formula>0.0001</formula>
    </cfRule>
  </conditionalFormatting>
  <conditionalFormatting sqref="BRZ4">
    <cfRule type="cellIs" dxfId="429" priority="327" operator="equal">
      <formula>0.0001</formula>
    </cfRule>
  </conditionalFormatting>
  <conditionalFormatting sqref="BTC4">
    <cfRule type="cellIs" dxfId="428" priority="326" operator="equal">
      <formula>0.0001</formula>
    </cfRule>
  </conditionalFormatting>
  <conditionalFormatting sqref="BUF4">
    <cfRule type="cellIs" dxfId="427" priority="325" operator="equal">
      <formula>0.0001</formula>
    </cfRule>
  </conditionalFormatting>
  <conditionalFormatting sqref="BVI4">
    <cfRule type="cellIs" dxfId="426" priority="324" operator="equal">
      <formula>0.0001</formula>
    </cfRule>
  </conditionalFormatting>
  <conditionalFormatting sqref="BWL4">
    <cfRule type="cellIs" dxfId="425" priority="323" operator="equal">
      <formula>0.0001</formula>
    </cfRule>
  </conditionalFormatting>
  <conditionalFormatting sqref="BXO4">
    <cfRule type="cellIs" dxfId="424" priority="322" operator="equal">
      <formula>0.0001</formula>
    </cfRule>
  </conditionalFormatting>
  <conditionalFormatting sqref="BYR4">
    <cfRule type="cellIs" dxfId="423" priority="321" operator="equal">
      <formula>0.0001</formula>
    </cfRule>
  </conditionalFormatting>
  <conditionalFormatting sqref="CAV4">
    <cfRule type="cellIs" dxfId="422" priority="320" operator="equal">
      <formula>0.0001</formula>
    </cfRule>
  </conditionalFormatting>
  <conditionalFormatting sqref="CBX4">
    <cfRule type="cellIs" dxfId="421" priority="319" operator="equal">
      <formula>0.0001</formula>
    </cfRule>
  </conditionalFormatting>
  <conditionalFormatting sqref="CCZ4">
    <cfRule type="cellIs" dxfId="420" priority="318" operator="equal">
      <formula>0.0001</formula>
    </cfRule>
  </conditionalFormatting>
  <conditionalFormatting sqref="CED4">
    <cfRule type="cellIs" dxfId="419" priority="317" operator="equal">
      <formula>0.0001</formula>
    </cfRule>
  </conditionalFormatting>
  <conditionalFormatting sqref="CFG4">
    <cfRule type="cellIs" dxfId="418" priority="316" operator="equal">
      <formula>0.0001</formula>
    </cfRule>
  </conditionalFormatting>
  <conditionalFormatting sqref="CGJ4">
    <cfRule type="cellIs" dxfId="417" priority="315" operator="equal">
      <formula>0.0001</formula>
    </cfRule>
  </conditionalFormatting>
  <conditionalFormatting sqref="CHN4">
    <cfRule type="cellIs" dxfId="416" priority="314" operator="equal">
      <formula>0.0001</formula>
    </cfRule>
  </conditionalFormatting>
  <conditionalFormatting sqref="CIX4">
    <cfRule type="cellIs" dxfId="415" priority="313" operator="equal">
      <formula>0.0001</formula>
    </cfRule>
  </conditionalFormatting>
  <conditionalFormatting sqref="CKA4">
    <cfRule type="cellIs" dxfId="414" priority="312" operator="equal">
      <formula>0.0001</formula>
    </cfRule>
  </conditionalFormatting>
  <conditionalFormatting sqref="CLD4">
    <cfRule type="cellIs" dxfId="413" priority="311" operator="equal">
      <formula>0.0001</formula>
    </cfRule>
  </conditionalFormatting>
  <conditionalFormatting sqref="CMH4">
    <cfRule type="cellIs" dxfId="412" priority="310" operator="equal">
      <formula>0.0001</formula>
    </cfRule>
  </conditionalFormatting>
  <conditionalFormatting sqref="CNS4">
    <cfRule type="cellIs" dxfId="411" priority="309" operator="equal">
      <formula>0.0001</formula>
    </cfRule>
  </conditionalFormatting>
  <conditionalFormatting sqref="COV4">
    <cfRule type="cellIs" dxfId="410" priority="308" operator="equal">
      <formula>0.0001</formula>
    </cfRule>
  </conditionalFormatting>
  <conditionalFormatting sqref="CRB4">
    <cfRule type="cellIs" dxfId="409" priority="307" operator="equal">
      <formula>0.0001</formula>
    </cfRule>
  </conditionalFormatting>
  <conditionalFormatting sqref="BYV4:BZV4">
    <cfRule type="cellIs" dxfId="408" priority="306" operator="equal">
      <formula>0.0001</formula>
    </cfRule>
  </conditionalFormatting>
  <conditionalFormatting sqref="BEU4:BFU4">
    <cfRule type="cellIs" dxfId="407" priority="305" operator="equal">
      <formula>0.0001</formula>
    </cfRule>
  </conditionalFormatting>
  <conditionalFormatting sqref="JZ4 LD4">
    <cfRule type="expression" dxfId="406" priority="477">
      <formula>#REF!&gt;0</formula>
    </cfRule>
  </conditionalFormatting>
  <conditionalFormatting sqref="CI4">
    <cfRule type="expression" dxfId="405" priority="478">
      <formula>#REF!=""</formula>
    </cfRule>
  </conditionalFormatting>
  <conditionalFormatting sqref="CJ4">
    <cfRule type="expression" dxfId="404" priority="479">
      <formula>#REF!=""</formula>
    </cfRule>
  </conditionalFormatting>
  <conditionalFormatting sqref="DZ4">
    <cfRule type="expression" dxfId="403" priority="480">
      <formula>#REF!&lt;1</formula>
    </cfRule>
  </conditionalFormatting>
  <conditionalFormatting sqref="COZ4">
    <cfRule type="expression" dxfId="402" priority="481">
      <formula>#REF!&lt;=0</formula>
    </cfRule>
  </conditionalFormatting>
  <conditionalFormatting sqref="BB4">
    <cfRule type="expression" dxfId="401" priority="303">
      <formula>#REF!=""</formula>
    </cfRule>
    <cfRule type="expression" dxfId="400" priority="304">
      <formula>$BB4&lt;43.33</formula>
    </cfRule>
  </conditionalFormatting>
  <conditionalFormatting sqref="VQ4">
    <cfRule type="cellIs" dxfId="399" priority="297" operator="equal">
      <formula>"Tratamento"</formula>
    </cfRule>
  </conditionalFormatting>
  <conditionalFormatting sqref="XZ4">
    <cfRule type="cellIs" dxfId="398" priority="296" operator="equal">
      <formula>"Tratamento"</formula>
    </cfRule>
  </conditionalFormatting>
  <conditionalFormatting sqref="AAI4">
    <cfRule type="cellIs" dxfId="397" priority="295" operator="equal">
      <formula>"Tratamento"</formula>
    </cfRule>
  </conditionalFormatting>
  <conditionalFormatting sqref="CG4">
    <cfRule type="expression" dxfId="396" priority="288">
      <formula>#REF!=""</formula>
    </cfRule>
  </conditionalFormatting>
  <conditionalFormatting sqref="AU4">
    <cfRule type="duplicateValues" dxfId="395" priority="497"/>
  </conditionalFormatting>
  <conditionalFormatting sqref="AU4">
    <cfRule type="duplicateValues" dxfId="394" priority="498"/>
  </conditionalFormatting>
  <conditionalFormatting sqref="AF4">
    <cfRule type="duplicateValues" dxfId="393" priority="499"/>
    <cfRule type="duplicateValues" dxfId="392" priority="500"/>
  </conditionalFormatting>
  <conditionalFormatting sqref="CG5 CI5">
    <cfRule type="expression" dxfId="391" priority="282">
      <formula>$CI5&lt;43.33</formula>
    </cfRule>
  </conditionalFormatting>
  <conditionalFormatting sqref="CDD5">
    <cfRule type="expression" dxfId="390" priority="277">
      <formula>"SE(ESQUERDA(AR4;23)&lt;&gt;""Oi Total Fixo + Oi Mais"</formula>
    </cfRule>
    <cfRule type="expression" dxfId="389" priority="280">
      <formula>CHR5/(CGO5+CHR5)&gt;50%</formula>
    </cfRule>
    <cfRule type="expression" dxfId="388" priority="281">
      <formula>CEH5/(CDD5-CDE5)&gt;30%</formula>
    </cfRule>
  </conditionalFormatting>
  <conditionalFormatting sqref="CHX5">
    <cfRule type="expression" dxfId="387" priority="278">
      <formula>CML5/(CLI5+CML5)&gt;50%</formula>
    </cfRule>
    <cfRule type="expression" dxfId="386" priority="279">
      <formula>CJB5/CHX5&gt;30%</formula>
    </cfRule>
  </conditionalFormatting>
  <conditionalFormatting sqref="CDD5">
    <cfRule type="expression" dxfId="385" priority="276">
      <formula>LEFT(AV5,23)&lt;&gt;"Oi Total Fixo + Oi Mais"</formula>
    </cfRule>
  </conditionalFormatting>
  <conditionalFormatting sqref="CHX5">
    <cfRule type="expression" dxfId="384" priority="275">
      <formula>LEFT(AV5,23)&lt;&gt;"Oi Total Fixo + Oi Mais"</formula>
    </cfRule>
  </conditionalFormatting>
  <conditionalFormatting sqref="CMQ5">
    <cfRule type="expression" dxfId="383" priority="274">
      <formula>LEFT(AV5,19)&lt;&gt;"Oi Total Fixo + Pós"</formula>
    </cfRule>
  </conditionalFormatting>
  <conditionalFormatting sqref="CMP5">
    <cfRule type="expression" dxfId="382" priority="273">
      <formula>LEFT(AV5,19)&lt;&gt;"Oi Total Fixo + Pós"</formula>
    </cfRule>
  </conditionalFormatting>
  <conditionalFormatting sqref="CMP5">
    <cfRule type="expression" dxfId="381" priority="272">
      <formula>AV5&lt;&gt;"Oi Total Fixo + Pós Conectado Mais + Banda Larga"</formula>
    </cfRule>
  </conditionalFormatting>
  <conditionalFormatting sqref="FL5:GL5 GP5:HP5 HT5:IT5 IX5:JX5 KB5:LB5 LF5:MF5 MJ5:NJ5 OS5:PS5 RB5:SB5 TK5:UK5 CJA5 VT5:WT5 WY5:XY5 YC5:ZC5 ZH5:AAH5 AAL5:ABL5 ABQ5:ACQ5 BID5:BJD5">
    <cfRule type="cellIs" dxfId="380" priority="269" operator="equal">
      <formula>0.0001</formula>
    </cfRule>
  </conditionalFormatting>
  <conditionalFormatting sqref="EE5">
    <cfRule type="cellIs" dxfId="379" priority="262" operator="equal">
      <formula>"Tratamento"</formula>
    </cfRule>
  </conditionalFormatting>
  <conditionalFormatting sqref="GM5">
    <cfRule type="cellIs" dxfId="378" priority="260" operator="equal">
      <formula>"Tratamento"</formula>
    </cfRule>
  </conditionalFormatting>
  <conditionalFormatting sqref="FI5">
    <cfRule type="cellIs" dxfId="377" priority="261" operator="equal">
      <formula>"Tratamento"</formula>
    </cfRule>
  </conditionalFormatting>
  <conditionalFormatting sqref="HQ5">
    <cfRule type="cellIs" dxfId="376" priority="259" operator="equal">
      <formula>"Tratamento"</formula>
    </cfRule>
  </conditionalFormatting>
  <conditionalFormatting sqref="IU5">
    <cfRule type="cellIs" dxfId="375" priority="258" operator="equal">
      <formula>"Tratamento"</formula>
    </cfRule>
  </conditionalFormatting>
  <conditionalFormatting sqref="QY5">
    <cfRule type="cellIs" dxfId="374" priority="257" operator="equal">
      <formula>"Tratamento"</formula>
    </cfRule>
  </conditionalFormatting>
  <conditionalFormatting sqref="TH5">
    <cfRule type="cellIs" dxfId="373" priority="256" operator="equal">
      <formula>"Tratamento"</formula>
    </cfRule>
  </conditionalFormatting>
  <conditionalFormatting sqref="JY5">
    <cfRule type="cellIs" dxfId="372" priority="255" operator="equal">
      <formula>"Tratamento"</formula>
    </cfRule>
  </conditionalFormatting>
  <conditionalFormatting sqref="LC5">
    <cfRule type="cellIs" dxfId="371" priority="254" operator="equal">
      <formula>"Tratamento"</formula>
    </cfRule>
  </conditionalFormatting>
  <conditionalFormatting sqref="MG5">
    <cfRule type="cellIs" dxfId="370" priority="253" operator="equal">
      <formula>"Tratamento"</formula>
    </cfRule>
  </conditionalFormatting>
  <conditionalFormatting sqref="OP5">
    <cfRule type="cellIs" dxfId="369" priority="252" operator="equal">
      <formula>"Tratamento"</formula>
    </cfRule>
  </conditionalFormatting>
  <conditionalFormatting sqref="BF5:CD5 CF5 CN5:DJ5 DL5">
    <cfRule type="cellIs" dxfId="368" priority="251" operator="equal">
      <formula>0.01%</formula>
    </cfRule>
  </conditionalFormatting>
  <conditionalFormatting sqref="CL5:CM5">
    <cfRule type="cellIs" dxfId="367" priority="250" operator="equal">
      <formula>0.01%</formula>
    </cfRule>
  </conditionalFormatting>
  <conditionalFormatting sqref="EH5:FF5 FH5 NQ5:OM5 OO5 PZ5:QV5 QX5 SI5:TE5 TG5 UR5:VN5 VP5 ACV5:ADQ5 ADS5:ADT5 ADY5:AET5 AEV5:AEW5">
    <cfRule type="cellIs" dxfId="366" priority="249" operator="equal">
      <formula>0.0001</formula>
    </cfRule>
  </conditionalFormatting>
  <conditionalFormatting sqref="NO5:NP5">
    <cfRule type="cellIs" dxfId="365" priority="248" operator="equal">
      <formula>0.0001</formula>
    </cfRule>
  </conditionalFormatting>
  <conditionalFormatting sqref="PX5:PY5">
    <cfRule type="cellIs" dxfId="364" priority="247" operator="equal">
      <formula>0.0001</formula>
    </cfRule>
  </conditionalFormatting>
  <conditionalFormatting sqref="SG5:SH5">
    <cfRule type="cellIs" dxfId="363" priority="246" operator="equal">
      <formula>0.0001</formula>
    </cfRule>
  </conditionalFormatting>
  <conditionalFormatting sqref="UP5:UQ5">
    <cfRule type="cellIs" dxfId="362" priority="245" operator="equal">
      <formula>0.0001</formula>
    </cfRule>
  </conditionalFormatting>
  <conditionalFormatting sqref="ACT5:ACU5">
    <cfRule type="cellIs" dxfId="361" priority="244" operator="equal">
      <formula>0.0001</formula>
    </cfRule>
  </conditionalFormatting>
  <conditionalFormatting sqref="ADW5:ADX5">
    <cfRule type="cellIs" dxfId="360" priority="243" operator="equal">
      <formula>0.0001</formula>
    </cfRule>
  </conditionalFormatting>
  <conditionalFormatting sqref="AHJ5:AIG5 AII5:AIJ5">
    <cfRule type="cellIs" dxfId="359" priority="242" operator="equal">
      <formula>0.0001</formula>
    </cfRule>
  </conditionalFormatting>
  <conditionalFormatting sqref="AJP5:AKM5 AKO5:AKP5">
    <cfRule type="cellIs" dxfId="358" priority="241" operator="equal">
      <formula>0.0001</formula>
    </cfRule>
  </conditionalFormatting>
  <conditionalFormatting sqref="AGG5:AHG5">
    <cfRule type="cellIs" dxfId="357" priority="240" operator="equal">
      <formula>0.0001</formula>
    </cfRule>
  </conditionalFormatting>
  <conditionalFormatting sqref="AIM5:AJJ5 AJL5:AJM5">
    <cfRule type="cellIs" dxfId="356" priority="239" operator="equal">
      <formula>0.0001</formula>
    </cfRule>
  </conditionalFormatting>
  <conditionalFormatting sqref="AKS5:ALP5 ALR5:ALS5">
    <cfRule type="cellIs" dxfId="355" priority="238" operator="equal">
      <formula>0.0001</formula>
    </cfRule>
  </conditionalFormatting>
  <conditionalFormatting sqref="ALV5:AMS5 AMU5:AMV5">
    <cfRule type="cellIs" dxfId="354" priority="237" operator="equal">
      <formula>0.0001</formula>
    </cfRule>
  </conditionalFormatting>
  <conditionalFormatting sqref="AMY5:ANV5 ANX5:ANY5">
    <cfRule type="cellIs" dxfId="353" priority="236" operator="equal">
      <formula>0.0001</formula>
    </cfRule>
  </conditionalFormatting>
  <conditionalFormatting sqref="AOB5:AOY5 APA5:APB5">
    <cfRule type="cellIs" dxfId="352" priority="235" operator="equal">
      <formula>0.0001</formula>
    </cfRule>
  </conditionalFormatting>
  <conditionalFormatting sqref="APE5:AQB5 AQD5:AQE5">
    <cfRule type="cellIs" dxfId="351" priority="234" operator="equal">
      <formula>0.0001</formula>
    </cfRule>
  </conditionalFormatting>
  <conditionalFormatting sqref="AQH5:ARE5 ARG5:ARH5">
    <cfRule type="cellIs" dxfId="350" priority="233" operator="equal">
      <formula>0.0001</formula>
    </cfRule>
  </conditionalFormatting>
  <conditionalFormatting sqref="ARK5:ASH5 ASJ5:ASK5">
    <cfRule type="cellIs" dxfId="349" priority="232" operator="equal">
      <formula>0.0001</formula>
    </cfRule>
  </conditionalFormatting>
  <conditionalFormatting sqref="ASN5:ATK5 ATM5:ATN5">
    <cfRule type="cellIs" dxfId="348" priority="231" operator="equal">
      <formula>0.0001</formula>
    </cfRule>
  </conditionalFormatting>
  <conditionalFormatting sqref="ATQ5:AUN5 AUP5:AUQ5">
    <cfRule type="cellIs" dxfId="347" priority="230" operator="equal">
      <formula>0.0001</formula>
    </cfRule>
  </conditionalFormatting>
  <conditionalFormatting sqref="AUT5:AVQ5 AVS5:AVT5">
    <cfRule type="cellIs" dxfId="346" priority="229" operator="equal">
      <formula>0.0001</formula>
    </cfRule>
  </conditionalFormatting>
  <conditionalFormatting sqref="AVW5:AWT5 AWV5:AWW5">
    <cfRule type="cellIs" dxfId="345" priority="228" operator="equal">
      <formula>0.0001</formula>
    </cfRule>
  </conditionalFormatting>
  <conditionalFormatting sqref="AWZ5:AXW5 AXY5:AXZ5">
    <cfRule type="cellIs" dxfId="344" priority="227" operator="equal">
      <formula>0.0001</formula>
    </cfRule>
  </conditionalFormatting>
  <conditionalFormatting sqref="AYC5:AYZ5 AZB5:AZC5">
    <cfRule type="cellIs" dxfId="343" priority="226" operator="equal">
      <formula>0.0001</formula>
    </cfRule>
  </conditionalFormatting>
  <conditionalFormatting sqref="AZF5:BAC5 BAE5:BAF5">
    <cfRule type="cellIs" dxfId="342" priority="225" operator="equal">
      <formula>0.0001</formula>
    </cfRule>
  </conditionalFormatting>
  <conditionalFormatting sqref="BAI5:BBF5 BBH5:BBI5">
    <cfRule type="cellIs" dxfId="341" priority="224" operator="equal">
      <formula>0.0001</formula>
    </cfRule>
  </conditionalFormatting>
  <conditionalFormatting sqref="BBL5:BCI5 BCK5:BCL5">
    <cfRule type="cellIs" dxfId="340" priority="223" operator="equal">
      <formula>0.0001</formula>
    </cfRule>
  </conditionalFormatting>
  <conditionalFormatting sqref="BCO5:BDL5 BDN5:BDO5">
    <cfRule type="cellIs" dxfId="339" priority="222" operator="equal">
      <formula>0.0001</formula>
    </cfRule>
  </conditionalFormatting>
  <conditionalFormatting sqref="BDR5:BEO5 BEQ5:BER5">
    <cfRule type="cellIs" dxfId="338" priority="221" operator="equal">
      <formula>0.0001</formula>
    </cfRule>
  </conditionalFormatting>
  <conditionalFormatting sqref="BFX5:BGU5 BGW5:BGX5">
    <cfRule type="cellIs" dxfId="337" priority="220" operator="equal">
      <formula>0.0001</formula>
    </cfRule>
  </conditionalFormatting>
  <conditionalFormatting sqref="BHA5:BHX5 BHZ5:BIA5">
    <cfRule type="cellIs" dxfId="336" priority="219" operator="equal">
      <formula>0.0001</formula>
    </cfRule>
  </conditionalFormatting>
  <conditionalFormatting sqref="BJG5:BKD5 BKF5:BKG5">
    <cfRule type="cellIs" dxfId="335" priority="218" operator="equal">
      <formula>0.0001</formula>
    </cfRule>
  </conditionalFormatting>
  <conditionalFormatting sqref="BKJ5:BLG5 BLI5:BLJ5">
    <cfRule type="cellIs" dxfId="334" priority="217" operator="equal">
      <formula>0.0001</formula>
    </cfRule>
  </conditionalFormatting>
  <conditionalFormatting sqref="BLM5:BMJ5 BML5:BMM5">
    <cfRule type="cellIs" dxfId="333" priority="216" operator="equal">
      <formula>0.0001</formula>
    </cfRule>
  </conditionalFormatting>
  <conditionalFormatting sqref="BMP5:BNM5 BNO5:BNP5">
    <cfRule type="cellIs" dxfId="332" priority="215" operator="equal">
      <formula>0.0001</formula>
    </cfRule>
  </conditionalFormatting>
  <conditionalFormatting sqref="BNS5:BOP5 BOR5:BOS5">
    <cfRule type="cellIs" dxfId="331" priority="214" operator="equal">
      <formula>0.0001</formula>
    </cfRule>
  </conditionalFormatting>
  <conditionalFormatting sqref="BOV5:BPS5 BPU5:BPV5">
    <cfRule type="cellIs" dxfId="330" priority="213" operator="equal">
      <formula>0.0001</formula>
    </cfRule>
  </conditionalFormatting>
  <conditionalFormatting sqref="BPY5:BQV5 BQX5:BQY5">
    <cfRule type="cellIs" dxfId="329" priority="212" operator="equal">
      <formula>0.0001</formula>
    </cfRule>
  </conditionalFormatting>
  <conditionalFormatting sqref="BRB5:BRY5 BSA5:BSB5">
    <cfRule type="cellIs" dxfId="328" priority="211" operator="equal">
      <formula>0.0001</formula>
    </cfRule>
  </conditionalFormatting>
  <conditionalFormatting sqref="BSE5:BTB5 BTD5:BTE5">
    <cfRule type="cellIs" dxfId="327" priority="210" operator="equal">
      <formula>0.0001</formula>
    </cfRule>
  </conditionalFormatting>
  <conditionalFormatting sqref="BTH5:BUE5 BUG5:BUH5">
    <cfRule type="cellIs" dxfId="326" priority="209" operator="equal">
      <formula>0.0001</formula>
    </cfRule>
  </conditionalFormatting>
  <conditionalFormatting sqref="BUK5:BVH5 BVJ5:BVK5">
    <cfRule type="cellIs" dxfId="325" priority="208" operator="equal">
      <formula>0.0001</formula>
    </cfRule>
  </conditionalFormatting>
  <conditionalFormatting sqref="BVN5:BWK5 BWM5:BWN5">
    <cfRule type="cellIs" dxfId="324" priority="207" operator="equal">
      <formula>0.0001</formula>
    </cfRule>
  </conditionalFormatting>
  <conditionalFormatting sqref="BWQ5:BXN5 BXP5:BXQ5">
    <cfRule type="cellIs" dxfId="323" priority="206" operator="equal">
      <formula>0.0001</formula>
    </cfRule>
  </conditionalFormatting>
  <conditionalFormatting sqref="BXT5:BYQ5 BYS5:BYT5">
    <cfRule type="cellIs" dxfId="322" priority="205" operator="equal">
      <formula>0.0001</formula>
    </cfRule>
  </conditionalFormatting>
  <conditionalFormatting sqref="BZX5:CAU5 CAW5:CAX5">
    <cfRule type="cellIs" dxfId="321" priority="204" operator="equal">
      <formula>0.0001</formula>
    </cfRule>
  </conditionalFormatting>
  <conditionalFormatting sqref="CAZ5:CBW5 CBY5:CBZ5">
    <cfRule type="cellIs" dxfId="320" priority="203" operator="equal">
      <formula>0.0001</formula>
    </cfRule>
  </conditionalFormatting>
  <conditionalFormatting sqref="CFL5:CGI5 CGK5:CGL5">
    <cfRule type="cellIs" dxfId="319" priority="202" operator="equal">
      <formula>0.0001</formula>
    </cfRule>
  </conditionalFormatting>
  <conditionalFormatting sqref="CEI5:CFF5 CFH5:CFI5">
    <cfRule type="cellIs" dxfId="318" priority="201" operator="equal">
      <formula>0.0001</formula>
    </cfRule>
  </conditionalFormatting>
  <conditionalFormatting sqref="CDF5:CEC5 CEE5:CEF5">
    <cfRule type="cellIs" dxfId="317" priority="200" operator="equal">
      <formula>0.0001</formula>
    </cfRule>
  </conditionalFormatting>
  <conditionalFormatting sqref="CCB5:CCY5 CDA5:CDB5">
    <cfRule type="cellIs" dxfId="316" priority="199" operator="equal">
      <formula>0.0001</formula>
    </cfRule>
  </conditionalFormatting>
  <conditionalFormatting sqref="CGP5:CHM5 CHO5:CHP5">
    <cfRule type="cellIs" dxfId="315" priority="198" operator="equal">
      <formula>0.0001</formula>
    </cfRule>
  </conditionalFormatting>
  <conditionalFormatting sqref="CHZ5:CIW5 CIY5:CIZ5">
    <cfRule type="cellIs" dxfId="314" priority="197" operator="equal">
      <formula>0.0001</formula>
    </cfRule>
  </conditionalFormatting>
  <conditionalFormatting sqref="CJC5:CJZ5 CKB5:CKC5">
    <cfRule type="cellIs" dxfId="313" priority="196" operator="equal">
      <formula>0.0001</formula>
    </cfRule>
  </conditionalFormatting>
  <conditionalFormatting sqref="CKF5:CLC5 CLE5:CLF5">
    <cfRule type="cellIs" dxfId="312" priority="195" operator="equal">
      <formula>0.0001</formula>
    </cfRule>
  </conditionalFormatting>
  <conditionalFormatting sqref="CLJ5:CMG5 CMI5:CMJ5">
    <cfRule type="cellIs" dxfId="311" priority="194" operator="equal">
      <formula>0.0001</formula>
    </cfRule>
  </conditionalFormatting>
  <conditionalFormatting sqref="CMU5:CNR5 CNT5:CNU5">
    <cfRule type="cellIs" dxfId="310" priority="193" operator="equal">
      <formula>0.0001</formula>
    </cfRule>
  </conditionalFormatting>
  <conditionalFormatting sqref="CNX5:COU5 COW5:COX5">
    <cfRule type="cellIs" dxfId="309" priority="192" operator="equal">
      <formula>0.0001</formula>
    </cfRule>
  </conditionalFormatting>
  <conditionalFormatting sqref="CQD5:CRA5 CRC5:CRD5">
    <cfRule type="cellIs" dxfId="308" priority="191" operator="equal">
      <formula>0.0001</formula>
    </cfRule>
  </conditionalFormatting>
  <conditionalFormatting sqref="CE5">
    <cfRule type="cellIs" dxfId="307" priority="152" operator="equal">
      <formula>0.01%</formula>
    </cfRule>
  </conditionalFormatting>
  <conditionalFormatting sqref="DK5">
    <cfRule type="cellIs" dxfId="306" priority="151" operator="equal">
      <formula>0.01%</formula>
    </cfRule>
  </conditionalFormatting>
  <conditionalFormatting sqref="FG5">
    <cfRule type="cellIs" dxfId="305" priority="150" operator="equal">
      <formula>0.0001</formula>
    </cfRule>
  </conditionalFormatting>
  <conditionalFormatting sqref="ON5">
    <cfRule type="cellIs" dxfId="304" priority="149" operator="equal">
      <formula>0.0001</formula>
    </cfRule>
  </conditionalFormatting>
  <conditionalFormatting sqref="QW5">
    <cfRule type="cellIs" dxfId="303" priority="148" operator="equal">
      <formula>0.0001</formula>
    </cfRule>
  </conditionalFormatting>
  <conditionalFormatting sqref="TF5">
    <cfRule type="cellIs" dxfId="302" priority="147" operator="equal">
      <formula>0.0001</formula>
    </cfRule>
  </conditionalFormatting>
  <conditionalFormatting sqref="VO5">
    <cfRule type="cellIs" dxfId="301" priority="146" operator="equal">
      <formula>0.0001</formula>
    </cfRule>
  </conditionalFormatting>
  <conditionalFormatting sqref="ADR5">
    <cfRule type="cellIs" dxfId="300" priority="145" operator="equal">
      <formula>0.0001</formula>
    </cfRule>
  </conditionalFormatting>
  <conditionalFormatting sqref="AEU5">
    <cfRule type="cellIs" dxfId="299" priority="144" operator="equal">
      <formula>0.0001</formula>
    </cfRule>
  </conditionalFormatting>
  <conditionalFormatting sqref="AIH5">
    <cfRule type="cellIs" dxfId="298" priority="143" operator="equal">
      <formula>0.0001</formula>
    </cfRule>
  </conditionalFormatting>
  <conditionalFormatting sqref="AJK5">
    <cfRule type="cellIs" dxfId="297" priority="142" operator="equal">
      <formula>0.0001</formula>
    </cfRule>
  </conditionalFormatting>
  <conditionalFormatting sqref="AKN5">
    <cfRule type="cellIs" dxfId="296" priority="141" operator="equal">
      <formula>0.0001</formula>
    </cfRule>
  </conditionalFormatting>
  <conditionalFormatting sqref="ALQ5">
    <cfRule type="cellIs" dxfId="295" priority="140" operator="equal">
      <formula>0.0001</formula>
    </cfRule>
  </conditionalFormatting>
  <conditionalFormatting sqref="AMT5">
    <cfRule type="cellIs" dxfId="294" priority="139" operator="equal">
      <formula>0.0001</formula>
    </cfRule>
  </conditionalFormatting>
  <conditionalFormatting sqref="ANW5">
    <cfRule type="cellIs" dxfId="293" priority="138" operator="equal">
      <formula>0.0001</formula>
    </cfRule>
  </conditionalFormatting>
  <conditionalFormatting sqref="AOZ5">
    <cfRule type="cellIs" dxfId="292" priority="137" operator="equal">
      <formula>0.0001</formula>
    </cfRule>
  </conditionalFormatting>
  <conditionalFormatting sqref="AQC5">
    <cfRule type="cellIs" dxfId="291" priority="136" operator="equal">
      <formula>0.0001</formula>
    </cfRule>
  </conditionalFormatting>
  <conditionalFormatting sqref="ARF5">
    <cfRule type="cellIs" dxfId="290" priority="135" operator="equal">
      <formula>0.0001</formula>
    </cfRule>
  </conditionalFormatting>
  <conditionalFormatting sqref="ASI5">
    <cfRule type="cellIs" dxfId="289" priority="134" operator="equal">
      <formula>0.0001</formula>
    </cfRule>
  </conditionalFormatting>
  <conditionalFormatting sqref="ATL5">
    <cfRule type="cellIs" dxfId="288" priority="133" operator="equal">
      <formula>0.0001</formula>
    </cfRule>
  </conditionalFormatting>
  <conditionalFormatting sqref="AUO5">
    <cfRule type="cellIs" dxfId="287" priority="132" operator="equal">
      <formula>0.0001</formula>
    </cfRule>
  </conditionalFormatting>
  <conditionalFormatting sqref="AVR5">
    <cfRule type="cellIs" dxfId="286" priority="131" operator="equal">
      <formula>0.0001</formula>
    </cfRule>
  </conditionalFormatting>
  <conditionalFormatting sqref="AWU5">
    <cfRule type="cellIs" dxfId="285" priority="130" operator="equal">
      <formula>0.0001</formula>
    </cfRule>
  </conditionalFormatting>
  <conditionalFormatting sqref="AXX5">
    <cfRule type="cellIs" dxfId="284" priority="129" operator="equal">
      <formula>0.0001</formula>
    </cfRule>
  </conditionalFormatting>
  <conditionalFormatting sqref="AZA5">
    <cfRule type="cellIs" dxfId="283" priority="128" operator="equal">
      <formula>0.0001</formula>
    </cfRule>
  </conditionalFormatting>
  <conditionalFormatting sqref="BAD5">
    <cfRule type="cellIs" dxfId="282" priority="127" operator="equal">
      <formula>0.0001</formula>
    </cfRule>
  </conditionalFormatting>
  <conditionalFormatting sqref="BBG5">
    <cfRule type="cellIs" dxfId="281" priority="126" operator="equal">
      <formula>0.0001</formula>
    </cfRule>
  </conditionalFormatting>
  <conditionalFormatting sqref="BCJ5">
    <cfRule type="cellIs" dxfId="280" priority="125" operator="equal">
      <formula>0.0001</formula>
    </cfRule>
  </conditionalFormatting>
  <conditionalFormatting sqref="BDM5">
    <cfRule type="cellIs" dxfId="279" priority="124" operator="equal">
      <formula>0.0001</formula>
    </cfRule>
  </conditionalFormatting>
  <conditionalFormatting sqref="BEP5">
    <cfRule type="cellIs" dxfId="278" priority="123" operator="equal">
      <formula>0.0001</formula>
    </cfRule>
  </conditionalFormatting>
  <conditionalFormatting sqref="BGV5">
    <cfRule type="cellIs" dxfId="277" priority="122" operator="equal">
      <formula>0.0001</formula>
    </cfRule>
  </conditionalFormatting>
  <conditionalFormatting sqref="BHY5">
    <cfRule type="cellIs" dxfId="276" priority="121" operator="equal">
      <formula>0.0001</formula>
    </cfRule>
  </conditionalFormatting>
  <conditionalFormatting sqref="BKE5">
    <cfRule type="cellIs" dxfId="275" priority="120" operator="equal">
      <formula>0.0001</formula>
    </cfRule>
  </conditionalFormatting>
  <conditionalFormatting sqref="BLH5">
    <cfRule type="cellIs" dxfId="274" priority="119" operator="equal">
      <formula>0.0001</formula>
    </cfRule>
  </conditionalFormatting>
  <conditionalFormatting sqref="BMK5">
    <cfRule type="cellIs" dxfId="273" priority="118" operator="equal">
      <formula>0.0001</formula>
    </cfRule>
  </conditionalFormatting>
  <conditionalFormatting sqref="BNN5">
    <cfRule type="cellIs" dxfId="272" priority="117" operator="equal">
      <formula>0.0001</formula>
    </cfRule>
  </conditionalFormatting>
  <conditionalFormatting sqref="BOQ5">
    <cfRule type="cellIs" dxfId="271" priority="116" operator="equal">
      <formula>0.0001</formula>
    </cfRule>
  </conditionalFormatting>
  <conditionalFormatting sqref="BPT5">
    <cfRule type="cellIs" dxfId="270" priority="115" operator="equal">
      <formula>0.0001</formula>
    </cfRule>
  </conditionalFormatting>
  <conditionalFormatting sqref="BQW5">
    <cfRule type="cellIs" dxfId="269" priority="114" operator="equal">
      <formula>0.0001</formula>
    </cfRule>
  </conditionalFormatting>
  <conditionalFormatting sqref="BRZ5">
    <cfRule type="cellIs" dxfId="268" priority="113" operator="equal">
      <formula>0.0001</formula>
    </cfRule>
  </conditionalFormatting>
  <conditionalFormatting sqref="BTC5">
    <cfRule type="cellIs" dxfId="267" priority="112" operator="equal">
      <formula>0.0001</formula>
    </cfRule>
  </conditionalFormatting>
  <conditionalFormatting sqref="BUF5">
    <cfRule type="cellIs" dxfId="266" priority="111" operator="equal">
      <formula>0.0001</formula>
    </cfRule>
  </conditionalFormatting>
  <conditionalFormatting sqref="BVI5">
    <cfRule type="cellIs" dxfId="265" priority="110" operator="equal">
      <formula>0.0001</formula>
    </cfRule>
  </conditionalFormatting>
  <conditionalFormatting sqref="BWL5">
    <cfRule type="cellIs" dxfId="264" priority="109" operator="equal">
      <formula>0.0001</formula>
    </cfRule>
  </conditionalFormatting>
  <conditionalFormatting sqref="BXO5">
    <cfRule type="cellIs" dxfId="263" priority="108" operator="equal">
      <formula>0.0001</formula>
    </cfRule>
  </conditionalFormatting>
  <conditionalFormatting sqref="BYR5">
    <cfRule type="cellIs" dxfId="262" priority="107" operator="equal">
      <formula>0.0001</formula>
    </cfRule>
  </conditionalFormatting>
  <conditionalFormatting sqref="CAV5">
    <cfRule type="cellIs" dxfId="261" priority="106" operator="equal">
      <formula>0.0001</formula>
    </cfRule>
  </conditionalFormatting>
  <conditionalFormatting sqref="CBX5">
    <cfRule type="cellIs" dxfId="260" priority="105" operator="equal">
      <formula>0.0001</formula>
    </cfRule>
  </conditionalFormatting>
  <conditionalFormatting sqref="CCZ5">
    <cfRule type="cellIs" dxfId="259" priority="104" operator="equal">
      <formula>0.0001</formula>
    </cfRule>
  </conditionalFormatting>
  <conditionalFormatting sqref="CED5">
    <cfRule type="cellIs" dxfId="258" priority="103" operator="equal">
      <formula>0.0001</formula>
    </cfRule>
  </conditionalFormatting>
  <conditionalFormatting sqref="CFG5">
    <cfRule type="cellIs" dxfId="257" priority="102" operator="equal">
      <formula>0.0001</formula>
    </cfRule>
  </conditionalFormatting>
  <conditionalFormatting sqref="CGJ5">
    <cfRule type="cellIs" dxfId="256" priority="101" operator="equal">
      <formula>0.0001</formula>
    </cfRule>
  </conditionalFormatting>
  <conditionalFormatting sqref="CHN5">
    <cfRule type="cellIs" dxfId="255" priority="100" operator="equal">
      <formula>0.0001</formula>
    </cfRule>
  </conditionalFormatting>
  <conditionalFormatting sqref="CIX5">
    <cfRule type="cellIs" dxfId="254" priority="99" operator="equal">
      <formula>0.0001</formula>
    </cfRule>
  </conditionalFormatting>
  <conditionalFormatting sqref="CKA5">
    <cfRule type="cellIs" dxfId="253" priority="98" operator="equal">
      <formula>0.0001</formula>
    </cfRule>
  </conditionalFormatting>
  <conditionalFormatting sqref="CLD5">
    <cfRule type="cellIs" dxfId="252" priority="97" operator="equal">
      <formula>0.0001</formula>
    </cfRule>
  </conditionalFormatting>
  <conditionalFormatting sqref="CMH5">
    <cfRule type="cellIs" dxfId="251" priority="96" operator="equal">
      <formula>0.0001</formula>
    </cfRule>
  </conditionalFormatting>
  <conditionalFormatting sqref="CNS5">
    <cfRule type="cellIs" dxfId="250" priority="95" operator="equal">
      <formula>0.0001</formula>
    </cfRule>
  </conditionalFormatting>
  <conditionalFormatting sqref="COV5">
    <cfRule type="cellIs" dxfId="249" priority="94" operator="equal">
      <formula>0.0001</formula>
    </cfRule>
  </conditionalFormatting>
  <conditionalFormatting sqref="CRB5">
    <cfRule type="cellIs" dxfId="248" priority="93" operator="equal">
      <formula>0.0001</formula>
    </cfRule>
  </conditionalFormatting>
  <conditionalFormatting sqref="BYV5:BZV5">
    <cfRule type="cellIs" dxfId="247" priority="92" operator="equal">
      <formula>0.0001</formula>
    </cfRule>
  </conditionalFormatting>
  <conditionalFormatting sqref="BEU5:BFU5">
    <cfRule type="cellIs" dxfId="246" priority="91" operator="equal">
      <formula>0.0001</formula>
    </cfRule>
  </conditionalFormatting>
  <conditionalFormatting sqref="JZ5 LD5">
    <cfRule type="expression" dxfId="245" priority="263">
      <formula>#REF!&gt;0</formula>
    </cfRule>
  </conditionalFormatting>
  <conditionalFormatting sqref="CI5">
    <cfRule type="expression" dxfId="244" priority="264">
      <formula>#REF!=""</formula>
    </cfRule>
  </conditionalFormatting>
  <conditionalFormatting sqref="CJ5">
    <cfRule type="expression" dxfId="243" priority="265">
      <formula>#REF!=""</formula>
    </cfRule>
  </conditionalFormatting>
  <conditionalFormatting sqref="DZ5">
    <cfRule type="expression" dxfId="242" priority="266">
      <formula>#REF!&lt;1</formula>
    </cfRule>
  </conditionalFormatting>
  <conditionalFormatting sqref="COZ5">
    <cfRule type="expression" dxfId="241" priority="267">
      <formula>#REF!&lt;=0</formula>
    </cfRule>
  </conditionalFormatting>
  <conditionalFormatting sqref="BB5">
    <cfRule type="expression" dxfId="240" priority="89">
      <formula>#REF!=""</formula>
    </cfRule>
    <cfRule type="expression" dxfId="239" priority="90">
      <formula>$BB5&lt;43.33</formula>
    </cfRule>
  </conditionalFormatting>
  <conditionalFormatting sqref="VQ5">
    <cfRule type="cellIs" dxfId="238" priority="83" operator="equal">
      <formula>"Tratamento"</formula>
    </cfRule>
  </conditionalFormatting>
  <conditionalFormatting sqref="XZ5">
    <cfRule type="cellIs" dxfId="237" priority="82" operator="equal">
      <formula>"Tratamento"</formula>
    </cfRule>
  </conditionalFormatting>
  <conditionalFormatting sqref="AAI5">
    <cfRule type="cellIs" dxfId="236" priority="81" operator="equal">
      <formula>"Tratamento"</formula>
    </cfRule>
  </conditionalFormatting>
  <conditionalFormatting sqref="CG5">
    <cfRule type="expression" dxfId="235" priority="74">
      <formula>#REF!=""</formula>
    </cfRule>
  </conditionalFormatting>
  <conditionalFormatting sqref="AU5">
    <cfRule type="duplicateValues" dxfId="234" priority="283"/>
  </conditionalFormatting>
  <conditionalFormatting sqref="AU5">
    <cfRule type="duplicateValues" dxfId="233" priority="284"/>
  </conditionalFormatting>
  <conditionalFormatting sqref="AF5">
    <cfRule type="duplicateValues" dxfId="232" priority="285"/>
    <cfRule type="duplicateValues" dxfId="231" priority="286"/>
  </conditionalFormatting>
  <conditionalFormatting sqref="CG6 CI6">
    <cfRule type="expression" dxfId="230" priority="68">
      <formula>$CI6&lt;43.33</formula>
    </cfRule>
  </conditionalFormatting>
  <conditionalFormatting sqref="CDD6">
    <cfRule type="expression" dxfId="229" priority="63">
      <formula>"SE(ESQUERDA(AR4;23)&lt;&gt;""Oi Total Fixo + Oi Mais"</formula>
    </cfRule>
    <cfRule type="expression" dxfId="228" priority="66">
      <formula>CHR6/(CGO6+CHR6)&gt;50%</formula>
    </cfRule>
    <cfRule type="expression" dxfId="227" priority="67">
      <formula>CEH6/(CDD6-CDE6)&gt;30%</formula>
    </cfRule>
  </conditionalFormatting>
  <conditionalFormatting sqref="CHX6">
    <cfRule type="expression" dxfId="226" priority="64">
      <formula>CML6/(CLI6+CML6)&gt;50%</formula>
    </cfRule>
    <cfRule type="expression" dxfId="225" priority="65">
      <formula>CJB6/CHX6&gt;30%</formula>
    </cfRule>
  </conditionalFormatting>
  <conditionalFormatting sqref="CDD6">
    <cfRule type="expression" dxfId="224" priority="62">
      <formula>LEFT(AV6,23)&lt;&gt;"Oi Total Fixo + Oi Mais"</formula>
    </cfRule>
  </conditionalFormatting>
  <conditionalFormatting sqref="CHX6">
    <cfRule type="expression" dxfId="223" priority="61">
      <formula>LEFT(AV6,23)&lt;&gt;"Oi Total Fixo + Oi Mais"</formula>
    </cfRule>
  </conditionalFormatting>
  <conditionalFormatting sqref="CMQ6">
    <cfRule type="expression" dxfId="222" priority="60">
      <formula>LEFT(AV6,19)&lt;&gt;"Oi Total Fixo + Pós"</formula>
    </cfRule>
  </conditionalFormatting>
  <conditionalFormatting sqref="CMP6">
    <cfRule type="expression" dxfId="221" priority="59">
      <formula>LEFT(AV6,19)&lt;&gt;"Oi Total Fixo + Pós"</formula>
    </cfRule>
  </conditionalFormatting>
  <conditionalFormatting sqref="CMP6">
    <cfRule type="expression" dxfId="220" priority="58">
      <formula>AV6&lt;&gt;"Oi Total Fixo + Pós Conectado Mais + Banda Larga"</formula>
    </cfRule>
  </conditionalFormatting>
  <conditionalFormatting sqref="EE6 GM6 FI6 HQ6 IU6 QY6 TH6 JY6 LC6 MG6 OP6 VQ6 XZ6 AAI6">
    <cfRule type="cellIs" dxfId="219" priority="13" operator="equal">
      <formula>"Tratamento"</formula>
    </cfRule>
  </conditionalFormatting>
  <conditionalFormatting sqref="BF6:CF6 CL6:DL6">
    <cfRule type="cellIs" dxfId="218" priority="12" operator="equal">
      <formula>0.01%</formula>
    </cfRule>
  </conditionalFormatting>
  <conditionalFormatting sqref="FL6:GL6 GP6:HP6 HT6:IT6 IX6:JX6 KB6:LB6 LF6:MF6 MJ6:NJ6 OS6:PS6 RB6:SB6 TK6:UK6 AGG6:AHG6 EH6:FH6 NO6:OO6 PX6:QX6 SG6:TG6 UP6:VP6 ACT6:ADT6 ADW6:AEW6 AHJ6:AIJ6 AIM6:AJM6 AJP6:AKP6 AKS6:ALS6 ALV6:AMV6 AMY6:ANY6 AOB6:APB6 APE6:AQE6 AQH6:ARH6 ARK6:ASK6 ASN6:ATN6 ATQ6:AUQ6 AUT6:AVT6 AVW6:AWW6 AWZ6:AXZ6 AYC6:AZC6 AZF6:BAF6 BAI6:BBI6 BBL6:BCL6 BCO6:BDO6 BDR6:BER6 BFX6:BGX6 BHA6:BIA6 BJG6:BKG6 BKJ6:BLJ6 BLM6:BMM6 BMP6:BNP6 BNS6:BOS6 BOV6:BPV6 BPY6:BQY6 BRB6:BSB6 BSE6:BTE6 BTH6:BUH6 BUK6:BVK6 BVN6:BWN6 BWQ6:BXQ6 BXT6:BYT6 BZX6:CAX6 CAZ6:CBZ6 CCB6:CDB6 CDF6:CEF6 CEI6:CFI6 CFL6:CGL6 CGP6:CHP6 CHZ6:CJA6 CJC6:CKC6 CKF6:CLF6 CLJ6:CMJ6 CMU6:CNU6 CNX6:COX6 CQD6:CRD6 BYV6:BZV6 BEU6:BFU6 VT6:WT6 WY6:XY6 YC6:ZC6 ZH6:AAH6 AAL6:ABL6 ABQ6:ACQ6 BID6:BJD6">
    <cfRule type="cellIs" dxfId="217" priority="11" operator="equal">
      <formula>0.0001</formula>
    </cfRule>
  </conditionalFormatting>
  <conditionalFormatting sqref="LD6 JZ6">
    <cfRule type="expression" dxfId="216" priority="14">
      <formula>#REF!&gt;0</formula>
    </cfRule>
  </conditionalFormatting>
  <conditionalFormatting sqref="CI6">
    <cfRule type="expression" dxfId="215" priority="15">
      <formula>#REF!=""</formula>
    </cfRule>
  </conditionalFormatting>
  <conditionalFormatting sqref="CJ6">
    <cfRule type="expression" dxfId="214" priority="16">
      <formula>#REF!=""</formula>
    </cfRule>
  </conditionalFormatting>
  <conditionalFormatting sqref="DZ6">
    <cfRule type="expression" dxfId="213" priority="17">
      <formula>#REF!&lt;1</formula>
    </cfRule>
  </conditionalFormatting>
  <conditionalFormatting sqref="COZ6">
    <cfRule type="expression" dxfId="212" priority="18">
      <formula>#REF!&lt;=0</formula>
    </cfRule>
  </conditionalFormatting>
  <conditionalFormatting sqref="BB6">
    <cfRule type="expression" dxfId="211" priority="8">
      <formula>#REF!=""</formula>
    </cfRule>
    <cfRule type="expression" dxfId="210" priority="9">
      <formula>$BB6&lt;43.33</formula>
    </cfRule>
  </conditionalFormatting>
  <conditionalFormatting sqref="CG6">
    <cfRule type="expression" dxfId="209" priority="2">
      <formula>#REF!=""</formula>
    </cfRule>
  </conditionalFormatting>
  <conditionalFormatting sqref="AU6">
    <cfRule type="duplicateValues" dxfId="208" priority="69"/>
  </conditionalFormatting>
  <conditionalFormatting sqref="AU6">
    <cfRule type="duplicateValues" dxfId="207" priority="70"/>
  </conditionalFormatting>
  <conditionalFormatting sqref="AF6">
    <cfRule type="duplicateValues" dxfId="206" priority="71"/>
    <cfRule type="duplicateValues" dxfId="205" priority="72"/>
  </conditionalFormatting>
  <dataValidations count="11">
    <dataValidation type="list" allowBlank="1" showInputMessage="1" showErrorMessage="1" sqref="CHS3:CHS6" xr:uid="{1B83B916-595B-4A74-927A-9C2D6229E6DF}">
      <formula1>"Exige pelo menos um Pacote de dados"</formula1>
    </dataValidation>
    <dataValidation type="list" allowBlank="1" showInputMessage="1" showErrorMessage="1" sqref="CMP3:CMP6" xr:uid="{87E1CF4E-F08F-49F4-9759-0374DD6679EB}">
      <formula1>"3.000Min (All-net),Ilimitado (All-net)"</formula1>
    </dataValidation>
    <dataValidation type="list" allowBlank="1" showInputMessage="1" showErrorMessage="1" sqref="F3:AE6" xr:uid="{95F63468-E716-441E-8F4A-D02D967A723D}">
      <formula1>"X"</formula1>
    </dataValidation>
    <dataValidation type="list" operator="equal" allowBlank="1" showInputMessage="1" showErrorMessage="1" sqref="BD3:BD6" xr:uid="{2830E0A7-4C75-4030-B301-CD60A0BE158C}">
      <formula1>"15,43"</formula1>
    </dataValidation>
    <dataValidation type="list" allowBlank="1" showInputMessage="1" showErrorMessage="1" sqref="AEX3:AEX6" xr:uid="{EC1E41B7-1DF3-4531-A732-B2DC0EBF7AE6}">
      <formula1>"Grátis"</formula1>
    </dataValidation>
    <dataValidation type="list" allowBlank="1" showInputMessage="1" showErrorMessage="1" sqref="A3:A6" xr:uid="{C11FA537-DA29-4910-9A67-A1D1B7A25EEF}">
      <formula1>"Oi Total"</formula1>
    </dataValidation>
    <dataValidation type="list" allowBlank="1" showInputMessage="1" showErrorMessage="1" sqref="AX3:AX6 CRJ3:CRJ6 AR3:AR6" xr:uid="{41C56AB9-EC30-4D6B-935D-DFD8AF971756}">
      <formula1>"Sim"</formula1>
    </dataValidation>
    <dataValidation type="list" allowBlank="1" showInputMessage="1" showErrorMessage="1" sqref="CRQ3:CRR6" xr:uid="{7AE456BF-6C44-41DD-B629-F2B6EDC2721F}">
      <formula1>"PCS-SBL11111"</formula1>
    </dataValidation>
    <dataValidation type="whole" allowBlank="1" showInputMessage="1" showErrorMessage="1" sqref="CRL3:CRL6 CMN3:CMN6" xr:uid="{55AA4255-759E-4A7D-A60E-A99895E2A863}">
      <formula1>1</formula1>
      <formula2>24</formula2>
    </dataValidation>
    <dataValidation type="list" allowBlank="1" showInputMessage="1" showErrorMessage="1" sqref="CRM3:CRM6" xr:uid="{E0D5E8F8-149C-4289-97F7-6B6EF6D938BB}">
      <formula1>"Benefício,Aparelho,Oi Pontos"</formula1>
    </dataValidation>
    <dataValidation type="list" allowBlank="1" showInputMessage="1" showErrorMessage="1" sqref="EA3:EA6 AX3:AX6 AS3:AT6 E3:E6" xr:uid="{7CD3DB11-0D23-4060-A535-4F20FF06B348}">
      <formula1>"Sim,Não"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10" operator="greaterThan" id="{4EA3B902-FE15-4E85-BD8A-A799C7DD246E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BSD3</xm:sqref>
        </x14:conditionalFormatting>
        <x14:conditionalFormatting xmlns:xm="http://schemas.microsoft.com/office/excel/2006/main">
          <x14:cfRule type="cellIs" priority="709" operator="greaterThan" id="{15CB2CA1-DA07-4649-9C6B-D6B3B2BED17A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BZW3:CCA3</xm:sqref>
        </x14:conditionalFormatting>
        <x14:conditionalFormatting xmlns:xm="http://schemas.microsoft.com/office/excel/2006/main">
          <x14:cfRule type="cellIs" priority="618" operator="greaterThan" id="{034C2821-8D86-447F-83DE-B077EC3C48DC}">
            <xm:f>'\Users\victor.motta.d.lucas\OneDrive - Accenture\NBA\Ofertas  690 - Retenção OiT Substituição das ofertas OiT de todos os combos\Briefing\[priorizadasOiTotal_mig_jul18_oit_2PTV.xlsx]ARBOR_REAJUSTE18'!#REF!+'\Users\victor.motta.d.lucas\OneDrive - Accenture\NBA\Ofertas  690 - Retenção OiT Substituição das ofertas OiT de todos os combos\Briefing\[priorizadasOiTotal_mig_jul18_oit_2PTV.xlsx]ARBOR_REAJUSTE18'!#REF!</xm:f>
            <x14:dxf>
              <fill>
                <patternFill>
                  <bgColor theme="9"/>
                </patternFill>
              </fill>
            </x14:dxf>
          </x14:cfRule>
          <xm:sqref>BB3</xm:sqref>
        </x14:conditionalFormatting>
        <x14:conditionalFormatting xmlns:xm="http://schemas.microsoft.com/office/excel/2006/main">
          <x14:cfRule type="cellIs" priority="617" operator="greaterThan" id="{3FE6F89A-1E6B-4D08-A711-8D774C445E16}">
            <xm:f>VLOOKUP($EE$2,'\Users\victor.motta.d.lucas\OneDrive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EF3</xm:sqref>
        </x14:conditionalFormatting>
        <x14:conditionalFormatting xmlns:xm="http://schemas.microsoft.com/office/excel/2006/main">
          <x14:cfRule type="cellIs" priority="616" operator="greaterThan" id="{5ECA5596-5B3D-4187-A9AB-F55E39DEC2C3}">
            <xm:f>VLOOKUP($IU$2,'\Users\victor.motta.d.lucas\OneDrive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IV3</xm:sqref>
        </x14:conditionalFormatting>
        <x14:conditionalFormatting xmlns:xm="http://schemas.microsoft.com/office/excel/2006/main">
          <x14:cfRule type="cellIs" priority="615" operator="greaterThan" id="{F185FBC1-823F-4F78-B834-72B3CCD6EC07}">
            <xm:f>VLOOKUP($MG$2,'\Users\victor.motta.d.lucas\OneDrive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MH3</xm:sqref>
        </x14:conditionalFormatting>
        <x14:conditionalFormatting xmlns:xm="http://schemas.microsoft.com/office/excel/2006/main">
          <x14:cfRule type="cellIs" priority="614" operator="greaterThan" id="{C5634C05-BB0C-456A-B8C0-5B7344B28F7C}">
            <xm:f>VLOOKUP($QY$2,'\Users\victor.motta.d.lucas\OneDrive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QZ3</xm:sqref>
        </x14:conditionalFormatting>
        <x14:conditionalFormatting xmlns:xm="http://schemas.microsoft.com/office/excel/2006/main">
          <x14:cfRule type="cellIs" priority="613" operator="greaterThan" id="{EA9F9C87-38A8-40CB-8376-DEE8BE9673E9}">
            <xm:f>VLOOKUP($AGE$2,'\Users\victor.motta.d.lucas\OneDrive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AGE3</xm:sqref>
        </x14:conditionalFormatting>
        <x14:conditionalFormatting xmlns:xm="http://schemas.microsoft.com/office/excel/2006/main">
          <x14:cfRule type="cellIs" priority="612" operator="greaterThan" id="{CB290ED5-EC6B-4249-A3F0-C806DC15FA39}">
            <xm:f>VLOOKUP($AHH$2,'\Users\victor.motta.d.lucas\OneDrive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AHH3</xm:sqref>
        </x14:conditionalFormatting>
        <x14:conditionalFormatting xmlns:xm="http://schemas.microsoft.com/office/excel/2006/main">
          <x14:cfRule type="cellIs" priority="611" operator="greaterThan" id="{C5C57042-D2F8-42E3-AB36-4696D4E74556}">
            <xm:f>VLOOKUP($AIK$2,'\Users\victor.motta.d.lucas\OneDrive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AIK3</xm:sqref>
        </x14:conditionalFormatting>
        <x14:conditionalFormatting xmlns:xm="http://schemas.microsoft.com/office/excel/2006/main">
          <x14:cfRule type="cellIs" priority="610" operator="greaterThan" id="{EEE9CFB0-30CB-498D-B25E-6D10577DCF09}">
            <xm:f>VLOOKUP($AJN$2,'\Users\victor.motta.d.lucas\OneDrive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AJN3</xm:sqref>
        </x14:conditionalFormatting>
        <x14:conditionalFormatting xmlns:xm="http://schemas.microsoft.com/office/excel/2006/main">
          <x14:cfRule type="cellIs" priority="609" operator="greaterThan" id="{15CCBCF4-1F39-4ABD-9668-EDDBDF696798}">
            <xm:f>VLOOKUP($AKQ$2,'\Users\victor.motta.d.lucas\OneDrive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AKQ3</xm:sqref>
        </x14:conditionalFormatting>
        <x14:conditionalFormatting xmlns:xm="http://schemas.microsoft.com/office/excel/2006/main">
          <x14:cfRule type="cellIs" priority="608" operator="greaterThan" id="{4C29C6B2-540D-4CCC-841C-0F358ED262A1}">
            <xm:f>VLOOKUP($ALT$2,'\Users\victor.motta.d.lucas\OneDrive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ALT3</xm:sqref>
        </x14:conditionalFormatting>
        <x14:conditionalFormatting xmlns:xm="http://schemas.microsoft.com/office/excel/2006/main">
          <x14:cfRule type="cellIs" priority="607" operator="greaterThan" id="{23D520C1-E70D-4D79-B498-160BA2959C81}">
            <xm:f>VLOOKUP($AMW$2,'\Users\victor.motta.d.lucas\OneDrive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AMW3</xm:sqref>
        </x14:conditionalFormatting>
        <x14:conditionalFormatting xmlns:xm="http://schemas.microsoft.com/office/excel/2006/main">
          <x14:cfRule type="cellIs" priority="606" operator="greaterThan" id="{4F3CAC83-E19E-43B2-B832-D8E1DB545459}">
            <xm:f>VLOOKUP($ANZ$2,'\Users\victor.motta.d.lucas\OneDrive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ANZ3</xm:sqref>
        </x14:conditionalFormatting>
        <x14:conditionalFormatting xmlns:xm="http://schemas.microsoft.com/office/excel/2006/main">
          <x14:cfRule type="cellIs" priority="605" operator="greaterThan" id="{06C9F0ED-D590-44A8-8557-5416E4ACFBAA}">
            <xm:f>VLOOKUP($APC$2,'\Users\victor.motta.d.lucas\OneDrive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APC3</xm:sqref>
        </x14:conditionalFormatting>
        <x14:conditionalFormatting xmlns:xm="http://schemas.microsoft.com/office/excel/2006/main">
          <x14:cfRule type="cellIs" priority="604" operator="greaterThan" id="{38379D27-5A80-4459-BBC0-4FCA76DE7951}">
            <xm:f>VLOOKUP($AQF$2,'\Users\victor.motta.d.lucas\OneDrive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AQF3</xm:sqref>
        </x14:conditionalFormatting>
        <x14:conditionalFormatting xmlns:xm="http://schemas.microsoft.com/office/excel/2006/main">
          <x14:cfRule type="cellIs" priority="603" operator="greaterThan" id="{99FCBF56-CBB8-4013-A7C1-82393CA484A0}">
            <xm:f>VLOOKUP($ARI$2,'\Users\victor.motta.d.lucas\OneDrive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ARI3</xm:sqref>
        </x14:conditionalFormatting>
        <x14:conditionalFormatting xmlns:xm="http://schemas.microsoft.com/office/excel/2006/main">
          <x14:cfRule type="cellIs" priority="602" operator="greaterThan" id="{9A857ABF-D892-41F7-B57C-3A169E24E6C0}">
            <xm:f>VLOOKUP($ASL$2,'\Users\victor.motta.d.lucas\OneDrive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ASL3</xm:sqref>
        </x14:conditionalFormatting>
        <x14:conditionalFormatting xmlns:xm="http://schemas.microsoft.com/office/excel/2006/main">
          <x14:cfRule type="cellIs" priority="601" operator="greaterThan" id="{3009F303-288E-4873-A53F-9CAD518DB4EE}">
            <xm:f>VLOOKUP($ATO$2,'\Users\victor.motta.d.lucas\OneDrive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ATO3</xm:sqref>
        </x14:conditionalFormatting>
        <x14:conditionalFormatting xmlns:xm="http://schemas.microsoft.com/office/excel/2006/main">
          <x14:cfRule type="cellIs" priority="600" operator="greaterThan" id="{76A3AF30-B9F6-4AFF-A2F7-130864D111F4}">
            <xm:f>VLOOKUP($AUR$2,'\Users\victor.motta.d.lucas\OneDrive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AUR3</xm:sqref>
        </x14:conditionalFormatting>
        <x14:conditionalFormatting xmlns:xm="http://schemas.microsoft.com/office/excel/2006/main">
          <x14:cfRule type="cellIs" priority="599" operator="greaterThan" id="{69917685-712F-4C52-8F5C-F38E5674A19C}">
            <xm:f>VLOOKUP($AVU$2,'\Users\victor.motta.d.lucas\OneDrive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AVU3</xm:sqref>
        </x14:conditionalFormatting>
        <x14:conditionalFormatting xmlns:xm="http://schemas.microsoft.com/office/excel/2006/main">
          <x14:cfRule type="cellIs" priority="598" operator="greaterThan" id="{57E9B3D4-EB6B-4FB1-912B-6BAD9C33B02E}">
            <xm:f>VLOOKUP($AWX$2,'\Users\victor.motta.d.lucas\OneDrive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AWX3</xm:sqref>
        </x14:conditionalFormatting>
        <x14:conditionalFormatting xmlns:xm="http://schemas.microsoft.com/office/excel/2006/main">
          <x14:cfRule type="cellIs" priority="597" operator="greaterThan" id="{245EB3C7-D272-4A7C-816A-0453227F170D}">
            <xm:f>VLOOKUP($AYA$2,'\Users\victor.motta.d.lucas\OneDrive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AYA3</xm:sqref>
        </x14:conditionalFormatting>
        <x14:conditionalFormatting xmlns:xm="http://schemas.microsoft.com/office/excel/2006/main">
          <x14:cfRule type="cellIs" priority="596" operator="greaterThan" id="{B1F24C40-EDCB-4872-B2DE-CCB2DBF8E8DA}">
            <xm:f>VLOOKUP($AZD$2,'\Users\victor.motta.d.lucas\OneDrive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AZD3</xm:sqref>
        </x14:conditionalFormatting>
        <x14:conditionalFormatting xmlns:xm="http://schemas.microsoft.com/office/excel/2006/main">
          <x14:cfRule type="cellIs" priority="595" operator="greaterThan" id="{51ECA3DE-D0C6-42D3-808E-2FD004F3725F}">
            <xm:f>VLOOKUP($BAG$2,'\Users\victor.motta.d.lucas\OneDrive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BAG3</xm:sqref>
        </x14:conditionalFormatting>
        <x14:conditionalFormatting xmlns:xm="http://schemas.microsoft.com/office/excel/2006/main">
          <x14:cfRule type="cellIs" priority="594" operator="greaterThan" id="{A8ED43D4-4241-4E45-8731-EED290002BCE}">
            <xm:f>VLOOKUP($BBJ$2,'\Users\victor.motta.d.lucas\OneDrive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BBJ3</xm:sqref>
        </x14:conditionalFormatting>
        <x14:conditionalFormatting xmlns:xm="http://schemas.microsoft.com/office/excel/2006/main">
          <x14:cfRule type="cellIs" priority="593" operator="greaterThan" id="{EE36D306-DC3A-4183-B064-D31213211345}">
            <xm:f>VLOOKUP($BCM$2,'\Users\victor.motta.d.lucas\OneDrive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BCM3</xm:sqref>
        </x14:conditionalFormatting>
        <x14:conditionalFormatting xmlns:xm="http://schemas.microsoft.com/office/excel/2006/main">
          <x14:cfRule type="cellIs" priority="592" operator="greaterThan" id="{95F9D1A2-4F9F-439A-A8DC-81E726C7BBFF}">
            <xm:f>VLOOKUP($BDP$2,'\Users\victor.motta.d.lucas\OneDrive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BDP3</xm:sqref>
        </x14:conditionalFormatting>
        <x14:conditionalFormatting xmlns:xm="http://schemas.microsoft.com/office/excel/2006/main">
          <x14:cfRule type="cellIs" priority="591" operator="greaterThan" id="{D8A9213D-5795-4EC7-B888-A340260720BB}">
            <xm:f>VLOOKUP($BES$2,'\Users\victor.motta.d.lucas\OneDrive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BES3</xm:sqref>
        </x14:conditionalFormatting>
        <x14:conditionalFormatting xmlns:xm="http://schemas.microsoft.com/office/excel/2006/main">
          <x14:cfRule type="cellIs" priority="590" operator="greaterThan" id="{6EA31410-E095-42CF-87F4-6B1A4BD7F7C0}">
            <xm:f>VLOOKUP($BFV$2,'\Users\victor.motta.d.lucas\OneDrive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BFV3</xm:sqref>
        </x14:conditionalFormatting>
        <x14:conditionalFormatting xmlns:xm="http://schemas.microsoft.com/office/excel/2006/main">
          <x14:cfRule type="cellIs" priority="589" operator="greaterThan" id="{92AF9831-AA7E-4240-9B78-B2FB75531C93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BGY3</xm:sqref>
        </x14:conditionalFormatting>
        <x14:conditionalFormatting xmlns:xm="http://schemas.microsoft.com/office/excel/2006/main">
          <x14:cfRule type="cellIs" priority="588" operator="greaterThan" id="{9DFEB6F3-217E-43B1-B246-AD40AAC3346D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BOT3</xm:sqref>
        </x14:conditionalFormatting>
        <x14:conditionalFormatting xmlns:xm="http://schemas.microsoft.com/office/excel/2006/main">
          <x14:cfRule type="cellIs" priority="587" operator="greaterThan" id="{D71AA159-26DA-4073-ABB7-8EC9ADA05486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BPW3</xm:sqref>
        </x14:conditionalFormatting>
        <x14:conditionalFormatting xmlns:xm="http://schemas.microsoft.com/office/excel/2006/main">
          <x14:cfRule type="cellIs" priority="586" operator="greaterThan" id="{E20A203B-C629-4FEE-8E49-97C54871F4FA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BQZ3</xm:sqref>
        </x14:conditionalFormatting>
        <x14:conditionalFormatting xmlns:xm="http://schemas.microsoft.com/office/excel/2006/main">
          <x14:cfRule type="cellIs" priority="585" operator="greaterThan" id="{A865D59F-9ECD-4D77-988F-59DBB0C5CFB5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BSC3</xm:sqref>
        </x14:conditionalFormatting>
        <x14:conditionalFormatting xmlns:xm="http://schemas.microsoft.com/office/excel/2006/main">
          <x14:cfRule type="cellIs" priority="584" operator="greaterThan" id="{3319F7C7-F97C-49CE-92FE-5145E32C8B12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BUI3</xm:sqref>
        </x14:conditionalFormatting>
        <x14:conditionalFormatting xmlns:xm="http://schemas.microsoft.com/office/excel/2006/main">
          <x14:cfRule type="cellIs" priority="583" operator="greaterThan" id="{A4DEA9D4-3E15-4BA6-A763-E4305F52239F}">
            <xm:f>VLOOKUP($BVL$2,'\Users\victor.motta.d.lucas\OneDrive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BVL3</xm:sqref>
        </x14:conditionalFormatting>
        <x14:conditionalFormatting xmlns:xm="http://schemas.microsoft.com/office/excel/2006/main">
          <x14:cfRule type="cellIs" priority="582" operator="greaterThan" id="{0BC3BFA5-C464-42C1-9B02-2902518ACAB7}">
            <xm:f>VLOOKUP($BWO$2,'\Users\victor.motta.d.lucas\OneDrive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BWO3</xm:sqref>
        </x14:conditionalFormatting>
        <x14:conditionalFormatting xmlns:xm="http://schemas.microsoft.com/office/excel/2006/main">
          <x14:cfRule type="cellIs" priority="581" operator="greaterThan" id="{D90E2499-1E44-40A8-ACA3-3ADDB051CD4D}">
            <xm:f>VLOOKUP($BXR$2,'\Users\victor.motta.d.lucas\OneDrive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BXR3</xm:sqref>
        </x14:conditionalFormatting>
        <x14:conditionalFormatting xmlns:xm="http://schemas.microsoft.com/office/excel/2006/main">
          <x14:cfRule type="cellIs" priority="580" operator="greaterThan" id="{DE356BC6-B1BD-4FE7-9343-81C32869AAB5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BTF3</xm:sqref>
        </x14:conditionalFormatting>
        <x14:conditionalFormatting xmlns:xm="http://schemas.microsoft.com/office/excel/2006/main">
          <x14:cfRule type="cellIs" priority="516" operator="greaterThan" id="{7C3A8476-49C4-4DF5-9FC2-005BE866FAE8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BOU3</xm:sqref>
        </x14:conditionalFormatting>
        <x14:conditionalFormatting xmlns:xm="http://schemas.microsoft.com/office/excel/2006/main">
          <x14:cfRule type="cellIs" priority="515" operator="greaterThan" id="{BB47ED0E-DAE6-49E0-AB92-CD9D350F743F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BPX3</xm:sqref>
        </x14:conditionalFormatting>
        <x14:conditionalFormatting xmlns:xm="http://schemas.microsoft.com/office/excel/2006/main">
          <x14:cfRule type="cellIs" priority="514" operator="greaterThan" id="{C002DA1B-6413-41D7-944B-C68C3A170968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BRA3</xm:sqref>
        </x14:conditionalFormatting>
        <x14:conditionalFormatting xmlns:xm="http://schemas.microsoft.com/office/excel/2006/main">
          <x14:cfRule type="cellIs" priority="513" operator="greaterThan" id="{5993BF25-D740-4EE7-9C03-3AF14FFC0F07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BTG3</xm:sqref>
        </x14:conditionalFormatting>
        <x14:conditionalFormatting xmlns:xm="http://schemas.microsoft.com/office/excel/2006/main">
          <x14:cfRule type="cellIs" priority="512" operator="greaterThan" id="{5A919BC2-5CA1-48F6-ACE6-75229426981C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BUJ3</xm:sqref>
        </x14:conditionalFormatting>
        <x14:conditionalFormatting xmlns:xm="http://schemas.microsoft.com/office/excel/2006/main">
          <x14:cfRule type="cellIs" priority="507" operator="greaterThan" id="{3FD3792F-C1CB-497D-AC92-0FA790B33F29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BIB3</xm:sqref>
        </x14:conditionalFormatting>
        <x14:conditionalFormatting xmlns:xm="http://schemas.microsoft.com/office/excel/2006/main">
          <x14:cfRule type="cellIs" priority="506" operator="greaterThan" id="{0571785B-9133-4945-A107-5B880F311863}">
            <xm:f>VLOOKUP($BBA$2,'\Users\oi183602\AppData\Local\Temp\Temp1_briefingMAE18_Aqu_3P_RES_+CL.zip\[briefingMAE18_Aqu_3P_RES_FID_+CL_20203.xlsx]ARBOR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BJE3</xm:sqref>
        </x14:conditionalFormatting>
        <x14:conditionalFormatting xmlns:xm="http://schemas.microsoft.com/office/excel/2006/main">
          <x14:cfRule type="cellIs" priority="505" operator="greaterThan" id="{F3010297-2675-45B7-91C1-FEBDD1C09D2C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BKH3</xm:sqref>
        </x14:conditionalFormatting>
        <x14:conditionalFormatting xmlns:xm="http://schemas.microsoft.com/office/excel/2006/main">
          <x14:cfRule type="cellIs" priority="504" operator="greaterThan" id="{54A7DB4C-E89C-4702-885D-F4DE3168D0DB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BLK3</xm:sqref>
        </x14:conditionalFormatting>
        <x14:conditionalFormatting xmlns:xm="http://schemas.microsoft.com/office/excel/2006/main">
          <x14:cfRule type="cellIs" priority="503" operator="greaterThan" id="{AA3AD87A-8C61-43D4-A9D3-5E44D428F3D4}">
            <xm:f>VLOOKUP($BEJ$2,'\Users\oi183602\AppData\Local\Temp\Temp1_briefingMAE18_Aqu_3P_RES_+CL.zip\[briefingMAE18_Aqu_3P_RES_FID_+CL_20203.xlsx]ARBOR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BMN3</xm:sqref>
        </x14:conditionalFormatting>
        <x14:conditionalFormatting xmlns:xm="http://schemas.microsoft.com/office/excel/2006/main">
          <x14:cfRule type="cellIs" priority="502" operator="greaterThan" id="{6C514337-4C14-4756-97DE-17F12E6EFB02}">
            <xm:f>VLOOKUP($BFM$2,'\Users\oi183602\AppData\Local\Temp\Temp1_briefingMAE18_Aqu_3P_RES_+CL.zip\[briefingMAE18_Aqu_3P_RES_FID_+CL_20203.xlsx]ARBOR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BNQ3</xm:sqref>
        </x14:conditionalFormatting>
        <x14:conditionalFormatting xmlns:xm="http://schemas.microsoft.com/office/excel/2006/main">
          <x14:cfRule type="cellIs" priority="501" operator="greaterThan" id="{143987B8-D34F-402E-8E09-36A97688428F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BYU3</xm:sqref>
        </x14:conditionalFormatting>
        <x14:conditionalFormatting xmlns:xm="http://schemas.microsoft.com/office/excel/2006/main">
          <x14:cfRule type="cellIs" priority="485" operator="greaterThan" id="{F9FCC7C2-A077-45DE-95A6-42E09F75C15B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BSD4</xm:sqref>
        </x14:conditionalFormatting>
        <x14:conditionalFormatting xmlns:xm="http://schemas.microsoft.com/office/excel/2006/main">
          <x14:cfRule type="cellIs" priority="484" operator="greaterThan" id="{30B89917-8E75-45D6-98C2-DA17699BC072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BZW4 CAY4 CCA4</xm:sqref>
        </x14:conditionalFormatting>
        <x14:conditionalFormatting xmlns:xm="http://schemas.microsoft.com/office/excel/2006/main">
          <x14:cfRule type="cellIs" priority="482" operator="greaterThan" id="{E5798D96-88B1-456C-9762-D26349F46F3E}">
            <xm:f>'\Users\victor.motta.d.lucas\OneDrive - Accenture\NBA\Ofertas  690 - Retenção OiT Substituição das ofertas OiT de todos os combos\Briefing\[priorizadasOiTotal_mig_jul18_oit_2PTV.xlsx]ARBOR_REAJUSTE18'!#REF!+'\Users\victor.motta.d.lucas\OneDrive - Accenture\NBA\Ofertas  690 - Retenção OiT Substituição das ofertas OiT de todos os combos\Briefing\[priorizadasOiTotal_mig_jul18_oit_2PTV.xlsx]ARBOR_REAJUSTE18'!#REF!</xm:f>
            <x14:dxf>
              <fill>
                <patternFill>
                  <bgColor theme="9"/>
                </patternFill>
              </fill>
            </x14:dxf>
          </x14:cfRule>
          <xm:sqref>BB4</xm:sqref>
        </x14:conditionalFormatting>
        <x14:conditionalFormatting xmlns:xm="http://schemas.microsoft.com/office/excel/2006/main">
          <x14:cfRule type="cellIs" priority="404" operator="greaterThan" id="{5CB6E3C4-A7D2-486E-910B-E09AC40E09F7}">
            <xm:f>VLOOKUP($EE$2,'\Users\victor.motta.d.lucas\OneDrive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EF4</xm:sqref>
        </x14:conditionalFormatting>
        <x14:conditionalFormatting xmlns:xm="http://schemas.microsoft.com/office/excel/2006/main">
          <x14:cfRule type="cellIs" priority="403" operator="greaterThan" id="{C86FFF5D-4001-4D23-B407-77A8A74D698F}">
            <xm:f>VLOOKUP($IU$2,'\Users\victor.motta.d.lucas\OneDrive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IV4</xm:sqref>
        </x14:conditionalFormatting>
        <x14:conditionalFormatting xmlns:xm="http://schemas.microsoft.com/office/excel/2006/main">
          <x14:cfRule type="cellIs" priority="402" operator="greaterThan" id="{4E1EC3CE-76D7-44F3-B4B9-A9D21D9C4631}">
            <xm:f>VLOOKUP($MG$2,'\Users\victor.motta.d.lucas\OneDrive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MH4</xm:sqref>
        </x14:conditionalFormatting>
        <x14:conditionalFormatting xmlns:xm="http://schemas.microsoft.com/office/excel/2006/main">
          <x14:cfRule type="cellIs" priority="401" operator="greaterThan" id="{C9B206B9-82B3-43E1-A83D-FBFB7A6602FE}">
            <xm:f>VLOOKUP($QY$2,'\Users\victor.motta.d.lucas\OneDrive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QZ4</xm:sqref>
        </x14:conditionalFormatting>
        <x14:conditionalFormatting xmlns:xm="http://schemas.microsoft.com/office/excel/2006/main">
          <x14:cfRule type="cellIs" priority="400" operator="greaterThan" id="{55A5F3B5-DF7F-45FA-963B-19C44C131280}">
            <xm:f>VLOOKUP($AGE$2,'\Users\victor.motta.d.lucas\OneDrive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AGE4</xm:sqref>
        </x14:conditionalFormatting>
        <x14:conditionalFormatting xmlns:xm="http://schemas.microsoft.com/office/excel/2006/main">
          <x14:cfRule type="cellIs" priority="399" operator="greaterThan" id="{AD497750-C6CE-43E9-9A19-3B50CB84676F}">
            <xm:f>VLOOKUP($AHH$2,'\Users\victor.motta.d.lucas\OneDrive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AHH4</xm:sqref>
        </x14:conditionalFormatting>
        <x14:conditionalFormatting xmlns:xm="http://schemas.microsoft.com/office/excel/2006/main">
          <x14:cfRule type="cellIs" priority="398" operator="greaterThan" id="{BDF91E6E-5715-4BD1-B0BB-F82513A6D380}">
            <xm:f>VLOOKUP($AIK$2,'\Users\victor.motta.d.lucas\OneDrive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AIK4</xm:sqref>
        </x14:conditionalFormatting>
        <x14:conditionalFormatting xmlns:xm="http://schemas.microsoft.com/office/excel/2006/main">
          <x14:cfRule type="cellIs" priority="397" operator="greaterThan" id="{3AA37860-45B5-4ECD-8CBE-C66F33C0C15F}">
            <xm:f>VLOOKUP($AJN$2,'\Users\victor.motta.d.lucas\OneDrive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AJN4</xm:sqref>
        </x14:conditionalFormatting>
        <x14:conditionalFormatting xmlns:xm="http://schemas.microsoft.com/office/excel/2006/main">
          <x14:cfRule type="cellIs" priority="396" operator="greaterThan" id="{19DE79C0-B520-4A89-BC5A-4890B8F42A64}">
            <xm:f>VLOOKUP($AKQ$2,'\Users\victor.motta.d.lucas\OneDrive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AKQ4</xm:sqref>
        </x14:conditionalFormatting>
        <x14:conditionalFormatting xmlns:xm="http://schemas.microsoft.com/office/excel/2006/main">
          <x14:cfRule type="cellIs" priority="395" operator="greaterThan" id="{8AA49613-409A-4411-90A2-87A630ACFDAC}">
            <xm:f>VLOOKUP($ALT$2,'\Users\victor.motta.d.lucas\OneDrive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ALT4</xm:sqref>
        </x14:conditionalFormatting>
        <x14:conditionalFormatting xmlns:xm="http://schemas.microsoft.com/office/excel/2006/main">
          <x14:cfRule type="cellIs" priority="394" operator="greaterThan" id="{4C475971-C19E-4AAF-B596-9FC5400E854C}">
            <xm:f>VLOOKUP($AMW$2,'\Users\victor.motta.d.lucas\OneDrive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AMW4</xm:sqref>
        </x14:conditionalFormatting>
        <x14:conditionalFormatting xmlns:xm="http://schemas.microsoft.com/office/excel/2006/main">
          <x14:cfRule type="cellIs" priority="393" operator="greaterThan" id="{40214FAE-D879-4A18-8482-87950ABCF5D9}">
            <xm:f>VLOOKUP($ANZ$2,'\Users\victor.motta.d.lucas\OneDrive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ANZ4</xm:sqref>
        </x14:conditionalFormatting>
        <x14:conditionalFormatting xmlns:xm="http://schemas.microsoft.com/office/excel/2006/main">
          <x14:cfRule type="cellIs" priority="392" operator="greaterThan" id="{2526E68B-975A-43D4-96C0-5186C7C3A39E}">
            <xm:f>VLOOKUP($APC$2,'\Users\victor.motta.d.lucas\OneDrive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APC4</xm:sqref>
        </x14:conditionalFormatting>
        <x14:conditionalFormatting xmlns:xm="http://schemas.microsoft.com/office/excel/2006/main">
          <x14:cfRule type="cellIs" priority="391" operator="greaterThan" id="{1CFCCB7E-FA1C-468C-B7DC-200FF345D568}">
            <xm:f>VLOOKUP($AQF$2,'\Users\victor.motta.d.lucas\OneDrive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AQF4</xm:sqref>
        </x14:conditionalFormatting>
        <x14:conditionalFormatting xmlns:xm="http://schemas.microsoft.com/office/excel/2006/main">
          <x14:cfRule type="cellIs" priority="390" operator="greaterThan" id="{10AE3340-79D0-4E5B-91F8-938293FB19BD}">
            <xm:f>VLOOKUP($ARI$2,'\Users\victor.motta.d.lucas\OneDrive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ARI4</xm:sqref>
        </x14:conditionalFormatting>
        <x14:conditionalFormatting xmlns:xm="http://schemas.microsoft.com/office/excel/2006/main">
          <x14:cfRule type="cellIs" priority="389" operator="greaterThan" id="{8E57F0C8-ADC8-48AB-B56E-990456EC1A46}">
            <xm:f>VLOOKUP($ASL$2,'\Users\victor.motta.d.lucas\OneDrive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ASL4</xm:sqref>
        </x14:conditionalFormatting>
        <x14:conditionalFormatting xmlns:xm="http://schemas.microsoft.com/office/excel/2006/main">
          <x14:cfRule type="cellIs" priority="388" operator="greaterThan" id="{53510899-139B-4490-8B0C-52CECD0F5A27}">
            <xm:f>VLOOKUP($ATO$2,'\Users\victor.motta.d.lucas\OneDrive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ATO4</xm:sqref>
        </x14:conditionalFormatting>
        <x14:conditionalFormatting xmlns:xm="http://schemas.microsoft.com/office/excel/2006/main">
          <x14:cfRule type="cellIs" priority="387" operator="greaterThan" id="{F0BD5265-E5C3-4D95-8BD9-80ADC9D78957}">
            <xm:f>VLOOKUP($AUR$2,'\Users\victor.motta.d.lucas\OneDrive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AUR4</xm:sqref>
        </x14:conditionalFormatting>
        <x14:conditionalFormatting xmlns:xm="http://schemas.microsoft.com/office/excel/2006/main">
          <x14:cfRule type="cellIs" priority="386" operator="greaterThan" id="{44838C97-C290-4458-B9C6-C526DC38C10A}">
            <xm:f>VLOOKUP($AVU$2,'\Users\victor.motta.d.lucas\OneDrive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AVU4</xm:sqref>
        </x14:conditionalFormatting>
        <x14:conditionalFormatting xmlns:xm="http://schemas.microsoft.com/office/excel/2006/main">
          <x14:cfRule type="cellIs" priority="385" operator="greaterThan" id="{D2958CC9-EA0A-4702-B67F-A3CD29DBECC0}">
            <xm:f>VLOOKUP($AWX$2,'\Users\victor.motta.d.lucas\OneDrive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AWX4</xm:sqref>
        </x14:conditionalFormatting>
        <x14:conditionalFormatting xmlns:xm="http://schemas.microsoft.com/office/excel/2006/main">
          <x14:cfRule type="cellIs" priority="384" operator="greaterThan" id="{F0E73EEC-B589-4C9E-8B2C-550C5C3E282D}">
            <xm:f>VLOOKUP($AYA$2,'\Users\victor.motta.d.lucas\OneDrive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AYA4</xm:sqref>
        </x14:conditionalFormatting>
        <x14:conditionalFormatting xmlns:xm="http://schemas.microsoft.com/office/excel/2006/main">
          <x14:cfRule type="cellIs" priority="383" operator="greaterThan" id="{531912FA-A2A8-46DA-8EA2-C52E42E6F62A}">
            <xm:f>VLOOKUP($AZD$2,'\Users\victor.motta.d.lucas\OneDrive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AZD4</xm:sqref>
        </x14:conditionalFormatting>
        <x14:conditionalFormatting xmlns:xm="http://schemas.microsoft.com/office/excel/2006/main">
          <x14:cfRule type="cellIs" priority="382" operator="greaterThan" id="{45BE0B47-2F83-4020-8B56-47CAD938AB06}">
            <xm:f>VLOOKUP($BAG$2,'\Users\victor.motta.d.lucas\OneDrive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BAG4</xm:sqref>
        </x14:conditionalFormatting>
        <x14:conditionalFormatting xmlns:xm="http://schemas.microsoft.com/office/excel/2006/main">
          <x14:cfRule type="cellIs" priority="381" operator="greaterThan" id="{5F1FAC6F-8A2C-4ABE-A539-66F7A242EF82}">
            <xm:f>VLOOKUP($BBJ$2,'\Users\victor.motta.d.lucas\OneDrive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BBJ4</xm:sqref>
        </x14:conditionalFormatting>
        <x14:conditionalFormatting xmlns:xm="http://schemas.microsoft.com/office/excel/2006/main">
          <x14:cfRule type="cellIs" priority="380" operator="greaterThan" id="{42A7062F-B53C-4F7A-A44F-695421784852}">
            <xm:f>VLOOKUP($BCM$2,'\Users\victor.motta.d.lucas\OneDrive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BCM4</xm:sqref>
        </x14:conditionalFormatting>
        <x14:conditionalFormatting xmlns:xm="http://schemas.microsoft.com/office/excel/2006/main">
          <x14:cfRule type="cellIs" priority="379" operator="greaterThan" id="{738C2BEC-264C-4FFB-AE5C-26E265893A83}">
            <xm:f>VLOOKUP($BDP$2,'\Users\victor.motta.d.lucas\OneDrive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BDP4</xm:sqref>
        </x14:conditionalFormatting>
        <x14:conditionalFormatting xmlns:xm="http://schemas.microsoft.com/office/excel/2006/main">
          <x14:cfRule type="cellIs" priority="378" operator="greaterThan" id="{4DE10048-92D5-42A9-8B61-B3C8DDBA5947}">
            <xm:f>VLOOKUP($BES$2,'\Users\victor.motta.d.lucas\OneDrive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BES4</xm:sqref>
        </x14:conditionalFormatting>
        <x14:conditionalFormatting xmlns:xm="http://schemas.microsoft.com/office/excel/2006/main">
          <x14:cfRule type="cellIs" priority="377" operator="greaterThan" id="{3DCFB3A0-E45C-4A7A-98C2-04FB17AFCBF2}">
            <xm:f>VLOOKUP($BFV$2,'\Users\victor.motta.d.lucas\OneDrive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BFV4</xm:sqref>
        </x14:conditionalFormatting>
        <x14:conditionalFormatting xmlns:xm="http://schemas.microsoft.com/office/excel/2006/main">
          <x14:cfRule type="cellIs" priority="376" operator="greaterThan" id="{B7163CA1-A087-4EBD-854B-F193923AB957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BGY4</xm:sqref>
        </x14:conditionalFormatting>
        <x14:conditionalFormatting xmlns:xm="http://schemas.microsoft.com/office/excel/2006/main">
          <x14:cfRule type="cellIs" priority="375" operator="greaterThan" id="{B2B79210-A26B-4262-B95F-7F54C3389D71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BOT4</xm:sqref>
        </x14:conditionalFormatting>
        <x14:conditionalFormatting xmlns:xm="http://schemas.microsoft.com/office/excel/2006/main">
          <x14:cfRule type="cellIs" priority="374" operator="greaterThan" id="{D03744F7-5191-4284-9FC2-DFCC0EECD56F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BPW4</xm:sqref>
        </x14:conditionalFormatting>
        <x14:conditionalFormatting xmlns:xm="http://schemas.microsoft.com/office/excel/2006/main">
          <x14:cfRule type="cellIs" priority="373" operator="greaterThan" id="{B983D479-CB4D-481E-A7D6-E84C1055F096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BQZ4</xm:sqref>
        </x14:conditionalFormatting>
        <x14:conditionalFormatting xmlns:xm="http://schemas.microsoft.com/office/excel/2006/main">
          <x14:cfRule type="cellIs" priority="372" operator="greaterThan" id="{89B9AF89-CCB0-4A29-8A50-116D8E374EF7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BSC4</xm:sqref>
        </x14:conditionalFormatting>
        <x14:conditionalFormatting xmlns:xm="http://schemas.microsoft.com/office/excel/2006/main">
          <x14:cfRule type="cellIs" priority="371" operator="greaterThan" id="{C28747D3-749D-45A0-931A-E640692539D7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BUI4</xm:sqref>
        </x14:conditionalFormatting>
        <x14:conditionalFormatting xmlns:xm="http://schemas.microsoft.com/office/excel/2006/main">
          <x14:cfRule type="cellIs" priority="370" operator="greaterThan" id="{724F1BC0-351E-4722-B09F-652574352B91}">
            <xm:f>VLOOKUP($BVL$2,'\Users\victor.motta.d.lucas\OneDrive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BVL4</xm:sqref>
        </x14:conditionalFormatting>
        <x14:conditionalFormatting xmlns:xm="http://schemas.microsoft.com/office/excel/2006/main">
          <x14:cfRule type="cellIs" priority="369" operator="greaterThan" id="{B850BEDF-F81F-4604-9F22-6DBF0E7E04F4}">
            <xm:f>VLOOKUP($BWO$2,'\Users\victor.motta.d.lucas\OneDrive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BWO4</xm:sqref>
        </x14:conditionalFormatting>
        <x14:conditionalFormatting xmlns:xm="http://schemas.microsoft.com/office/excel/2006/main">
          <x14:cfRule type="cellIs" priority="368" operator="greaterThan" id="{37543650-9541-485A-8392-DBFB10C7B238}">
            <xm:f>VLOOKUP($BXR$2,'\Users\victor.motta.d.lucas\OneDrive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BXR4</xm:sqref>
        </x14:conditionalFormatting>
        <x14:conditionalFormatting xmlns:xm="http://schemas.microsoft.com/office/excel/2006/main">
          <x14:cfRule type="cellIs" priority="367" operator="greaterThan" id="{576E8FB5-6889-4BC0-AD91-86B9E55AA819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BTF4</xm:sqref>
        </x14:conditionalFormatting>
        <x14:conditionalFormatting xmlns:xm="http://schemas.microsoft.com/office/excel/2006/main">
          <x14:cfRule type="cellIs" priority="302" operator="greaterThan" id="{C9E910A6-05EF-4799-877A-8B8A94C21F55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BOU4</xm:sqref>
        </x14:conditionalFormatting>
        <x14:conditionalFormatting xmlns:xm="http://schemas.microsoft.com/office/excel/2006/main">
          <x14:cfRule type="cellIs" priority="301" operator="greaterThan" id="{CDA4E425-F6D2-4999-9D0F-17AADE5BF028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BPX4</xm:sqref>
        </x14:conditionalFormatting>
        <x14:conditionalFormatting xmlns:xm="http://schemas.microsoft.com/office/excel/2006/main">
          <x14:cfRule type="cellIs" priority="300" operator="greaterThan" id="{155A72C3-0974-4FFE-B921-66D0C1D56D00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BRA4</xm:sqref>
        </x14:conditionalFormatting>
        <x14:conditionalFormatting xmlns:xm="http://schemas.microsoft.com/office/excel/2006/main">
          <x14:cfRule type="cellIs" priority="299" operator="greaterThan" id="{4C565DB8-F7E4-491F-B8EC-E757F94E98B8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BTG4</xm:sqref>
        </x14:conditionalFormatting>
        <x14:conditionalFormatting xmlns:xm="http://schemas.microsoft.com/office/excel/2006/main">
          <x14:cfRule type="cellIs" priority="298" operator="greaterThan" id="{1A5BC15D-9256-4DAA-AAC0-7D1D774E3F41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BUJ4</xm:sqref>
        </x14:conditionalFormatting>
        <x14:conditionalFormatting xmlns:xm="http://schemas.microsoft.com/office/excel/2006/main">
          <x14:cfRule type="cellIs" priority="294" operator="greaterThan" id="{7B32CB44-7CAA-4DCC-BF25-129664B82260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BIB4</xm:sqref>
        </x14:conditionalFormatting>
        <x14:conditionalFormatting xmlns:xm="http://schemas.microsoft.com/office/excel/2006/main">
          <x14:cfRule type="cellIs" priority="293" operator="greaterThan" id="{5C65CF45-4266-411F-A737-F3AB1F2F1A79}">
            <xm:f>VLOOKUP($BBA$2,'\Users\oi183602\AppData\Local\Temp\Temp1_briefingMAE18_Aqu_3P_RES_+CL.zip\[briefingMAE18_Aqu_3P_RES_FID_+CL_20203.xlsx]ARBOR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BJE4</xm:sqref>
        </x14:conditionalFormatting>
        <x14:conditionalFormatting xmlns:xm="http://schemas.microsoft.com/office/excel/2006/main">
          <x14:cfRule type="cellIs" priority="292" operator="greaterThan" id="{0268395F-FB70-455D-944E-C7043AB48CFA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BKH4</xm:sqref>
        </x14:conditionalFormatting>
        <x14:conditionalFormatting xmlns:xm="http://schemas.microsoft.com/office/excel/2006/main">
          <x14:cfRule type="cellIs" priority="291" operator="greaterThan" id="{86C0BBCC-9CDE-496B-A445-C9B6785BC885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BLK4</xm:sqref>
        </x14:conditionalFormatting>
        <x14:conditionalFormatting xmlns:xm="http://schemas.microsoft.com/office/excel/2006/main">
          <x14:cfRule type="cellIs" priority="290" operator="greaterThan" id="{6FC0175C-7A53-402D-BFB3-4705284B487E}">
            <xm:f>VLOOKUP($BEJ$2,'\Users\oi183602\AppData\Local\Temp\Temp1_briefingMAE18_Aqu_3P_RES_+CL.zip\[briefingMAE18_Aqu_3P_RES_FID_+CL_20203.xlsx]ARBOR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BMN4</xm:sqref>
        </x14:conditionalFormatting>
        <x14:conditionalFormatting xmlns:xm="http://schemas.microsoft.com/office/excel/2006/main">
          <x14:cfRule type="cellIs" priority="289" operator="greaterThan" id="{16F826A8-D85E-42EF-BD74-9BF75A212F62}">
            <xm:f>VLOOKUP($BFM$2,'\Users\oi183602\AppData\Local\Temp\Temp1_briefingMAE18_Aqu_3P_RES_+CL.zip\[briefingMAE18_Aqu_3P_RES_FID_+CL_20203.xlsx]ARBOR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BNQ4</xm:sqref>
        </x14:conditionalFormatting>
        <x14:conditionalFormatting xmlns:xm="http://schemas.microsoft.com/office/excel/2006/main">
          <x14:cfRule type="cellIs" priority="287" operator="greaterThan" id="{BD59596A-7CD7-4AE9-A6A9-A559DEDF4C4E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BYU4</xm:sqref>
        </x14:conditionalFormatting>
        <x14:conditionalFormatting xmlns:xm="http://schemas.microsoft.com/office/excel/2006/main">
          <x14:cfRule type="cellIs" priority="271" operator="greaterThan" id="{D96D8F26-C135-4CCD-BCEC-4B0FA68A27A2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BSD5</xm:sqref>
        </x14:conditionalFormatting>
        <x14:conditionalFormatting xmlns:xm="http://schemas.microsoft.com/office/excel/2006/main">
          <x14:cfRule type="cellIs" priority="270" operator="greaterThan" id="{FE549951-B5FD-4B5E-9C95-4D55D8B80F46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BZW5 CAY5 CCA5</xm:sqref>
        </x14:conditionalFormatting>
        <x14:conditionalFormatting xmlns:xm="http://schemas.microsoft.com/office/excel/2006/main">
          <x14:cfRule type="cellIs" priority="268" operator="greaterThan" id="{BE52E426-F93E-4C0C-A513-3A9D6C7460C1}">
            <xm:f>'\Users\victor.motta.d.lucas\OneDrive - Accenture\NBA\Ofertas  690 - Retenção OiT Substituição das ofertas OiT de todos os combos\Briefing\[priorizadasOiTotal_mig_jul18_oit_2PTV.xlsx]ARBOR_REAJUSTE18'!#REF!+'\Users\victor.motta.d.lucas\OneDrive - Accenture\NBA\Ofertas  690 - Retenção OiT Substituição das ofertas OiT de todos os combos\Briefing\[priorizadasOiTotal_mig_jul18_oit_2PTV.xlsx]ARBOR_REAJUSTE18'!#REF!</xm:f>
            <x14:dxf>
              <fill>
                <patternFill>
                  <bgColor theme="9"/>
                </patternFill>
              </fill>
            </x14:dxf>
          </x14:cfRule>
          <xm:sqref>BB5</xm:sqref>
        </x14:conditionalFormatting>
        <x14:conditionalFormatting xmlns:xm="http://schemas.microsoft.com/office/excel/2006/main">
          <x14:cfRule type="cellIs" priority="190" operator="greaterThan" id="{2B90BB50-ABA8-4C6A-B926-913C26193468}">
            <xm:f>VLOOKUP($EE$2,'\Users\victor.motta.d.lucas\OneDrive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EF5</xm:sqref>
        </x14:conditionalFormatting>
        <x14:conditionalFormatting xmlns:xm="http://schemas.microsoft.com/office/excel/2006/main">
          <x14:cfRule type="cellIs" priority="189" operator="greaterThan" id="{1B15B8B5-21DD-4927-865D-3DB50E2152D0}">
            <xm:f>VLOOKUP($IU$2,'\Users\victor.motta.d.lucas\OneDrive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IV5</xm:sqref>
        </x14:conditionalFormatting>
        <x14:conditionalFormatting xmlns:xm="http://schemas.microsoft.com/office/excel/2006/main">
          <x14:cfRule type="cellIs" priority="188" operator="greaterThan" id="{C2C6FC7D-FEE0-46E1-AA21-87BE878DDF9A}">
            <xm:f>VLOOKUP($MG$2,'\Users\victor.motta.d.lucas\OneDrive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MH5</xm:sqref>
        </x14:conditionalFormatting>
        <x14:conditionalFormatting xmlns:xm="http://schemas.microsoft.com/office/excel/2006/main">
          <x14:cfRule type="cellIs" priority="187" operator="greaterThan" id="{7E2901EA-B870-41DC-8B51-3AC712CBBC22}">
            <xm:f>VLOOKUP($QY$2,'\Users\victor.motta.d.lucas\OneDrive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QZ5</xm:sqref>
        </x14:conditionalFormatting>
        <x14:conditionalFormatting xmlns:xm="http://schemas.microsoft.com/office/excel/2006/main">
          <x14:cfRule type="cellIs" priority="186" operator="greaterThan" id="{44154BB3-F3A0-4EEB-9ED0-0B380AEA7ED5}">
            <xm:f>VLOOKUP($AGE$2,'\Users\victor.motta.d.lucas\OneDrive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AGE5</xm:sqref>
        </x14:conditionalFormatting>
        <x14:conditionalFormatting xmlns:xm="http://schemas.microsoft.com/office/excel/2006/main">
          <x14:cfRule type="cellIs" priority="185" operator="greaterThan" id="{FE5FDF38-86C0-40AC-9D17-0701E8738343}">
            <xm:f>VLOOKUP($AHH$2,'\Users\victor.motta.d.lucas\OneDrive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AHH5</xm:sqref>
        </x14:conditionalFormatting>
        <x14:conditionalFormatting xmlns:xm="http://schemas.microsoft.com/office/excel/2006/main">
          <x14:cfRule type="cellIs" priority="184" operator="greaterThan" id="{434C879F-ECDF-452A-9071-F4C6FBD5AD80}">
            <xm:f>VLOOKUP($AIK$2,'\Users\victor.motta.d.lucas\OneDrive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AIK5</xm:sqref>
        </x14:conditionalFormatting>
        <x14:conditionalFormatting xmlns:xm="http://schemas.microsoft.com/office/excel/2006/main">
          <x14:cfRule type="cellIs" priority="183" operator="greaterThan" id="{35E4AE8B-2685-4AAB-BFAE-D3B04623D73F}">
            <xm:f>VLOOKUP($AJN$2,'\Users\victor.motta.d.lucas\OneDrive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AJN5</xm:sqref>
        </x14:conditionalFormatting>
        <x14:conditionalFormatting xmlns:xm="http://schemas.microsoft.com/office/excel/2006/main">
          <x14:cfRule type="cellIs" priority="182" operator="greaterThan" id="{24B37F14-8E6D-460B-BC8C-50ECA3EBF125}">
            <xm:f>VLOOKUP($AKQ$2,'\Users\victor.motta.d.lucas\OneDrive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AKQ5</xm:sqref>
        </x14:conditionalFormatting>
        <x14:conditionalFormatting xmlns:xm="http://schemas.microsoft.com/office/excel/2006/main">
          <x14:cfRule type="cellIs" priority="181" operator="greaterThan" id="{1D0254B9-22A4-43F5-B9C2-B4641BAFC47A}">
            <xm:f>VLOOKUP($ALT$2,'\Users\victor.motta.d.lucas\OneDrive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ALT5</xm:sqref>
        </x14:conditionalFormatting>
        <x14:conditionalFormatting xmlns:xm="http://schemas.microsoft.com/office/excel/2006/main">
          <x14:cfRule type="cellIs" priority="180" operator="greaterThan" id="{72C4D98C-0501-4601-A64F-728D90E1D8A4}">
            <xm:f>VLOOKUP($AMW$2,'\Users\victor.motta.d.lucas\OneDrive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AMW5</xm:sqref>
        </x14:conditionalFormatting>
        <x14:conditionalFormatting xmlns:xm="http://schemas.microsoft.com/office/excel/2006/main">
          <x14:cfRule type="cellIs" priority="179" operator="greaterThan" id="{56E993A0-62DA-4AD3-A8B0-3D9BC9A1E203}">
            <xm:f>VLOOKUP($ANZ$2,'\Users\victor.motta.d.lucas\OneDrive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ANZ5</xm:sqref>
        </x14:conditionalFormatting>
        <x14:conditionalFormatting xmlns:xm="http://schemas.microsoft.com/office/excel/2006/main">
          <x14:cfRule type="cellIs" priority="178" operator="greaterThan" id="{C6D9AB76-4BEE-4640-890F-AE5881B0E312}">
            <xm:f>VLOOKUP($APC$2,'\Users\victor.motta.d.lucas\OneDrive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APC5</xm:sqref>
        </x14:conditionalFormatting>
        <x14:conditionalFormatting xmlns:xm="http://schemas.microsoft.com/office/excel/2006/main">
          <x14:cfRule type="cellIs" priority="177" operator="greaterThan" id="{6872902C-4D6C-4506-9159-93FD60601366}">
            <xm:f>VLOOKUP($AQF$2,'\Users\victor.motta.d.lucas\OneDrive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AQF5</xm:sqref>
        </x14:conditionalFormatting>
        <x14:conditionalFormatting xmlns:xm="http://schemas.microsoft.com/office/excel/2006/main">
          <x14:cfRule type="cellIs" priority="176" operator="greaterThan" id="{A5DFA50F-05AD-4EA9-BC7D-6251DF6E02A7}">
            <xm:f>VLOOKUP($ARI$2,'\Users\victor.motta.d.lucas\OneDrive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ARI5</xm:sqref>
        </x14:conditionalFormatting>
        <x14:conditionalFormatting xmlns:xm="http://schemas.microsoft.com/office/excel/2006/main">
          <x14:cfRule type="cellIs" priority="175" operator="greaterThan" id="{4F1D5190-405E-4B14-B58E-26CDCE3C0F00}">
            <xm:f>VLOOKUP($ASL$2,'\Users\victor.motta.d.lucas\OneDrive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ASL5</xm:sqref>
        </x14:conditionalFormatting>
        <x14:conditionalFormatting xmlns:xm="http://schemas.microsoft.com/office/excel/2006/main">
          <x14:cfRule type="cellIs" priority="174" operator="greaterThan" id="{1E96982E-A7F0-45CF-9117-8232377735AB}">
            <xm:f>VLOOKUP($ATO$2,'\Users\victor.motta.d.lucas\OneDrive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ATO5</xm:sqref>
        </x14:conditionalFormatting>
        <x14:conditionalFormatting xmlns:xm="http://schemas.microsoft.com/office/excel/2006/main">
          <x14:cfRule type="cellIs" priority="173" operator="greaterThan" id="{6083A50D-94A0-4BC6-8ABB-E8EFD286C0FC}">
            <xm:f>VLOOKUP($AUR$2,'\Users\victor.motta.d.lucas\OneDrive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AUR5</xm:sqref>
        </x14:conditionalFormatting>
        <x14:conditionalFormatting xmlns:xm="http://schemas.microsoft.com/office/excel/2006/main">
          <x14:cfRule type="cellIs" priority="172" operator="greaterThan" id="{AC63D8E3-89E9-4DA5-A953-931CB01E9DAC}">
            <xm:f>VLOOKUP($AVU$2,'\Users\victor.motta.d.lucas\OneDrive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AVU5</xm:sqref>
        </x14:conditionalFormatting>
        <x14:conditionalFormatting xmlns:xm="http://schemas.microsoft.com/office/excel/2006/main">
          <x14:cfRule type="cellIs" priority="171" operator="greaterThan" id="{5ACCFE1C-9FA7-4355-829F-CB0E828AE2F9}">
            <xm:f>VLOOKUP($AWX$2,'\Users\victor.motta.d.lucas\OneDrive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AWX5</xm:sqref>
        </x14:conditionalFormatting>
        <x14:conditionalFormatting xmlns:xm="http://schemas.microsoft.com/office/excel/2006/main">
          <x14:cfRule type="cellIs" priority="170" operator="greaterThan" id="{4CD0A228-6BE0-4105-B539-7AF93D586C9F}">
            <xm:f>VLOOKUP($AYA$2,'\Users\victor.motta.d.lucas\OneDrive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AYA5</xm:sqref>
        </x14:conditionalFormatting>
        <x14:conditionalFormatting xmlns:xm="http://schemas.microsoft.com/office/excel/2006/main">
          <x14:cfRule type="cellIs" priority="169" operator="greaterThan" id="{A9CA15C2-5C16-45C4-A8A4-0E2398EBFBBC}">
            <xm:f>VLOOKUP($AZD$2,'\Users\victor.motta.d.lucas\OneDrive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AZD5</xm:sqref>
        </x14:conditionalFormatting>
        <x14:conditionalFormatting xmlns:xm="http://schemas.microsoft.com/office/excel/2006/main">
          <x14:cfRule type="cellIs" priority="168" operator="greaterThan" id="{202B177A-61E6-4858-9D3A-484418B02D72}">
            <xm:f>VLOOKUP($BAG$2,'\Users\victor.motta.d.lucas\OneDrive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BAG5</xm:sqref>
        </x14:conditionalFormatting>
        <x14:conditionalFormatting xmlns:xm="http://schemas.microsoft.com/office/excel/2006/main">
          <x14:cfRule type="cellIs" priority="167" operator="greaterThan" id="{ED39E6F9-3C27-48B9-BE6E-860CDF97B988}">
            <xm:f>VLOOKUP($BBJ$2,'\Users\victor.motta.d.lucas\OneDrive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BBJ5</xm:sqref>
        </x14:conditionalFormatting>
        <x14:conditionalFormatting xmlns:xm="http://schemas.microsoft.com/office/excel/2006/main">
          <x14:cfRule type="cellIs" priority="166" operator="greaterThan" id="{A7851BBD-CB84-4BF1-BEB5-B7C5F4155020}">
            <xm:f>VLOOKUP($BCM$2,'\Users\victor.motta.d.lucas\OneDrive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BCM5</xm:sqref>
        </x14:conditionalFormatting>
        <x14:conditionalFormatting xmlns:xm="http://schemas.microsoft.com/office/excel/2006/main">
          <x14:cfRule type="cellIs" priority="165" operator="greaterThan" id="{565ECE74-2378-4D55-A909-B82FE7113D5C}">
            <xm:f>VLOOKUP($BDP$2,'\Users\victor.motta.d.lucas\OneDrive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BDP5</xm:sqref>
        </x14:conditionalFormatting>
        <x14:conditionalFormatting xmlns:xm="http://schemas.microsoft.com/office/excel/2006/main">
          <x14:cfRule type="cellIs" priority="164" operator="greaterThan" id="{712B6222-937E-43B5-80DD-4BDC5BB7D702}">
            <xm:f>VLOOKUP($BES$2,'\Users\victor.motta.d.lucas\OneDrive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BES5</xm:sqref>
        </x14:conditionalFormatting>
        <x14:conditionalFormatting xmlns:xm="http://schemas.microsoft.com/office/excel/2006/main">
          <x14:cfRule type="cellIs" priority="163" operator="greaterThan" id="{932065DF-615E-46A9-B8BA-2563E1DFA413}">
            <xm:f>VLOOKUP($BFV$2,'\Users\victor.motta.d.lucas\OneDrive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BFV5</xm:sqref>
        </x14:conditionalFormatting>
        <x14:conditionalFormatting xmlns:xm="http://schemas.microsoft.com/office/excel/2006/main">
          <x14:cfRule type="cellIs" priority="162" operator="greaterThan" id="{6473D759-1375-4FAA-9140-3310B521E23F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BGY5</xm:sqref>
        </x14:conditionalFormatting>
        <x14:conditionalFormatting xmlns:xm="http://schemas.microsoft.com/office/excel/2006/main">
          <x14:cfRule type="cellIs" priority="161" operator="greaterThan" id="{92B8FB42-D30B-4A9E-89FA-7623D8B4F014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BOT5</xm:sqref>
        </x14:conditionalFormatting>
        <x14:conditionalFormatting xmlns:xm="http://schemas.microsoft.com/office/excel/2006/main">
          <x14:cfRule type="cellIs" priority="160" operator="greaterThan" id="{2BA5E717-AAEE-42CA-9222-0AFBA39B2198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BPW5</xm:sqref>
        </x14:conditionalFormatting>
        <x14:conditionalFormatting xmlns:xm="http://schemas.microsoft.com/office/excel/2006/main">
          <x14:cfRule type="cellIs" priority="159" operator="greaterThan" id="{4EA55ABC-9264-4977-9585-B540193806A3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BQZ5</xm:sqref>
        </x14:conditionalFormatting>
        <x14:conditionalFormatting xmlns:xm="http://schemas.microsoft.com/office/excel/2006/main">
          <x14:cfRule type="cellIs" priority="158" operator="greaterThan" id="{782D22EA-5FD9-4AD2-A78B-047AEF68A7AF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BSC5</xm:sqref>
        </x14:conditionalFormatting>
        <x14:conditionalFormatting xmlns:xm="http://schemas.microsoft.com/office/excel/2006/main">
          <x14:cfRule type="cellIs" priority="157" operator="greaterThan" id="{E884C107-9926-4D5A-ADF1-46ECA6BBC56C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BUI5</xm:sqref>
        </x14:conditionalFormatting>
        <x14:conditionalFormatting xmlns:xm="http://schemas.microsoft.com/office/excel/2006/main">
          <x14:cfRule type="cellIs" priority="156" operator="greaterThan" id="{04B8A8F2-B3A4-4BE9-BA99-293765E6C55F}">
            <xm:f>VLOOKUP($BVL$2,'\Users\victor.motta.d.lucas\OneDrive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BVL5</xm:sqref>
        </x14:conditionalFormatting>
        <x14:conditionalFormatting xmlns:xm="http://schemas.microsoft.com/office/excel/2006/main">
          <x14:cfRule type="cellIs" priority="155" operator="greaterThan" id="{AAEADB20-BCD8-4F2B-925C-4D59E21F6791}">
            <xm:f>VLOOKUP($BWO$2,'\Users\victor.motta.d.lucas\OneDrive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BWO5</xm:sqref>
        </x14:conditionalFormatting>
        <x14:conditionalFormatting xmlns:xm="http://schemas.microsoft.com/office/excel/2006/main">
          <x14:cfRule type="cellIs" priority="154" operator="greaterThan" id="{E26AC323-3A39-4D38-9498-8DC10B4DA3ED}">
            <xm:f>VLOOKUP($BXR$2,'\Users\victor.motta.d.lucas\OneDrive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BXR5</xm:sqref>
        </x14:conditionalFormatting>
        <x14:conditionalFormatting xmlns:xm="http://schemas.microsoft.com/office/excel/2006/main">
          <x14:cfRule type="cellIs" priority="153" operator="greaterThan" id="{0A344AB3-4A1D-49A8-A67C-BE9ABB821DB3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BTF5</xm:sqref>
        </x14:conditionalFormatting>
        <x14:conditionalFormatting xmlns:xm="http://schemas.microsoft.com/office/excel/2006/main">
          <x14:cfRule type="cellIs" priority="88" operator="greaterThan" id="{9B863108-B8BA-48BE-9496-C726E1802124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BOU5</xm:sqref>
        </x14:conditionalFormatting>
        <x14:conditionalFormatting xmlns:xm="http://schemas.microsoft.com/office/excel/2006/main">
          <x14:cfRule type="cellIs" priority="87" operator="greaterThan" id="{D1AB495B-89CE-44F4-A4DA-9EDD1E265B20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BPX5</xm:sqref>
        </x14:conditionalFormatting>
        <x14:conditionalFormatting xmlns:xm="http://schemas.microsoft.com/office/excel/2006/main">
          <x14:cfRule type="cellIs" priority="86" operator="greaterThan" id="{0F9D7CA5-41B5-4591-8E9F-3CDF6D5482DA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BRA5</xm:sqref>
        </x14:conditionalFormatting>
        <x14:conditionalFormatting xmlns:xm="http://schemas.microsoft.com/office/excel/2006/main">
          <x14:cfRule type="cellIs" priority="85" operator="greaterThan" id="{589FF1DE-0F40-4455-AA74-FE63EAD6B19F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BTG5</xm:sqref>
        </x14:conditionalFormatting>
        <x14:conditionalFormatting xmlns:xm="http://schemas.microsoft.com/office/excel/2006/main">
          <x14:cfRule type="cellIs" priority="84" operator="greaterThan" id="{C7F5A664-196A-470F-B427-490231EBDC42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BUJ5</xm:sqref>
        </x14:conditionalFormatting>
        <x14:conditionalFormatting xmlns:xm="http://schemas.microsoft.com/office/excel/2006/main">
          <x14:cfRule type="cellIs" priority="80" operator="greaterThan" id="{0FF48E5E-4D6A-47D6-AA8D-EFB256973F0C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BIB5</xm:sqref>
        </x14:conditionalFormatting>
        <x14:conditionalFormatting xmlns:xm="http://schemas.microsoft.com/office/excel/2006/main">
          <x14:cfRule type="cellIs" priority="79" operator="greaterThan" id="{F0A62211-3064-445C-B09E-595955F6AFBF}">
            <xm:f>VLOOKUP($BBA$2,'\Users\oi183602\AppData\Local\Temp\Temp1_briefingMAE18_Aqu_3P_RES_+CL.zip\[briefingMAE18_Aqu_3P_RES_FID_+CL_20203.xlsx]ARBOR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BJE5</xm:sqref>
        </x14:conditionalFormatting>
        <x14:conditionalFormatting xmlns:xm="http://schemas.microsoft.com/office/excel/2006/main">
          <x14:cfRule type="cellIs" priority="78" operator="greaterThan" id="{7470D3C3-ECC8-462C-B9FF-6A994D58203F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BKH5</xm:sqref>
        </x14:conditionalFormatting>
        <x14:conditionalFormatting xmlns:xm="http://schemas.microsoft.com/office/excel/2006/main">
          <x14:cfRule type="cellIs" priority="77" operator="greaterThan" id="{572C34A6-23C9-4EA6-9055-4A92EF1B637F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BLK5</xm:sqref>
        </x14:conditionalFormatting>
        <x14:conditionalFormatting xmlns:xm="http://schemas.microsoft.com/office/excel/2006/main">
          <x14:cfRule type="cellIs" priority="76" operator="greaterThan" id="{9599BE52-A128-48CD-9939-BFE17719E7A3}">
            <xm:f>VLOOKUP($BEJ$2,'\Users\oi183602\AppData\Local\Temp\Temp1_briefingMAE18_Aqu_3P_RES_+CL.zip\[briefingMAE18_Aqu_3P_RES_FID_+CL_20203.xlsx]ARBOR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BMN5</xm:sqref>
        </x14:conditionalFormatting>
        <x14:conditionalFormatting xmlns:xm="http://schemas.microsoft.com/office/excel/2006/main">
          <x14:cfRule type="cellIs" priority="75" operator="greaterThan" id="{F356ECF3-2F31-45A7-BD00-B4AD8D4A5390}">
            <xm:f>VLOOKUP($BFM$2,'\Users\oi183602\AppData\Local\Temp\Temp1_briefingMAE18_Aqu_3P_RES_+CL.zip\[briefingMAE18_Aqu_3P_RES_FID_+CL_20203.xlsx]ARBOR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BNQ5</xm:sqref>
        </x14:conditionalFormatting>
        <x14:conditionalFormatting xmlns:xm="http://schemas.microsoft.com/office/excel/2006/main">
          <x14:cfRule type="cellIs" priority="73" operator="greaterThan" id="{3B3757A5-BC31-4506-A781-9AFE87EF7C02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BYU5</xm:sqref>
        </x14:conditionalFormatting>
        <x14:conditionalFormatting xmlns:xm="http://schemas.microsoft.com/office/excel/2006/main">
          <x14:cfRule type="cellIs" priority="57" operator="greaterThan" id="{CEBEF96E-84E7-4006-88CC-7E483756016E}">
            <xm:f>VLOOKUP($EE$2,'\Users\victor.motta.d.lucas\OneDrive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EF6</xm:sqref>
        </x14:conditionalFormatting>
        <x14:conditionalFormatting xmlns:xm="http://schemas.microsoft.com/office/excel/2006/main">
          <x14:cfRule type="cellIs" priority="56" operator="greaterThan" id="{93730FC0-C3A1-4825-8CC8-B3EBB376C070}">
            <xm:f>VLOOKUP($IU$2,'\Users\victor.motta.d.lucas\OneDrive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IV6</xm:sqref>
        </x14:conditionalFormatting>
        <x14:conditionalFormatting xmlns:xm="http://schemas.microsoft.com/office/excel/2006/main">
          <x14:cfRule type="cellIs" priority="55" operator="greaterThan" id="{2704019F-63F9-4469-9E25-C1939B61F10E}">
            <xm:f>VLOOKUP($MG$2,'\Users\victor.motta.d.lucas\OneDrive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MH6</xm:sqref>
        </x14:conditionalFormatting>
        <x14:conditionalFormatting xmlns:xm="http://schemas.microsoft.com/office/excel/2006/main">
          <x14:cfRule type="cellIs" priority="54" operator="greaterThan" id="{BAABA8FC-4348-4910-942A-5C01096965A6}">
            <xm:f>VLOOKUP($QY$2,'\Users\victor.motta.d.lucas\OneDrive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QZ6</xm:sqref>
        </x14:conditionalFormatting>
        <x14:conditionalFormatting xmlns:xm="http://schemas.microsoft.com/office/excel/2006/main">
          <x14:cfRule type="cellIs" priority="53" operator="greaterThan" id="{2256D62C-5E06-4A01-8775-CDA72CFE95A9}">
            <xm:f>VLOOKUP($AGE$2,'\Users\victor.motta.d.lucas\OneDrive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AGE6</xm:sqref>
        </x14:conditionalFormatting>
        <x14:conditionalFormatting xmlns:xm="http://schemas.microsoft.com/office/excel/2006/main">
          <x14:cfRule type="cellIs" priority="52" operator="greaterThan" id="{F064A52B-DBC3-4FC6-AD6E-E03D8D2586FF}">
            <xm:f>VLOOKUP($AHH$2,'\Users\victor.motta.d.lucas\OneDrive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AHH6</xm:sqref>
        </x14:conditionalFormatting>
        <x14:conditionalFormatting xmlns:xm="http://schemas.microsoft.com/office/excel/2006/main">
          <x14:cfRule type="cellIs" priority="51" operator="greaterThan" id="{25208370-6F72-4E61-AD99-1E8286C63EF1}">
            <xm:f>VLOOKUP($AIK$2,'\Users\victor.motta.d.lucas\OneDrive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AIK6</xm:sqref>
        </x14:conditionalFormatting>
        <x14:conditionalFormatting xmlns:xm="http://schemas.microsoft.com/office/excel/2006/main">
          <x14:cfRule type="cellIs" priority="50" operator="greaterThan" id="{287BCC00-D43A-4BCE-BDE8-C33747617AB5}">
            <xm:f>VLOOKUP($AJN$2,'\Users\victor.motta.d.lucas\OneDrive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AJN6</xm:sqref>
        </x14:conditionalFormatting>
        <x14:conditionalFormatting xmlns:xm="http://schemas.microsoft.com/office/excel/2006/main">
          <x14:cfRule type="cellIs" priority="49" operator="greaterThan" id="{39D91DD8-5AD1-475C-A643-91EAB06FC3CD}">
            <xm:f>VLOOKUP($AKQ$2,'\Users\victor.motta.d.lucas\OneDrive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AKQ6</xm:sqref>
        </x14:conditionalFormatting>
        <x14:conditionalFormatting xmlns:xm="http://schemas.microsoft.com/office/excel/2006/main">
          <x14:cfRule type="cellIs" priority="48" operator="greaterThan" id="{FF9B5F7C-68B9-4BF8-B5E0-DF7A2320E759}">
            <xm:f>VLOOKUP($ALT$2,'\Users\victor.motta.d.lucas\OneDrive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ALT6</xm:sqref>
        </x14:conditionalFormatting>
        <x14:conditionalFormatting xmlns:xm="http://schemas.microsoft.com/office/excel/2006/main">
          <x14:cfRule type="cellIs" priority="47" operator="greaterThan" id="{E4070ABD-EF25-4924-B691-6B8904D652B8}">
            <xm:f>VLOOKUP($AMW$2,'\Users\victor.motta.d.lucas\OneDrive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AMW6</xm:sqref>
        </x14:conditionalFormatting>
        <x14:conditionalFormatting xmlns:xm="http://schemas.microsoft.com/office/excel/2006/main">
          <x14:cfRule type="cellIs" priority="46" operator="greaterThan" id="{A99D5EAA-F624-4C59-9222-A507866A0CFB}">
            <xm:f>VLOOKUP($ANZ$2,'\Users\victor.motta.d.lucas\OneDrive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ANZ6</xm:sqref>
        </x14:conditionalFormatting>
        <x14:conditionalFormatting xmlns:xm="http://schemas.microsoft.com/office/excel/2006/main">
          <x14:cfRule type="cellIs" priority="45" operator="greaterThan" id="{8E94CE81-F001-4257-B801-6DAD4E7BFCAD}">
            <xm:f>VLOOKUP($APC$2,'\Users\victor.motta.d.lucas\OneDrive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APC6</xm:sqref>
        </x14:conditionalFormatting>
        <x14:conditionalFormatting xmlns:xm="http://schemas.microsoft.com/office/excel/2006/main">
          <x14:cfRule type="cellIs" priority="44" operator="greaterThan" id="{37659175-3035-4982-815E-4179A0378F89}">
            <xm:f>VLOOKUP($AQF$2,'\Users\victor.motta.d.lucas\OneDrive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AQF6</xm:sqref>
        </x14:conditionalFormatting>
        <x14:conditionalFormatting xmlns:xm="http://schemas.microsoft.com/office/excel/2006/main">
          <x14:cfRule type="cellIs" priority="43" operator="greaterThan" id="{EF77EE18-E78D-4964-8288-34E54ADCEBBF}">
            <xm:f>VLOOKUP($ARI$2,'\Users\victor.motta.d.lucas\OneDrive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ARI6</xm:sqref>
        </x14:conditionalFormatting>
        <x14:conditionalFormatting xmlns:xm="http://schemas.microsoft.com/office/excel/2006/main">
          <x14:cfRule type="cellIs" priority="42" operator="greaterThan" id="{FA759E27-4AC6-4E66-BFD7-4783799D1B22}">
            <xm:f>VLOOKUP($ASL$2,'\Users\victor.motta.d.lucas\OneDrive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ASL6</xm:sqref>
        </x14:conditionalFormatting>
        <x14:conditionalFormatting xmlns:xm="http://schemas.microsoft.com/office/excel/2006/main">
          <x14:cfRule type="cellIs" priority="41" operator="greaterThan" id="{53A3328D-A248-41E9-94C6-DDBC1EF41CA2}">
            <xm:f>VLOOKUP($ATO$2,'\Users\victor.motta.d.lucas\OneDrive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ATO6</xm:sqref>
        </x14:conditionalFormatting>
        <x14:conditionalFormatting xmlns:xm="http://schemas.microsoft.com/office/excel/2006/main">
          <x14:cfRule type="cellIs" priority="40" operator="greaterThan" id="{6D840191-1383-44FB-82F1-B87C0CB992EE}">
            <xm:f>VLOOKUP($AUR$2,'\Users\victor.motta.d.lucas\OneDrive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AUR6</xm:sqref>
        </x14:conditionalFormatting>
        <x14:conditionalFormatting xmlns:xm="http://schemas.microsoft.com/office/excel/2006/main">
          <x14:cfRule type="cellIs" priority="39" operator="greaterThan" id="{D25C3410-0B20-4C81-A2DE-658879270C34}">
            <xm:f>VLOOKUP($AVU$2,'\Users\victor.motta.d.lucas\OneDrive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AVU6</xm:sqref>
        </x14:conditionalFormatting>
        <x14:conditionalFormatting xmlns:xm="http://schemas.microsoft.com/office/excel/2006/main">
          <x14:cfRule type="cellIs" priority="38" operator="greaterThan" id="{279E267A-59E1-4850-ADF0-E2A359B3FC87}">
            <xm:f>VLOOKUP($AWX$2,'\Users\victor.motta.d.lucas\OneDrive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AWX6</xm:sqref>
        </x14:conditionalFormatting>
        <x14:conditionalFormatting xmlns:xm="http://schemas.microsoft.com/office/excel/2006/main">
          <x14:cfRule type="cellIs" priority="37" operator="greaterThan" id="{962C8CBB-6CB2-42A6-8789-580CB43098FF}">
            <xm:f>VLOOKUP($AYA$2,'\Users\victor.motta.d.lucas\OneDrive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AYA6</xm:sqref>
        </x14:conditionalFormatting>
        <x14:conditionalFormatting xmlns:xm="http://schemas.microsoft.com/office/excel/2006/main">
          <x14:cfRule type="cellIs" priority="36" operator="greaterThan" id="{2F0F76E7-A142-410F-A3EC-F0522CD17A80}">
            <xm:f>VLOOKUP($AZD$2,'\Users\victor.motta.d.lucas\OneDrive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AZD6</xm:sqref>
        </x14:conditionalFormatting>
        <x14:conditionalFormatting xmlns:xm="http://schemas.microsoft.com/office/excel/2006/main">
          <x14:cfRule type="cellIs" priority="35" operator="greaterThan" id="{71C524A8-8229-4F35-A160-1955BFDC22B7}">
            <xm:f>VLOOKUP($BAG$2,'\Users\victor.motta.d.lucas\OneDrive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BAG6</xm:sqref>
        </x14:conditionalFormatting>
        <x14:conditionalFormatting xmlns:xm="http://schemas.microsoft.com/office/excel/2006/main">
          <x14:cfRule type="cellIs" priority="34" operator="greaterThan" id="{D5B9EF6E-0175-4885-9339-3BE48E4F664F}">
            <xm:f>VLOOKUP($BBJ$2,'\Users\victor.motta.d.lucas\OneDrive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BBJ6</xm:sqref>
        </x14:conditionalFormatting>
        <x14:conditionalFormatting xmlns:xm="http://schemas.microsoft.com/office/excel/2006/main">
          <x14:cfRule type="cellIs" priority="33" operator="greaterThan" id="{784ED8EB-0F04-475F-9428-07A43C7502B8}">
            <xm:f>VLOOKUP($BCM$2,'\Users\victor.motta.d.lucas\OneDrive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BCM6</xm:sqref>
        </x14:conditionalFormatting>
        <x14:conditionalFormatting xmlns:xm="http://schemas.microsoft.com/office/excel/2006/main">
          <x14:cfRule type="cellIs" priority="32" operator="greaterThan" id="{D4452B57-78C9-41A8-8447-E5AA8B7C3454}">
            <xm:f>VLOOKUP($BDP$2,'\Users\victor.motta.d.lucas\OneDrive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BDP6</xm:sqref>
        </x14:conditionalFormatting>
        <x14:conditionalFormatting xmlns:xm="http://schemas.microsoft.com/office/excel/2006/main">
          <x14:cfRule type="cellIs" priority="31" operator="greaterThan" id="{E6F5D93E-D9E0-41AC-BC74-C77238B6AFD6}">
            <xm:f>VLOOKUP($BES$2,'\Users\victor.motta.d.lucas\OneDrive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BES6</xm:sqref>
        </x14:conditionalFormatting>
        <x14:conditionalFormatting xmlns:xm="http://schemas.microsoft.com/office/excel/2006/main">
          <x14:cfRule type="cellIs" priority="30" operator="greaterThan" id="{C18C7843-3D47-44E1-95BD-E3EF5BD70FE4}">
            <xm:f>VLOOKUP($BFV$2,'\Users\victor.motta.d.lucas\OneDrive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BFV6</xm:sqref>
        </x14:conditionalFormatting>
        <x14:conditionalFormatting xmlns:xm="http://schemas.microsoft.com/office/excel/2006/main">
          <x14:cfRule type="cellIs" priority="29" operator="greaterThan" id="{40BDB226-6ECB-4F3A-B942-F616C04D0A84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BGY6 BIB6</xm:sqref>
        </x14:conditionalFormatting>
        <x14:conditionalFormatting xmlns:xm="http://schemas.microsoft.com/office/excel/2006/main">
          <x14:cfRule type="cellIs" priority="28" operator="greaterThan" id="{2CFF1D34-0C03-4A85-B6D6-8E17F282A819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BOT6:BOU6</xm:sqref>
        </x14:conditionalFormatting>
        <x14:conditionalFormatting xmlns:xm="http://schemas.microsoft.com/office/excel/2006/main">
          <x14:cfRule type="cellIs" priority="27" operator="greaterThan" id="{22A5932F-F3B0-4B09-BC44-B2E06EE89EBF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BPW6:BPX6</xm:sqref>
        </x14:conditionalFormatting>
        <x14:conditionalFormatting xmlns:xm="http://schemas.microsoft.com/office/excel/2006/main">
          <x14:cfRule type="cellIs" priority="26" operator="greaterThan" id="{B671BEC4-976B-4C65-8C7E-A384ED3AC2D0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BQZ6:BRA6</xm:sqref>
        </x14:conditionalFormatting>
        <x14:conditionalFormatting xmlns:xm="http://schemas.microsoft.com/office/excel/2006/main">
          <x14:cfRule type="cellIs" priority="25" operator="greaterThan" id="{FDD724BC-A7BA-4FC1-87AA-57954728DA23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BSC6:BSD6</xm:sqref>
        </x14:conditionalFormatting>
        <x14:conditionalFormatting xmlns:xm="http://schemas.microsoft.com/office/excel/2006/main">
          <x14:cfRule type="cellIs" priority="24" operator="greaterThan" id="{F77F138C-F583-4D0D-9CD2-7D1A9F0BD6E0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BUI6:BUJ6</xm:sqref>
        </x14:conditionalFormatting>
        <x14:conditionalFormatting xmlns:xm="http://schemas.microsoft.com/office/excel/2006/main">
          <x14:cfRule type="cellIs" priority="23" operator="greaterThan" id="{ADE677C9-BD40-4098-B7B4-FAD2EF4C554E}">
            <xm:f>VLOOKUP($BVL$2,'\Users\victor.motta.d.lucas\OneDrive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BVL6</xm:sqref>
        </x14:conditionalFormatting>
        <x14:conditionalFormatting xmlns:xm="http://schemas.microsoft.com/office/excel/2006/main">
          <x14:cfRule type="cellIs" priority="22" operator="greaterThan" id="{EC8D9E17-D7C7-470A-9398-1FB671785567}">
            <xm:f>VLOOKUP($BWO$2,'\Users\victor.motta.d.lucas\OneDrive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BWO6</xm:sqref>
        </x14:conditionalFormatting>
        <x14:conditionalFormatting xmlns:xm="http://schemas.microsoft.com/office/excel/2006/main">
          <x14:cfRule type="cellIs" priority="21" operator="greaterThan" id="{884E4A88-82B3-4F1C-B4E6-DDC2FC613ACB}">
            <xm:f>VLOOKUP($BXR$2,'\Users\victor.motta.d.lucas\OneDrive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BXR6</xm:sqref>
        </x14:conditionalFormatting>
        <x14:conditionalFormatting xmlns:xm="http://schemas.microsoft.com/office/excel/2006/main">
          <x14:cfRule type="cellIs" priority="20" operator="greaterThan" id="{48DA5D45-6B2B-40E1-833A-387B69A23129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BZW6 CAY6 CCA6</xm:sqref>
        </x14:conditionalFormatting>
        <x14:conditionalFormatting xmlns:xm="http://schemas.microsoft.com/office/excel/2006/main">
          <x14:cfRule type="cellIs" priority="19" operator="greaterThan" id="{B4AC522C-1E67-46DD-8D7B-44C0FF27D05F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BTF6:BTG6</xm:sqref>
        </x14:conditionalFormatting>
        <x14:conditionalFormatting xmlns:xm="http://schemas.microsoft.com/office/excel/2006/main">
          <x14:cfRule type="cellIs" priority="10" operator="greaterThan" id="{6072E861-ADA6-4AC6-A4CA-B732948BCFC6}">
            <xm:f>'\Users\victor.motta.d.lucas\OneDrive - Accenture\NBA\Ofertas  690 - Retenção OiT Substituição das ofertas OiT de todos os combos\Briefing\[priorizadasOiTotal_mig_jul18_oit_2PTV.xlsx]ARBOR_REAJUSTE18'!#REF!+'\Users\victor.motta.d.lucas\OneDrive - Accenture\NBA\Ofertas  690 - Retenção OiT Substituição das ofertas OiT de todos os combos\Briefing\[priorizadasOiTotal_mig_jul18_oit_2PTV.xlsx]ARBOR_REAJUSTE18'!#REF!</xm:f>
            <x14:dxf>
              <fill>
                <patternFill>
                  <bgColor theme="9"/>
                </patternFill>
              </fill>
            </x14:dxf>
          </x14:cfRule>
          <xm:sqref>BB6</xm:sqref>
        </x14:conditionalFormatting>
        <x14:conditionalFormatting xmlns:xm="http://schemas.microsoft.com/office/excel/2006/main">
          <x14:cfRule type="cellIs" priority="7" operator="greaterThan" id="{9021090E-F6E6-4742-A21E-5E6C5DBE589C}">
            <xm:f>VLOOKUP($BBA$2,'\Users\oi183602\AppData\Local\Temp\Temp1_briefingMAE18_Aqu_3P_RES_+CL.zip\[briefingMAE18_Aqu_3P_RES_FID_+CL_20203.xlsx]ARBOR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BJE6</xm:sqref>
        </x14:conditionalFormatting>
        <x14:conditionalFormatting xmlns:xm="http://schemas.microsoft.com/office/excel/2006/main">
          <x14:cfRule type="cellIs" priority="6" operator="greaterThan" id="{1339F8ED-9377-4118-968A-E0EC885E7957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BKH6</xm:sqref>
        </x14:conditionalFormatting>
        <x14:conditionalFormatting xmlns:xm="http://schemas.microsoft.com/office/excel/2006/main">
          <x14:cfRule type="cellIs" priority="5" operator="greaterThan" id="{DEFD1A9F-9CC7-460C-B615-6D65A04C2FFF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BLK6</xm:sqref>
        </x14:conditionalFormatting>
        <x14:conditionalFormatting xmlns:xm="http://schemas.microsoft.com/office/excel/2006/main">
          <x14:cfRule type="cellIs" priority="4" operator="greaterThan" id="{AE7A9912-56D6-4D5F-986D-4E32B6204830}">
            <xm:f>VLOOKUP($BEJ$2,'\Users\oi183602\AppData\Local\Temp\Temp1_briefingMAE18_Aqu_3P_RES_+CL.zip\[briefingMAE18_Aqu_3P_RES_FID_+CL_20203.xlsx]ARBOR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BMN6</xm:sqref>
        </x14:conditionalFormatting>
        <x14:conditionalFormatting xmlns:xm="http://schemas.microsoft.com/office/excel/2006/main">
          <x14:cfRule type="cellIs" priority="3" operator="greaterThan" id="{4AC8652A-11FB-4322-9CAB-5997FADF6CA0}">
            <xm:f>VLOOKUP($BFM$2,'\Users\oi183602\AppData\Local\Temp\Temp1_briefingMAE18_Aqu_3P_RES_+CL.zip\[briefingMAE18_Aqu_3P_RES_FID_+CL_20203.xlsx]ARBOR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BNQ6</xm:sqref>
        </x14:conditionalFormatting>
        <x14:conditionalFormatting xmlns:xm="http://schemas.microsoft.com/office/excel/2006/main">
          <x14:cfRule type="cellIs" priority="1" operator="greaterThan" id="{E2827E8C-43D9-4D05-919D-0D744071EFB9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BYU6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1536B86-4757-4CDC-BB62-817639119E72}">
          <x14:formula1>
            <xm:f>IF(LEFT(AV3,19)="Oi Total Fixo + Pós",'C:\Users\victor.motta.d.lucas\OneDrive - Accenture\NBA\Ofertas  690 - Retenção OiT Substituição das ofertas OiT de todos os combos\Briefing\[priorizadasOiTotal_mig_jul18_oit_2PTV.xlsx]PickList'!#REF!)</xm:f>
          </x14:formula1>
          <xm:sqref>CMR3:CMR6</xm:sqref>
        </x14:dataValidation>
        <x14:dataValidation type="list" errorStyle="warning" allowBlank="1" showInputMessage="1" showErrorMessage="1" xr:uid="{59D50F1D-0447-435A-9232-9F0E2D2F1CEC}">
          <x14:formula1>
            <xm:f>'https://myoffice.accenture.com/personal/victor_motta_d_lucas_accenture_com/Documents/NBA/Ofertas  690 - Retenção OiT Substituição das ofertas OiT de todos os combos/Briefing/[briefingOfertasOiTotal_mig_oit_2PBL.xlsx]PickList'!#REF!</xm:f>
          </x14:formula1>
          <xm:sqref>C3:C6</xm:sqref>
        </x14:dataValidation>
        <x14:dataValidation type="list" allowBlank="1" showInputMessage="1" showErrorMessage="1" xr:uid="{E298B461-871A-46FB-A5F4-8E0A2B23FD10}">
          <x14:formula1>
            <xm:f>'https://myoffice.accenture.com/personal/victor_motta_d_lucas_accenture_com/Documents/NBA/Ofertas  690 - Retenção OiT Substituição das ofertas OiT de todos os combos/Briefing/[briefingOfertasOiTotal_mig_oit_2PBL.xlsx]PickList'!#REF!</xm:f>
          </x14:formula1>
          <xm:sqref>B3:B6</xm:sqref>
        </x14:dataValidation>
        <x14:dataValidation type="list" allowBlank="1" showInputMessage="1" showErrorMessage="1" xr:uid="{53C9F7AB-109F-4AE7-B5E0-F4D265DF6D85}">
          <x14:formula1>
            <xm:f>IF(#REF!="Sim",'C:\Users\victor.motta.d.lucas\OneDrive - Accenture\NBA\Ofertas  690 - Retenção OiT Substituição das ofertas OiT de todos os combos\Briefing\[priorizadasOiTotal_mig_jul18_oit_2PTV.xlsx]PickList'!#REF!,"")</xm:f>
          </x14:formula1>
          <xm:sqref>AGC3:AGC6</xm:sqref>
        </x14:dataValidation>
        <x14:dataValidation type="list" allowBlank="1" showInputMessage="1" showErrorMessage="1" xr:uid="{6BE3E2AA-DC76-45E8-A2AE-1366E29C1B6E}">
          <x14:formula1>
            <xm:f>'C:\Users\victor.motta.d.lucas\OneDrive - Accenture\NBA\Ofertas  690 - Retenção OiT Substituição das ofertas OiT de todos os combos\Briefing\[priorizadasOiTotal_mig_jul18_oit_2PTV.xlsx]PickList'!#REF!</xm:f>
          </x14:formula1>
          <xm:sqref>DT3:DT6</xm:sqref>
        </x14:dataValidation>
        <x14:dataValidation type="list" allowBlank="1" showInputMessage="1" showErrorMessage="1" xr:uid="{B5D1D562-65C2-46FA-93E8-ADF5FE9B8A31}">
          <x14:formula1>
            <xm:f>'C:\Users\victor.motta.d.lucas\OneDrive - Accenture\NBA\Ofertas  690 - Retenção OiT Substituição das ofertas OiT de todos os combos\Briefing\[priorizadasOiTotal_mig_jul18_oit_2PTV.xlsx]PickList'!#REF!</xm:f>
          </x14:formula1>
          <xm:sqref>DQ3:DQ6</xm:sqref>
        </x14:dataValidation>
        <x14:dataValidation type="list" allowBlank="1" showInputMessage="1" showErrorMessage="1" xr:uid="{2E72511D-D917-4DF1-A3DF-407B70AD4965}">
          <x14:formula1>
            <xm:f>'C:\Users\victor.motta.d.lucas\OneDrive - Accenture\NBA\Ofertas  690 - Retenção OiT Substituição das ofertas OiT de todos os combos\Briefing\[priorizadasOiTotal_mig_jul18_oit_2PTV.xlsx]PickList'!#REF!</xm:f>
          </x14:formula1>
          <xm:sqref>AV3:AV6</xm:sqref>
        </x14:dataValidation>
        <x14:dataValidation type="list" allowBlank="1" showInputMessage="1" showErrorMessage="1" xr:uid="{87AE1FB2-AC15-42A7-ABD7-240A8E849F9D}">
          <x14:formula1>
            <xm:f>'C:\Users\victor.motta.d.lucas\OneDrive - Accenture\NBA\Ofertas  690 - Retenção OiT Substituição das ofertas OiT de todos os combos\Briefing\[priorizadasOiTotal_mig_jul18_oit_2PTV.xlsx]PickList'!#REF!</xm:f>
          </x14:formula1>
          <xm:sqref>DM3:DM6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2PTV Com Fidelidade</vt:lpstr>
      <vt:lpstr>Sheet2</vt:lpstr>
      <vt:lpstr>2PTV Sem Fidelidade</vt:lpstr>
      <vt:lpstr>Erro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2018-08-15T17:25:41Z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701750b1-984c-4a0b-896a-91243a408dbc</vt:lpwstr>
  </property>
</Properties>
</file>
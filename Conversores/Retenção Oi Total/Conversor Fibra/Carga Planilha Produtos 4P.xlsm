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  728\"/>
    </mc:Choice>
  </mc:AlternateContent>
  <xr:revisionPtr revIDLastSave="0" documentId="10_ncr:100000_{C2B97352-4589-4369-BC38-E4A31787C5DA}" xr6:coauthVersionLast="31" xr6:coauthVersionMax="31" xr10:uidLastSave="{00000000-0000-0000-0000-000000000000}"/>
  <bookViews>
    <workbookView xWindow="0" yWindow="0" windowWidth="20490" windowHeight="7530" activeTab="3" xr2:uid="{00000000-000D-0000-FFFF-FFFF00000000}"/>
  </bookViews>
  <sheets>
    <sheet name="ALLNET" sheetId="1" r:id="rId1"/>
    <sheet name="Sheet1" sheetId="7" r:id="rId2"/>
    <sheet name="Erro" sheetId="6" r:id="rId3"/>
    <sheet name="Sem Fidelidade" sheetId="2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ALLNET!$A$4:$CRL$425</definedName>
    <definedName name="_xlnm._FilterDatabase" localSheetId="3" hidden="1">'Sem Fidelidade'!$A$4:$AY$110</definedName>
    <definedName name="_validValues">[1]Settings!$A$1</definedName>
    <definedName name="hhhhhh">[2]Settings!$A$1</definedName>
    <definedName name="sssaaa">[3]Settings!$A$1</definedName>
    <definedName name="validValues">[4]Settings!$A$1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J26" i="6" l="1"/>
  <c r="GB26" i="6"/>
  <c r="GA26" i="6"/>
  <c r="FQ26" i="6"/>
  <c r="FP26" i="6"/>
  <c r="FJ26" i="6"/>
  <c r="FK26" i="6" s="1"/>
  <c r="FG26" i="6"/>
  <c r="FH26" i="6" s="1"/>
  <c r="FD26" i="6"/>
  <c r="FE26" i="6" s="1"/>
  <c r="EA26" i="6"/>
  <c r="DX26" i="6"/>
  <c r="DY26" i="6" s="1"/>
  <c r="DQ26" i="6"/>
  <c r="DR26" i="6" s="1"/>
  <c r="DJ26" i="6"/>
  <c r="DI26" i="6"/>
  <c r="DA26" i="6"/>
  <c r="DB26" i="6" s="1"/>
  <c r="CS26" i="6"/>
  <c r="CT26" i="6" s="1"/>
  <c r="CO26" i="6"/>
  <c r="CP26" i="6" s="1"/>
  <c r="CL26" i="6"/>
  <c r="CK26" i="6"/>
  <c r="CG26" i="6"/>
  <c r="CH26" i="6" s="1"/>
  <c r="CC26" i="6"/>
  <c r="CD26" i="6" s="1"/>
  <c r="BY26" i="6"/>
  <c r="BZ26" i="6" s="1"/>
  <c r="BV26" i="6"/>
  <c r="BU26" i="6"/>
  <c r="BQ26" i="6"/>
  <c r="BR26" i="6" s="1"/>
  <c r="BK26" i="6"/>
  <c r="BL26" i="6" s="1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X25" i="6"/>
  <c r="DY25" i="6" s="1"/>
  <c r="DQ25" i="6"/>
  <c r="DR25" i="6" s="1"/>
  <c r="DJ25" i="6"/>
  <c r="DI25" i="6"/>
  <c r="DA25" i="6"/>
  <c r="DB25" i="6" s="1"/>
  <c r="CS25" i="6"/>
  <c r="CT25" i="6" s="1"/>
  <c r="CO25" i="6"/>
  <c r="CP25" i="6" s="1"/>
  <c r="CL25" i="6"/>
  <c r="CK25" i="6"/>
  <c r="CG25" i="6"/>
  <c r="CH25" i="6" s="1"/>
  <c r="CC25" i="6"/>
  <c r="CD25" i="6" s="1"/>
  <c r="BY25" i="6"/>
  <c r="BZ25" i="6" s="1"/>
  <c r="BV25" i="6"/>
  <c r="BU25" i="6"/>
  <c r="BQ25" i="6"/>
  <c r="BR25" i="6" s="1"/>
  <c r="BK25" i="6"/>
  <c r="BL25" i="6" s="1"/>
  <c r="BI25" i="6"/>
  <c r="EI25" i="6" s="1"/>
  <c r="A25" i="6"/>
  <c r="GJ24" i="6"/>
  <c r="GB24" i="6"/>
  <c r="GA24" i="6"/>
  <c r="FQ24" i="6"/>
  <c r="FP24" i="6"/>
  <c r="FM24" i="6"/>
  <c r="FN24" i="6" s="1"/>
  <c r="FJ24" i="6"/>
  <c r="FK24" i="6" s="1"/>
  <c r="FG24" i="6"/>
  <c r="FH24" i="6" s="1"/>
  <c r="FE24" i="6"/>
  <c r="FD24" i="6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Y23" i="6"/>
  <c r="DX23" i="6"/>
  <c r="DQ23" i="6"/>
  <c r="DR23" i="6" s="1"/>
  <c r="DI23" i="6"/>
  <c r="DJ23" i="6" s="1"/>
  <c r="DA23" i="6"/>
  <c r="DB23" i="6" s="1"/>
  <c r="CT23" i="6"/>
  <c r="CS23" i="6"/>
  <c r="CO23" i="6"/>
  <c r="CP23" i="6" s="1"/>
  <c r="CL23" i="6"/>
  <c r="CK23" i="6"/>
  <c r="CG23" i="6"/>
  <c r="CH23" i="6" s="1"/>
  <c r="CD23" i="6"/>
  <c r="CC23" i="6"/>
  <c r="BY23" i="6"/>
  <c r="BZ23" i="6" s="1"/>
  <c r="BU23" i="6"/>
  <c r="BV23" i="6" s="1"/>
  <c r="BQ23" i="6"/>
  <c r="BR23" i="6" s="1"/>
  <c r="BL23" i="6"/>
  <c r="BK23" i="6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X22" i="6"/>
  <c r="DY22" i="6" s="1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Q21" i="6"/>
  <c r="FP21" i="6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X20" i="6"/>
  <c r="DY20" i="6" s="1"/>
  <c r="DQ20" i="6"/>
  <c r="DR20" i="6" s="1"/>
  <c r="DJ20" i="6"/>
  <c r="DI20" i="6"/>
  <c r="DA20" i="6"/>
  <c r="DB20" i="6" s="1"/>
  <c r="CS20" i="6"/>
  <c r="CT20" i="6" s="1"/>
  <c r="CO20" i="6"/>
  <c r="CP20" i="6" s="1"/>
  <c r="CL20" i="6"/>
  <c r="CK20" i="6"/>
  <c r="CG20" i="6"/>
  <c r="CH20" i="6" s="1"/>
  <c r="CC20" i="6"/>
  <c r="CD20" i="6" s="1"/>
  <c r="BY20" i="6"/>
  <c r="BZ20" i="6" s="1"/>
  <c r="BV20" i="6"/>
  <c r="BU20" i="6"/>
  <c r="BQ20" i="6"/>
  <c r="BR20" i="6" s="1"/>
  <c r="BK20" i="6"/>
  <c r="BL20" i="6" s="1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Y19" i="6"/>
  <c r="DX19" i="6"/>
  <c r="DQ19" i="6"/>
  <c r="DR19" i="6" s="1"/>
  <c r="DI19" i="6"/>
  <c r="DJ19" i="6" s="1"/>
  <c r="DA19" i="6"/>
  <c r="DB19" i="6" s="1"/>
  <c r="CT19" i="6"/>
  <c r="CS19" i="6"/>
  <c r="CO19" i="6"/>
  <c r="CP19" i="6" s="1"/>
  <c r="CL19" i="6"/>
  <c r="CK19" i="6"/>
  <c r="CG19" i="6"/>
  <c r="CH19" i="6" s="1"/>
  <c r="CD19" i="6"/>
  <c r="CC19" i="6"/>
  <c r="BY19" i="6"/>
  <c r="BZ19" i="6" s="1"/>
  <c r="BU19" i="6"/>
  <c r="BV19" i="6" s="1"/>
  <c r="BQ19" i="6"/>
  <c r="BR19" i="6" s="1"/>
  <c r="BL19" i="6"/>
  <c r="BK19" i="6"/>
  <c r="BI19" i="6"/>
  <c r="EG19" i="6" s="1"/>
  <c r="EM19" i="6" s="1"/>
  <c r="EN19" i="6" s="1"/>
  <c r="A19" i="6"/>
  <c r="GJ18" i="6"/>
  <c r="GB18" i="6"/>
  <c r="GA18" i="6"/>
  <c r="FQ18" i="6"/>
  <c r="FP18" i="6"/>
  <c r="FM18" i="6"/>
  <c r="FN18" i="6" s="1"/>
  <c r="FK18" i="6"/>
  <c r="FJ18" i="6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P17" i="6"/>
  <c r="FQ17" i="6" s="1"/>
  <c r="FM17" i="6"/>
  <c r="FN17" i="6" s="1"/>
  <c r="FK17" i="6"/>
  <c r="FJ17" i="6"/>
  <c r="FG17" i="6"/>
  <c r="FH17" i="6" s="1"/>
  <c r="FE17" i="6"/>
  <c r="FD17" i="6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P16" i="6"/>
  <c r="FQ16" i="6" s="1"/>
  <c r="FM16" i="6"/>
  <c r="FN16" i="6" s="1"/>
  <c r="FK16" i="6"/>
  <c r="FJ16" i="6"/>
  <c r="FG16" i="6"/>
  <c r="FH16" i="6" s="1"/>
  <c r="FE16" i="6"/>
  <c r="FD16" i="6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P15" i="6"/>
  <c r="FQ15" i="6" s="1"/>
  <c r="FM15" i="6"/>
  <c r="FN15" i="6" s="1"/>
  <c r="FK15" i="6"/>
  <c r="FJ15" i="6"/>
  <c r="FG15" i="6"/>
  <c r="FH15" i="6" s="1"/>
  <c r="FE15" i="6"/>
  <c r="FD15" i="6"/>
  <c r="FA15" i="6"/>
  <c r="FB15" i="6" s="1"/>
  <c r="EY15" i="6"/>
  <c r="EX15" i="6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Y14" i="6"/>
  <c r="DX14" i="6"/>
  <c r="DQ14" i="6"/>
  <c r="DR14" i="6" s="1"/>
  <c r="DI14" i="6"/>
  <c r="DJ14" i="6" s="1"/>
  <c r="DA14" i="6"/>
  <c r="DB14" i="6" s="1"/>
  <c r="CT14" i="6"/>
  <c r="CS14" i="6"/>
  <c r="CO14" i="6"/>
  <c r="CP14" i="6" s="1"/>
  <c r="CL14" i="6"/>
  <c r="CK14" i="6"/>
  <c r="CG14" i="6"/>
  <c r="CH14" i="6" s="1"/>
  <c r="CD14" i="6"/>
  <c r="CC14" i="6"/>
  <c r="BY14" i="6"/>
  <c r="BZ14" i="6" s="1"/>
  <c r="BU14" i="6"/>
  <c r="BV14" i="6" s="1"/>
  <c r="BQ14" i="6"/>
  <c r="BR14" i="6" s="1"/>
  <c r="BL14" i="6"/>
  <c r="BK14" i="6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Y13" i="6"/>
  <c r="DX13" i="6"/>
  <c r="DQ13" i="6"/>
  <c r="DR13" i="6" s="1"/>
  <c r="DJ13" i="6"/>
  <c r="DI13" i="6"/>
  <c r="DA13" i="6"/>
  <c r="DB13" i="6" s="1"/>
  <c r="CT13" i="6"/>
  <c r="CS13" i="6"/>
  <c r="CO13" i="6"/>
  <c r="CP13" i="6" s="1"/>
  <c r="CK13" i="6"/>
  <c r="CL13" i="6" s="1"/>
  <c r="CG13" i="6"/>
  <c r="CH13" i="6" s="1"/>
  <c r="CD13" i="6"/>
  <c r="CC13" i="6"/>
  <c r="BY13" i="6"/>
  <c r="BZ13" i="6" s="1"/>
  <c r="BV13" i="6"/>
  <c r="BU13" i="6"/>
  <c r="BQ13" i="6"/>
  <c r="BR13" i="6" s="1"/>
  <c r="BL13" i="6"/>
  <c r="BK13" i="6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Y12" i="6"/>
  <c r="DX12" i="6"/>
  <c r="DQ12" i="6"/>
  <c r="DR12" i="6" s="1"/>
  <c r="DJ12" i="6"/>
  <c r="DI12" i="6"/>
  <c r="DA12" i="6"/>
  <c r="DB12" i="6" s="1"/>
  <c r="CT12" i="6"/>
  <c r="CS12" i="6"/>
  <c r="CO12" i="6"/>
  <c r="CP12" i="6" s="1"/>
  <c r="CL12" i="6"/>
  <c r="CK12" i="6"/>
  <c r="CG12" i="6"/>
  <c r="CH12" i="6" s="1"/>
  <c r="CD12" i="6"/>
  <c r="CC12" i="6"/>
  <c r="BY12" i="6"/>
  <c r="BZ12" i="6" s="1"/>
  <c r="BV12" i="6"/>
  <c r="BU12" i="6"/>
  <c r="BQ12" i="6"/>
  <c r="BR12" i="6" s="1"/>
  <c r="BL12" i="6"/>
  <c r="BK12" i="6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Y11" i="6"/>
  <c r="DX11" i="6"/>
  <c r="DQ11" i="6"/>
  <c r="DR11" i="6" s="1"/>
  <c r="DJ11" i="6"/>
  <c r="DI11" i="6"/>
  <c r="DA11" i="6"/>
  <c r="DB11" i="6" s="1"/>
  <c r="CS11" i="6"/>
  <c r="CT11" i="6" s="1"/>
  <c r="CO11" i="6"/>
  <c r="CP11" i="6" s="1"/>
  <c r="CL11" i="6"/>
  <c r="CK11" i="6"/>
  <c r="CG11" i="6"/>
  <c r="CH11" i="6" s="1"/>
  <c r="CD11" i="6"/>
  <c r="CC11" i="6"/>
  <c r="BY11" i="6"/>
  <c r="BZ11" i="6" s="1"/>
  <c r="BV11" i="6"/>
  <c r="BU11" i="6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X10" i="6"/>
  <c r="DY10" i="6" s="1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X8" i="6"/>
  <c r="DY8" i="6" s="1"/>
  <c r="DQ8" i="6"/>
  <c r="DR8" i="6" s="1"/>
  <c r="DI8" i="6"/>
  <c r="DJ8" i="6" s="1"/>
  <c r="DA8" i="6"/>
  <c r="DB8" i="6" s="1"/>
  <c r="CS8" i="6"/>
  <c r="CT8" i="6" s="1"/>
  <c r="CO8" i="6"/>
  <c r="CP8" i="6" s="1"/>
  <c r="CK8" i="6"/>
  <c r="CL8" i="6" s="1"/>
  <c r="CG8" i="6"/>
  <c r="CH8" i="6" s="1"/>
  <c r="CC8" i="6"/>
  <c r="CD8" i="6" s="1"/>
  <c r="BY8" i="6"/>
  <c r="BZ8" i="6" s="1"/>
  <c r="BV8" i="6"/>
  <c r="BU8" i="6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Y7" i="6"/>
  <c r="DX7" i="6"/>
  <c r="DQ7" i="6"/>
  <c r="DR7" i="6" s="1"/>
  <c r="DI7" i="6"/>
  <c r="DJ7" i="6" s="1"/>
  <c r="DA7" i="6"/>
  <c r="DB7" i="6" s="1"/>
  <c r="CT7" i="6"/>
  <c r="CS7" i="6"/>
  <c r="CO7" i="6"/>
  <c r="CP7" i="6" s="1"/>
  <c r="CL7" i="6"/>
  <c r="CK7" i="6"/>
  <c r="CG7" i="6"/>
  <c r="CH7" i="6" s="1"/>
  <c r="CC7" i="6"/>
  <c r="CD7" i="6" s="1"/>
  <c r="BY7" i="6"/>
  <c r="BZ7" i="6" s="1"/>
  <c r="BU7" i="6"/>
  <c r="BV7" i="6" s="1"/>
  <c r="BQ7" i="6"/>
  <c r="BR7" i="6" s="1"/>
  <c r="BL7" i="6"/>
  <c r="BK7" i="6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Y4" i="6"/>
  <c r="DX4" i="6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I16" i="6" l="1"/>
  <c r="EI17" i="6"/>
  <c r="EI24" i="6"/>
  <c r="EG26" i="6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Q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  <comment ref="AS4" authorId="1" shapeId="0" xr:uid="{00000000-0006-0000-0000-00002B000000}">
      <text/>
    </comment>
    <comment ref="AT4" authorId="1" shapeId="0" xr:uid="{00000000-0006-0000-0000-00002C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</authors>
  <commentList>
    <comment ref="AW2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200-000001000000}">
      <text/>
    </comment>
    <comment ref="C4" authorId="1" shapeId="0" xr:uid="{00000000-0006-0000-0200-000002000000}">
      <text/>
    </comment>
    <comment ref="D4" authorId="1" shapeId="0" xr:uid="{00000000-0006-0000-0200-000003000000}">
      <text/>
    </comment>
    <comment ref="E4" authorId="1" shapeId="0" xr:uid="{00000000-0006-0000-0200-000004000000}">
      <text/>
    </comment>
    <comment ref="F4" authorId="1" shapeId="0" xr:uid="{00000000-0006-0000-0200-000005000000}">
      <text/>
    </comment>
    <comment ref="G4" authorId="1" shapeId="0" xr:uid="{00000000-0006-0000-0200-000006000000}">
      <text/>
    </comment>
    <comment ref="H4" authorId="1" shapeId="0" xr:uid="{00000000-0006-0000-0200-000007000000}">
      <text/>
    </comment>
    <comment ref="I4" authorId="1" shapeId="0" xr:uid="{00000000-0006-0000-0200-000008000000}">
      <text/>
    </comment>
    <comment ref="J4" authorId="1" shapeId="0" xr:uid="{00000000-0006-0000-0200-000009000000}">
      <text/>
    </comment>
    <comment ref="K4" authorId="1" shapeId="0" xr:uid="{00000000-0006-0000-0200-00000A000000}">
      <text/>
    </comment>
    <comment ref="L4" authorId="1" shapeId="0" xr:uid="{00000000-0006-0000-0200-00000B000000}">
      <text/>
    </comment>
    <comment ref="M4" authorId="1" shapeId="0" xr:uid="{00000000-0006-0000-0200-00000C000000}">
      <text/>
    </comment>
    <comment ref="N4" authorId="1" shapeId="0" xr:uid="{00000000-0006-0000-0200-00000D000000}">
      <text/>
    </comment>
    <comment ref="O4" authorId="1" shapeId="0" xr:uid="{00000000-0006-0000-0200-00000E000000}">
      <text/>
    </comment>
    <comment ref="Q4" authorId="1" shapeId="0" xr:uid="{00000000-0006-0000-0200-00000F000000}">
      <text/>
    </comment>
    <comment ref="R4" authorId="1" shapeId="0" xr:uid="{00000000-0006-0000-0200-000010000000}">
      <text/>
    </comment>
    <comment ref="S4" authorId="1" shapeId="0" xr:uid="{00000000-0006-0000-0200-000011000000}">
      <text/>
    </comment>
    <comment ref="T4" authorId="1" shapeId="0" xr:uid="{00000000-0006-0000-0200-000012000000}">
      <text/>
    </comment>
    <comment ref="U4" authorId="1" shapeId="0" xr:uid="{00000000-0006-0000-0200-000013000000}">
      <text/>
    </comment>
    <comment ref="V4" authorId="1" shapeId="0" xr:uid="{00000000-0006-0000-0200-000014000000}">
      <text/>
    </comment>
    <comment ref="W4" authorId="1" shapeId="0" xr:uid="{00000000-0006-0000-0200-000015000000}">
      <text/>
    </comment>
    <comment ref="X4" authorId="1" shapeId="0" xr:uid="{00000000-0006-0000-0200-000016000000}">
      <text/>
    </comment>
    <comment ref="Y4" authorId="1" shapeId="0" xr:uid="{00000000-0006-0000-0200-000017000000}">
      <text/>
    </comment>
    <comment ref="Z4" authorId="1" shapeId="0" xr:uid="{00000000-0006-0000-0200-000018000000}">
      <text/>
    </comment>
    <comment ref="AA4" authorId="1" shapeId="0" xr:uid="{00000000-0006-0000-0200-000019000000}">
      <text/>
    </comment>
    <comment ref="AB4" authorId="1" shapeId="0" xr:uid="{00000000-0006-0000-0200-00001A000000}">
      <text/>
    </comment>
    <comment ref="AC4" authorId="1" shapeId="0" xr:uid="{00000000-0006-0000-0200-00001B000000}">
      <text/>
    </comment>
    <comment ref="AD4" authorId="1" shapeId="0" xr:uid="{00000000-0006-0000-0200-00001C000000}">
      <text/>
    </comment>
    <comment ref="AE4" authorId="1" shapeId="0" xr:uid="{00000000-0006-0000-0200-00001D000000}">
      <text/>
    </comment>
    <comment ref="AF4" authorId="1" shapeId="0" xr:uid="{00000000-0006-0000-0200-00001E000000}">
      <text/>
    </comment>
    <comment ref="AG4" authorId="1" shapeId="0" xr:uid="{00000000-0006-0000-0200-00001F000000}">
      <text/>
    </comment>
    <comment ref="AH4" authorId="1" shapeId="0" xr:uid="{00000000-0006-0000-0200-000020000000}">
      <text/>
    </comment>
    <comment ref="AI4" authorId="1" shapeId="0" xr:uid="{00000000-0006-0000-0200-000021000000}">
      <text/>
    </comment>
    <comment ref="AJ4" authorId="1" shapeId="0" xr:uid="{00000000-0006-0000-0200-000022000000}">
      <text/>
    </comment>
    <comment ref="AK4" authorId="1" shapeId="0" xr:uid="{00000000-0006-0000-0200-000023000000}">
      <text/>
    </comment>
    <comment ref="AL4" authorId="1" shapeId="0" xr:uid="{00000000-0006-0000-0200-000024000000}">
      <text/>
    </comment>
    <comment ref="AM4" authorId="1" shapeId="0" xr:uid="{00000000-0006-0000-0200-000025000000}">
      <text/>
    </comment>
    <comment ref="AN4" authorId="1" shapeId="0" xr:uid="{00000000-0006-0000-0200-000026000000}">
      <text/>
    </comment>
    <comment ref="AO4" authorId="1" shapeId="0" xr:uid="{00000000-0006-0000-0200-000027000000}">
      <text/>
    </comment>
    <comment ref="AP4" authorId="1" shapeId="0" xr:uid="{00000000-0006-0000-0200-000028000000}">
      <text/>
    </comment>
    <comment ref="AQ4" authorId="1" shapeId="0" xr:uid="{00000000-0006-0000-0200-000029000000}">
      <text/>
    </comment>
    <comment ref="AR4" authorId="1" shapeId="0" xr:uid="{00000000-0006-0000-0200-00002A000000}">
      <text/>
    </comment>
    <comment ref="AS4" authorId="1" shapeId="0" xr:uid="{00000000-0006-0000-0200-00002B000000}">
      <text/>
    </comment>
    <comment ref="AT4" authorId="1" shapeId="0" xr:uid="{00000000-0006-0000-0200-00002C000000}">
      <text/>
    </comment>
  </commentList>
</comments>
</file>

<file path=xl/sharedStrings.xml><?xml version="1.0" encoding="utf-8"?>
<sst xmlns="http://schemas.openxmlformats.org/spreadsheetml/2006/main" count="4534" uniqueCount="693">
  <si>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</si>
  <si>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</si>
  <si>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</si>
  <si>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</si>
  <si>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</si>
  <si>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</si>
  <si>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</si>
  <si>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</si>
  <si>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</si>
  <si>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</si>
  <si>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</si>
  <si>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</si>
  <si>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</si>
  <si>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</si>
  <si>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</si>
  <si>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</si>
  <si>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</si>
  <si>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</si>
  <si>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</si>
  <si>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</si>
  <si>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</si>
  <si>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</si>
  <si>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</si>
  <si>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</si>
  <si>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</si>
  <si>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</si>
  <si>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</si>
  <si>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</si>
  <si>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</si>
  <si>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</si>
  <si>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</si>
  <si>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</si>
  <si>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</si>
  <si>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</si>
  <si>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</si>
  <si>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</si>
  <si>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</si>
  <si>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</si>
  <si>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</si>
  <si>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</si>
  <si>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</si>
  <si>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</si>
  <si>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</si>
  <si>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</si>
  <si>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</si>
  <si>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</si>
  <si>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</si>
  <si>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</si>
  <si>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</si>
  <si>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</si>
  <si>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</si>
  <si>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</si>
  <si>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</si>
  <si>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</si>
  <si>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</si>
  <si>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</si>
  <si>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</si>
  <si>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</si>
  <si>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EmpacotaDados</t>
  </si>
  <si>
    <t>.ClassificacaoPreco</t>
  </si>
  <si>
    <t>.EmpacotaDados</t>
  </si>
  <si>
    <t>"Fixo Ilimitado"</t>
  </si>
  <si>
    <t>"RetencaoOT"</t>
  </si>
  <si>
    <t>"Aquisicao"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</si>
  <si>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</si>
  <si>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</si>
  <si>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</si>
  <si>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</si>
  <si>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</si>
  <si>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</si>
  <si>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</si>
  <si>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</si>
  <si>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</si>
  <si>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</si>
  <si>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</si>
  <si>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</si>
  <si>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</si>
  <si>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</si>
  <si>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</si>
  <si>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</si>
  <si>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</si>
  <si>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</si>
  <si>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</si>
  <si>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</si>
  <si>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</si>
  <si>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</si>
  <si>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</si>
  <si>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</si>
  <si>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</si>
  <si>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</si>
  <si>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</si>
  <si>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</si>
  <si>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</si>
  <si>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</si>
  <si>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</si>
  <si>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</si>
  <si>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</si>
  <si>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</si>
  <si>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</si>
  <si>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</si>
  <si>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</si>
  <si>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</si>
  <si>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</si>
  <si>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</si>
  <si>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</si>
  <si>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</si>
  <si>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</si>
  <si>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</si>
  <si>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</si>
  <si>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</si>
  <si>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</si>
  <si>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</si>
  <si>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</si>
  <si>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</si>
  <si>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</si>
  <si>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</si>
  <si>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</si>
  <si>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</si>
  <si>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</si>
  <si>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</si>
  <si>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</si>
  <si>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</si>
  <si>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</si>
  <si>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</si>
  <si>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</si>
  <si>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</si>
  <si>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</si>
  <si>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</si>
  <si>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</si>
  <si>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</si>
  <si>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</si>
  <si>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</si>
  <si>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</si>
  <si>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</si>
  <si>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</si>
  <si>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</si>
  <si>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</si>
  <si>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</si>
  <si>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</si>
  <si>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</si>
  <si>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</si>
  <si>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</si>
  <si>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</si>
  <si>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</si>
  <si>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</si>
  <si>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</si>
  <si>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</si>
  <si>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</si>
  <si>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</si>
  <si>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</si>
  <si>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</si>
  <si>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</si>
  <si>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</si>
  <si>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</si>
  <si>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</si>
  <si>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</si>
  <si>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</si>
  <si>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</si>
  <si>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</si>
  <si>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</si>
  <si>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</si>
  <si>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</si>
  <si>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</si>
  <si>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</si>
  <si>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</si>
  <si>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</si>
  <si>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</si>
  <si>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</si>
  <si>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</si>
  <si>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</si>
  <si>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</si>
  <si>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</si>
  <si>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</si>
  <si>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</si>
  <si>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</si>
  <si>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</si>
  <si>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</si>
  <si>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</si>
  <si>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</si>
  <si>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</si>
  <si>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</si>
  <si>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</si>
  <si>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</si>
  <si>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</si>
  <si>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</si>
  <si>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</si>
  <si>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</si>
  <si>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</si>
  <si>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</si>
  <si>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</si>
  <si>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</si>
  <si>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</si>
  <si>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</si>
  <si>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</si>
  <si>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</si>
  <si>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</si>
  <si>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</si>
  <si>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</si>
  <si>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</si>
  <si>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</si>
  <si>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</si>
  <si>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</si>
  <si>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</si>
  <si>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</si>
  <si>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</si>
  <si>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</si>
  <si>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</si>
  <si>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</si>
  <si>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</si>
  <si>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</si>
  <si>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</si>
  <si>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</si>
  <si>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</si>
  <si>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</si>
  <si>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</si>
  <si>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</si>
  <si>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</si>
  <si>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</si>
  <si>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</si>
  <si>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</si>
  <si>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</si>
  <si>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</si>
  <si>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</si>
  <si>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</si>
  <si>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</si>
  <si>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</si>
  <si>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</si>
  <si>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</si>
  <si>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</si>
  <si>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</si>
  <si>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</si>
  <si>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</si>
  <si>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</si>
  <si>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</si>
  <si>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</si>
  <si>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</si>
  <si>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</si>
  <si>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</si>
  <si>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</si>
  <si>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</si>
  <si>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</si>
  <si>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</si>
  <si>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</si>
  <si>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</si>
  <si>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</si>
  <si>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</si>
  <si>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</si>
  <si>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</si>
  <si>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</si>
  <si>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</si>
  <si>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</si>
  <si>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</si>
  <si>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</si>
  <si>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</si>
  <si>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</si>
  <si>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</si>
  <si>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</si>
  <si>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</si>
  <si>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</si>
  <si>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</si>
  <si>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</si>
  <si>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</si>
  <si>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</si>
  <si>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</si>
  <si>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</si>
  <si>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</si>
  <si>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</si>
  <si>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</si>
  <si>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</si>
  <si>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</si>
  <si>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</si>
  <si>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</si>
  <si>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</si>
  <si>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</si>
  <si>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</si>
  <si>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</si>
  <si>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</si>
  <si>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</si>
  <si>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</si>
  <si>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</si>
  <si>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</si>
  <si>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</si>
  <si>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</si>
  <si>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</si>
  <si>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</si>
  <si>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</si>
  <si>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</si>
  <si>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</si>
  <si>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</si>
  <si>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</si>
  <si>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</si>
  <si>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</si>
  <si>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</si>
  <si>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</si>
  <si>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</si>
  <si>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</si>
  <si>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</si>
  <si>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</si>
  <si>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</si>
  <si>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MovelPontos_PrecoDadosDep_ComFidel</t>
  </si>
  <si>
    <t>.MovelPontos_PrecoDadosDep_ComFidel</t>
  </si>
  <si>
    <t>"Digital"</t>
  </si>
  <si>
    <t>"Franquia ilimitada"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</si>
  <si>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</si>
  <si>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</si>
  <si>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</si>
  <si>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</si>
  <si>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</si>
  <si>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</si>
  <si>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</si>
  <si>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</si>
  <si>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</si>
  <si>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</si>
  <si>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CodigoPlanoConteudoOnline</t>
  </si>
  <si>
    <t>LinhaOferta</t>
  </si>
  <si>
    <t>CodigoCampanhaVoz</t>
  </si>
  <si>
    <t>CodigoOfertaVoz</t>
  </si>
  <si>
    <t>.LinhaOferta</t>
  </si>
  <si>
    <t>.CodigoCampanhaVoz</t>
  </si>
  <si>
    <t>.CodigoOfertaVoz</t>
  </si>
  <si>
    <t>otherwise</t>
  </si>
  <si>
    <t>"LD VC ALL"</t>
  </si>
  <si>
    <t>"OT_MIG_JUL18_FID_4P_PILIM_4GB_D1_TV_BL2_OF2"</t>
  </si>
  <si>
    <t>"TV Mix HBOMAX HD"</t>
  </si>
  <si>
    <t>"TV Mix Telecine HD"</t>
  </si>
  <si>
    <t>"TV Mix Cinema HD"</t>
  </si>
  <si>
    <t>"TV Total HBOMAX HD"</t>
  </si>
  <si>
    <t>"TV Total Telecine HD"</t>
  </si>
  <si>
    <t>"TV Total Cinema HD"</t>
  </si>
  <si>
    <t>"Basico"</t>
  </si>
  <si>
    <t>"OT_MIG_JUL18_FID_4P_PILIM_4GB_D1_TV_BL5_CBAS_OF2"</t>
  </si>
  <si>
    <t>"OT_MIG_JUL18_FID_4P_PILIM_4GB_D2_TV_BL2_OF2"</t>
  </si>
  <si>
    <t>"OT_MIG_JUL18_FID_4P_PILIM_4GB_D2_TV_BL5_CBAS_OF2"</t>
  </si>
  <si>
    <t>"OT_MIG_JUL18_FID_4P_PILIM_4GB_D1_TV_BL2_OF3"</t>
  </si>
  <si>
    <t>"OT_MIG_JUL18_FID_4P_PILIM_4GB_D1_TV_BL5_CBAS_OF3"</t>
  </si>
  <si>
    <t>"OT_MIG_JUL18_FID_4P_PILIM_4GB_D2_TV_BL2_OF3"</t>
  </si>
  <si>
    <t>"OT_MIG_JUL18_FID_4P_PILIM_4GB_D2_TV_BL5_CBAS_OF3"</t>
  </si>
  <si>
    <t>"OT_MIG_JUL18_FID_4P_PILIM_4GB_D1_TV_BL2_OF4"</t>
  </si>
  <si>
    <t>"OT_MIG_JUL18_FID_4P_PILIM_4GB_D1_TV_BL5_CBAS_OF4"</t>
  </si>
  <si>
    <t>"OT_MIG_JUL18_FID_4P_PILIM_4GB_D2_TV_BL2_OF4"</t>
  </si>
  <si>
    <t>"OT_MIG_JUL18_FID_4P_PILIM_4GB_D2_TV_BL5_CBAS_OF4"</t>
  </si>
  <si>
    <t>"OT_MIG_JUL18_FID_4P_PILIM_4GB_D1_LV_BL2_OF4"</t>
  </si>
  <si>
    <t>"OT_MIG_JUL18_FID_4P_PILIM_4GB_D1_LV_BL5_CBAS_OF4"</t>
  </si>
  <si>
    <t>"OT_MIG_JUL18_FID_4P_PILIM_4GB_D2_LV_BL2_OF4"</t>
  </si>
  <si>
    <t>"OT_MIG_JUL18_FID_4P_PILIM_4GB_D2_LV_BL5_CBAS_OF4"</t>
  </si>
  <si>
    <t>"OT_MIG_JUL18_FID_4P_PILIM_7GB_D1_TV_BL2_OF2"</t>
  </si>
  <si>
    <t>"OT_MIG_JUL18_FID_4P_PILIM_7GB_D1_TV_BL5_CBAS_OF2"</t>
  </si>
  <si>
    <t>"OT_MIG_JUL18_FID_4P_PILIM_7GB_D2_TV_BL2_OF2"</t>
  </si>
  <si>
    <t>"OT_MIG_JUL18_FID_4P_PILIM_7GB_D2_TV_BL5_CBAS_OF2"</t>
  </si>
  <si>
    <t>"OT_MIG_JUL18_FID_4P_PILIM_7GB_D1_TV_BL2_OF3"</t>
  </si>
  <si>
    <t>"OT_MIG_JUL18_FID_4P_PILIM_7GB_D1_TV_BL5_CBAS_OF3"</t>
  </si>
  <si>
    <t>"OT_MIG_JUL18_FID_4P_PILIM_7GB_D2_TV_BL2_OF3"</t>
  </si>
  <si>
    <t>"OT_MIG_JUL18_FID_4P_PILIM_7GB_D2_TV_BL5_CBAS_OF3"</t>
  </si>
  <si>
    <t>"OT_MIG_JUL18_FID_4P_PILIM_7GB_D1_LV_BL2_OF3"</t>
  </si>
  <si>
    <t>"OT_MIG_JUL18_FID_4P_PILIM_7GB_D1_LV_BL5_CBAS_OF3"</t>
  </si>
  <si>
    <t>"OT_MIG_JUL18_FID_4P_PILIM_7GB_D2_LV_BL2_OF3"</t>
  </si>
  <si>
    <t>"OT_MIG_JUL18_FID_4P_PILIM_7GB_D2_LV_BL5_CBAS_OF3"</t>
  </si>
  <si>
    <t>"OT_MIG_JUL18_FID_4P_PILIM_7GB_D1_TV_BL2_OF4"</t>
  </si>
  <si>
    <t>"OT_MIG_JUL18_FID_4P_PILIM_7GB_D1_TV_BL5_CBAS_OF4"</t>
  </si>
  <si>
    <t>"OT_MIG_JUL18_FID_4P_PILIM_7GB_D2_TV_BL2_OF4"</t>
  </si>
  <si>
    <t>"OT_MIG_JUL18_FID_4P_PILIM_7GB_D2_TV_BL5_CBAS_OF4"</t>
  </si>
  <si>
    <t>"OT_MIG_JUL18_FID_4P_PILIM_10GB_D1_TV_BL2_OF2"</t>
  </si>
  <si>
    <t>"OT_MIG_JUL18_FID_4P_PILIM_10GB_D1_TV_BL5_CBAS_OF2"</t>
  </si>
  <si>
    <t>"OT_MIG_JUL18_FID_4P_PILIM_10GB_D2_TV_BL2_OF2"</t>
  </si>
  <si>
    <t>"OT_MIG_JUL18_FID_4P_PILIM_10GB_D2_TV_BL5_CBAS_OF2"</t>
  </si>
  <si>
    <t>"OT_MIG_JUL18_FID_4P_PILIM_10GB_D1_TV_BL2_OF3"</t>
  </si>
  <si>
    <t>"OT_MIG_JUL18_FID_4P_PILIM_10GB_D1_TV_BL5_CBAS_OF3"</t>
  </si>
  <si>
    <t>"OT_MIG_JUL18_FID_4P_PILIM_10GB_D2_TV_BL2_OF3"</t>
  </si>
  <si>
    <t>"OT_MIG_JUL18_FID_4P_PILIM_10GB_D2_TV_BL5_CBAS_OF3"</t>
  </si>
  <si>
    <t>"OT_MIG_JUL18_FID_4P_PILIM_10GB_D1_LV_BL2_OF3"</t>
  </si>
  <si>
    <t>"OT_MIG_JUL18_FID_4P_PILIM_10GB_D1_LV_BL5_CBAS_OF3"</t>
  </si>
  <si>
    <t>"OT_MIG_JUL18_FID_4P_PILIM_10GB_D2_LV_BL2_OF3"</t>
  </si>
  <si>
    <t>"OT_MIG_JUL18_FID_4P_PILIM_10GB_D2_LV_BL5_CBAS_OF3"</t>
  </si>
  <si>
    <t>"OT_MIG_JUL18_FID_4P_PILIM_10GB_D1_TV_BL2_OF4"</t>
  </si>
  <si>
    <t>"OT_MIG_JUL18_FID_4P_PILIM_10GB_D1_TV_BL5_CBAS_OF4"</t>
  </si>
  <si>
    <t>"OT_MIG_JUL18_FID_4P_PILIM_10GB_D2_TV_BL2_OF4"</t>
  </si>
  <si>
    <t>"OT_MIG_JUL18_FID_4P_PILIM_10GB_D2_TV_BL5_CBAS_OF4"</t>
  </si>
  <si>
    <t>"OT_MIG_JUL18_FID_4P_PILIM_10GB_D1_LV_BL2_OF4"</t>
  </si>
  <si>
    <t>"OT_MIG_JUL18_FID_4P_PILIM_10GB_D1_LV_BL5_CBAS_OF4"</t>
  </si>
  <si>
    <t>"OT_MIG_JUL18_FID_4P_PILIM_10GB_D2_LV_BL2_OF4"</t>
  </si>
  <si>
    <t>"OT_MIG_JUL18_FID_4P_PILIM_10GB_D2_LV_BL5_CBAS_OF4"</t>
  </si>
  <si>
    <t>"OT_MIG_JUL18_FID_4P_PILIM_14GB_D1_TV_BL2_OF1"</t>
  </si>
  <si>
    <t>"OT_MIG_JUL18_FID_4P_PILIM_14GB_D1_TV_BL5_CBAS_OF1"</t>
  </si>
  <si>
    <t>"OT_MIG_JUL18_FID_4P_PILIM_14GB_D2_TV_BL2_OF1"</t>
  </si>
  <si>
    <t>"OT_MIG_JUL18_FID_4P_PILIM_14GB_D2_TV_BL5_CBAS_OF1"</t>
  </si>
  <si>
    <t>"OT_MIG_JUL18_FID_4P_PILIM_14GB_D1_LV_BL2_OF1"</t>
  </si>
  <si>
    <t>"OT_MIG_JUL18_FID_4P_PILIM_14GB_D1_LV_BL5_CBAS_OF1"</t>
  </si>
  <si>
    <t>"OT_MIG_JUL18_FID_4P_PILIM_14GB_D2_LV_BL2_OF1"</t>
  </si>
  <si>
    <t>"OT_MIG_JUL18_FID_4P_PILIM_14GB_D2_LV_BL5_CBAS_OF1"</t>
  </si>
  <si>
    <t>"OT_MIG_JUL18_FID_4P_PILIM_14GB_D1_TV_BL2_OF4"</t>
  </si>
  <si>
    <t>"OT_MIG_JUL18_FID_4P_PILIM_14GB_D1_TV_BL5_CBAS_OF4"</t>
  </si>
  <si>
    <t>"OT_MIG_JUL18_FID_4P_PILIM_14GB_D2_TV_BL2_OF4"</t>
  </si>
  <si>
    <t>"OT_MIG_JUL18_FID_4P_PILIM_14GB_D2_TV_BL5_CBAS_OF4"</t>
  </si>
  <si>
    <t>"OT_MIG_JUL18_FID_4P_PILIM_14GB_D1_LV_BL2_OF4"</t>
  </si>
  <si>
    <t>"OT_MIG_JUL18_FID_4P_PILIM_14GB_D1_LV_BL5_CBAS_OF4"</t>
  </si>
  <si>
    <t>"OT_MIG_JUL18_FID_4P_PILIM_14GB_D2_LV_BL2_OF4"</t>
  </si>
  <si>
    <t>"OT_MIG_JUL18_FID_4P_PILIM_14GB_D2_LV_BL5_CBAS_OF4"</t>
  </si>
  <si>
    <t>"OT_MIG_JUL18_FID_4P_PILIM_20GB_D1_TV_BL2_OF1"</t>
  </si>
  <si>
    <t>"OT_MIG_JUL18_FID_4P_PILIM_20GB_D1_TV_BL5_CBAS_OF1"</t>
  </si>
  <si>
    <t>"OT_MIG_JUL18_FID_4P_PILIM_20GB_D2_TV_BL2_OF1"</t>
  </si>
  <si>
    <t>"OT_MIG_JUL18_FID_4P_PILIM_20GB_D2_TV_BL5_CBAS_OF1"</t>
  </si>
  <si>
    <t>"OT_MIG_JUL18_FID_4P_PILIM_20GB_D1_LV_BL2_OF1"</t>
  </si>
  <si>
    <t>"OT_MIG_JUL18_FID_4P_PILIM_20GB_D1_LV_BL5_CBAS_OF1"</t>
  </si>
  <si>
    <t>"OT_MIG_JUL18_FID_4P_PILIM_20GB_D2_LV_BL2_OF1"</t>
  </si>
  <si>
    <t>"OT_MIG_JUL18_FID_4P_PILIM_20GB_D2_LV_BL5_CBAS_OF1"</t>
  </si>
  <si>
    <t>"OT_MIG_JUL18_FID_4P_PILIM_20GB_D1_TV_BL2_OF4"</t>
  </si>
  <si>
    <t>"OT_MIG_JUL18_FID_4P_PILIM_20GB_D1_TV_BL5_CBAS_OF4"</t>
  </si>
  <si>
    <t>"OT_MIG_JUL18_FID_4P_PILIM_20GB_D2_TV_BL2_OF4"</t>
  </si>
  <si>
    <t>"OT_MIG_JUL18_FID_4P_PILIM_20GB_D2_TV_BL5_CBAS_OF4"</t>
  </si>
  <si>
    <t>"OT_MIG_JUL18_FID_4P_PILIM_4GB_D3_TV_BL2_OF1"</t>
  </si>
  <si>
    <t>"OT_MIG_JUL18_FID_4P_PILIM_4GB_D3_TV_BL5_CBAS_OF1"</t>
  </si>
  <si>
    <t>"OT_MIG_JUL18_FID_4P_PILIM_4GB_D3_LV_BL2_OF1"</t>
  </si>
  <si>
    <t>"OT_MIG_JUL18_FID_4P_PILIM_4GB_D3_LV_BL5_CBAS_OF1"</t>
  </si>
  <si>
    <t>"OT_MIG_JUL18_FID_4P_PILIM_4GB_D3_TV_BL2_OF2"</t>
  </si>
  <si>
    <t>"OT_MIG_JUL18_FID_4P_PILIM_4GB_D3_TV_BL5_CBAS_OF2"</t>
  </si>
  <si>
    <t>"OT_MIG_JUL18_FID_4P_PILIM_4GB_D3_TV_BL2_OF3"</t>
  </si>
  <si>
    <t>"OT_MIG_JUL18_FID_4P_PILIM_4GB_D3_TV_BL5_CBAS_OF3"</t>
  </si>
  <si>
    <t>"OT_MIG_JUL18_FID_4P_PILIM_4GB_D3_TV_BL2_OF4"</t>
  </si>
  <si>
    <t>"OT_MIG_JUL18_FID_4P_PILIM_4GB_D3_TV_BL5_CBAS_OF4"</t>
  </si>
  <si>
    <t>"OT_MIG_JUL18_FID_4P_PILIM_4GB_D3_LV_BL2_OF4"</t>
  </si>
  <si>
    <t>"OT_MIG_JUL18_FID_4P_PILIM_4GB_D3_LV_BL5_CBAS_OF4"</t>
  </si>
  <si>
    <t>"OT_MIG_JUL18_FID_4P_PILIM_7GB_D3_TV_BL2_OF1"</t>
  </si>
  <si>
    <t>"OT_MIG_JUL18_FID_4P_PILIM_7GB_D3_TV_BL5_CBAS_OF1"</t>
  </si>
  <si>
    <t>"OT_MIG_JUL18_FID_4P_PILIM_7GB_D3_LV_BL2_OF1"</t>
  </si>
  <si>
    <t>"OT_MIG_JUL18_FID_4P_PILIM_7GB_D3_LV_BL5_CBAS_OF1"</t>
  </si>
  <si>
    <t>"OT_MIG_JUL18_FID_4P_PILIM_7GB_D3_TV_BL2_OF2"</t>
  </si>
  <si>
    <t>"OT_MIG_JUL18_FID_4P_PILIM_7GB_D3_TV_BL5_CBAS_OF2"</t>
  </si>
  <si>
    <t>"OT_MIG_JUL18_FID_4P_PILIM_7GB_D3_TV_BL2_OF3"</t>
  </si>
  <si>
    <t>"OT_MIG_JUL18_FID_4P_PILIM_7GB_D3_TV_BL5_CBAS_OF3"</t>
  </si>
  <si>
    <t>"OT_MIG_JUL18_FID_4P_PILIM_7GB_D3_LV_BL2_OF3"</t>
  </si>
  <si>
    <t>"OT_MIG_JUL18_FID_4P_PILIM_7GB_D3_LV_BL5_CBAS_OF3"</t>
  </si>
  <si>
    <t>"OT_MIG_JUL18_FID_4P_PILIM_7GB_D3_TV_BL2_OF4"</t>
  </si>
  <si>
    <t>"OT_MIG_JUL18_FID_4P_PILIM_7GB_D3_TV_BL5_CBAS_OF4"</t>
  </si>
  <si>
    <t>"OT_MIG_JUL18_FID_4P_PILIM_10GB_D3_TV_BL2_OF1"</t>
  </si>
  <si>
    <t>"OT_MIG_JUL18_FID_4P_PILIM_10GB_D3_TV_BL5_CBAS_OF1"</t>
  </si>
  <si>
    <t>"OT_MIG_JUL18_FID_4P_PILIM_10GB_D3_LV_BL2_OF1"</t>
  </si>
  <si>
    <t>"OT_MIG_JUL18_FID_4P_PILIM_10GB_D3_LV_BL5_CBAS_OF1"</t>
  </si>
  <si>
    <t>"OT_MIG_JUL18_FID_4P_PILIM_10GB_D3_TV_BL2_OF2"</t>
  </si>
  <si>
    <t>"OT_MIG_JUL18_FID_4P_PILIM_10GB_D3_TV_BL5_CBAS_OF2"</t>
  </si>
  <si>
    <t>"OT_MIG_JUL18_FID_4P_PILIM_10GB_D3_TV_BL2_OF3"</t>
  </si>
  <si>
    <t>"OT_MIG_JUL18_FID_4P_PILIM_10GB_D3_TV_BL5_CBAS_OF3"</t>
  </si>
  <si>
    <t>"OT_MIG_JUL18_FID_4P_PILIM_10GB_D3_LV_BL2_OF3"</t>
  </si>
  <si>
    <t>"OT_MIG_JUL18_FID_4P_PILIM_10GB_D3_LV_BL5_CBAS_OF3"</t>
  </si>
  <si>
    <t>"OT_MIG_JUL18_FID_4P_PILIM_10GB_D3_TV_BL2_OF4"</t>
  </si>
  <si>
    <t>"OT_MIG_JUL18_FID_4P_PILIM_10GB_D3_TV_BL5_CBAS_OF4"</t>
  </si>
  <si>
    <t>"OT_MIG_JUL18_FID_4P_PILIM_10GB_D3_LV_BL2_OF4"</t>
  </si>
  <si>
    <t>"OT_MIG_JUL18_FID_4P_PILIM_10GB_D3_LV_BL5_CBAS_OF4"</t>
  </si>
  <si>
    <t>"OT_MIG_JUL18_FID_4P_PILIM_14GB_D3_TV_BL2_OF1"</t>
  </si>
  <si>
    <t>"OT_MIG_JUL18_FID_4P_PILIM_14GB_D3_TV_BL5_CBAS_OF1"</t>
  </si>
  <si>
    <t>"OT_MIG_JUL18_FID_4P_PILIM_14GB_D3_LV_BL2_OF1"</t>
  </si>
  <si>
    <t>"OT_MIG_JUL18_FID_4P_PILIM_14GB_D3_LV_BL5_CBAS_OF1"</t>
  </si>
  <si>
    <t>"OT_MIG_JUL18_FID_4P_PILIM_14GB_D3_TV_BL2_OF4"</t>
  </si>
  <si>
    <t>"OT_MIG_JUL18_FID_4P_PILIM_14GB_D3_TV_BL5_CBAS_OF4"</t>
  </si>
  <si>
    <t>"OT_MIG_JUL18_FID_4P_PILIM_14GB_D3_LV_BL2_OF4"</t>
  </si>
  <si>
    <t>"OT_MIG_JUL18_FID_4P_PILIM_14GB_D3_LV_BL5_CBAS_OF4"</t>
  </si>
  <si>
    <t>"OT_MIG_JUL18_FID_4P_PILIM_20GB_D3_TV_BL2_OF1"</t>
  </si>
  <si>
    <t>"OT_MIG_JUL18_FID_4P_PILIM_20GB_D3_TV_BL5_CBAS_OF1"</t>
  </si>
  <si>
    <t>"OT_MIG_JUL18_FID_4P_PILIM_20GB_D3_LV_BL2_OF1"</t>
  </si>
  <si>
    <t>"OT_MIG_JUL18_FID_4P_PILIM_20GB_D3_LV_BL5_CBAS_OF1"</t>
  </si>
  <si>
    <t>"OT_MIG_JUL18_FID_4P_PILIM_20GB_D3_TV_BL2_OF4"</t>
  </si>
  <si>
    <t>"OT_MIG_JUL18_FID_4P_PILIM_20GB_D3_TV_BL5_CBAS_OF4"</t>
  </si>
  <si>
    <t>if</t>
  </si>
  <si>
    <t>else if</t>
  </si>
  <si>
    <t>Nova</t>
  </si>
  <si>
    <t>"TV Start HBOMAX HD"</t>
  </si>
  <si>
    <t>"Oi Total Fixo + Oi Mais 10GB + Banda Larga"</t>
  </si>
  <si>
    <t>"TV Start Cinema HD"</t>
  </si>
  <si>
    <t>"Oi Total Fixo + Oi Mais 20GB + Banda Larga"</t>
  </si>
  <si>
    <t>"Top"</t>
  </si>
  <si>
    <t>"Oi Total Fixo + Oi Mais 40GB + Banda Larga"</t>
  </si>
  <si>
    <t>""</t>
  </si>
  <si>
    <t>"VX Até 2mb"</t>
  </si>
  <si>
    <t>"OT_NAT18_SMART_NFID_SCOM_START_10GB_BL2"</t>
  </si>
  <si>
    <t>10000False"TV Start HBOMAX HD""VX Até 2mb""Franquia ilimitada"99.9"OT_NAT18_SMART_NFID_SCOM_START_10GB_BL2"</t>
  </si>
  <si>
    <t>"BLM 10gb"</t>
  </si>
  <si>
    <t>10000False"TV Start HBOMAX HD""BLM 10gb""Franquia ilimitada"99.9"OT_NAT18_SMART_NFID_SCOM_START_10GB_BL2"</t>
  </si>
  <si>
    <t>"OT_NAT18_AVA_NFID_SCOM_MIX_20GB_BL2"</t>
  </si>
  <si>
    <t>20000False"TV Start Cinema HD""VX Até 2mb""Franquia ilimitada"89.9"OT_NAT18_AVA_NFID_SCOM_MIX_20GB_BL2"</t>
  </si>
  <si>
    <t>20000False"TV Start Cinema HD""BLM 10gb""Franquia ilimitada"89.9"OT_NAT18_AVA_NFID_SCOM_MIX_20GB_BL2"</t>
  </si>
  <si>
    <t>"OT_NAT18_AVA_NFID_SCOM_MIXFIL_20GB_BL2"</t>
  </si>
  <si>
    <t>20000False"TV Mix HBOMAX HD""VX Até 2mb""Franquia ilimitada"89.9"OT_NAT18_AVA_NFID_SCOM_MIXFIL_20GB_BL2"</t>
  </si>
  <si>
    <t>20000False"TV Mix Telecine HD""VX Até 2mb""Franquia ilimitada"89.9"OT_NAT18_AVA_NFID_SCOM_MIXFIL_20GB_BL2"</t>
  </si>
  <si>
    <t>20000False"TV Mix Cinema HD""VX Até 2mb""Franquia ilimitada"89.9"OT_NAT18_AVA_NFID_SCOM_MIXFIL_20GB_BL2"</t>
  </si>
  <si>
    <t>20000False"TV Mix HBOMAX HD""BLM 10gb""Franquia ilimitada"89.9"OT_NAT18_AVA_NFID_SCOM_MIXFIL_20GB_BL2"</t>
  </si>
  <si>
    <t>20000False"TV Mix Telecine HD""BLM 10gb""Franquia ilimitada"89.9"OT_NAT18_AVA_NFID_SCOM_MIXFIL_20GB_BL2"</t>
  </si>
  <si>
    <t>20000False"TV Mix Cinema HD""BLM 10gb""Franquia ilimitada"89.9"OT_NAT18_AVA_NFID_SCOM_MIXFIL_20GB_BL2"</t>
  </si>
  <si>
    <t>"OT_NAT18_TOP_NFID_SCOM_TOT-HBO-TLC_40GB_BL2"</t>
  </si>
  <si>
    <t>40000True"TV Total HBOMAX HD""VX Até 2mb""Franquia ilimitada"79.9"OT_NAT18_TOP_NFID_SCOM_TOT-HBO-TLC_40GB_BL2"</t>
  </si>
  <si>
    <t>40000True"TV Total Telecine HD""VX Até 2mb""Franquia ilimitada"79.9"OT_NAT18_TOP_NFID_SCOM_TOT-HBO-TLC_40GB_BL2"</t>
  </si>
  <si>
    <t>40000True"TV Total HBOMAX HD""BLM 10gb""Franquia ilimitada"79.9"OT_NAT18_TOP_NFID_SCOM_TOT-HBO-TLC_40GB_BL2"</t>
  </si>
  <si>
    <t>40000True"TV Total Telecine HD""BLM 10gb""Franquia ilimitada"79.9"OT_NAT18_TOP_NFID_SCOM_TOT-HBO-TLC_40GB_BL2"</t>
  </si>
  <si>
    <t>"OT_NAT18_TOP_NFID_SCOM_TOT-CINE_40GB_BL2"</t>
  </si>
  <si>
    <t>40000True"TV Total Cinema HD""VX Até 2mb""Franquia ilimitada"79.9"OT_NAT18_TOP_NFID_SCOM_TOT-CINE_40GB_BL2"</t>
  </si>
  <si>
    <t>40000True"TV Total Cinema HD""BLM 10gb""Franquia ilimitada"79.9"OT_NAT18_TOP_NFID_SCOM_TOT-CINE_40GB_BL2"</t>
  </si>
  <si>
    <t>"VX Até 15mb"</t>
  </si>
  <si>
    <t>"OT_NAT18_SMART_NFID_SCOM_START_10GB_BL5"</t>
  </si>
  <si>
    <t>10000False"TV Start HBOMAX HD""VX Até 15mb""Franquia ilimitada"99.9"OT_NAT18_SMART_NFID_SCOM_START_10GB_BL5"</t>
  </si>
  <si>
    <t>"Intermediario"</t>
  </si>
  <si>
    <t>"OT_NAT18_AVA_NFID_SCOM_MIX_20GB_BL5"</t>
  </si>
  <si>
    <t>20000False"TV Start Cinema HD""VX Até 15mb""Franquia ilimitada"89.9"OT_NAT18_AVA_NFID_SCOM_MIX_20GB_BL5"</t>
  </si>
  <si>
    <t>"VX Até 25mb"</t>
  </si>
  <si>
    <t>20000False"TV Start Cinema HD""VX Até 25mb""Franquia ilimitada"89.9"OT_NAT18_AVA_NFID_SCOM_MIX_20GB_BL5"</t>
  </si>
  <si>
    <t>"VX 35mb"</t>
  </si>
  <si>
    <t>20000False"TV Start Cinema HD""VX 35mb""Franquia ilimitada"89.9"OT_NAT18_AVA_NFID_SCOM_MIX_20GB_BL5"</t>
  </si>
  <si>
    <t>"OT_NAT18_AVA_NFID_SCOM_MIXFIL_20GB_BL5"</t>
  </si>
  <si>
    <t>20000False"TV Mix HBOMAX HD""VX Até 15mb""Franquia ilimitada"89.9"OT_NAT18_AVA_NFID_SCOM_MIXFIL_20GB_BL5"</t>
  </si>
  <si>
    <t>20000False"TV Mix Telecine HD""VX Até 15mb""Franquia ilimitada"89.9"OT_NAT18_AVA_NFID_SCOM_MIXFIL_20GB_BL5"</t>
  </si>
  <si>
    <t>20000False"TV Mix Cinema HD""VX Até 15mb""Franquia ilimitada"89.9"OT_NAT18_AVA_NFID_SCOM_MIXFIL_20GB_BL5"</t>
  </si>
  <si>
    <t>20000False"TV Mix HBOMAX HD""VX Até 25mb""Franquia ilimitada"89.9"OT_NAT18_AVA_NFID_SCOM_MIXFIL_20GB_BL5"</t>
  </si>
  <si>
    <t>20000False"TV Mix Telecine HD""VX Até 25mb""Franquia ilimitada"89.9"OT_NAT18_AVA_NFID_SCOM_MIXFIL_20GB_BL5"</t>
  </si>
  <si>
    <t>20000False"TV Mix Cinema HD""VX Até 25mb""Franquia ilimitada"89.9"OT_NAT18_AVA_NFID_SCOM_MIXFIL_20GB_BL5"</t>
  </si>
  <si>
    <t>20000False"TV Mix HBOMAX HD""VX 35mb""Franquia ilimitada"89.9"OT_NAT18_AVA_NFID_SCOM_MIXFIL_20GB_BL5"</t>
  </si>
  <si>
    <t>20000False"TV Mix Telecine HD""VX 35mb""Franquia ilimitada"89.9"OT_NAT18_AVA_NFID_SCOM_MIXFIL_20GB_BL5"</t>
  </si>
  <si>
    <t>20000False"TV Mix Cinema HD""VX 35mb""Franquia ilimitada"89.9"OT_NAT18_AVA_NFID_SCOM_MIXFIL_20GB_BL5"</t>
  </si>
  <si>
    <t>"OT_NAT18_TOP_NFID_SCOM_TOT-HBO-TLC_40GB_BL5"</t>
  </si>
  <si>
    <t>40000True"TV Total HBOMAX HD""VX Até 15mb""Franquia ilimitada"79.9"OT_NAT18_TOP_NFID_SCOM_TOT-HBO-TLC_40GB_BL5"</t>
  </si>
  <si>
    <t>40000True"TV Total Telecine HD""VX Até 15mb""Franquia ilimitada"79.9"OT_NAT18_TOP_NFID_SCOM_TOT-HBO-TLC_40GB_BL5"</t>
  </si>
  <si>
    <t>40000True"TV Total HBOMAX HD""VX Até 25mb""Franquia ilimitada"79.9"OT_NAT18_TOP_NFID_SCOM_TOT-HBO-TLC_40GB_BL5"</t>
  </si>
  <si>
    <t>40000True"TV Total Telecine HD""VX Até 25mb""Franquia ilimitada"79.9"OT_NAT18_TOP_NFID_SCOM_TOT-HBO-TLC_40GB_BL5"</t>
  </si>
  <si>
    <t>40000True"TV Total HBOMAX HD""VX 35mb""Franquia ilimitada"79.9"OT_NAT18_TOP_NFID_SCOM_TOT-HBO-TLC_40GB_BL5"</t>
  </si>
  <si>
    <t>40000True"TV Total Telecine HD""VX 35mb""Franquia ilimitada"79.9"OT_NAT18_TOP_NFID_SCOM_TOT-HBO-TLC_40GB_BL5"</t>
  </si>
  <si>
    <t>"OT_NAT18_TOP_NFID_SCOM_TOT-CINE_40GB_BL5"</t>
  </si>
  <si>
    <t>40000True"TV Total Cinema HD""VX Até 15mb""Franquia ilimitada"79.9"OT_NAT18_TOP_NFID_SCOM_TOT-CINE_40GB_BL5"</t>
  </si>
  <si>
    <t>40000True"TV Total Cinema HD""VX Até 25mb""Franquia ilimitada"79.9"OT_NAT18_TOP_NFID_SCOM_TOT-CINE_40GB_BL5"</t>
  </si>
  <si>
    <t>40000True"TV Total Cinema HD""VX 35mb""Franquia ilimitada"79.9"OT_NAT18_TOP_NFID_SCOM_TOT-CINE_40GB_BL5"</t>
  </si>
  <si>
    <t>"OT_NAT18_AVA_NFID_SCOM_MIX_20GB_BL2_APA"</t>
  </si>
  <si>
    <t>20000False"TV Start Cinema HD""VX Até 2mb""Franquia ilimitada"89.9"OT_NAT18_AVA_NFID_SCOM_MIX_20GB_BL2_APA"</t>
  </si>
  <si>
    <t>20000False"TV Start Cinema HD""BLM 10gb""Franquia ilimitada"89.9"OT_NAT18_AVA_NFID_SCOM_MIX_20GB_BL2_APA"</t>
  </si>
  <si>
    <t>"OT_NAT18_AVA_NFID_SCOM_MIXFIL_20GB_BL2_APA"</t>
  </si>
  <si>
    <t>20000False"TV Mix HBOMAX HD""VX Até 2mb""Franquia ilimitada"89.9"OT_NAT18_AVA_NFID_SCOM_MIXFIL_20GB_BL2_APA"</t>
  </si>
  <si>
    <t>20000False"TV Mix Telecine HD""VX Até 2mb""Franquia ilimitada"89.9"OT_NAT18_AVA_NFID_SCOM_MIXFIL_20GB_BL2_APA"</t>
  </si>
  <si>
    <t>20000False"TV Mix Cinema HD""VX Até 2mb""Franquia ilimitada"89.9"OT_NAT18_AVA_NFID_SCOM_MIXFIL_20GB_BL2_APA"</t>
  </si>
  <si>
    <t>20000False"TV Mix HBOMAX HD""BLM 10gb""Franquia ilimitada"89.9"OT_NAT18_AVA_NFID_SCOM_MIXFIL_20GB_BL2_APA"</t>
  </si>
  <si>
    <t>20000False"TV Mix Telecine HD""BLM 10gb""Franquia ilimitada"89.9"OT_NAT18_AVA_NFID_SCOM_MIXFIL_20GB_BL2_APA"</t>
  </si>
  <si>
    <t>20000False"TV Mix Cinema HD""BLM 10gb""Franquia ilimitada"89.9"OT_NAT18_AVA_NFID_SCOM_MIXFIL_20GB_BL2_APA"</t>
  </si>
  <si>
    <t>"OT_NAT18_TOP_NFID_SCOM_TOT-HBO-TLC_40GB_BL2_APA"</t>
  </si>
  <si>
    <t>40000True"TV Total HBOMAX HD""VX Até 2mb""Franquia ilimitada"79.9"OT_NAT18_TOP_NFID_SCOM_TOT-HBO-TLC_40GB_BL2_APA"</t>
  </si>
  <si>
    <t>40000True"TV Total Telecine HD""VX Até 2mb""Franquia ilimitada"79.9"OT_NAT18_TOP_NFID_SCOM_TOT-HBO-TLC_40GB_BL2_APA"</t>
  </si>
  <si>
    <t>40000True"TV Total HBOMAX HD""BLM 10gb""Franquia ilimitada"79.9"OT_NAT18_TOP_NFID_SCOM_TOT-HBO-TLC_40GB_BL2_APA"</t>
  </si>
  <si>
    <t>40000True"TV Total Telecine HD""BLM 10gb""Franquia ilimitada"79.9"OT_NAT18_TOP_NFID_SCOM_TOT-HBO-TLC_40GB_BL2_APA"</t>
  </si>
  <si>
    <t>"OT_NAT18_TOP_NFID_SCOM_TOT-CINE_40GB_BL2_APA"</t>
  </si>
  <si>
    <t>40000True"TV Total Cinema HD""VX Até 2mb""Franquia ilimitada"79.9"OT_NAT18_TOP_NFID_SCOM_TOT-CINE_40GB_BL2_APA"</t>
  </si>
  <si>
    <t>40000True"TV Total Cinema HD""BLM 10gb""Franquia ilimitada"79.9"OT_NAT18_TOP_NFID_SCOM_TOT-CINE_40GB_BL2_APA"</t>
  </si>
  <si>
    <t>"OT_NAT18_AVA_NFID_SCOM_MIX_20GB_BL5_APA"</t>
  </si>
  <si>
    <t>20000False"TV Start Cinema HD""VX Até 15mb""Franquia ilimitada"89.9"OT_NAT18_AVA_NFID_SCOM_MIX_20GB_BL5_APA"</t>
  </si>
  <si>
    <t>20000False"TV Start Cinema HD""VX Até 25mb""Franquia ilimitada"89.9"OT_NAT18_AVA_NFID_SCOM_MIX_20GB_BL5_APA"</t>
  </si>
  <si>
    <t>20000False"TV Start Cinema HD""VX 35mb""Franquia ilimitada"89.9"OT_NAT18_AVA_NFID_SCOM_MIX_20GB_BL5_APA"</t>
  </si>
  <si>
    <t>"OT_NAT18_AVA_NFID_SCOM_MIXFIL_20GB_BL5_APA"</t>
  </si>
  <si>
    <t>20000False"TV Mix HBOMAX HD""VX Até 15mb""Franquia ilimitada"89.9"OT_NAT18_AVA_NFID_SCOM_MIXFIL_20GB_BL5_APA"</t>
  </si>
  <si>
    <t>20000False"TV Mix Telecine HD""VX Até 15mb""Franquia ilimitada"89.9"OT_NAT18_AVA_NFID_SCOM_MIXFIL_20GB_BL5_APA"</t>
  </si>
  <si>
    <t>20000False"TV Mix Cinema HD""VX Até 15mb""Franquia ilimitada"89.9"OT_NAT18_AVA_NFID_SCOM_MIXFIL_20GB_BL5_APA"</t>
  </si>
  <si>
    <t>20000False"TV Mix HBOMAX HD""VX Até 25mb""Franquia ilimitada"89.9"OT_NAT18_AVA_NFID_SCOM_MIXFIL_20GB_BL5_APA"</t>
  </si>
  <si>
    <t>20000False"TV Mix Telecine HD""VX Até 25mb""Franquia ilimitada"89.9"OT_NAT18_AVA_NFID_SCOM_MIXFIL_20GB_BL5_APA"</t>
  </si>
  <si>
    <t>20000False"TV Mix Cinema HD""VX Até 25mb""Franquia ilimitada"89.9"OT_NAT18_AVA_NFID_SCOM_MIXFIL_20GB_BL5_APA"</t>
  </si>
  <si>
    <t>20000False"TV Mix HBOMAX HD""VX 35mb""Franquia ilimitada"89.9"OT_NAT18_AVA_NFID_SCOM_MIXFIL_20GB_BL5_APA"</t>
  </si>
  <si>
    <t>20000False"TV Mix Telecine HD""VX 35mb""Franquia ilimitada"89.9"OT_NAT18_AVA_NFID_SCOM_MIXFIL_20GB_BL5_APA"</t>
  </si>
  <si>
    <t>20000False"TV Mix Cinema HD""VX 35mb""Franquia ilimitada"89.9"OT_NAT18_AVA_NFID_SCOM_MIXFIL_20GB_BL5_APA"</t>
  </si>
  <si>
    <t>"OT_NAT18_TOP_NFID_SCOM_TOT-HBO-TLC_40GB_BL5_APA"</t>
  </si>
  <si>
    <t>40000True"TV Total HBOMAX HD""VX Até 15mb""Franquia ilimitada"79.9"OT_NAT18_TOP_NFID_SCOM_TOT-HBO-TLC_40GB_BL5_APA"</t>
  </si>
  <si>
    <t>40000True"TV Total Telecine HD""VX Até 15mb""Franquia ilimitada"79.9"OT_NAT18_TOP_NFID_SCOM_TOT-HBO-TLC_40GB_BL5_APA"</t>
  </si>
  <si>
    <t>40000True"TV Total HBOMAX HD""VX Até 25mb""Franquia ilimitada"79.9"OT_NAT18_TOP_NFID_SCOM_TOT-HBO-TLC_40GB_BL5_APA"</t>
  </si>
  <si>
    <t>40000True"TV Total Telecine HD""VX Até 25mb""Franquia ilimitada"79.9"OT_NAT18_TOP_NFID_SCOM_TOT-HBO-TLC_40GB_BL5_APA"</t>
  </si>
  <si>
    <t>40000True"TV Total HBOMAX HD""VX 35mb""Franquia ilimitada"79.9"OT_NAT18_TOP_NFID_SCOM_TOT-HBO-TLC_40GB_BL5_APA"</t>
  </si>
  <si>
    <t>40000True"TV Total Telecine HD""VX 35mb""Franquia ilimitada"79.9"OT_NAT18_TOP_NFID_SCOM_TOT-HBO-TLC_40GB_BL5_APA"</t>
  </si>
  <si>
    <t>"OT_NAT18_TOP_NFID_SCOM_TOT-CINE_40GB_BL5_APA"</t>
  </si>
  <si>
    <t>40000True"TV Total Cinema HD""VX Até 15mb""Franquia ilimitada"79.9"OT_NAT18_TOP_NFID_SCOM_TOT-CINE_40GB_BL5_APA"</t>
  </si>
  <si>
    <t>40000True"TV Total Cinema HD""VX Até 25mb""Franquia ilimitada"79.9"OT_NAT18_TOP_NFID_SCOM_TOT-CINE_40GB_BL5_APA"</t>
  </si>
  <si>
    <t>40000True"TV Total Cinema HD""VX 35mb""Franquia ilimitada"79.9"OT_NAT18_TOP_NFID_SCOM_TOT-CINE_40GB_BL5_APA"</t>
  </si>
  <si>
    <t>"OT_NAT18_SMART_TLV_NFID_SCOM_START_10GB_BL5"</t>
  </si>
  <si>
    <t>10000False"TV Start HBOMAX HD""VX Até 15mb""Franquia ilimitada"79.9"OT_NAT18_SMART_TLV_NFID_SCOM_START_10GB_BL5"</t>
  </si>
  <si>
    <t>"OT_NAT18_AVA_TLV_NFID_SCOM_MIX_20GB_BL5"</t>
  </si>
  <si>
    <t>20000False"TV Start Cinema HD""VX Até 15mb""Franquia ilimitada"79.9"OT_NAT18_AVA_TLV_NFID_SCOM_MIX_20GB_BL5"</t>
  </si>
  <si>
    <t>20000False"TV Start Cinema HD""VX Até 25mb""Franquia ilimitada"79.9"OT_NAT18_AVA_TLV_NFID_SCOM_MIX_20GB_BL5"</t>
  </si>
  <si>
    <t>20000False"TV Start Cinema HD""VX 35mb""Franquia ilimitada"79.9"OT_NAT18_AVA_TLV_NFID_SCOM_MIX_20GB_BL5"</t>
  </si>
  <si>
    <t>"OT_NAT18_AVA_TLV_NFID_SCOM_MIXFIL_20GB_BL5"</t>
  </si>
  <si>
    <t>20000False"TV Mix HBOMAX HD""VX Até 15mb""Franquia ilimitada"79.9"OT_NAT18_AVA_TLV_NFID_SCOM_MIXFIL_20GB_BL5"</t>
  </si>
  <si>
    <t>20000False"TV Mix Telecine HD""VX Até 15mb""Franquia ilimitada"79.9"OT_NAT18_AVA_TLV_NFID_SCOM_MIXFIL_20GB_BL5"</t>
  </si>
  <si>
    <t>20000False"TV Mix Cinema HD""VX Até 15mb""Franquia ilimitada"79.9"OT_NAT18_AVA_TLV_NFID_SCOM_MIXFIL_20GB_BL5"</t>
  </si>
  <si>
    <t>20000False"TV Mix HBOMAX HD""VX Até 25mb""Franquia ilimitada"79.9"OT_NAT18_AVA_TLV_NFID_SCOM_MIXFIL_20GB_BL5"</t>
  </si>
  <si>
    <t>20000False"TV Mix Telecine HD""VX Até 25mb""Franquia ilimitada"79.9"OT_NAT18_AVA_TLV_NFID_SCOM_MIXFIL_20GB_BL5"</t>
  </si>
  <si>
    <t>20000False"TV Mix Cinema HD""VX Até 25mb""Franquia ilimitada"79.9"OT_NAT18_AVA_TLV_NFID_SCOM_MIXFIL_20GB_BL5"</t>
  </si>
  <si>
    <t>20000False"TV Mix HBOMAX HD""VX 35mb""Franquia ilimitada"79.9"OT_NAT18_AVA_TLV_NFID_SCOM_MIXFIL_20GB_BL5"</t>
  </si>
  <si>
    <t>20000False"TV Mix Telecine HD""VX 35mb""Franquia ilimitada"79.9"OT_NAT18_AVA_TLV_NFID_SCOM_MIXFIL_20GB_BL5"</t>
  </si>
  <si>
    <t>20000False"TV Mix Cinema HD""VX 35mb""Franquia ilimitada"79.9"OT_NAT18_AVA_TLV_NFID_SCOM_MIXFIL_20GB_BL5"</t>
  </si>
  <si>
    <t>"OT_NAT18_TOP_TLV_NFID_SCOM_TOT-HBO-TLC_40GB_BL5"</t>
  </si>
  <si>
    <t>40000True"TV Total HBOMAX HD""VX Até 15mb""Franquia ilimitada"79.9"OT_NAT18_TOP_TLV_NFID_SCOM_TOT-HBO-TLC_40GB_BL5"</t>
  </si>
  <si>
    <t>40000True"TV Total Telecine HD""VX Até 15mb""Franquia ilimitada"79.9"OT_NAT18_TOP_TLV_NFID_SCOM_TOT-HBO-TLC_40GB_BL5"</t>
  </si>
  <si>
    <t>40000True"TV Total HBOMAX HD""VX Até 25mb""Franquia ilimitada"79.9"OT_NAT18_TOP_TLV_NFID_SCOM_TOT-HBO-TLC_40GB_BL5"</t>
  </si>
  <si>
    <t>40000True"TV Total Telecine HD""VX Até 25mb""Franquia ilimitada"79.9"OT_NAT18_TOP_TLV_NFID_SCOM_TOT-HBO-TLC_40GB_BL5"</t>
  </si>
  <si>
    <t>40000True"TV Total HBOMAX HD""VX 35mb""Franquia ilimitada"79.9"OT_NAT18_TOP_TLV_NFID_SCOM_TOT-HBO-TLC_40GB_BL5"</t>
  </si>
  <si>
    <t>40000True"TV Total Telecine HD""VX 35mb""Franquia ilimitada"79.9"OT_NAT18_TOP_TLV_NFID_SCOM_TOT-HBO-TLC_40GB_BL5"</t>
  </si>
  <si>
    <t>"OT_NAT18_TOP_TLV_NFID_SCOM_TOT-CINE_40GB_BL5"</t>
  </si>
  <si>
    <t>40000True"TV Total Cinema HD""VX Até 15mb""Franquia ilimitada"79.9"OT_NAT18_TOP_TLV_NFID_SCOM_TOT-CINE_40GB_BL5"</t>
  </si>
  <si>
    <t>40000True"TV Total Cinema HD""VX Até 25mb""Franquia ilimitada"79.9"OT_NAT18_TOP_TLV_NFID_SCOM_TOT-CINE_40GB_BL5"</t>
  </si>
  <si>
    <t>40000True"TV Total Cinema HD""VX 35mb""Franquia ilimitada"79.9"OT_NAT18_TOP_TLV_NFID_SCOM_TOT-CINE_40GB_BL5"</t>
  </si>
  <si>
    <t>"OT_NAT18_SMART_TLV_NFID_SCOM_START_10GB_BL2"</t>
  </si>
  <si>
    <t>10000False"TV Start HBOMAX HD""VX Até 2mb""Franquia ilimitada"79.9"OT_NAT18_SMART_TLV_NFID_SCOM_START_10GB_BL2"</t>
  </si>
  <si>
    <t>10000False"TV Start HBOMAX HD""BLM 10gb""Franquia ilimitada"79.9"OT_NAT18_SMART_TLV_NFID_SCOM_START_10GB_BL2"</t>
  </si>
  <si>
    <t>"OT_NAT18_AVA_TLV_NFID_SCOM_MIX_20GB_BL2"</t>
  </si>
  <si>
    <t>20000False"TV Start Cinema HD""VX Até 2mb""Franquia ilimitada"79.9"OT_NAT18_AVA_TLV_NFID_SCOM_MIX_20GB_BL2"</t>
  </si>
  <si>
    <t>20000False"TV Start Cinema HD""BLM 10gb""Franquia ilimitada"79.9"OT_NAT18_AVA_TLV_NFID_SCOM_MIX_20GB_BL2"</t>
  </si>
  <si>
    <t>"OT_NAT18_AVA_TLV_NFID_SCOM_MIXFIL_20GB_BL2"</t>
  </si>
  <si>
    <t>20000False"TV Mix HBOMAX HD""VX Até 2mb""Franquia ilimitada"79.9"OT_NAT18_AVA_TLV_NFID_SCOM_MIXFIL_20GB_BL2"</t>
  </si>
  <si>
    <t>20000False"TV Mix Telecine HD""VX Até 2mb""Franquia ilimitada"79.9"OT_NAT18_AVA_TLV_NFID_SCOM_MIXFIL_20GB_BL2"</t>
  </si>
  <si>
    <t>20000False"TV Mix Cinema HD""VX Até 2mb""Franquia ilimitada"79.9"OT_NAT18_AVA_TLV_NFID_SCOM_MIXFIL_20GB_BL2"</t>
  </si>
  <si>
    <t>20000False"TV Mix HBOMAX HD""BLM 10gb""Franquia ilimitada"79.9"OT_NAT18_AVA_TLV_NFID_SCOM_MIXFIL_20GB_BL2"</t>
  </si>
  <si>
    <t>20000False"TV Mix Telecine HD""BLM 10gb""Franquia ilimitada"79.9"OT_NAT18_AVA_TLV_NFID_SCOM_MIXFIL_20GB_BL2"</t>
  </si>
  <si>
    <t>20000False"TV Mix Cinema HD""BLM 10gb""Franquia ilimitada"79.9"OT_NAT18_AVA_TLV_NFID_SCOM_MIXFIL_20GB_BL2"</t>
  </si>
  <si>
    <t>"OT_NAT18_TOP_TLV_NFID_SCOM_TOT-HBO-TLC_40GB_BL2"</t>
  </si>
  <si>
    <t>40000True"TV Total HBOMAX HD""VX Até 2mb""Franquia ilimitada"79.9"OT_NAT18_TOP_TLV_NFID_SCOM_TOT-HBO-TLC_40GB_BL2"</t>
  </si>
  <si>
    <t>40000True"TV Total Telecine HD""VX Até 2mb""Franquia ilimitada"79.9"OT_NAT18_TOP_TLV_NFID_SCOM_TOT-HBO-TLC_40GB_BL2"</t>
  </si>
  <si>
    <t>40000True"TV Total HBOMAX HD""BLM 10gb""Franquia ilimitada"79.9"OT_NAT18_TOP_TLV_NFID_SCOM_TOT-HBO-TLC_40GB_BL2"</t>
  </si>
  <si>
    <t>40000True"TV Total Telecine HD""BLM 10gb""Franquia ilimitada"79.9"OT_NAT18_TOP_TLV_NFID_SCOM_TOT-HBO-TLC_40GB_BL2"</t>
  </si>
  <si>
    <t>"OT_NAT18_TOP_TLV_NFID_SCOM_TOT-CINE_40GB_BL2"</t>
  </si>
  <si>
    <t>40000True"TV Total Cinema HD""VX Até 2mb""Franquia ilimitada"79.9"OT_NAT18_TOP_TLV_NFID_SCOM_TOT-CINE_40GB_BL2"</t>
  </si>
  <si>
    <t>40000True"TV Total Cinema HD""BLM 10gb""Franquia ilimitada"79.9"OT_NAT18_TOP_TLV_NFID_SCOM_TOT-CINE_40GB_BL2"</t>
  </si>
  <si>
    <t>"OT_NAT18_SMART_WEB_NFID_SCOM_START_10GB_BL2"</t>
  </si>
  <si>
    <t>10000False"TV Start HBOMAX HD""VX Até 2mb""Franquia ilimitada"99.9"OT_NAT18_SMART_WEB_NFID_SCOM_START_10GB_BL2"</t>
  </si>
  <si>
    <t>10000False"TV Start HBOMAX HD""BLM 10gb""Franquia ilimitada"99.9"OT_NAT18_SMART_WEB_NFID_SCOM_START_10GB_BL2"</t>
  </si>
  <si>
    <t>"OT_NAT18_AVA_WEB_NFID_SCOM_MIX_20GB_BL2"</t>
  </si>
  <si>
    <t>20000False"TV Start Cinema HD""VX Até 2mb""Franquia ilimitada"89.9"OT_NAT18_AVA_WEB_NFID_SCOM_MIX_20GB_BL2"</t>
  </si>
  <si>
    <t>20000False"TV Start Cinema HD""BLM 10gb""Franquia ilimitada"89.9"OT_NAT18_AVA_WEB_NFID_SCOM_MIX_20GB_BL2"</t>
  </si>
  <si>
    <t>"OT_NAT18_AVA_WEB_NFID_SCOM_MIXFIL_20GB_BL2"</t>
  </si>
  <si>
    <t>20000False"TV Mix HBOMAX HD""VX Até 2mb""Franquia ilimitada"89.9"OT_NAT18_AVA_WEB_NFID_SCOM_MIXFIL_20GB_BL2"</t>
  </si>
  <si>
    <t>20000False"TV Mix Telecine HD""VX Até 2mb""Franquia ilimitada"89.9"OT_NAT18_AVA_WEB_NFID_SCOM_MIXFIL_20GB_BL2"</t>
  </si>
  <si>
    <t>20000False"TV Mix Cinema HD""VX Até 2mb""Franquia ilimitada"89.9"OT_NAT18_AVA_WEB_NFID_SCOM_MIXFIL_20GB_BL2"</t>
  </si>
  <si>
    <t>20000False"TV Mix HBOMAX HD""BLM 10gb""Franquia ilimitada"89.9"OT_NAT18_AVA_WEB_NFID_SCOM_MIXFIL_20GB_BL2"</t>
  </si>
  <si>
    <t>20000False"TV Mix Telecine HD""BLM 10gb""Franquia ilimitada"89.9"OT_NAT18_AVA_WEB_NFID_SCOM_MIXFIL_20GB_BL2"</t>
  </si>
  <si>
    <t>20000False"TV Mix Cinema HD""BLM 10gb""Franquia ilimitada"89.9"OT_NAT18_AVA_WEB_NFID_SCOM_MIXFIL_20GB_BL2"</t>
  </si>
  <si>
    <t>"OT_NAT18_SMART_WEB_NFID_SCOM_START_10GB_BL5"</t>
  </si>
  <si>
    <t>10000False"TV Start HBOMAX HD""VX Até 15mb""Franquia ilimitada"99.9"OT_NAT18_SMART_WEB_NFID_SCOM_START_10GB_BL5"</t>
  </si>
  <si>
    <t>"OT_NAT18_AVA_WEB_NFID_SCOM_MIX_20GB_BL5"</t>
  </si>
  <si>
    <t>20000False"TV Start Cinema HD""VX Até 15mb""Franquia ilimitada"89.9"OT_NAT18_AVA_WEB_NFID_SCOM_MIX_20GB_BL5"</t>
  </si>
  <si>
    <t>20000False"TV Start Cinema HD""VX Até 25mb""Franquia ilimitada"89.9"OT_NAT18_AVA_WEB_NFID_SCOM_MIX_20GB_BL5"</t>
  </si>
  <si>
    <t>20000False"TV Start Cinema HD""VX 35mb""Franquia ilimitada"89.9"OT_NAT18_AVA_WEB_NFID_SCOM_MIX_20GB_BL5"</t>
  </si>
  <si>
    <t>"OT_NAT18_AVA_WEB_NFID_SCOM_MIXFIL_20GB_BL5"</t>
  </si>
  <si>
    <t>20000False"TV Mix HBOMAX HD""VX Até 15mb""Franquia ilimitada"89.9"OT_NAT18_AVA_WEB_NFID_SCOM_MIXFIL_20GB_BL5"</t>
  </si>
  <si>
    <t>20000False"TV Mix Telecine HD""VX Até 15mb""Franquia ilimitada"89.9"OT_NAT18_AVA_WEB_NFID_SCOM_MIXFIL_20GB_BL5"</t>
  </si>
  <si>
    <t>20000False"TV Mix Cinema HD""VX Até 15mb""Franquia ilimitada"89.9"OT_NAT18_AVA_WEB_NFID_SCOM_MIXFIL_20GB_BL5"</t>
  </si>
  <si>
    <t>20000False"TV Mix HBOMAX HD""VX Até 25mb""Franquia ilimitada"89.9"OT_NAT18_AVA_WEB_NFID_SCOM_MIXFIL_20GB_BL5"</t>
  </si>
  <si>
    <t>20000False"TV Mix Telecine HD""VX Até 25mb""Franquia ilimitada"89.9"OT_NAT18_AVA_WEB_NFID_SCOM_MIXFIL_20GB_BL5"</t>
  </si>
  <si>
    <t>20000False"TV Mix Cinema HD""VX Até 25mb""Franquia ilimitada"89.9"OT_NAT18_AVA_WEB_NFID_SCOM_MIXFIL_20GB_BL5"</t>
  </si>
  <si>
    <t>20000False"TV Mix HBOMAX HD""VX 35mb""Franquia ilimitada"89.9"OT_NAT18_AVA_WEB_NFID_SCOM_MIXFIL_20GB_BL5"</t>
  </si>
  <si>
    <t>20000False"TV Mix Telecine HD""VX 35mb""Franquia ilimitada"89.9"OT_NAT18_AVA_WEB_NFID_SCOM_MIXFIL_20GB_BL5"</t>
  </si>
  <si>
    <t>20000False"TV Mix Cinema HD""VX 35mb""Franquia ilimitada"89.9"OT_NAT18_AVA_WEB_NFID_SCOM_MIXFIL_20GB_BL5"</t>
  </si>
  <si>
    <t>"OT_NAT18_SMART_TLV_NFID_SCOM_START_10GB_BL5."</t>
  </si>
  <si>
    <t>10000False"TV Start HBOMAX HD""VX Até 15mb""Franquia ilimitada"69.9"OT_NAT18_SMART_TLV_NFID_SCOM_START_10GB_BL5."</t>
  </si>
  <si>
    <t>"OT_NAT18_AVA_TLV_NFID_SCOM_MIX_20GB_BL5."</t>
  </si>
  <si>
    <t>20000False"TV Start Cinema HD""VX Até 15mb""Franquia ilimitada"69.9"OT_NAT18_AVA_TLV_NFID_SCOM_MIX_20GB_BL5."</t>
  </si>
  <si>
    <t>20000False"TV Start Cinema HD""VX Até 25mb""Franquia ilimitada"69.9"OT_NAT18_AVA_TLV_NFID_SCOM_MIX_20GB_BL5."</t>
  </si>
  <si>
    <t>20000False"TV Start Cinema HD""VX 35mb""Franquia ilimitada"69.9"OT_NAT18_AVA_TLV_NFID_SCOM_MIX_20GB_BL5."</t>
  </si>
  <si>
    <t>"OT_NAT18_AVA_TLV_NFID_SCOM_MIXFIL_20GB_BL5."</t>
  </si>
  <si>
    <t>20000False"TV Mix HBOMAX HD""VX Até 15mb""Franquia ilimitada"69.9"OT_NAT18_AVA_TLV_NFID_SCOM_MIXFIL_20GB_BL5."</t>
  </si>
  <si>
    <t>20000False"TV Mix Telecine HD""VX Até 15mb""Franquia ilimitada"69.9"OT_NAT18_AVA_TLV_NFID_SCOM_MIXFIL_20GB_BL5."</t>
  </si>
  <si>
    <t>20000False"TV Mix Cinema HD""VX Até 15mb""Franquia ilimitada"69.9"OT_NAT18_AVA_TLV_NFID_SCOM_MIXFIL_20GB_BL5."</t>
  </si>
  <si>
    <t>20000False"TV Mix HBOMAX HD""VX Até 25mb""Franquia ilimitada"69.9"OT_NAT18_AVA_TLV_NFID_SCOM_MIXFIL_20GB_BL5."</t>
  </si>
  <si>
    <t>20000False"TV Mix Telecine HD""VX Até 25mb""Franquia ilimitada"69.9"OT_NAT18_AVA_TLV_NFID_SCOM_MIXFIL_20GB_BL5."</t>
  </si>
  <si>
    <t>20000False"TV Mix Cinema HD""VX Até 25mb""Franquia ilimitada"69.9"OT_NAT18_AVA_TLV_NFID_SCOM_MIXFIL_20GB_BL5."</t>
  </si>
  <si>
    <t>20000False"TV Mix HBOMAX HD""VX 35mb""Franquia ilimitada"69.9"OT_NAT18_AVA_TLV_NFID_SCOM_MIXFIL_20GB_BL5."</t>
  </si>
  <si>
    <t>20000False"TV Mix Telecine HD""VX 35mb""Franquia ilimitada"69.9"OT_NAT18_AVA_TLV_NFID_SCOM_MIXFIL_20GB_BL5."</t>
  </si>
  <si>
    <t>20000False"TV Mix Cinema HD""VX 35mb""Franquia ilimitada"69.9"OT_NAT18_AVA_TLV_NFID_SCOM_MIXFIL_20GB_BL5."</t>
  </si>
  <si>
    <t>"OT_NAT18_TOP_TLV_NFID_SCOM_TOT-HBO-TLC_40GB_BL5."</t>
  </si>
  <si>
    <t>40000True"TV Total HBOMAX HD""VX Até 15mb""Franquia ilimitada"69.9"OT_NAT18_TOP_TLV_NFID_SCOM_TOT-HBO-TLC_40GB_BL5."</t>
  </si>
  <si>
    <t>40000True"TV Total Telecine HD""VX Até 15mb""Franquia ilimitada"69.9"OT_NAT18_TOP_TLV_NFID_SCOM_TOT-HBO-TLC_40GB_BL5."</t>
  </si>
  <si>
    <t>40000True"TV Total HBOMAX HD""VX Até 25mb""Franquia ilimitada"69.9"OT_NAT18_TOP_TLV_NFID_SCOM_TOT-HBO-TLC_40GB_BL5."</t>
  </si>
  <si>
    <t>40000True"TV Total Telecine HD""VX Até 25mb""Franquia ilimitada"69.9"OT_NAT18_TOP_TLV_NFID_SCOM_TOT-HBO-TLC_40GB_BL5."</t>
  </si>
  <si>
    <t>40000True"TV Total HBOMAX HD""VX 35mb""Franquia ilimitada"69.9"OT_NAT18_TOP_TLV_NFID_SCOM_TOT-HBO-TLC_40GB_BL5."</t>
  </si>
  <si>
    <t>40000True"TV Total Telecine HD""VX 35mb""Franquia ilimitada"69.9"OT_NAT18_TOP_TLV_NFID_SCOM_TOT-HBO-TLC_40GB_BL5."</t>
  </si>
  <si>
    <t>"OT_NAT18_TOP_TLV_NFID_SCOM_TOT-CINE_40GB_BL5."</t>
  </si>
  <si>
    <t>40000True"TV Total Cinema HD""VX Até 15mb""Franquia ilimitada"69.9"OT_NAT18_TOP_TLV_NFID_SCOM_TOT-CINE_40GB_BL5."</t>
  </si>
  <si>
    <t>40000True"TV Total Cinema HD""VX Até 25mb""Franquia ilimitada"69.9"OT_NAT18_TOP_TLV_NFID_SCOM_TOT-CINE_40GB_BL5."</t>
  </si>
  <si>
    <t>40000True"TV Total Cinema HD""VX 35mb""Franquia ilimitada"69.9"OT_NAT18_TOP_TLV_NFID_SCOM_TOT-CINE_40GB_BL5."</t>
  </si>
  <si>
    <t>"OT_NAT18_SMART_TLV_NFID_SCOM_START_10GB_BL2."</t>
  </si>
  <si>
    <t>10000False"TV Start HBOMAX HD""VX Até 2mb""Franquia ilimitada"69.9"OT_NAT18_SMART_TLV_NFID_SCOM_START_10GB_BL2."</t>
  </si>
  <si>
    <t>10000False"TV Start HBOMAX HD""BLM 10gb""Franquia ilimitada"69.9"OT_NAT18_SMART_TLV_NFID_SCOM_START_10GB_BL2."</t>
  </si>
  <si>
    <t>"OT_NAT18_AVA_TLV_NFID_SCOM_MIX_20GB_BL2."</t>
  </si>
  <si>
    <t>20000False"TV Start Cinema HD""VX Até 2mb""Franquia ilimitada"69.9"OT_NAT18_AVA_TLV_NFID_SCOM_MIX_20GB_BL2."</t>
  </si>
  <si>
    <t>20000False"TV Start Cinema HD""BLM 10gb""Franquia ilimitada"69.9"OT_NAT18_AVA_TLV_NFID_SCOM_MIX_20GB_BL2."</t>
  </si>
  <si>
    <t>"OT_NAT18_AVA_TLV_NFID_SCOM_MIXFIL_20GB_BL2."</t>
  </si>
  <si>
    <t>20000False"TV Mix HBOMAX HD""VX Até 2mb""Franquia ilimitada"69.9"OT_NAT18_AVA_TLV_NFID_SCOM_MIXFIL_20GB_BL2."</t>
  </si>
  <si>
    <t>20000False"TV Mix Telecine HD""VX Até 2mb""Franquia ilimitada"69.9"OT_NAT18_AVA_TLV_NFID_SCOM_MIXFIL_20GB_BL2."</t>
  </si>
  <si>
    <t>20000False"TV Mix Cinema HD""VX Até 2mb""Franquia ilimitada"69.9"OT_NAT18_AVA_TLV_NFID_SCOM_MIXFIL_20GB_BL2."</t>
  </si>
  <si>
    <t>20000False"TV Mix HBOMAX HD""BLM 10gb""Franquia ilimitada"69.9"OT_NAT18_AVA_TLV_NFID_SCOM_MIXFIL_20GB_BL2."</t>
  </si>
  <si>
    <t>20000False"TV Mix Telecine HD""BLM 10gb""Franquia ilimitada"69.9"OT_NAT18_AVA_TLV_NFID_SCOM_MIXFIL_20GB_BL2."</t>
  </si>
  <si>
    <t>20000False"TV Mix Cinema HD""BLM 10gb""Franquia ilimitada"69.9"OT_NAT18_AVA_TLV_NFID_SCOM_MIXFIL_20GB_BL2."</t>
  </si>
  <si>
    <t>"OT_NAT18_TOP_TLV_NFID_SCOM_TOT-HBO-TLC_40GB_BL2."</t>
  </si>
  <si>
    <t>40000True"TV Total HBOMAX HD""VX Até 2mb""Franquia ilimitada"69.9"OT_NAT18_TOP_TLV_NFID_SCOM_TOT-HBO-TLC_40GB_BL2."</t>
  </si>
  <si>
    <t>40000True"TV Total Telecine HD""VX Até 2mb""Franquia ilimitada"69.9"OT_NAT18_TOP_TLV_NFID_SCOM_TOT-HBO-TLC_40GB_BL2."</t>
  </si>
  <si>
    <t>40000True"TV Total HBOMAX HD""BLM 10gb""Franquia ilimitada"69.9"OT_NAT18_TOP_TLV_NFID_SCOM_TOT-HBO-TLC_40GB_BL2."</t>
  </si>
  <si>
    <t>40000True"TV Total Telecine HD""BLM 10gb""Franquia ilimitada"69.9"OT_NAT18_TOP_TLV_NFID_SCOM_TOT-HBO-TLC_40GB_BL2."</t>
  </si>
  <si>
    <t>"OT_NAT18_TOP_TLV_NFID_SCOM_TOT-CINE_40GB_BL2."</t>
  </si>
  <si>
    <t>40000True"TV Total Cinema HD""VX Até 2mb""Franquia ilimitada"69.9"OT_NAT18_TOP_TLV_NFID_SCOM_TOT-CINE_40GB_BL2."</t>
  </si>
  <si>
    <t>40000True"TV Total Cinema HD""BLM 10gb""Franquia ilimitada"69.9"OT_NAT18_TOP_TLV_NFID_SCOM_TOT-CINE_40GB_BL2."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</si>
</sst>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9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16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16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16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16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5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6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16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16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5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16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16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16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16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Fill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6"/>
      <tableStyleElement type="headerRow" dxfId="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4PNFID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82835\Rule-Declare-DecisionTableedit_8283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AppData\Local\Temp\OA_EXCEL_72393\Rule-Declare-DecisionTableedit_7239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bruno.viana/OneDrive%20-%20Accenture/Oi/NBA/Transforma&#231;&#227;o%20Planilha%20de%20Produtos/Ofertas%20%20500%20-%20RETOT/3PMov/DTs%20RTOT%20Nova/BCM_RET_3P_Movel_Urano_Test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IG6263"/>
  <sheetViews>
    <sheetView workbookViewId="0">
      <selection activeCell="E7" sqref="E7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28515625" customWidth="1"/>
    <col min="5" max="5" width="25.28515625" bestFit="1" customWidth="1"/>
    <col min="6" max="6" width="12.5703125" style="109" bestFit="1" customWidth="1"/>
    <col min="7" max="7" width="16.7109375" bestFit="1" customWidth="1"/>
    <col min="8" max="8" width="27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27.7109375" bestFit="1" customWidth="1"/>
    <col min="14" max="14" width="16.28515625" bestFit="1" customWidth="1"/>
    <col min="15" max="15" width="38.7109375" style="110" bestFit="1" customWidth="1"/>
    <col min="16" max="16" width="7" bestFit="1" customWidth="1"/>
    <col min="17" max="17" width="28.85546875" bestFit="1" customWidth="1"/>
    <col min="18" max="18" width="24.28515625" style="110" bestFit="1" customWidth="1"/>
    <col min="19" max="19" width="32.42578125" style="110" bestFit="1" customWidth="1"/>
    <col min="20" max="20" width="23.42578125" style="110" bestFit="1" customWidth="1"/>
    <col min="21" max="21" width="21.140625" style="110" bestFit="1" customWidth="1"/>
    <col min="22" max="22" width="21.5703125" bestFit="1" customWidth="1"/>
    <col min="23" max="23" width="22" bestFit="1" customWidth="1"/>
    <col min="24" max="24" width="32.5703125" bestFit="1" customWidth="1"/>
    <col min="25" max="25" width="32.7109375" bestFit="1" customWidth="1"/>
    <col min="26" max="26" width="31.5703125" bestFit="1" customWidth="1"/>
    <col min="27" max="27" width="27.7109375" bestFit="1" customWidth="1"/>
    <col min="28" max="28" width="30" bestFit="1" customWidth="1"/>
    <col min="29" max="29" width="30.28515625" bestFit="1" customWidth="1"/>
    <col min="30" max="30" width="28" bestFit="1" customWidth="1"/>
    <col min="31" max="31" width="38" bestFit="1" customWidth="1"/>
    <col min="32" max="32" width="57.5703125" bestFit="1" customWidth="1"/>
    <col min="33" max="34" width="56" bestFit="1" customWidth="1"/>
    <col min="35" max="35" width="34.28515625" bestFit="1" customWidth="1"/>
    <col min="36" max="36" width="52.42578125" bestFit="1" customWidth="1"/>
    <col min="37" max="37" width="54.28515625" bestFit="1" customWidth="1"/>
    <col min="38" max="38" width="56" bestFit="1" customWidth="1"/>
    <col min="39" max="39" width="38.5703125" bestFit="1" customWidth="1"/>
    <col min="40" max="40" width="17.140625" bestFit="1" customWidth="1"/>
    <col min="41" max="41" width="16.7109375" bestFit="1" customWidth="1"/>
    <col min="42" max="42" width="16" bestFit="1" customWidth="1"/>
    <col min="43" max="43" width="10.7109375" bestFit="1" customWidth="1"/>
    <col min="44" max="44" width="9.42578125" bestFit="1" customWidth="1"/>
    <col min="45" max="45" width="14.85546875" bestFit="1" customWidth="1"/>
    <col min="46" max="46" width="18.42578125" bestFit="1" customWidth="1"/>
    <col min="47" max="47" width="18" bestFit="1" customWidth="1"/>
    <col min="48" max="48" width="16.7109375" hidden="1" customWidth="1"/>
    <col min="49" max="49" width="15.7109375" bestFit="1" customWidth="1"/>
    <col min="50" max="50" width="18" bestFit="1" customWidth="1"/>
    <col min="51" max="51" width="19.5703125" customWidth="1"/>
    <col min="53" max="53" width="0" hidden="1" customWidth="1"/>
  </cols>
  <sheetData>
    <row r="2" spans="1:46 2508:2508 3621:3621" x14ac:dyDescent="0.25">
      <c r="A2">
        <v>1</v>
      </c>
      <c r="B2">
        <v>2</v>
      </c>
      <c r="C2">
        <v>3</v>
      </c>
      <c r="D2">
        <v>4</v>
      </c>
      <c r="E2">
        <v>5</v>
      </c>
      <c r="F2" s="109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 s="110">
        <v>15</v>
      </c>
      <c r="P2">
        <v>16</v>
      </c>
      <c r="Q2">
        <v>17</v>
      </c>
      <c r="R2" s="110">
        <v>18</v>
      </c>
      <c r="S2" s="110">
        <v>19</v>
      </c>
      <c r="T2" s="110">
        <v>20</v>
      </c>
      <c r="U2" s="110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</row>
    <row r="3" spans="1:46 2508:2508 3621:362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111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299</v>
      </c>
      <c r="P3" s="4" t="s">
        <v>15</v>
      </c>
      <c r="Q3" s="5" t="s">
        <v>314</v>
      </c>
      <c r="R3" s="5" t="s">
        <v>303</v>
      </c>
      <c r="S3" s="5" t="s">
        <v>304</v>
      </c>
      <c r="T3" s="5" t="s">
        <v>305</v>
      </c>
      <c r="U3" s="5" t="s">
        <v>306</v>
      </c>
      <c r="V3" s="5" t="s">
        <v>307</v>
      </c>
      <c r="W3" s="5" t="s">
        <v>308</v>
      </c>
      <c r="X3" s="5" t="s">
        <v>309</v>
      </c>
      <c r="Y3" s="5" t="s">
        <v>310</v>
      </c>
      <c r="Z3" s="5" t="s">
        <v>311</v>
      </c>
      <c r="AA3" s="5" t="s">
        <v>312</v>
      </c>
      <c r="AB3" s="5" t="s">
        <v>12</v>
      </c>
      <c r="AC3" s="5" t="s">
        <v>16</v>
      </c>
      <c r="AD3" s="5" t="s">
        <v>17</v>
      </c>
      <c r="AE3" s="5" t="s">
        <v>313</v>
      </c>
      <c r="AF3" s="5" t="s">
        <v>315</v>
      </c>
      <c r="AG3" s="5" t="s">
        <v>316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58</v>
      </c>
      <c r="AS3" s="5" t="s">
        <v>29</v>
      </c>
      <c r="AT3" s="5" t="s">
        <v>59</v>
      </c>
    </row>
    <row r="4" spans="1:46 2508:2508 3621:3621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112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300</v>
      </c>
      <c r="P4" s="10"/>
      <c r="Q4" s="5" t="s">
        <v>317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318</v>
      </c>
      <c r="AG4" s="5" t="s">
        <v>319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60</v>
      </c>
      <c r="AS4" s="5" t="s">
        <v>29</v>
      </c>
      <c r="AT4" s="5" t="s">
        <v>59</v>
      </c>
    </row>
    <row r="5" spans="1:46 2508:2508 3621:3621" x14ac:dyDescent="0.25">
      <c r="A5" t="s">
        <v>320</v>
      </c>
      <c r="CRL5">
        <v>12</v>
      </c>
      <c r="EIG5">
        <v>12</v>
      </c>
    </row>
    <row r="6" spans="1:46 2508:2508 3621:3621" x14ac:dyDescent="0.25">
      <c r="CRL6">
        <v>12</v>
      </c>
    </row>
    <row r="7" spans="1:46 2508:2508 3621:3621" x14ac:dyDescent="0.25">
      <c r="CRL7">
        <v>12</v>
      </c>
    </row>
    <row r="8" spans="1:46 2508:2508 3621:3621" x14ac:dyDescent="0.25">
      <c r="CRL8">
        <v>12</v>
      </c>
    </row>
    <row r="9" spans="1:46 2508:2508 3621:3621" x14ac:dyDescent="0.25">
      <c r="CRL9">
        <v>12</v>
      </c>
    </row>
    <row r="10" spans="1:46 2508:2508 3621:3621" x14ac:dyDescent="0.25">
      <c r="CRL10">
        <v>12</v>
      </c>
    </row>
    <row r="11" spans="1:46 2508:2508 3621:3621" x14ac:dyDescent="0.25">
      <c r="CRL11">
        <v>12</v>
      </c>
    </row>
    <row r="12" spans="1:46 2508:2508 3621:3621" x14ac:dyDescent="0.25">
      <c r="CRL12">
        <v>12</v>
      </c>
    </row>
    <row r="13" spans="1:46 2508:2508 3621:3621" x14ac:dyDescent="0.25">
      <c r="CRL13">
        <v>12</v>
      </c>
    </row>
    <row r="14" spans="1:46 2508:2508 3621:3621" x14ac:dyDescent="0.25">
      <c r="CRL14">
        <v>12</v>
      </c>
    </row>
    <row r="15" spans="1:46 2508:2508 3621:3621" x14ac:dyDescent="0.25">
      <c r="CRL15">
        <v>12</v>
      </c>
    </row>
    <row r="16" spans="1:46 2508:2508 3621:3621" x14ac:dyDescent="0.25">
      <c r="CRL16">
        <v>12</v>
      </c>
    </row>
    <row r="17" spans="2508:2508" x14ac:dyDescent="0.25">
      <c r="CRL17">
        <v>12</v>
      </c>
    </row>
    <row r="18" spans="2508:2508" x14ac:dyDescent="0.25">
      <c r="CRL18">
        <v>12</v>
      </c>
    </row>
    <row r="19" spans="2508:2508" x14ac:dyDescent="0.25">
      <c r="CRL19">
        <v>12</v>
      </c>
    </row>
    <row r="20" spans="2508:2508" x14ac:dyDescent="0.25">
      <c r="CRL20">
        <v>12</v>
      </c>
    </row>
    <row r="21" spans="2508:2508" x14ac:dyDescent="0.25">
      <c r="CRL21">
        <v>12</v>
      </c>
    </row>
    <row r="22" spans="2508:2508" x14ac:dyDescent="0.25">
      <c r="CRL22">
        <v>12</v>
      </c>
    </row>
    <row r="23" spans="2508:2508" x14ac:dyDescent="0.25">
      <c r="CRL23">
        <v>12</v>
      </c>
    </row>
    <row r="24" spans="2508:2508" x14ac:dyDescent="0.25">
      <c r="CRL24">
        <v>12</v>
      </c>
    </row>
    <row r="25" spans="2508:2508" x14ac:dyDescent="0.25">
      <c r="CRL25">
        <v>12</v>
      </c>
    </row>
    <row r="26" spans="2508:2508" x14ac:dyDescent="0.25">
      <c r="CRL26">
        <v>12</v>
      </c>
    </row>
    <row r="27" spans="2508:2508" x14ac:dyDescent="0.25">
      <c r="CRL27">
        <v>12</v>
      </c>
    </row>
    <row r="28" spans="2508:2508" x14ac:dyDescent="0.25">
      <c r="CRL28">
        <v>12</v>
      </c>
    </row>
    <row r="29" spans="2508:2508" x14ac:dyDescent="0.25">
      <c r="CRL29">
        <v>12</v>
      </c>
    </row>
    <row r="30" spans="2508:2508" x14ac:dyDescent="0.25">
      <c r="CRL30">
        <v>12</v>
      </c>
    </row>
    <row r="31" spans="2508:2508" x14ac:dyDescent="0.25">
      <c r="CRL31">
        <v>12</v>
      </c>
    </row>
    <row r="32" spans="2508:2508" x14ac:dyDescent="0.25">
      <c r="CRL32">
        <v>12</v>
      </c>
    </row>
    <row r="33" spans="2508:2508" x14ac:dyDescent="0.25">
      <c r="CRL33">
        <v>12</v>
      </c>
    </row>
    <row r="34" spans="2508:2508" x14ac:dyDescent="0.25">
      <c r="CRL34">
        <v>12</v>
      </c>
    </row>
    <row r="35" spans="2508:2508" x14ac:dyDescent="0.25">
      <c r="CRL35">
        <v>12</v>
      </c>
    </row>
    <row r="36" spans="2508:2508" x14ac:dyDescent="0.25">
      <c r="CRL36">
        <v>12</v>
      </c>
    </row>
    <row r="37" spans="2508:2508" x14ac:dyDescent="0.25">
      <c r="CRL37">
        <v>12</v>
      </c>
    </row>
    <row r="38" spans="2508:2508" x14ac:dyDescent="0.25">
      <c r="CRL38">
        <v>12</v>
      </c>
    </row>
    <row r="39" spans="2508:2508" x14ac:dyDescent="0.25">
      <c r="CRL39">
        <v>12</v>
      </c>
    </row>
    <row r="40" spans="2508:2508" x14ac:dyDescent="0.25">
      <c r="CRL40">
        <v>12</v>
      </c>
    </row>
    <row r="41" spans="2508:2508" x14ac:dyDescent="0.25">
      <c r="CRL41">
        <v>12</v>
      </c>
    </row>
    <row r="42" spans="2508:2508" x14ac:dyDescent="0.25">
      <c r="CRL42">
        <v>12</v>
      </c>
    </row>
    <row r="43" spans="2508:2508" x14ac:dyDescent="0.25">
      <c r="CRL43">
        <v>12</v>
      </c>
    </row>
    <row r="44" spans="2508:2508" x14ac:dyDescent="0.25">
      <c r="CRL44">
        <v>12</v>
      </c>
    </row>
    <row r="45" spans="2508:2508" x14ac:dyDescent="0.25">
      <c r="CRL45">
        <v>12</v>
      </c>
    </row>
    <row r="46" spans="2508:2508" x14ac:dyDescent="0.25">
      <c r="CRL46">
        <v>12</v>
      </c>
    </row>
    <row r="47" spans="2508:2508" x14ac:dyDescent="0.25">
      <c r="CRL47">
        <v>12</v>
      </c>
    </row>
    <row r="48" spans="2508:2508" x14ac:dyDescent="0.25">
      <c r="CRL48">
        <v>12</v>
      </c>
    </row>
    <row r="49" spans="2508:2508" x14ac:dyDescent="0.25">
      <c r="CRL49">
        <v>12</v>
      </c>
    </row>
    <row r="50" spans="2508:2508" x14ac:dyDescent="0.25">
      <c r="CRL50">
        <v>12</v>
      </c>
    </row>
    <row r="51" spans="2508:2508" x14ac:dyDescent="0.25">
      <c r="CRL51">
        <v>12</v>
      </c>
    </row>
    <row r="52" spans="2508:2508" x14ac:dyDescent="0.25">
      <c r="CRL52">
        <v>12</v>
      </c>
    </row>
    <row r="53" spans="2508:2508" x14ac:dyDescent="0.25">
      <c r="CRL53">
        <v>12</v>
      </c>
    </row>
    <row r="54" spans="2508:2508" x14ac:dyDescent="0.25">
      <c r="CRL54">
        <v>12</v>
      </c>
    </row>
    <row r="55" spans="2508:2508" x14ac:dyDescent="0.25">
      <c r="CRL55">
        <v>12</v>
      </c>
    </row>
    <row r="56" spans="2508:2508" x14ac:dyDescent="0.25">
      <c r="CRL56">
        <v>12</v>
      </c>
    </row>
    <row r="57" spans="2508:2508" x14ac:dyDescent="0.25">
      <c r="CRL57">
        <v>12</v>
      </c>
    </row>
    <row r="58" spans="2508:2508" x14ac:dyDescent="0.25">
      <c r="CRL58">
        <v>12</v>
      </c>
    </row>
    <row r="59" spans="2508:2508" x14ac:dyDescent="0.25">
      <c r="CRL59">
        <v>12</v>
      </c>
    </row>
    <row r="60" spans="2508:2508" x14ac:dyDescent="0.25">
      <c r="CRL60">
        <v>12</v>
      </c>
    </row>
    <row r="61" spans="2508:2508" x14ac:dyDescent="0.25">
      <c r="CRL61">
        <v>12</v>
      </c>
    </row>
    <row r="62" spans="2508:2508" x14ac:dyDescent="0.25">
      <c r="CRL62">
        <v>12</v>
      </c>
    </row>
    <row r="63" spans="2508:2508" x14ac:dyDescent="0.25">
      <c r="CRL63">
        <v>12</v>
      </c>
    </row>
    <row r="64" spans="2508:2508" x14ac:dyDescent="0.25">
      <c r="CRL64">
        <v>12</v>
      </c>
    </row>
    <row r="65" spans="2508:2508" x14ac:dyDescent="0.25">
      <c r="CRL65">
        <v>12</v>
      </c>
    </row>
    <row r="66" spans="2508:2508" x14ac:dyDescent="0.25">
      <c r="CRL66">
        <v>12</v>
      </c>
    </row>
    <row r="67" spans="2508:2508" x14ac:dyDescent="0.25">
      <c r="CRL67">
        <v>12</v>
      </c>
    </row>
    <row r="68" spans="2508:2508" x14ac:dyDescent="0.25">
      <c r="CRL68">
        <v>12</v>
      </c>
    </row>
    <row r="69" spans="2508:2508" x14ac:dyDescent="0.25">
      <c r="CRL69">
        <v>12</v>
      </c>
    </row>
    <row r="70" spans="2508:2508" x14ac:dyDescent="0.25">
      <c r="CRL70">
        <v>12</v>
      </c>
    </row>
    <row r="71" spans="2508:2508" x14ac:dyDescent="0.25">
      <c r="CRL71">
        <v>12</v>
      </c>
    </row>
    <row r="72" spans="2508:2508" x14ac:dyDescent="0.25">
      <c r="CRL72">
        <v>12</v>
      </c>
    </row>
    <row r="73" spans="2508:2508" x14ac:dyDescent="0.25">
      <c r="CRL73">
        <v>12</v>
      </c>
    </row>
    <row r="74" spans="2508:2508" x14ac:dyDescent="0.25">
      <c r="CRL74">
        <v>12</v>
      </c>
    </row>
    <row r="75" spans="2508:2508" x14ac:dyDescent="0.25">
      <c r="CRL75">
        <v>12</v>
      </c>
    </row>
    <row r="76" spans="2508:2508" x14ac:dyDescent="0.25">
      <c r="CRL76">
        <v>12</v>
      </c>
    </row>
    <row r="77" spans="2508:2508" x14ac:dyDescent="0.25">
      <c r="CRL77">
        <v>12</v>
      </c>
    </row>
    <row r="78" spans="2508:2508" x14ac:dyDescent="0.25">
      <c r="CRL78">
        <v>12</v>
      </c>
    </row>
    <row r="79" spans="2508:2508" x14ac:dyDescent="0.25">
      <c r="CRL79">
        <v>12</v>
      </c>
    </row>
    <row r="80" spans="2508:2508" x14ac:dyDescent="0.25">
      <c r="CRL80">
        <v>12</v>
      </c>
    </row>
    <row r="81" spans="2508:2508" x14ac:dyDescent="0.25">
      <c r="CRL81">
        <v>12</v>
      </c>
    </row>
    <row r="82" spans="2508:2508" x14ac:dyDescent="0.25">
      <c r="CRL82">
        <v>12</v>
      </c>
    </row>
    <row r="83" spans="2508:2508" x14ac:dyDescent="0.25">
      <c r="CRL83">
        <v>12</v>
      </c>
    </row>
    <row r="84" spans="2508:2508" x14ac:dyDescent="0.25">
      <c r="CRL84">
        <v>12</v>
      </c>
    </row>
    <row r="85" spans="2508:2508" x14ac:dyDescent="0.25">
      <c r="CRL85">
        <v>12</v>
      </c>
    </row>
    <row r="86" spans="2508:2508" x14ac:dyDescent="0.25">
      <c r="CRL86">
        <v>12</v>
      </c>
    </row>
    <row r="87" spans="2508:2508" x14ac:dyDescent="0.25">
      <c r="CRL87">
        <v>12</v>
      </c>
    </row>
    <row r="88" spans="2508:2508" x14ac:dyDescent="0.25">
      <c r="CRL88">
        <v>12</v>
      </c>
    </row>
    <row r="89" spans="2508:2508" x14ac:dyDescent="0.25">
      <c r="CRL89">
        <v>12</v>
      </c>
    </row>
    <row r="90" spans="2508:2508" x14ac:dyDescent="0.25">
      <c r="CRL90">
        <v>12</v>
      </c>
    </row>
    <row r="91" spans="2508:2508" x14ac:dyDescent="0.25">
      <c r="CRL91">
        <v>12</v>
      </c>
    </row>
    <row r="92" spans="2508:2508" x14ac:dyDescent="0.25">
      <c r="CRL92">
        <v>12</v>
      </c>
    </row>
    <row r="93" spans="2508:2508" x14ac:dyDescent="0.25">
      <c r="CRL93">
        <v>12</v>
      </c>
    </row>
    <row r="94" spans="2508:2508" x14ac:dyDescent="0.25">
      <c r="CRL94">
        <v>12</v>
      </c>
    </row>
    <row r="95" spans="2508:2508" x14ac:dyDescent="0.25">
      <c r="CRL95">
        <v>12</v>
      </c>
    </row>
    <row r="96" spans="2508:2508" x14ac:dyDescent="0.25">
      <c r="CRL96">
        <v>12</v>
      </c>
    </row>
    <row r="97" spans="2508:2508" x14ac:dyDescent="0.25">
      <c r="CRL97">
        <v>12</v>
      </c>
    </row>
    <row r="98" spans="2508:2508" x14ac:dyDescent="0.25">
      <c r="CRL98">
        <v>12</v>
      </c>
    </row>
    <row r="99" spans="2508:2508" x14ac:dyDescent="0.25">
      <c r="CRL99">
        <v>12</v>
      </c>
    </row>
    <row r="100" spans="2508:2508" x14ac:dyDescent="0.25">
      <c r="CRL100">
        <v>12</v>
      </c>
    </row>
    <row r="101" spans="2508:2508" x14ac:dyDescent="0.25">
      <c r="CRL101">
        <v>12</v>
      </c>
    </row>
    <row r="102" spans="2508:2508" x14ac:dyDescent="0.25">
      <c r="CRL102">
        <v>12</v>
      </c>
    </row>
    <row r="103" spans="2508:2508" x14ac:dyDescent="0.25">
      <c r="CRL103">
        <v>12</v>
      </c>
    </row>
    <row r="104" spans="2508:2508" x14ac:dyDescent="0.25">
      <c r="CRL104">
        <v>12</v>
      </c>
    </row>
    <row r="105" spans="2508:2508" x14ac:dyDescent="0.25">
      <c r="CRL105">
        <v>12</v>
      </c>
    </row>
    <row r="106" spans="2508:2508" x14ac:dyDescent="0.25">
      <c r="CRL106">
        <v>12</v>
      </c>
    </row>
    <row r="107" spans="2508:2508" x14ac:dyDescent="0.25">
      <c r="CRL107">
        <v>12</v>
      </c>
    </row>
    <row r="108" spans="2508:2508" x14ac:dyDescent="0.25">
      <c r="CRL108">
        <v>12</v>
      </c>
    </row>
    <row r="109" spans="2508:2508" x14ac:dyDescent="0.25">
      <c r="CRL109">
        <v>12</v>
      </c>
    </row>
    <row r="110" spans="2508:2508" x14ac:dyDescent="0.25">
      <c r="CRL110">
        <v>12</v>
      </c>
    </row>
    <row r="111" spans="2508:2508" x14ac:dyDescent="0.25">
      <c r="CRL111">
        <v>12</v>
      </c>
    </row>
    <row r="112" spans="2508:2508" x14ac:dyDescent="0.25">
      <c r="CRL112">
        <v>12</v>
      </c>
    </row>
    <row r="113" spans="2508:2508" x14ac:dyDescent="0.25">
      <c r="CRL113">
        <v>12</v>
      </c>
    </row>
    <row r="114" spans="2508:2508" x14ac:dyDescent="0.25">
      <c r="CRL114">
        <v>12</v>
      </c>
    </row>
    <row r="115" spans="2508:2508" x14ac:dyDescent="0.25">
      <c r="CRL115">
        <v>12</v>
      </c>
    </row>
    <row r="116" spans="2508:2508" x14ac:dyDescent="0.25">
      <c r="CRL116">
        <v>12</v>
      </c>
    </row>
    <row r="117" spans="2508:2508" x14ac:dyDescent="0.25">
      <c r="CRL117">
        <v>12</v>
      </c>
    </row>
    <row r="118" spans="2508:2508" x14ac:dyDescent="0.25">
      <c r="CRL118">
        <v>12</v>
      </c>
    </row>
    <row r="119" spans="2508:2508" x14ac:dyDescent="0.25">
      <c r="CRL119">
        <v>12</v>
      </c>
    </row>
    <row r="120" spans="2508:2508" x14ac:dyDescent="0.25">
      <c r="CRL120">
        <v>12</v>
      </c>
    </row>
    <row r="121" spans="2508:2508" x14ac:dyDescent="0.25">
      <c r="CRL121">
        <v>12</v>
      </c>
    </row>
    <row r="122" spans="2508:2508" x14ac:dyDescent="0.25">
      <c r="CRL122">
        <v>12</v>
      </c>
    </row>
    <row r="123" spans="2508:2508" x14ac:dyDescent="0.25">
      <c r="CRL123">
        <v>12</v>
      </c>
    </row>
    <row r="124" spans="2508:2508" x14ac:dyDescent="0.25">
      <c r="CRL124">
        <v>12</v>
      </c>
    </row>
    <row r="125" spans="2508:2508" x14ac:dyDescent="0.25">
      <c r="CRL125">
        <v>12</v>
      </c>
    </row>
    <row r="126" spans="2508:2508" x14ac:dyDescent="0.25">
      <c r="CRL126">
        <v>12</v>
      </c>
    </row>
    <row r="127" spans="2508:2508" x14ac:dyDescent="0.25">
      <c r="CRL127">
        <v>12</v>
      </c>
    </row>
    <row r="128" spans="2508:2508" x14ac:dyDescent="0.25">
      <c r="CRL128">
        <v>12</v>
      </c>
    </row>
    <row r="129" spans="49:51 2508:2508" x14ac:dyDescent="0.25">
      <c r="CRL129">
        <v>12</v>
      </c>
    </row>
    <row r="130" spans="49:51 2508:2508" x14ac:dyDescent="0.25">
      <c r="CRL130">
        <v>12</v>
      </c>
    </row>
    <row r="131" spans="49:51 2508:2508" x14ac:dyDescent="0.25">
      <c r="CRL131">
        <v>12</v>
      </c>
    </row>
    <row r="132" spans="49:51 2508:2508" x14ac:dyDescent="0.25">
      <c r="CRL132">
        <v>12</v>
      </c>
    </row>
    <row r="133" spans="49:51 2508:2508" x14ac:dyDescent="0.25">
      <c r="CRL133">
        <v>12</v>
      </c>
    </row>
    <row r="134" spans="49:51 2508:2508" x14ac:dyDescent="0.25">
      <c r="CRL134">
        <v>12</v>
      </c>
    </row>
    <row r="135" spans="49:51 2508:2508" x14ac:dyDescent="0.25">
      <c r="CRL135">
        <v>12</v>
      </c>
    </row>
    <row r="136" spans="49:51 2508:2508" x14ac:dyDescent="0.25">
      <c r="CRL136">
        <v>12</v>
      </c>
    </row>
    <row r="137" spans="49:51 2508:2508" x14ac:dyDescent="0.25">
      <c r="CRL137">
        <v>12</v>
      </c>
    </row>
    <row r="138" spans="49:51 2508:2508" x14ac:dyDescent="0.25">
      <c r="CRL138">
        <v>12</v>
      </c>
    </row>
    <row r="139" spans="49:51 2508:2508" x14ac:dyDescent="0.25">
      <c r="CRL139">
        <v>12</v>
      </c>
    </row>
    <row r="140" spans="49:51 2508:2508" x14ac:dyDescent="0.25">
      <c r="CRL140">
        <v>12</v>
      </c>
    </row>
    <row r="141" spans="49:51 2508:2508" x14ac:dyDescent="0.25">
      <c r="AW141" s="108"/>
      <c r="AX141" s="108"/>
      <c r="AY141" s="108"/>
      <c r="CRL141">
        <v>12</v>
      </c>
    </row>
    <row r="142" spans="49:51 2508:2508" x14ac:dyDescent="0.25">
      <c r="CRL142">
        <v>12</v>
      </c>
    </row>
    <row r="143" spans="49:51 2508:2508" x14ac:dyDescent="0.25">
      <c r="CRL143">
        <v>12</v>
      </c>
    </row>
    <row r="144" spans="49:51 2508:2508" x14ac:dyDescent="0.25">
      <c r="CRL144">
        <v>12</v>
      </c>
    </row>
    <row r="145" spans="2508:2508" x14ac:dyDescent="0.25">
      <c r="CRL145">
        <v>12</v>
      </c>
    </row>
    <row r="146" spans="2508:2508" x14ac:dyDescent="0.25">
      <c r="CRL146">
        <v>12</v>
      </c>
    </row>
    <row r="147" spans="2508:2508" x14ac:dyDescent="0.25">
      <c r="CRL147">
        <v>12</v>
      </c>
    </row>
    <row r="148" spans="2508:2508" x14ac:dyDescent="0.25">
      <c r="CRL148">
        <v>12</v>
      </c>
    </row>
    <row r="149" spans="2508:2508" x14ac:dyDescent="0.25">
      <c r="CRL149">
        <v>12</v>
      </c>
    </row>
    <row r="150" spans="2508:2508" x14ac:dyDescent="0.25">
      <c r="CRL150">
        <v>12</v>
      </c>
    </row>
    <row r="151" spans="2508:2508" x14ac:dyDescent="0.25">
      <c r="CRL151">
        <v>12</v>
      </c>
    </row>
    <row r="152" spans="2508:2508" x14ac:dyDescent="0.25">
      <c r="CRL152">
        <v>12</v>
      </c>
    </row>
    <row r="153" spans="2508:2508" x14ac:dyDescent="0.25">
      <c r="CRL153">
        <v>12</v>
      </c>
    </row>
    <row r="154" spans="2508:2508" x14ac:dyDescent="0.25">
      <c r="CRL154">
        <v>12</v>
      </c>
    </row>
    <row r="155" spans="2508:2508" x14ac:dyDescent="0.25">
      <c r="CRL155">
        <v>12</v>
      </c>
    </row>
    <row r="156" spans="2508:2508" x14ac:dyDescent="0.25">
      <c r="CRL156">
        <v>12</v>
      </c>
    </row>
    <row r="157" spans="2508:2508" x14ac:dyDescent="0.25">
      <c r="CRL157">
        <v>12</v>
      </c>
    </row>
    <row r="158" spans="2508:2508" x14ac:dyDescent="0.25">
      <c r="CRL158">
        <v>12</v>
      </c>
    </row>
    <row r="159" spans="2508:2508" x14ac:dyDescent="0.25">
      <c r="CRL159">
        <v>12</v>
      </c>
    </row>
    <row r="160" spans="2508:2508" x14ac:dyDescent="0.25">
      <c r="CRL160">
        <v>12</v>
      </c>
    </row>
    <row r="161" spans="49:51 2508:2508" x14ac:dyDescent="0.25">
      <c r="AW161" s="108"/>
      <c r="AX161" s="108"/>
      <c r="AY161" s="108"/>
      <c r="CRL161">
        <v>12</v>
      </c>
    </row>
    <row r="162" spans="49:51 2508:2508" x14ac:dyDescent="0.25">
      <c r="CRL162">
        <v>12</v>
      </c>
    </row>
    <row r="163" spans="49:51 2508:2508" x14ac:dyDescent="0.25">
      <c r="CRL163">
        <v>12</v>
      </c>
    </row>
    <row r="164" spans="49:51 2508:2508" x14ac:dyDescent="0.25">
      <c r="CRL164">
        <v>12</v>
      </c>
    </row>
    <row r="165" spans="49:51 2508:2508" x14ac:dyDescent="0.25">
      <c r="CRL165">
        <v>12</v>
      </c>
    </row>
    <row r="166" spans="49:51 2508:2508" x14ac:dyDescent="0.25">
      <c r="CRL166">
        <v>12</v>
      </c>
    </row>
    <row r="167" spans="49:51 2508:2508" x14ac:dyDescent="0.25">
      <c r="CRL167">
        <v>12</v>
      </c>
    </row>
    <row r="168" spans="49:51 2508:2508" x14ac:dyDescent="0.25">
      <c r="CRL168">
        <v>12</v>
      </c>
    </row>
    <row r="169" spans="49:51 2508:2508" x14ac:dyDescent="0.25">
      <c r="CRL169">
        <v>12</v>
      </c>
    </row>
    <row r="170" spans="49:51 2508:2508" x14ac:dyDescent="0.25">
      <c r="CRL170">
        <v>12</v>
      </c>
    </row>
    <row r="171" spans="49:51 2508:2508" x14ac:dyDescent="0.25">
      <c r="CRL171">
        <v>12</v>
      </c>
    </row>
    <row r="172" spans="49:51 2508:2508" x14ac:dyDescent="0.25">
      <c r="CRL172">
        <v>12</v>
      </c>
    </row>
    <row r="173" spans="49:51 2508:2508" x14ac:dyDescent="0.25">
      <c r="CRL173">
        <v>12</v>
      </c>
    </row>
    <row r="174" spans="49:51 2508:2508" x14ac:dyDescent="0.25">
      <c r="CRL174">
        <v>12</v>
      </c>
    </row>
    <row r="175" spans="49:51 2508:2508" x14ac:dyDescent="0.25">
      <c r="CRL175">
        <v>12</v>
      </c>
    </row>
    <row r="176" spans="49:51 2508:2508" x14ac:dyDescent="0.25">
      <c r="CRL176">
        <v>12</v>
      </c>
    </row>
    <row r="177" spans="2508:2508" x14ac:dyDescent="0.25">
      <c r="CRL177">
        <v>12</v>
      </c>
    </row>
    <row r="178" spans="2508:2508" x14ac:dyDescent="0.25">
      <c r="CRL178">
        <v>12</v>
      </c>
    </row>
    <row r="179" spans="2508:2508" x14ac:dyDescent="0.25">
      <c r="CRL179">
        <v>12</v>
      </c>
    </row>
    <row r="180" spans="2508:2508" x14ac:dyDescent="0.25">
      <c r="CRL180">
        <v>12</v>
      </c>
    </row>
    <row r="181" spans="2508:2508" x14ac:dyDescent="0.25">
      <c r="CRL181">
        <v>12</v>
      </c>
    </row>
    <row r="182" spans="2508:2508" x14ac:dyDescent="0.25">
      <c r="CRL182">
        <v>12</v>
      </c>
    </row>
    <row r="183" spans="2508:2508" x14ac:dyDescent="0.25">
      <c r="CRL183">
        <v>12</v>
      </c>
    </row>
    <row r="184" spans="2508:2508" x14ac:dyDescent="0.25">
      <c r="CRL184">
        <v>12</v>
      </c>
    </row>
    <row r="185" spans="2508:2508" x14ac:dyDescent="0.25">
      <c r="CRL185">
        <v>12</v>
      </c>
    </row>
    <row r="186" spans="2508:2508" x14ac:dyDescent="0.25">
      <c r="CRL186">
        <v>12</v>
      </c>
    </row>
    <row r="187" spans="2508:2508" x14ac:dyDescent="0.25">
      <c r="CRL187">
        <v>12</v>
      </c>
    </row>
    <row r="188" spans="2508:2508" x14ac:dyDescent="0.25">
      <c r="CRL188">
        <v>12</v>
      </c>
    </row>
    <row r="189" spans="2508:2508" x14ac:dyDescent="0.25">
      <c r="CRL189">
        <v>12</v>
      </c>
    </row>
    <row r="190" spans="2508:2508" x14ac:dyDescent="0.25">
      <c r="CRL190">
        <v>12</v>
      </c>
    </row>
    <row r="191" spans="2508:2508" x14ac:dyDescent="0.25">
      <c r="CRL191">
        <v>12</v>
      </c>
    </row>
    <row r="192" spans="2508:2508" x14ac:dyDescent="0.25">
      <c r="CRL192">
        <v>12</v>
      </c>
    </row>
    <row r="193" spans="2508:2508" x14ac:dyDescent="0.25">
      <c r="CRL193">
        <v>12</v>
      </c>
    </row>
    <row r="194" spans="2508:2508" x14ac:dyDescent="0.25">
      <c r="CRL194">
        <v>12</v>
      </c>
    </row>
    <row r="195" spans="2508:2508" x14ac:dyDescent="0.25">
      <c r="CRL195">
        <v>12</v>
      </c>
    </row>
    <row r="196" spans="2508:2508" x14ac:dyDescent="0.25">
      <c r="CRL196">
        <v>12</v>
      </c>
    </row>
    <row r="197" spans="2508:2508" x14ac:dyDescent="0.25">
      <c r="CRL197">
        <v>12</v>
      </c>
    </row>
    <row r="198" spans="2508:2508" x14ac:dyDescent="0.25">
      <c r="CRL198">
        <v>12</v>
      </c>
    </row>
    <row r="199" spans="2508:2508" x14ac:dyDescent="0.25">
      <c r="CRL199">
        <v>12</v>
      </c>
    </row>
    <row r="200" spans="2508:2508" x14ac:dyDescent="0.25">
      <c r="CRL200">
        <v>12</v>
      </c>
    </row>
    <row r="201" spans="2508:2508" x14ac:dyDescent="0.25">
      <c r="CRL201">
        <v>12</v>
      </c>
    </row>
    <row r="202" spans="2508:2508" x14ac:dyDescent="0.25">
      <c r="CRL202">
        <v>12</v>
      </c>
    </row>
    <row r="203" spans="2508:2508" x14ac:dyDescent="0.25">
      <c r="CRL203">
        <v>12</v>
      </c>
    </row>
    <row r="204" spans="2508:2508" x14ac:dyDescent="0.25">
      <c r="CRL204">
        <v>12</v>
      </c>
    </row>
    <row r="205" spans="2508:2508" x14ac:dyDescent="0.25">
      <c r="CRL205">
        <v>12</v>
      </c>
    </row>
    <row r="206" spans="2508:2508" x14ac:dyDescent="0.25">
      <c r="CRL206">
        <v>12</v>
      </c>
    </row>
    <row r="207" spans="2508:2508" x14ac:dyDescent="0.25">
      <c r="CRL207">
        <v>12</v>
      </c>
    </row>
    <row r="208" spans="2508:2508" x14ac:dyDescent="0.25">
      <c r="CRL208">
        <v>12</v>
      </c>
    </row>
    <row r="209" spans="2508:2508" x14ac:dyDescent="0.25">
      <c r="CRL209">
        <v>12</v>
      </c>
    </row>
    <row r="210" spans="2508:2508" x14ac:dyDescent="0.25">
      <c r="CRL210">
        <v>12</v>
      </c>
    </row>
    <row r="211" spans="2508:2508" x14ac:dyDescent="0.25">
      <c r="CRL211">
        <v>12</v>
      </c>
    </row>
    <row r="212" spans="2508:2508" x14ac:dyDescent="0.25">
      <c r="CRL212">
        <v>12</v>
      </c>
    </row>
    <row r="213" spans="2508:2508" x14ac:dyDescent="0.25">
      <c r="CRL213">
        <v>12</v>
      </c>
    </row>
    <row r="214" spans="2508:2508" x14ac:dyDescent="0.25">
      <c r="CRL214">
        <v>12</v>
      </c>
    </row>
    <row r="215" spans="2508:2508" x14ac:dyDescent="0.25">
      <c r="CRL215">
        <v>12</v>
      </c>
    </row>
    <row r="216" spans="2508:2508" x14ac:dyDescent="0.25">
      <c r="CRL216">
        <v>12</v>
      </c>
    </row>
    <row r="217" spans="2508:2508" x14ac:dyDescent="0.25">
      <c r="CRL217">
        <v>12</v>
      </c>
    </row>
    <row r="218" spans="2508:2508" x14ac:dyDescent="0.25">
      <c r="CRL218">
        <v>12</v>
      </c>
    </row>
    <row r="219" spans="2508:2508" x14ac:dyDescent="0.25">
      <c r="CRL219">
        <v>12</v>
      </c>
    </row>
    <row r="220" spans="2508:2508" x14ac:dyDescent="0.25">
      <c r="CRL220">
        <v>12</v>
      </c>
    </row>
    <row r="221" spans="2508:2508" x14ac:dyDescent="0.25">
      <c r="CRL221">
        <v>12</v>
      </c>
    </row>
    <row r="222" spans="2508:2508" x14ac:dyDescent="0.25">
      <c r="CRL222">
        <v>12</v>
      </c>
    </row>
    <row r="223" spans="2508:2508" x14ac:dyDescent="0.25">
      <c r="CRL223">
        <v>12</v>
      </c>
    </row>
    <row r="224" spans="2508:2508" x14ac:dyDescent="0.25">
      <c r="CRL224">
        <v>12</v>
      </c>
    </row>
    <row r="225" spans="2508:2508" x14ac:dyDescent="0.25">
      <c r="CRL225">
        <v>12</v>
      </c>
    </row>
    <row r="226" spans="2508:2508" x14ac:dyDescent="0.25">
      <c r="CRL226">
        <v>12</v>
      </c>
    </row>
    <row r="227" spans="2508:2508" x14ac:dyDescent="0.25">
      <c r="CRL227">
        <v>12</v>
      </c>
    </row>
    <row r="228" spans="2508:2508" x14ac:dyDescent="0.25">
      <c r="CRL228">
        <v>12</v>
      </c>
    </row>
    <row r="229" spans="2508:2508" x14ac:dyDescent="0.25">
      <c r="CRL229">
        <v>12</v>
      </c>
    </row>
    <row r="230" spans="2508:2508" x14ac:dyDescent="0.25">
      <c r="CRL230">
        <v>12</v>
      </c>
    </row>
    <row r="231" spans="2508:2508" x14ac:dyDescent="0.25">
      <c r="CRL231">
        <v>12</v>
      </c>
    </row>
    <row r="232" spans="2508:2508" x14ac:dyDescent="0.25">
      <c r="CRL232">
        <v>12</v>
      </c>
    </row>
    <row r="233" spans="2508:2508" x14ac:dyDescent="0.25">
      <c r="CRL233">
        <v>12</v>
      </c>
    </row>
    <row r="234" spans="2508:2508" x14ac:dyDescent="0.25">
      <c r="CRL234">
        <v>12</v>
      </c>
    </row>
    <row r="235" spans="2508:2508" x14ac:dyDescent="0.25">
      <c r="CRL235">
        <v>12</v>
      </c>
    </row>
    <row r="236" spans="2508:2508" x14ac:dyDescent="0.25">
      <c r="CRL236">
        <v>12</v>
      </c>
    </row>
    <row r="237" spans="2508:2508" x14ac:dyDescent="0.25">
      <c r="CRL237">
        <v>12</v>
      </c>
    </row>
    <row r="238" spans="2508:2508" x14ac:dyDescent="0.25">
      <c r="CRL238">
        <v>12</v>
      </c>
    </row>
    <row r="239" spans="2508:2508" x14ac:dyDescent="0.25">
      <c r="CRL239">
        <v>12</v>
      </c>
    </row>
    <row r="240" spans="2508:2508" x14ac:dyDescent="0.25">
      <c r="CRL240">
        <v>12</v>
      </c>
    </row>
    <row r="241" spans="2508:2508" x14ac:dyDescent="0.25">
      <c r="CRL241">
        <v>12</v>
      </c>
    </row>
    <row r="242" spans="2508:2508" x14ac:dyDescent="0.25">
      <c r="CRL242">
        <v>12</v>
      </c>
    </row>
    <row r="243" spans="2508:2508" x14ac:dyDescent="0.25">
      <c r="CRL243">
        <v>12</v>
      </c>
    </row>
    <row r="244" spans="2508:2508" x14ac:dyDescent="0.25">
      <c r="CRL244">
        <v>12</v>
      </c>
    </row>
    <row r="245" spans="2508:2508" x14ac:dyDescent="0.25">
      <c r="CRL245">
        <v>12</v>
      </c>
    </row>
    <row r="246" spans="2508:2508" x14ac:dyDescent="0.25">
      <c r="CRL246">
        <v>12</v>
      </c>
    </row>
    <row r="247" spans="2508:2508" x14ac:dyDescent="0.25">
      <c r="CRL247">
        <v>12</v>
      </c>
    </row>
    <row r="248" spans="2508:2508" x14ac:dyDescent="0.25">
      <c r="CRL248">
        <v>12</v>
      </c>
    </row>
    <row r="249" spans="2508:2508" x14ac:dyDescent="0.25">
      <c r="CRL249">
        <v>12</v>
      </c>
    </row>
    <row r="250" spans="2508:2508" x14ac:dyDescent="0.25">
      <c r="CRL250">
        <v>12</v>
      </c>
    </row>
    <row r="251" spans="2508:2508" x14ac:dyDescent="0.25">
      <c r="CRL251">
        <v>12</v>
      </c>
    </row>
    <row r="252" spans="2508:2508" x14ac:dyDescent="0.25">
      <c r="CRL252">
        <v>12</v>
      </c>
    </row>
    <row r="253" spans="2508:2508" x14ac:dyDescent="0.25">
      <c r="CRL253">
        <v>12</v>
      </c>
    </row>
    <row r="254" spans="2508:2508" x14ac:dyDescent="0.25">
      <c r="CRL254">
        <v>12</v>
      </c>
    </row>
    <row r="255" spans="2508:2508" x14ac:dyDescent="0.25">
      <c r="CRL255">
        <v>12</v>
      </c>
    </row>
    <row r="256" spans="2508:2508" x14ac:dyDescent="0.25">
      <c r="CRL256">
        <v>12</v>
      </c>
    </row>
    <row r="257" spans="2508:2508" x14ac:dyDescent="0.25">
      <c r="CRL257">
        <v>12</v>
      </c>
    </row>
    <row r="258" spans="2508:2508" x14ac:dyDescent="0.25">
      <c r="CRL258">
        <v>12</v>
      </c>
    </row>
    <row r="259" spans="2508:2508" x14ac:dyDescent="0.25">
      <c r="CRL259">
        <v>12</v>
      </c>
    </row>
    <row r="260" spans="2508:2508" x14ac:dyDescent="0.25">
      <c r="CRL260">
        <v>12</v>
      </c>
    </row>
    <row r="261" spans="2508:2508" x14ac:dyDescent="0.25">
      <c r="CRL261">
        <v>12</v>
      </c>
    </row>
    <row r="262" spans="2508:2508" x14ac:dyDescent="0.25">
      <c r="CRL262">
        <v>12</v>
      </c>
    </row>
    <row r="263" spans="2508:2508" x14ac:dyDescent="0.25">
      <c r="CRL263">
        <v>12</v>
      </c>
    </row>
    <row r="264" spans="2508:2508" x14ac:dyDescent="0.25">
      <c r="CRL264">
        <v>12</v>
      </c>
    </row>
    <row r="265" spans="2508:2508" x14ac:dyDescent="0.25">
      <c r="CRL265">
        <v>12</v>
      </c>
    </row>
    <row r="266" spans="2508:2508" x14ac:dyDescent="0.25">
      <c r="CRL266">
        <v>12</v>
      </c>
    </row>
    <row r="267" spans="2508:2508" x14ac:dyDescent="0.25">
      <c r="CRL267">
        <v>12</v>
      </c>
    </row>
    <row r="268" spans="2508:2508" x14ac:dyDescent="0.25">
      <c r="CRL268">
        <v>12</v>
      </c>
    </row>
    <row r="269" spans="2508:2508" x14ac:dyDescent="0.25">
      <c r="CRL269">
        <v>12</v>
      </c>
    </row>
    <row r="270" spans="2508:2508" x14ac:dyDescent="0.25">
      <c r="CRL270">
        <v>12</v>
      </c>
    </row>
    <row r="271" spans="2508:2508" x14ac:dyDescent="0.25">
      <c r="CRL271">
        <v>12</v>
      </c>
    </row>
    <row r="272" spans="2508:2508" x14ac:dyDescent="0.25">
      <c r="CRL272">
        <v>12</v>
      </c>
    </row>
    <row r="273" spans="2508:2508" x14ac:dyDescent="0.25">
      <c r="CRL273">
        <v>12</v>
      </c>
    </row>
    <row r="274" spans="2508:2508" x14ac:dyDescent="0.25">
      <c r="CRL274">
        <v>12</v>
      </c>
    </row>
    <row r="275" spans="2508:2508" x14ac:dyDescent="0.25">
      <c r="CRL275">
        <v>12</v>
      </c>
    </row>
    <row r="276" spans="2508:2508" x14ac:dyDescent="0.25">
      <c r="CRL276">
        <v>12</v>
      </c>
    </row>
    <row r="277" spans="2508:2508" x14ac:dyDescent="0.25">
      <c r="CRL277">
        <v>12</v>
      </c>
    </row>
    <row r="278" spans="2508:2508" x14ac:dyDescent="0.25">
      <c r="CRL278">
        <v>12</v>
      </c>
    </row>
    <row r="279" spans="2508:2508" x14ac:dyDescent="0.25">
      <c r="CRL279">
        <v>12</v>
      </c>
    </row>
    <row r="280" spans="2508:2508" x14ac:dyDescent="0.25">
      <c r="CRL280">
        <v>12</v>
      </c>
    </row>
    <row r="281" spans="2508:2508" x14ac:dyDescent="0.25">
      <c r="CRL281">
        <v>12</v>
      </c>
    </row>
    <row r="282" spans="2508:2508" x14ac:dyDescent="0.25">
      <c r="CRL282">
        <v>12</v>
      </c>
    </row>
    <row r="283" spans="2508:2508" x14ac:dyDescent="0.25">
      <c r="CRL283">
        <v>12</v>
      </c>
    </row>
    <row r="284" spans="2508:2508" x14ac:dyDescent="0.25">
      <c r="CRL284">
        <v>12</v>
      </c>
    </row>
    <row r="285" spans="2508:2508" x14ac:dyDescent="0.25">
      <c r="CRL285">
        <v>12</v>
      </c>
    </row>
    <row r="286" spans="2508:2508" x14ac:dyDescent="0.25">
      <c r="CRL286">
        <v>12</v>
      </c>
    </row>
    <row r="287" spans="2508:2508" x14ac:dyDescent="0.25">
      <c r="CRL287">
        <v>12</v>
      </c>
    </row>
    <row r="288" spans="2508:2508" x14ac:dyDescent="0.25">
      <c r="CRL288">
        <v>12</v>
      </c>
    </row>
    <row r="289" spans="2508:2508" x14ac:dyDescent="0.25">
      <c r="CRL289">
        <v>12</v>
      </c>
    </row>
    <row r="290" spans="2508:2508" x14ac:dyDescent="0.25">
      <c r="CRL290">
        <v>12</v>
      </c>
    </row>
    <row r="291" spans="2508:2508" x14ac:dyDescent="0.25">
      <c r="CRL291">
        <v>12</v>
      </c>
    </row>
    <row r="292" spans="2508:2508" x14ac:dyDescent="0.25">
      <c r="CRL292">
        <v>12</v>
      </c>
    </row>
    <row r="293" spans="2508:2508" x14ac:dyDescent="0.25">
      <c r="CRL293">
        <v>12</v>
      </c>
    </row>
    <row r="294" spans="2508:2508" x14ac:dyDescent="0.25">
      <c r="CRL294">
        <v>12</v>
      </c>
    </row>
    <row r="295" spans="2508:2508" x14ac:dyDescent="0.25">
      <c r="CRL295">
        <v>12</v>
      </c>
    </row>
    <row r="296" spans="2508:2508" x14ac:dyDescent="0.25">
      <c r="CRL296">
        <v>12</v>
      </c>
    </row>
    <row r="297" spans="2508:2508" x14ac:dyDescent="0.25">
      <c r="CRL297">
        <v>12</v>
      </c>
    </row>
    <row r="298" spans="2508:2508" x14ac:dyDescent="0.25">
      <c r="CRL298">
        <v>12</v>
      </c>
    </row>
    <row r="299" spans="2508:2508" x14ac:dyDescent="0.25">
      <c r="CRL299">
        <v>12</v>
      </c>
    </row>
    <row r="300" spans="2508:2508" x14ac:dyDescent="0.25">
      <c r="CRL300">
        <v>12</v>
      </c>
    </row>
    <row r="301" spans="2508:2508" x14ac:dyDescent="0.25">
      <c r="CRL301">
        <v>12</v>
      </c>
    </row>
    <row r="302" spans="2508:2508" x14ac:dyDescent="0.25">
      <c r="CRL302">
        <v>12</v>
      </c>
    </row>
    <row r="303" spans="2508:2508" x14ac:dyDescent="0.25">
      <c r="CRL303">
        <v>12</v>
      </c>
    </row>
    <row r="304" spans="2508:2508" x14ac:dyDescent="0.25">
      <c r="CRL304">
        <v>12</v>
      </c>
    </row>
    <row r="305" spans="2508:2508" x14ac:dyDescent="0.25">
      <c r="CRL305">
        <v>12</v>
      </c>
    </row>
    <row r="306" spans="2508:2508" x14ac:dyDescent="0.25">
      <c r="CRL306">
        <v>12</v>
      </c>
    </row>
    <row r="307" spans="2508:2508" x14ac:dyDescent="0.25">
      <c r="CRL307">
        <v>12</v>
      </c>
    </row>
    <row r="308" spans="2508:2508" x14ac:dyDescent="0.25">
      <c r="CRL308">
        <v>12</v>
      </c>
    </row>
    <row r="309" spans="2508:2508" x14ac:dyDescent="0.25">
      <c r="CRL309">
        <v>12</v>
      </c>
    </row>
    <row r="310" spans="2508:2508" x14ac:dyDescent="0.25">
      <c r="CRL310">
        <v>12</v>
      </c>
    </row>
    <row r="311" spans="2508:2508" x14ac:dyDescent="0.25">
      <c r="CRL311">
        <v>12</v>
      </c>
    </row>
    <row r="312" spans="2508:2508" x14ac:dyDescent="0.25">
      <c r="CRL312">
        <v>12</v>
      </c>
    </row>
    <row r="313" spans="2508:2508" x14ac:dyDescent="0.25">
      <c r="CRL313">
        <v>12</v>
      </c>
    </row>
    <row r="314" spans="2508:2508" x14ac:dyDescent="0.25">
      <c r="CRL314">
        <v>12</v>
      </c>
    </row>
    <row r="315" spans="2508:2508" x14ac:dyDescent="0.25">
      <c r="CRL315">
        <v>12</v>
      </c>
    </row>
    <row r="316" spans="2508:2508" x14ac:dyDescent="0.25">
      <c r="CRL316">
        <v>12</v>
      </c>
    </row>
    <row r="317" spans="2508:2508" x14ac:dyDescent="0.25">
      <c r="CRL317">
        <v>12</v>
      </c>
    </row>
    <row r="318" spans="2508:2508" x14ac:dyDescent="0.25">
      <c r="CRL318">
        <v>12</v>
      </c>
    </row>
    <row r="319" spans="2508:2508" x14ac:dyDescent="0.25">
      <c r="CRL319">
        <v>12</v>
      </c>
    </row>
    <row r="320" spans="2508:2508" x14ac:dyDescent="0.25">
      <c r="CRL320">
        <v>12</v>
      </c>
    </row>
    <row r="321" spans="2508:2508" x14ac:dyDescent="0.25">
      <c r="CRL321">
        <v>12</v>
      </c>
    </row>
    <row r="322" spans="2508:2508" x14ac:dyDescent="0.25">
      <c r="CRL322">
        <v>12</v>
      </c>
    </row>
    <row r="323" spans="2508:2508" x14ac:dyDescent="0.25">
      <c r="CRL323">
        <v>12</v>
      </c>
    </row>
    <row r="324" spans="2508:2508" x14ac:dyDescent="0.25">
      <c r="CRL324">
        <v>12</v>
      </c>
    </row>
    <row r="325" spans="2508:2508" x14ac:dyDescent="0.25">
      <c r="CRL325">
        <v>12</v>
      </c>
    </row>
    <row r="326" spans="2508:2508" x14ac:dyDescent="0.25">
      <c r="CRL326">
        <v>12</v>
      </c>
    </row>
    <row r="327" spans="2508:2508" x14ac:dyDescent="0.25">
      <c r="CRL327">
        <v>12</v>
      </c>
    </row>
    <row r="328" spans="2508:2508" x14ac:dyDescent="0.25">
      <c r="CRL328">
        <v>12</v>
      </c>
    </row>
    <row r="329" spans="2508:2508" x14ac:dyDescent="0.25">
      <c r="CRL329">
        <v>12</v>
      </c>
    </row>
    <row r="330" spans="2508:2508" x14ac:dyDescent="0.25">
      <c r="CRL330">
        <v>12</v>
      </c>
    </row>
    <row r="331" spans="2508:2508" x14ac:dyDescent="0.25">
      <c r="CRL331">
        <v>12</v>
      </c>
    </row>
    <row r="332" spans="2508:2508" x14ac:dyDescent="0.25">
      <c r="CRL332">
        <v>12</v>
      </c>
    </row>
    <row r="333" spans="2508:2508" x14ac:dyDescent="0.25">
      <c r="CRL333">
        <v>12</v>
      </c>
    </row>
    <row r="334" spans="2508:2508" x14ac:dyDescent="0.25">
      <c r="CRL334">
        <v>12</v>
      </c>
    </row>
    <row r="335" spans="2508:2508" x14ac:dyDescent="0.25">
      <c r="CRL335">
        <v>12</v>
      </c>
    </row>
    <row r="336" spans="2508:2508" x14ac:dyDescent="0.25">
      <c r="CRL336">
        <v>12</v>
      </c>
    </row>
    <row r="337" spans="2508:2508" x14ac:dyDescent="0.25">
      <c r="CRL337">
        <v>12</v>
      </c>
    </row>
    <row r="338" spans="2508:2508" x14ac:dyDescent="0.25">
      <c r="CRL338">
        <v>12</v>
      </c>
    </row>
    <row r="339" spans="2508:2508" x14ac:dyDescent="0.25">
      <c r="CRL339">
        <v>12</v>
      </c>
    </row>
    <row r="340" spans="2508:2508" x14ac:dyDescent="0.25">
      <c r="CRL340">
        <v>12</v>
      </c>
    </row>
    <row r="341" spans="2508:2508" x14ac:dyDescent="0.25">
      <c r="CRL341">
        <v>12</v>
      </c>
    </row>
    <row r="342" spans="2508:2508" x14ac:dyDescent="0.25">
      <c r="CRL342">
        <v>12</v>
      </c>
    </row>
    <row r="343" spans="2508:2508" x14ac:dyDescent="0.25">
      <c r="CRL343">
        <v>12</v>
      </c>
    </row>
    <row r="344" spans="2508:2508" x14ac:dyDescent="0.25">
      <c r="CRL344">
        <v>12</v>
      </c>
    </row>
    <row r="345" spans="2508:2508" x14ac:dyDescent="0.25">
      <c r="CRL345">
        <v>12</v>
      </c>
    </row>
    <row r="346" spans="2508:2508" x14ac:dyDescent="0.25">
      <c r="CRL346">
        <v>12</v>
      </c>
    </row>
    <row r="347" spans="2508:2508" x14ac:dyDescent="0.25">
      <c r="CRL347">
        <v>12</v>
      </c>
    </row>
    <row r="348" spans="2508:2508" x14ac:dyDescent="0.25">
      <c r="CRL348">
        <v>12</v>
      </c>
    </row>
    <row r="349" spans="2508:2508" x14ac:dyDescent="0.25">
      <c r="CRL349">
        <v>12</v>
      </c>
    </row>
    <row r="350" spans="2508:2508" x14ac:dyDescent="0.25">
      <c r="CRL350">
        <v>12</v>
      </c>
    </row>
    <row r="351" spans="2508:2508" x14ac:dyDescent="0.25">
      <c r="CRL351">
        <v>12</v>
      </c>
    </row>
    <row r="352" spans="2508:2508" x14ac:dyDescent="0.25">
      <c r="CRL352">
        <v>12</v>
      </c>
    </row>
    <row r="353" spans="2508:2508" x14ac:dyDescent="0.25">
      <c r="CRL353">
        <v>12</v>
      </c>
    </row>
    <row r="354" spans="2508:2508" x14ac:dyDescent="0.25">
      <c r="CRL354">
        <v>12</v>
      </c>
    </row>
    <row r="355" spans="2508:2508" x14ac:dyDescent="0.25">
      <c r="CRL355">
        <v>12</v>
      </c>
    </row>
    <row r="356" spans="2508:2508" x14ac:dyDescent="0.25">
      <c r="CRL356">
        <v>12</v>
      </c>
    </row>
    <row r="357" spans="2508:2508" x14ac:dyDescent="0.25">
      <c r="CRL357">
        <v>12</v>
      </c>
    </row>
    <row r="358" spans="2508:2508" x14ac:dyDescent="0.25">
      <c r="CRL358">
        <v>12</v>
      </c>
    </row>
    <row r="359" spans="2508:2508" x14ac:dyDescent="0.25">
      <c r="CRL359">
        <v>12</v>
      </c>
    </row>
    <row r="360" spans="2508:2508" x14ac:dyDescent="0.25">
      <c r="CRL360">
        <v>12</v>
      </c>
    </row>
    <row r="361" spans="2508:2508" x14ac:dyDescent="0.25">
      <c r="CRL361">
        <v>12</v>
      </c>
    </row>
    <row r="362" spans="2508:2508" x14ac:dyDescent="0.25">
      <c r="CRL362">
        <v>12</v>
      </c>
    </row>
    <row r="363" spans="2508:2508" x14ac:dyDescent="0.25">
      <c r="CRL363">
        <v>12</v>
      </c>
    </row>
    <row r="364" spans="2508:2508" x14ac:dyDescent="0.25">
      <c r="CRL364">
        <v>12</v>
      </c>
    </row>
    <row r="365" spans="2508:2508" x14ac:dyDescent="0.25">
      <c r="CRL365">
        <v>12</v>
      </c>
    </row>
    <row r="366" spans="2508:2508" x14ac:dyDescent="0.25">
      <c r="CRL366">
        <v>12</v>
      </c>
    </row>
    <row r="367" spans="2508:2508" x14ac:dyDescent="0.25">
      <c r="CRL367">
        <v>12</v>
      </c>
    </row>
    <row r="368" spans="2508:2508" x14ac:dyDescent="0.25">
      <c r="CRL368">
        <v>12</v>
      </c>
    </row>
    <row r="369" spans="2508:2508" x14ac:dyDescent="0.25">
      <c r="CRL369">
        <v>12</v>
      </c>
    </row>
    <row r="370" spans="2508:2508" x14ac:dyDescent="0.25">
      <c r="CRL370">
        <v>12</v>
      </c>
    </row>
    <row r="371" spans="2508:2508" x14ac:dyDescent="0.25">
      <c r="CRL371">
        <v>12</v>
      </c>
    </row>
    <row r="372" spans="2508:2508" x14ac:dyDescent="0.25">
      <c r="CRL372">
        <v>12</v>
      </c>
    </row>
    <row r="373" spans="2508:2508" x14ac:dyDescent="0.25">
      <c r="CRL373">
        <v>12</v>
      </c>
    </row>
    <row r="374" spans="2508:2508" x14ac:dyDescent="0.25">
      <c r="CRL374">
        <v>12</v>
      </c>
    </row>
    <row r="375" spans="2508:2508" x14ac:dyDescent="0.25">
      <c r="CRL375">
        <v>12</v>
      </c>
    </row>
    <row r="376" spans="2508:2508" x14ac:dyDescent="0.25">
      <c r="CRL376">
        <v>12</v>
      </c>
    </row>
    <row r="377" spans="2508:2508" x14ac:dyDescent="0.25">
      <c r="CRL377">
        <v>12</v>
      </c>
    </row>
    <row r="378" spans="2508:2508" x14ac:dyDescent="0.25">
      <c r="CRL378">
        <v>12</v>
      </c>
    </row>
    <row r="379" spans="2508:2508" x14ac:dyDescent="0.25">
      <c r="CRL379">
        <v>12</v>
      </c>
    </row>
    <row r="380" spans="2508:2508" x14ac:dyDescent="0.25">
      <c r="CRL380">
        <v>12</v>
      </c>
    </row>
    <row r="381" spans="2508:2508" x14ac:dyDescent="0.25">
      <c r="CRL381">
        <v>12</v>
      </c>
    </row>
    <row r="382" spans="2508:2508" x14ac:dyDescent="0.25">
      <c r="CRL382">
        <v>12</v>
      </c>
    </row>
    <row r="383" spans="2508:2508" x14ac:dyDescent="0.25">
      <c r="CRL383">
        <v>12</v>
      </c>
    </row>
    <row r="384" spans="2508:2508" x14ac:dyDescent="0.25">
      <c r="CRL384">
        <v>12</v>
      </c>
    </row>
    <row r="385" spans="2508:2508" x14ac:dyDescent="0.25">
      <c r="CRL385">
        <v>12</v>
      </c>
    </row>
    <row r="386" spans="2508:2508" x14ac:dyDescent="0.25">
      <c r="CRL386">
        <v>12</v>
      </c>
    </row>
    <row r="387" spans="2508:2508" x14ac:dyDescent="0.25">
      <c r="CRL387">
        <v>12</v>
      </c>
    </row>
    <row r="388" spans="2508:2508" x14ac:dyDescent="0.25">
      <c r="CRL388">
        <v>12</v>
      </c>
    </row>
    <row r="389" spans="2508:2508" x14ac:dyDescent="0.25">
      <c r="CRL389">
        <v>12</v>
      </c>
    </row>
    <row r="390" spans="2508:2508" x14ac:dyDescent="0.25">
      <c r="CRL390">
        <v>12</v>
      </c>
    </row>
    <row r="391" spans="2508:2508" x14ac:dyDescent="0.25">
      <c r="CRL391">
        <v>12</v>
      </c>
    </row>
    <row r="392" spans="2508:2508" x14ac:dyDescent="0.25">
      <c r="CRL392">
        <v>12</v>
      </c>
    </row>
    <row r="393" spans="2508:2508" x14ac:dyDescent="0.25">
      <c r="CRL393">
        <v>12</v>
      </c>
    </row>
    <row r="394" spans="2508:2508" x14ac:dyDescent="0.25">
      <c r="CRL394">
        <v>12</v>
      </c>
    </row>
    <row r="395" spans="2508:2508" x14ac:dyDescent="0.25">
      <c r="CRL395">
        <v>12</v>
      </c>
    </row>
    <row r="396" spans="2508:2508" x14ac:dyDescent="0.25">
      <c r="CRL396">
        <v>12</v>
      </c>
    </row>
    <row r="397" spans="2508:2508" x14ac:dyDescent="0.25">
      <c r="CRL397">
        <v>12</v>
      </c>
    </row>
    <row r="398" spans="2508:2508" x14ac:dyDescent="0.25">
      <c r="CRL398">
        <v>12</v>
      </c>
    </row>
    <row r="399" spans="2508:2508" x14ac:dyDescent="0.25">
      <c r="CRL399">
        <v>12</v>
      </c>
    </row>
    <row r="400" spans="2508:2508" x14ac:dyDescent="0.25">
      <c r="CRL400">
        <v>12</v>
      </c>
    </row>
    <row r="401" spans="2508:2508" x14ac:dyDescent="0.25">
      <c r="CRL401">
        <v>12</v>
      </c>
    </row>
    <row r="402" spans="2508:2508" x14ac:dyDescent="0.25">
      <c r="CRL402">
        <v>12</v>
      </c>
    </row>
    <row r="403" spans="2508:2508" x14ac:dyDescent="0.25">
      <c r="CRL403">
        <v>12</v>
      </c>
    </row>
    <row r="404" spans="2508:2508" x14ac:dyDescent="0.25">
      <c r="CRL404">
        <v>12</v>
      </c>
    </row>
    <row r="405" spans="2508:2508" x14ac:dyDescent="0.25">
      <c r="CRL405">
        <v>12</v>
      </c>
    </row>
    <row r="406" spans="2508:2508" x14ac:dyDescent="0.25">
      <c r="CRL406">
        <v>12</v>
      </c>
    </row>
    <row r="407" spans="2508:2508" x14ac:dyDescent="0.25">
      <c r="CRL407">
        <v>12</v>
      </c>
    </row>
    <row r="408" spans="2508:2508" x14ac:dyDescent="0.25">
      <c r="CRL408">
        <v>12</v>
      </c>
    </row>
    <row r="409" spans="2508:2508" x14ac:dyDescent="0.25">
      <c r="CRL409">
        <v>12</v>
      </c>
    </row>
    <row r="410" spans="2508:2508" x14ac:dyDescent="0.25">
      <c r="CRL410">
        <v>12</v>
      </c>
    </row>
    <row r="411" spans="2508:2508" x14ac:dyDescent="0.25">
      <c r="CRL411">
        <v>12</v>
      </c>
    </row>
    <row r="412" spans="2508:2508" x14ac:dyDescent="0.25">
      <c r="CRL412">
        <v>12</v>
      </c>
    </row>
    <row r="413" spans="2508:2508" x14ac:dyDescent="0.25">
      <c r="CRL413">
        <v>12</v>
      </c>
    </row>
    <row r="414" spans="2508:2508" x14ac:dyDescent="0.25">
      <c r="CRL414">
        <v>12</v>
      </c>
    </row>
    <row r="415" spans="2508:2508" x14ac:dyDescent="0.25">
      <c r="CRL415">
        <v>12</v>
      </c>
    </row>
    <row r="416" spans="2508:2508" x14ac:dyDescent="0.25">
      <c r="CRL416">
        <v>12</v>
      </c>
    </row>
    <row r="417" spans="2508:2508" x14ac:dyDescent="0.25">
      <c r="CRL417">
        <v>12</v>
      </c>
    </row>
    <row r="418" spans="2508:2508" x14ac:dyDescent="0.25">
      <c r="CRL418">
        <v>12</v>
      </c>
    </row>
    <row r="419" spans="2508:2508" x14ac:dyDescent="0.25">
      <c r="CRL419">
        <v>12</v>
      </c>
    </row>
    <row r="420" spans="2508:2508" x14ac:dyDescent="0.25">
      <c r="CRL420">
        <v>12</v>
      </c>
    </row>
    <row r="421" spans="2508:2508" x14ac:dyDescent="0.25">
      <c r="CRL421">
        <v>12</v>
      </c>
    </row>
    <row r="422" spans="2508:2508" x14ac:dyDescent="0.25">
      <c r="CRL422">
        <v>12</v>
      </c>
    </row>
    <row r="423" spans="2508:2508" x14ac:dyDescent="0.25">
      <c r="CRL423">
        <v>12</v>
      </c>
    </row>
    <row r="424" spans="2508:2508" x14ac:dyDescent="0.25">
      <c r="CRL424">
        <v>12</v>
      </c>
    </row>
    <row r="425" spans="2508:2508" x14ac:dyDescent="0.25">
      <c r="CRL425">
        <v>12</v>
      </c>
    </row>
    <row r="426" spans="2508:2508" x14ac:dyDescent="0.25">
      <c r="CRL426">
        <v>12</v>
      </c>
    </row>
    <row r="427" spans="2508:2508" x14ac:dyDescent="0.25">
      <c r="CRL427">
        <v>12</v>
      </c>
    </row>
    <row r="428" spans="2508:2508" x14ac:dyDescent="0.25">
      <c r="CRL428">
        <v>12</v>
      </c>
    </row>
    <row r="429" spans="2508:2508" x14ac:dyDescent="0.25">
      <c r="CRL429">
        <v>12</v>
      </c>
    </row>
    <row r="430" spans="2508:2508" x14ac:dyDescent="0.25">
      <c r="CRL430">
        <v>12</v>
      </c>
    </row>
    <row r="431" spans="2508:2508" x14ac:dyDescent="0.25">
      <c r="CRL431">
        <v>12</v>
      </c>
    </row>
    <row r="432" spans="2508:2508" x14ac:dyDescent="0.25">
      <c r="CRL432">
        <v>12</v>
      </c>
    </row>
    <row r="433" spans="2508:2508" x14ac:dyDescent="0.25">
      <c r="CRL433">
        <v>12</v>
      </c>
    </row>
    <row r="434" spans="2508:2508" x14ac:dyDescent="0.25">
      <c r="CRL434">
        <v>12</v>
      </c>
    </row>
    <row r="435" spans="2508:2508" x14ac:dyDescent="0.25">
      <c r="CRL435">
        <v>12</v>
      </c>
    </row>
    <row r="436" spans="2508:2508" x14ac:dyDescent="0.25">
      <c r="CRL436">
        <v>12</v>
      </c>
    </row>
    <row r="437" spans="2508:2508" x14ac:dyDescent="0.25">
      <c r="CRL437">
        <v>12</v>
      </c>
    </row>
    <row r="438" spans="2508:2508" x14ac:dyDescent="0.25">
      <c r="CRL438">
        <v>12</v>
      </c>
    </row>
    <row r="439" spans="2508:2508" x14ac:dyDescent="0.25">
      <c r="CRL439">
        <v>12</v>
      </c>
    </row>
    <row r="440" spans="2508:2508" x14ac:dyDescent="0.25">
      <c r="CRL440">
        <v>12</v>
      </c>
    </row>
    <row r="441" spans="2508:2508" x14ac:dyDescent="0.25">
      <c r="CRL441">
        <v>12</v>
      </c>
    </row>
    <row r="442" spans="2508:2508" x14ac:dyDescent="0.25">
      <c r="CRL442">
        <v>12</v>
      </c>
    </row>
    <row r="443" spans="2508:2508" x14ac:dyDescent="0.25">
      <c r="CRL443">
        <v>12</v>
      </c>
    </row>
    <row r="444" spans="2508:2508" x14ac:dyDescent="0.25">
      <c r="CRL444">
        <v>12</v>
      </c>
    </row>
    <row r="445" spans="2508:2508" x14ac:dyDescent="0.25">
      <c r="CRL445">
        <v>12</v>
      </c>
    </row>
    <row r="446" spans="2508:2508" x14ac:dyDescent="0.25">
      <c r="CRL446">
        <v>12</v>
      </c>
    </row>
    <row r="447" spans="2508:2508" x14ac:dyDescent="0.25">
      <c r="CRL447">
        <v>12</v>
      </c>
    </row>
    <row r="448" spans="2508:2508" x14ac:dyDescent="0.25">
      <c r="CRL448">
        <v>12</v>
      </c>
    </row>
    <row r="449" spans="2508:2508" x14ac:dyDescent="0.25">
      <c r="CRL449">
        <v>12</v>
      </c>
    </row>
    <row r="450" spans="2508:2508" x14ac:dyDescent="0.25">
      <c r="CRL450">
        <v>12</v>
      </c>
    </row>
    <row r="451" spans="2508:2508" x14ac:dyDescent="0.25">
      <c r="CRL451">
        <v>12</v>
      </c>
    </row>
    <row r="452" spans="2508:2508" x14ac:dyDescent="0.25">
      <c r="CRL452">
        <v>12</v>
      </c>
    </row>
    <row r="453" spans="2508:2508" x14ac:dyDescent="0.25">
      <c r="CRL453">
        <v>12</v>
      </c>
    </row>
    <row r="454" spans="2508:2508" x14ac:dyDescent="0.25">
      <c r="CRL454">
        <v>12</v>
      </c>
    </row>
    <row r="455" spans="2508:2508" x14ac:dyDescent="0.25">
      <c r="CRL455">
        <v>12</v>
      </c>
    </row>
    <row r="456" spans="2508:2508" x14ac:dyDescent="0.25">
      <c r="CRL456">
        <v>12</v>
      </c>
    </row>
    <row r="457" spans="2508:2508" x14ac:dyDescent="0.25">
      <c r="CRL457">
        <v>12</v>
      </c>
    </row>
    <row r="458" spans="2508:2508" x14ac:dyDescent="0.25">
      <c r="CRL458">
        <v>12</v>
      </c>
    </row>
    <row r="459" spans="2508:2508" x14ac:dyDescent="0.25">
      <c r="CRL459">
        <v>12</v>
      </c>
    </row>
    <row r="460" spans="2508:2508" x14ac:dyDescent="0.25">
      <c r="CRL460">
        <v>12</v>
      </c>
    </row>
    <row r="461" spans="2508:2508" x14ac:dyDescent="0.25">
      <c r="CRL461">
        <v>12</v>
      </c>
    </row>
    <row r="462" spans="2508:2508" x14ac:dyDescent="0.25">
      <c r="CRL462">
        <v>12</v>
      </c>
    </row>
    <row r="463" spans="2508:2508" x14ac:dyDescent="0.25">
      <c r="CRL463">
        <v>12</v>
      </c>
    </row>
    <row r="464" spans="2508:2508" x14ac:dyDescent="0.25">
      <c r="CRL464">
        <v>12</v>
      </c>
    </row>
    <row r="465" spans="2508:2508" x14ac:dyDescent="0.25">
      <c r="CRL465">
        <v>12</v>
      </c>
    </row>
    <row r="466" spans="2508:2508" x14ac:dyDescent="0.25">
      <c r="CRL466">
        <v>12</v>
      </c>
    </row>
    <row r="467" spans="2508:2508" x14ac:dyDescent="0.25">
      <c r="CRL467">
        <v>12</v>
      </c>
    </row>
    <row r="468" spans="2508:2508" x14ac:dyDescent="0.25">
      <c r="CRL468">
        <v>12</v>
      </c>
    </row>
    <row r="469" spans="2508:2508" x14ac:dyDescent="0.25">
      <c r="CRL469">
        <v>12</v>
      </c>
    </row>
    <row r="470" spans="2508:2508" x14ac:dyDescent="0.25">
      <c r="CRL470">
        <v>12</v>
      </c>
    </row>
    <row r="471" spans="2508:2508" x14ac:dyDescent="0.25">
      <c r="CRL471">
        <v>12</v>
      </c>
    </row>
    <row r="472" spans="2508:2508" x14ac:dyDescent="0.25">
      <c r="CRL472">
        <v>12</v>
      </c>
    </row>
    <row r="473" spans="2508:2508" x14ac:dyDescent="0.25">
      <c r="CRL473">
        <v>12</v>
      </c>
    </row>
    <row r="474" spans="2508:2508" x14ac:dyDescent="0.25">
      <c r="CRL474">
        <v>12</v>
      </c>
    </row>
    <row r="475" spans="2508:2508" x14ac:dyDescent="0.25">
      <c r="CRL475">
        <v>12</v>
      </c>
    </row>
    <row r="476" spans="2508:2508" x14ac:dyDescent="0.25">
      <c r="CRL476">
        <v>12</v>
      </c>
    </row>
    <row r="477" spans="2508:2508" x14ac:dyDescent="0.25">
      <c r="CRL477">
        <v>12</v>
      </c>
    </row>
    <row r="478" spans="2508:2508" x14ac:dyDescent="0.25">
      <c r="CRL478">
        <v>12</v>
      </c>
    </row>
    <row r="479" spans="2508:2508" x14ac:dyDescent="0.25">
      <c r="CRL479">
        <v>12</v>
      </c>
    </row>
    <row r="480" spans="2508:2508" x14ac:dyDescent="0.25">
      <c r="CRL480">
        <v>12</v>
      </c>
    </row>
    <row r="481" spans="2508:2508" x14ac:dyDescent="0.25">
      <c r="CRL481">
        <v>12</v>
      </c>
    </row>
    <row r="482" spans="2508:2508" x14ac:dyDescent="0.25">
      <c r="CRL482">
        <v>12</v>
      </c>
    </row>
    <row r="483" spans="2508:2508" x14ac:dyDescent="0.25">
      <c r="CRL483">
        <v>12</v>
      </c>
    </row>
    <row r="484" spans="2508:2508" x14ac:dyDescent="0.25">
      <c r="CRL484">
        <v>12</v>
      </c>
    </row>
    <row r="485" spans="2508:2508" x14ac:dyDescent="0.25">
      <c r="CRL485">
        <v>12</v>
      </c>
    </row>
    <row r="486" spans="2508:2508" x14ac:dyDescent="0.25">
      <c r="CRL486">
        <v>12</v>
      </c>
    </row>
    <row r="487" spans="2508:2508" x14ac:dyDescent="0.25">
      <c r="CRL487">
        <v>12</v>
      </c>
    </row>
    <row r="488" spans="2508:2508" x14ac:dyDescent="0.25">
      <c r="CRL488">
        <v>12</v>
      </c>
    </row>
    <row r="489" spans="2508:2508" x14ac:dyDescent="0.25">
      <c r="CRL489">
        <v>12</v>
      </c>
    </row>
    <row r="490" spans="2508:2508" x14ac:dyDescent="0.25">
      <c r="CRL490">
        <v>12</v>
      </c>
    </row>
    <row r="491" spans="2508:2508" x14ac:dyDescent="0.25">
      <c r="CRL491">
        <v>12</v>
      </c>
    </row>
    <row r="492" spans="2508:2508" x14ac:dyDescent="0.25">
      <c r="CRL492">
        <v>12</v>
      </c>
    </row>
    <row r="493" spans="2508:2508" x14ac:dyDescent="0.25">
      <c r="CRL493">
        <v>12</v>
      </c>
    </row>
    <row r="494" spans="2508:2508" x14ac:dyDescent="0.25">
      <c r="CRL494">
        <v>12</v>
      </c>
    </row>
    <row r="495" spans="2508:2508" x14ac:dyDescent="0.25">
      <c r="CRL495">
        <v>12</v>
      </c>
    </row>
    <row r="496" spans="2508:2508" x14ac:dyDescent="0.25">
      <c r="CRL496">
        <v>12</v>
      </c>
    </row>
    <row r="497" spans="2508:2508" x14ac:dyDescent="0.25">
      <c r="CRL497">
        <v>12</v>
      </c>
    </row>
    <row r="498" spans="2508:2508" x14ac:dyDescent="0.25">
      <c r="CRL498">
        <v>12</v>
      </c>
    </row>
    <row r="499" spans="2508:2508" x14ac:dyDescent="0.25">
      <c r="CRL499">
        <v>12</v>
      </c>
    </row>
    <row r="500" spans="2508:2508" x14ac:dyDescent="0.25">
      <c r="CRL500">
        <v>12</v>
      </c>
    </row>
    <row r="501" spans="2508:2508" x14ac:dyDescent="0.25">
      <c r="CRL501">
        <v>12</v>
      </c>
    </row>
    <row r="502" spans="2508:2508" x14ac:dyDescent="0.25">
      <c r="CRL502">
        <v>12</v>
      </c>
    </row>
    <row r="503" spans="2508:2508" x14ac:dyDescent="0.25">
      <c r="CRL503">
        <v>12</v>
      </c>
    </row>
    <row r="504" spans="2508:2508" x14ac:dyDescent="0.25">
      <c r="CRL504">
        <v>12</v>
      </c>
    </row>
    <row r="505" spans="2508:2508" x14ac:dyDescent="0.25">
      <c r="CRL505">
        <v>12</v>
      </c>
    </row>
    <row r="506" spans="2508:2508" x14ac:dyDescent="0.25">
      <c r="CRL506">
        <v>12</v>
      </c>
    </row>
    <row r="507" spans="2508:2508" x14ac:dyDescent="0.25">
      <c r="CRL507">
        <v>12</v>
      </c>
    </row>
    <row r="508" spans="2508:2508" x14ac:dyDescent="0.25">
      <c r="CRL508">
        <v>12</v>
      </c>
    </row>
    <row r="509" spans="2508:2508" x14ac:dyDescent="0.25">
      <c r="CRL509">
        <v>12</v>
      </c>
    </row>
    <row r="510" spans="2508:2508" x14ac:dyDescent="0.25">
      <c r="CRL510">
        <v>12</v>
      </c>
    </row>
    <row r="511" spans="2508:2508" x14ac:dyDescent="0.25">
      <c r="CRL511">
        <v>12</v>
      </c>
    </row>
    <row r="512" spans="2508:2508" x14ac:dyDescent="0.25">
      <c r="CRL512">
        <v>12</v>
      </c>
    </row>
    <row r="513" spans="2508:2508" x14ac:dyDescent="0.25">
      <c r="CRL513">
        <v>12</v>
      </c>
    </row>
    <row r="514" spans="2508:2508" x14ac:dyDescent="0.25">
      <c r="CRL514">
        <v>12</v>
      </c>
    </row>
    <row r="515" spans="2508:2508" x14ac:dyDescent="0.25">
      <c r="CRL515">
        <v>12</v>
      </c>
    </row>
    <row r="516" spans="2508:2508" x14ac:dyDescent="0.25">
      <c r="CRL516">
        <v>12</v>
      </c>
    </row>
    <row r="517" spans="2508:2508" x14ac:dyDescent="0.25">
      <c r="CRL517">
        <v>12</v>
      </c>
    </row>
    <row r="518" spans="2508:2508" x14ac:dyDescent="0.25">
      <c r="CRL518">
        <v>12</v>
      </c>
    </row>
    <row r="519" spans="2508:2508" x14ac:dyDescent="0.25">
      <c r="CRL519">
        <v>12</v>
      </c>
    </row>
    <row r="520" spans="2508:2508" x14ac:dyDescent="0.25">
      <c r="CRL520">
        <v>12</v>
      </c>
    </row>
    <row r="521" spans="2508:2508" x14ac:dyDescent="0.25">
      <c r="CRL521">
        <v>12</v>
      </c>
    </row>
    <row r="522" spans="2508:2508" x14ac:dyDescent="0.25">
      <c r="CRL522">
        <v>12</v>
      </c>
    </row>
    <row r="523" spans="2508:2508" x14ac:dyDescent="0.25">
      <c r="CRL523">
        <v>12</v>
      </c>
    </row>
    <row r="524" spans="2508:2508" x14ac:dyDescent="0.25">
      <c r="CRL524">
        <v>12</v>
      </c>
    </row>
    <row r="525" spans="2508:2508" x14ac:dyDescent="0.25">
      <c r="CRL525">
        <v>12</v>
      </c>
    </row>
    <row r="526" spans="2508:2508" x14ac:dyDescent="0.25">
      <c r="CRL526">
        <v>12</v>
      </c>
    </row>
    <row r="527" spans="2508:2508" x14ac:dyDescent="0.25">
      <c r="CRL527">
        <v>12</v>
      </c>
    </row>
    <row r="528" spans="2508:2508" x14ac:dyDescent="0.25">
      <c r="CRL528">
        <v>12</v>
      </c>
    </row>
    <row r="529" spans="2508:2508" x14ac:dyDescent="0.25">
      <c r="CRL529">
        <v>12</v>
      </c>
    </row>
    <row r="530" spans="2508:2508" x14ac:dyDescent="0.25">
      <c r="CRL530">
        <v>12</v>
      </c>
    </row>
    <row r="531" spans="2508:2508" x14ac:dyDescent="0.25">
      <c r="CRL531">
        <v>12</v>
      </c>
    </row>
    <row r="532" spans="2508:2508" x14ac:dyDescent="0.25">
      <c r="CRL532">
        <v>12</v>
      </c>
    </row>
    <row r="533" spans="2508:2508" x14ac:dyDescent="0.25">
      <c r="CRL533">
        <v>12</v>
      </c>
    </row>
    <row r="534" spans="2508:2508" x14ac:dyDescent="0.25">
      <c r="CRL534">
        <v>12</v>
      </c>
    </row>
    <row r="535" spans="2508:2508" x14ac:dyDescent="0.25">
      <c r="CRL535">
        <v>12</v>
      </c>
    </row>
    <row r="536" spans="2508:2508" x14ac:dyDescent="0.25">
      <c r="CRL536">
        <v>12</v>
      </c>
    </row>
    <row r="537" spans="2508:2508" x14ac:dyDescent="0.25">
      <c r="CRL537">
        <v>12</v>
      </c>
    </row>
    <row r="538" spans="2508:2508" x14ac:dyDescent="0.25">
      <c r="CRL538">
        <v>12</v>
      </c>
    </row>
    <row r="539" spans="2508:2508" x14ac:dyDescent="0.25">
      <c r="CRL539">
        <v>12</v>
      </c>
    </row>
    <row r="540" spans="2508:2508" x14ac:dyDescent="0.25">
      <c r="CRL540">
        <v>12</v>
      </c>
    </row>
    <row r="541" spans="2508:2508" x14ac:dyDescent="0.25">
      <c r="CRL541">
        <v>12</v>
      </c>
    </row>
    <row r="542" spans="2508:2508" x14ac:dyDescent="0.25">
      <c r="CRL542">
        <v>12</v>
      </c>
    </row>
    <row r="543" spans="2508:2508" x14ac:dyDescent="0.25">
      <c r="CRL543">
        <v>12</v>
      </c>
    </row>
    <row r="544" spans="2508:2508" x14ac:dyDescent="0.25">
      <c r="CRL544">
        <v>12</v>
      </c>
    </row>
    <row r="545" spans="2508:2508" x14ac:dyDescent="0.25">
      <c r="CRL545">
        <v>12</v>
      </c>
    </row>
    <row r="546" spans="2508:2508" x14ac:dyDescent="0.25">
      <c r="CRL546">
        <v>12</v>
      </c>
    </row>
    <row r="547" spans="2508:2508" x14ac:dyDescent="0.25">
      <c r="CRL547">
        <v>12</v>
      </c>
    </row>
    <row r="548" spans="2508:2508" x14ac:dyDescent="0.25">
      <c r="CRL548">
        <v>12</v>
      </c>
    </row>
    <row r="549" spans="2508:2508" x14ac:dyDescent="0.25">
      <c r="CRL549">
        <v>12</v>
      </c>
    </row>
    <row r="550" spans="2508:2508" x14ac:dyDescent="0.25">
      <c r="CRL550">
        <v>12</v>
      </c>
    </row>
    <row r="551" spans="2508:2508" x14ac:dyDescent="0.25">
      <c r="CRL551">
        <v>12</v>
      </c>
    </row>
    <row r="552" spans="2508:2508" x14ac:dyDescent="0.25">
      <c r="CRL552">
        <v>12</v>
      </c>
    </row>
    <row r="553" spans="2508:2508" x14ac:dyDescent="0.25">
      <c r="CRL553">
        <v>12</v>
      </c>
    </row>
    <row r="554" spans="2508:2508" x14ac:dyDescent="0.25">
      <c r="CRL554">
        <v>12</v>
      </c>
    </row>
    <row r="555" spans="2508:2508" x14ac:dyDescent="0.25">
      <c r="CRL555">
        <v>12</v>
      </c>
    </row>
    <row r="556" spans="2508:2508" x14ac:dyDescent="0.25">
      <c r="CRL556">
        <v>12</v>
      </c>
    </row>
    <row r="557" spans="2508:2508" x14ac:dyDescent="0.25">
      <c r="CRL557">
        <v>12</v>
      </c>
    </row>
    <row r="558" spans="2508:2508" x14ac:dyDescent="0.25">
      <c r="CRL558">
        <v>12</v>
      </c>
    </row>
    <row r="559" spans="2508:2508" x14ac:dyDescent="0.25">
      <c r="CRL559">
        <v>12</v>
      </c>
    </row>
    <row r="560" spans="2508:2508" x14ac:dyDescent="0.25">
      <c r="CRL560">
        <v>12</v>
      </c>
    </row>
    <row r="561" spans="2508:2508" x14ac:dyDescent="0.25">
      <c r="CRL561">
        <v>12</v>
      </c>
    </row>
    <row r="562" spans="2508:2508" x14ac:dyDescent="0.25">
      <c r="CRL562">
        <v>12</v>
      </c>
    </row>
    <row r="563" spans="2508:2508" x14ac:dyDescent="0.25">
      <c r="CRL563">
        <v>12</v>
      </c>
    </row>
    <row r="564" spans="2508:2508" x14ac:dyDescent="0.25">
      <c r="CRL564">
        <v>12</v>
      </c>
    </row>
    <row r="565" spans="2508:2508" x14ac:dyDescent="0.25">
      <c r="CRL565">
        <v>12</v>
      </c>
    </row>
    <row r="566" spans="2508:2508" x14ac:dyDescent="0.25">
      <c r="CRL566">
        <v>12</v>
      </c>
    </row>
    <row r="567" spans="2508:2508" x14ac:dyDescent="0.25">
      <c r="CRL567">
        <v>12</v>
      </c>
    </row>
    <row r="568" spans="2508:2508" x14ac:dyDescent="0.25">
      <c r="CRL568">
        <v>12</v>
      </c>
    </row>
    <row r="569" spans="2508:2508" x14ac:dyDescent="0.25">
      <c r="CRL569">
        <v>12</v>
      </c>
    </row>
    <row r="570" spans="2508:2508" x14ac:dyDescent="0.25">
      <c r="CRL570">
        <v>12</v>
      </c>
    </row>
    <row r="571" spans="2508:2508" x14ac:dyDescent="0.25">
      <c r="CRL571">
        <v>12</v>
      </c>
    </row>
    <row r="572" spans="2508:2508" x14ac:dyDescent="0.25">
      <c r="CRL572">
        <v>12</v>
      </c>
    </row>
    <row r="573" spans="2508:2508" x14ac:dyDescent="0.25">
      <c r="CRL573">
        <v>12</v>
      </c>
    </row>
    <row r="574" spans="2508:2508" x14ac:dyDescent="0.25">
      <c r="CRL574">
        <v>12</v>
      </c>
    </row>
    <row r="575" spans="2508:2508" x14ac:dyDescent="0.25">
      <c r="CRL575">
        <v>12</v>
      </c>
    </row>
    <row r="576" spans="2508:2508" x14ac:dyDescent="0.25">
      <c r="CRL576">
        <v>12</v>
      </c>
    </row>
    <row r="577" spans="2508:2508" x14ac:dyDescent="0.25">
      <c r="CRL577">
        <v>12</v>
      </c>
    </row>
    <row r="578" spans="2508:2508" x14ac:dyDescent="0.25">
      <c r="CRL578">
        <v>12</v>
      </c>
    </row>
    <row r="579" spans="2508:2508" x14ac:dyDescent="0.25">
      <c r="CRL579">
        <v>12</v>
      </c>
    </row>
    <row r="580" spans="2508:2508" x14ac:dyDescent="0.25">
      <c r="CRL580">
        <v>12</v>
      </c>
    </row>
    <row r="581" spans="2508:2508" x14ac:dyDescent="0.25">
      <c r="CRL581">
        <v>12</v>
      </c>
    </row>
    <row r="582" spans="2508:2508" x14ac:dyDescent="0.25">
      <c r="CRL582">
        <v>12</v>
      </c>
    </row>
    <row r="583" spans="2508:2508" x14ac:dyDescent="0.25">
      <c r="CRL583">
        <v>12</v>
      </c>
    </row>
    <row r="584" spans="2508:2508" x14ac:dyDescent="0.25">
      <c r="CRL584">
        <v>12</v>
      </c>
    </row>
    <row r="585" spans="2508:2508" x14ac:dyDescent="0.25">
      <c r="CRL585">
        <v>12</v>
      </c>
    </row>
    <row r="586" spans="2508:2508" x14ac:dyDescent="0.25">
      <c r="CRL586">
        <v>12</v>
      </c>
    </row>
    <row r="587" spans="2508:2508" x14ac:dyDescent="0.25">
      <c r="CRL587">
        <v>12</v>
      </c>
    </row>
    <row r="588" spans="2508:2508" x14ac:dyDescent="0.25">
      <c r="CRL588">
        <v>12</v>
      </c>
    </row>
    <row r="589" spans="2508:2508" x14ac:dyDescent="0.25">
      <c r="CRL589">
        <v>12</v>
      </c>
    </row>
    <row r="590" spans="2508:2508" x14ac:dyDescent="0.25">
      <c r="CRL590">
        <v>12</v>
      </c>
    </row>
    <row r="591" spans="2508:2508" x14ac:dyDescent="0.25">
      <c r="CRL591">
        <v>12</v>
      </c>
    </row>
    <row r="592" spans="2508:2508" x14ac:dyDescent="0.25">
      <c r="CRL592">
        <v>12</v>
      </c>
    </row>
    <row r="593" spans="2508:2508" x14ac:dyDescent="0.25">
      <c r="CRL593">
        <v>12</v>
      </c>
    </row>
    <row r="594" spans="2508:2508" x14ac:dyDescent="0.25">
      <c r="CRL594">
        <v>12</v>
      </c>
    </row>
    <row r="595" spans="2508:2508" x14ac:dyDescent="0.25">
      <c r="CRL595">
        <v>12</v>
      </c>
    </row>
    <row r="596" spans="2508:2508" x14ac:dyDescent="0.25">
      <c r="CRL596">
        <v>12</v>
      </c>
    </row>
    <row r="597" spans="2508:2508" x14ac:dyDescent="0.25">
      <c r="CRL597">
        <v>12</v>
      </c>
    </row>
    <row r="598" spans="2508:2508" x14ac:dyDescent="0.25">
      <c r="CRL598">
        <v>12</v>
      </c>
    </row>
    <row r="599" spans="2508:2508" x14ac:dyDescent="0.25">
      <c r="CRL599">
        <v>12</v>
      </c>
    </row>
    <row r="600" spans="2508:2508" x14ac:dyDescent="0.25">
      <c r="CRL600">
        <v>12</v>
      </c>
    </row>
    <row r="601" spans="2508:2508" x14ac:dyDescent="0.25">
      <c r="CRL601">
        <v>12</v>
      </c>
    </row>
    <row r="602" spans="2508:2508" x14ac:dyDescent="0.25">
      <c r="CRL602">
        <v>12</v>
      </c>
    </row>
    <row r="603" spans="2508:2508" x14ac:dyDescent="0.25">
      <c r="CRL603">
        <v>12</v>
      </c>
    </row>
    <row r="604" spans="2508:2508" x14ac:dyDescent="0.25">
      <c r="CRL604">
        <v>12</v>
      </c>
    </row>
    <row r="605" spans="2508:2508" x14ac:dyDescent="0.25">
      <c r="CRL605">
        <v>12</v>
      </c>
    </row>
    <row r="606" spans="2508:2508" x14ac:dyDescent="0.25">
      <c r="CRL606">
        <v>12</v>
      </c>
    </row>
    <row r="607" spans="2508:2508" x14ac:dyDescent="0.25">
      <c r="CRL607">
        <v>12</v>
      </c>
    </row>
    <row r="608" spans="2508:2508" x14ac:dyDescent="0.25">
      <c r="CRL608">
        <v>12</v>
      </c>
    </row>
    <row r="609" spans="2508:2508" x14ac:dyDescent="0.25">
      <c r="CRL609">
        <v>12</v>
      </c>
    </row>
    <row r="610" spans="2508:2508" x14ac:dyDescent="0.25">
      <c r="CRL610">
        <v>12</v>
      </c>
    </row>
    <row r="611" spans="2508:2508" x14ac:dyDescent="0.25">
      <c r="CRL611">
        <v>12</v>
      </c>
    </row>
    <row r="612" spans="2508:2508" x14ac:dyDescent="0.25">
      <c r="CRL612">
        <v>12</v>
      </c>
    </row>
    <row r="613" spans="2508:2508" x14ac:dyDescent="0.25">
      <c r="CRL613">
        <v>12</v>
      </c>
    </row>
    <row r="614" spans="2508:2508" x14ac:dyDescent="0.25">
      <c r="CRL614">
        <v>12</v>
      </c>
    </row>
    <row r="615" spans="2508:2508" x14ac:dyDescent="0.25">
      <c r="CRL615">
        <v>12</v>
      </c>
    </row>
    <row r="616" spans="2508:2508" x14ac:dyDescent="0.25">
      <c r="CRL616">
        <v>12</v>
      </c>
    </row>
    <row r="617" spans="2508:2508" x14ac:dyDescent="0.25">
      <c r="CRL617">
        <v>12</v>
      </c>
    </row>
    <row r="618" spans="2508:2508" x14ac:dyDescent="0.25">
      <c r="CRL618">
        <v>12</v>
      </c>
    </row>
    <row r="619" spans="2508:2508" x14ac:dyDescent="0.25">
      <c r="CRL619">
        <v>12</v>
      </c>
    </row>
    <row r="620" spans="2508:2508" x14ac:dyDescent="0.25">
      <c r="CRL620">
        <v>12</v>
      </c>
    </row>
    <row r="621" spans="2508:2508" x14ac:dyDescent="0.25">
      <c r="CRL621">
        <v>12</v>
      </c>
    </row>
    <row r="622" spans="2508:2508" x14ac:dyDescent="0.25">
      <c r="CRL622">
        <v>12</v>
      </c>
    </row>
    <row r="623" spans="2508:2508" x14ac:dyDescent="0.25">
      <c r="CRL623">
        <v>12</v>
      </c>
    </row>
    <row r="624" spans="2508:2508" x14ac:dyDescent="0.25">
      <c r="CRL624">
        <v>12</v>
      </c>
    </row>
    <row r="625" spans="2508:2508" x14ac:dyDescent="0.25">
      <c r="CRL625">
        <v>12</v>
      </c>
    </row>
    <row r="626" spans="2508:2508" x14ac:dyDescent="0.25">
      <c r="CRL626">
        <v>12</v>
      </c>
    </row>
    <row r="627" spans="2508:2508" x14ac:dyDescent="0.25">
      <c r="CRL627">
        <v>12</v>
      </c>
    </row>
    <row r="628" spans="2508:2508" x14ac:dyDescent="0.25">
      <c r="CRL628">
        <v>12</v>
      </c>
    </row>
    <row r="629" spans="2508:2508" x14ac:dyDescent="0.25">
      <c r="CRL629">
        <v>12</v>
      </c>
    </row>
    <row r="630" spans="2508:2508" x14ac:dyDescent="0.25">
      <c r="CRL630">
        <v>12</v>
      </c>
    </row>
    <row r="631" spans="2508:2508" x14ac:dyDescent="0.25">
      <c r="CRL631">
        <v>12</v>
      </c>
    </row>
    <row r="632" spans="2508:2508" x14ac:dyDescent="0.25">
      <c r="CRL632">
        <v>12</v>
      </c>
    </row>
    <row r="633" spans="2508:2508" x14ac:dyDescent="0.25">
      <c r="CRL633">
        <v>12</v>
      </c>
    </row>
    <row r="634" spans="2508:2508" x14ac:dyDescent="0.25">
      <c r="CRL634">
        <v>12</v>
      </c>
    </row>
    <row r="635" spans="2508:2508" x14ac:dyDescent="0.25">
      <c r="CRL635">
        <v>12</v>
      </c>
    </row>
    <row r="636" spans="2508:2508" x14ac:dyDescent="0.25">
      <c r="CRL636">
        <v>12</v>
      </c>
    </row>
    <row r="637" spans="2508:2508" x14ac:dyDescent="0.25">
      <c r="CRL637">
        <v>12</v>
      </c>
    </row>
    <row r="638" spans="2508:2508" x14ac:dyDescent="0.25">
      <c r="CRL638">
        <v>12</v>
      </c>
    </row>
    <row r="639" spans="2508:2508" x14ac:dyDescent="0.25">
      <c r="CRL639">
        <v>12</v>
      </c>
    </row>
    <row r="640" spans="2508:2508" x14ac:dyDescent="0.25">
      <c r="CRL640">
        <v>12</v>
      </c>
    </row>
    <row r="641" spans="2508:2508" x14ac:dyDescent="0.25">
      <c r="CRL641">
        <v>12</v>
      </c>
    </row>
    <row r="642" spans="2508:2508" x14ac:dyDescent="0.25">
      <c r="CRL642">
        <v>12</v>
      </c>
    </row>
    <row r="643" spans="2508:2508" x14ac:dyDescent="0.25">
      <c r="CRL643">
        <v>12</v>
      </c>
    </row>
    <row r="644" spans="2508:2508" x14ac:dyDescent="0.25">
      <c r="CRL644">
        <v>12</v>
      </c>
    </row>
    <row r="645" spans="2508:2508" x14ac:dyDescent="0.25">
      <c r="CRL645">
        <v>12</v>
      </c>
    </row>
    <row r="646" spans="2508:2508" x14ac:dyDescent="0.25">
      <c r="CRL646">
        <v>12</v>
      </c>
    </row>
    <row r="647" spans="2508:2508" x14ac:dyDescent="0.25">
      <c r="CRL647">
        <v>12</v>
      </c>
    </row>
    <row r="648" spans="2508:2508" x14ac:dyDescent="0.25">
      <c r="CRL648">
        <v>12</v>
      </c>
    </row>
    <row r="649" spans="2508:2508" x14ac:dyDescent="0.25">
      <c r="CRL649">
        <v>12</v>
      </c>
    </row>
    <row r="650" spans="2508:2508" x14ac:dyDescent="0.25">
      <c r="CRL650">
        <v>12</v>
      </c>
    </row>
    <row r="651" spans="2508:2508" x14ac:dyDescent="0.25">
      <c r="CRL651">
        <v>12</v>
      </c>
    </row>
    <row r="652" spans="2508:2508" x14ac:dyDescent="0.25">
      <c r="CRL652">
        <v>12</v>
      </c>
    </row>
    <row r="653" spans="2508:2508" x14ac:dyDescent="0.25">
      <c r="CRL653">
        <v>12</v>
      </c>
    </row>
    <row r="654" spans="2508:2508" x14ac:dyDescent="0.25">
      <c r="CRL654">
        <v>12</v>
      </c>
    </row>
    <row r="655" spans="2508:2508" x14ac:dyDescent="0.25">
      <c r="CRL655">
        <v>12</v>
      </c>
    </row>
    <row r="656" spans="2508:2508" x14ac:dyDescent="0.25">
      <c r="CRL656">
        <v>12</v>
      </c>
    </row>
    <row r="657" spans="2508:2508" x14ac:dyDescent="0.25">
      <c r="CRL657">
        <v>12</v>
      </c>
    </row>
    <row r="658" spans="2508:2508" x14ac:dyDescent="0.25">
      <c r="CRL658">
        <v>12</v>
      </c>
    </row>
    <row r="659" spans="2508:2508" x14ac:dyDescent="0.25">
      <c r="CRL659">
        <v>12</v>
      </c>
    </row>
    <row r="660" spans="2508:2508" x14ac:dyDescent="0.25">
      <c r="CRL660">
        <v>12</v>
      </c>
    </row>
    <row r="661" spans="2508:2508" x14ac:dyDescent="0.25">
      <c r="CRL661">
        <v>12</v>
      </c>
    </row>
    <row r="662" spans="2508:2508" x14ac:dyDescent="0.25">
      <c r="CRL662">
        <v>12</v>
      </c>
    </row>
    <row r="663" spans="2508:2508" x14ac:dyDescent="0.25">
      <c r="CRL663">
        <v>12</v>
      </c>
    </row>
    <row r="664" spans="2508:2508" x14ac:dyDescent="0.25">
      <c r="CRL664">
        <v>12</v>
      </c>
    </row>
    <row r="665" spans="2508:2508" x14ac:dyDescent="0.25">
      <c r="CRL665">
        <v>12</v>
      </c>
    </row>
    <row r="666" spans="2508:2508" x14ac:dyDescent="0.25">
      <c r="CRL666">
        <v>12</v>
      </c>
    </row>
    <row r="667" spans="2508:2508" x14ac:dyDescent="0.25">
      <c r="CRL667">
        <v>12</v>
      </c>
    </row>
    <row r="668" spans="2508:2508" x14ac:dyDescent="0.25">
      <c r="CRL668">
        <v>12</v>
      </c>
    </row>
    <row r="669" spans="2508:2508" x14ac:dyDescent="0.25">
      <c r="CRL669">
        <v>12</v>
      </c>
    </row>
    <row r="670" spans="2508:2508" x14ac:dyDescent="0.25">
      <c r="CRL670">
        <v>12</v>
      </c>
    </row>
    <row r="671" spans="2508:2508" x14ac:dyDescent="0.25">
      <c r="CRL671">
        <v>12</v>
      </c>
    </row>
    <row r="672" spans="2508:2508" x14ac:dyDescent="0.25">
      <c r="CRL672">
        <v>12</v>
      </c>
    </row>
    <row r="673" spans="2508:2508" x14ac:dyDescent="0.25">
      <c r="CRL673">
        <v>12</v>
      </c>
    </row>
    <row r="674" spans="2508:2508" x14ac:dyDescent="0.25">
      <c r="CRL674">
        <v>12</v>
      </c>
    </row>
    <row r="675" spans="2508:2508" x14ac:dyDescent="0.25">
      <c r="CRL675">
        <v>12</v>
      </c>
    </row>
    <row r="676" spans="2508:2508" x14ac:dyDescent="0.25">
      <c r="CRL676">
        <v>12</v>
      </c>
    </row>
    <row r="677" spans="2508:2508" x14ac:dyDescent="0.25">
      <c r="CRL677">
        <v>12</v>
      </c>
    </row>
    <row r="678" spans="2508:2508" x14ac:dyDescent="0.25">
      <c r="CRL678">
        <v>12</v>
      </c>
    </row>
    <row r="679" spans="2508:2508" x14ac:dyDescent="0.25">
      <c r="CRL679">
        <v>12</v>
      </c>
    </row>
    <row r="680" spans="2508:2508" x14ac:dyDescent="0.25">
      <c r="CRL680">
        <v>12</v>
      </c>
    </row>
    <row r="681" spans="2508:2508" x14ac:dyDescent="0.25">
      <c r="CRL681">
        <v>12</v>
      </c>
    </row>
    <row r="682" spans="2508:2508" x14ac:dyDescent="0.25">
      <c r="CRL682">
        <v>12</v>
      </c>
    </row>
    <row r="683" spans="2508:2508" x14ac:dyDescent="0.25">
      <c r="CRL683">
        <v>12</v>
      </c>
    </row>
    <row r="684" spans="2508:2508" x14ac:dyDescent="0.25">
      <c r="CRL684">
        <v>12</v>
      </c>
    </row>
    <row r="685" spans="2508:2508" x14ac:dyDescent="0.25">
      <c r="CRL685">
        <v>12</v>
      </c>
    </row>
    <row r="686" spans="2508:2508" x14ac:dyDescent="0.25">
      <c r="CRL686">
        <v>12</v>
      </c>
    </row>
    <row r="687" spans="2508:2508" x14ac:dyDescent="0.25">
      <c r="CRL687">
        <v>12</v>
      </c>
    </row>
    <row r="688" spans="2508:2508" x14ac:dyDescent="0.25">
      <c r="CRL688">
        <v>12</v>
      </c>
    </row>
    <row r="689" spans="2508:2508" x14ac:dyDescent="0.25">
      <c r="CRL689">
        <v>12</v>
      </c>
    </row>
    <row r="690" spans="2508:2508" x14ac:dyDescent="0.25">
      <c r="CRL690">
        <v>12</v>
      </c>
    </row>
    <row r="691" spans="2508:2508" x14ac:dyDescent="0.25">
      <c r="CRL691">
        <v>12</v>
      </c>
    </row>
    <row r="692" spans="2508:2508" x14ac:dyDescent="0.25">
      <c r="CRL692">
        <v>12</v>
      </c>
    </row>
    <row r="693" spans="2508:2508" x14ac:dyDescent="0.25">
      <c r="CRL693">
        <v>12</v>
      </c>
    </row>
    <row r="694" spans="2508:2508" x14ac:dyDescent="0.25">
      <c r="CRL694">
        <v>12</v>
      </c>
    </row>
    <row r="695" spans="2508:2508" x14ac:dyDescent="0.25">
      <c r="CRL695">
        <v>12</v>
      </c>
    </row>
    <row r="696" spans="2508:2508" x14ac:dyDescent="0.25">
      <c r="CRL696">
        <v>12</v>
      </c>
    </row>
    <row r="697" spans="2508:2508" x14ac:dyDescent="0.25">
      <c r="CRL697">
        <v>12</v>
      </c>
    </row>
    <row r="698" spans="2508:2508" x14ac:dyDescent="0.25">
      <c r="CRL698">
        <v>12</v>
      </c>
    </row>
    <row r="699" spans="2508:2508" x14ac:dyDescent="0.25">
      <c r="CRL699">
        <v>12</v>
      </c>
    </row>
    <row r="700" spans="2508:2508" x14ac:dyDescent="0.25">
      <c r="CRL700">
        <v>12</v>
      </c>
    </row>
    <row r="701" spans="2508:2508" x14ac:dyDescent="0.25">
      <c r="CRL701">
        <v>12</v>
      </c>
    </row>
    <row r="702" spans="2508:2508" x14ac:dyDescent="0.25">
      <c r="CRL702">
        <v>12</v>
      </c>
    </row>
    <row r="703" spans="2508:2508" x14ac:dyDescent="0.25">
      <c r="CRL703">
        <v>12</v>
      </c>
    </row>
    <row r="704" spans="2508:2508" x14ac:dyDescent="0.25">
      <c r="CRL704">
        <v>12</v>
      </c>
    </row>
    <row r="705" spans="2508:2508" x14ac:dyDescent="0.25">
      <c r="CRL705">
        <v>12</v>
      </c>
    </row>
    <row r="706" spans="2508:2508" x14ac:dyDescent="0.25">
      <c r="CRL706">
        <v>12</v>
      </c>
    </row>
    <row r="707" spans="2508:2508" x14ac:dyDescent="0.25">
      <c r="CRL707">
        <v>12</v>
      </c>
    </row>
    <row r="708" spans="2508:2508" x14ac:dyDescent="0.25">
      <c r="CRL708">
        <v>12</v>
      </c>
    </row>
    <row r="709" spans="2508:2508" x14ac:dyDescent="0.25">
      <c r="CRL709">
        <v>12</v>
      </c>
    </row>
    <row r="710" spans="2508:2508" x14ac:dyDescent="0.25">
      <c r="CRL710">
        <v>12</v>
      </c>
    </row>
    <row r="711" spans="2508:2508" x14ac:dyDescent="0.25">
      <c r="CRL711">
        <v>12</v>
      </c>
    </row>
    <row r="712" spans="2508:2508" x14ac:dyDescent="0.25">
      <c r="CRL712">
        <v>12</v>
      </c>
    </row>
    <row r="713" spans="2508:2508" x14ac:dyDescent="0.25">
      <c r="CRL713">
        <v>12</v>
      </c>
    </row>
    <row r="714" spans="2508:2508" x14ac:dyDescent="0.25">
      <c r="CRL714">
        <v>12</v>
      </c>
    </row>
    <row r="715" spans="2508:2508" x14ac:dyDescent="0.25">
      <c r="CRL715">
        <v>12</v>
      </c>
    </row>
    <row r="716" spans="2508:2508" x14ac:dyDescent="0.25">
      <c r="CRL716">
        <v>12</v>
      </c>
    </row>
    <row r="717" spans="2508:2508" x14ac:dyDescent="0.25">
      <c r="CRL717">
        <v>12</v>
      </c>
    </row>
    <row r="718" spans="2508:2508" x14ac:dyDescent="0.25">
      <c r="CRL718">
        <v>12</v>
      </c>
    </row>
    <row r="719" spans="2508:2508" x14ac:dyDescent="0.25">
      <c r="CRL719">
        <v>12</v>
      </c>
    </row>
    <row r="720" spans="2508:2508" x14ac:dyDescent="0.25">
      <c r="CRL720">
        <v>12</v>
      </c>
    </row>
    <row r="721" spans="2508:2508" x14ac:dyDescent="0.25">
      <c r="CRL721">
        <v>12</v>
      </c>
    </row>
    <row r="722" spans="2508:2508" x14ac:dyDescent="0.25">
      <c r="CRL722">
        <v>12</v>
      </c>
    </row>
    <row r="723" spans="2508:2508" x14ac:dyDescent="0.25">
      <c r="CRL723">
        <v>12</v>
      </c>
    </row>
    <row r="724" spans="2508:2508" x14ac:dyDescent="0.25">
      <c r="CRL724">
        <v>12</v>
      </c>
    </row>
    <row r="725" spans="2508:2508" x14ac:dyDescent="0.25">
      <c r="CRL725">
        <v>12</v>
      </c>
    </row>
    <row r="726" spans="2508:2508" x14ac:dyDescent="0.25">
      <c r="CRL726">
        <v>12</v>
      </c>
    </row>
    <row r="727" spans="2508:2508" x14ac:dyDescent="0.25">
      <c r="CRL727">
        <v>12</v>
      </c>
    </row>
    <row r="728" spans="2508:2508" x14ac:dyDescent="0.25">
      <c r="CRL728">
        <v>12</v>
      </c>
    </row>
    <row r="729" spans="2508:2508" x14ac:dyDescent="0.25">
      <c r="CRL729">
        <v>12</v>
      </c>
    </row>
    <row r="730" spans="2508:2508" x14ac:dyDescent="0.25">
      <c r="CRL730">
        <v>12</v>
      </c>
    </row>
    <row r="731" spans="2508:2508" x14ac:dyDescent="0.25">
      <c r="CRL731">
        <v>12</v>
      </c>
    </row>
    <row r="732" spans="2508:2508" x14ac:dyDescent="0.25">
      <c r="CRL732">
        <v>12</v>
      </c>
    </row>
    <row r="733" spans="2508:2508" x14ac:dyDescent="0.25">
      <c r="CRL733">
        <v>12</v>
      </c>
    </row>
    <row r="734" spans="2508:2508" x14ac:dyDescent="0.25">
      <c r="CRL734">
        <v>12</v>
      </c>
    </row>
    <row r="735" spans="2508:2508" x14ac:dyDescent="0.25">
      <c r="CRL735">
        <v>12</v>
      </c>
    </row>
    <row r="736" spans="2508:2508" x14ac:dyDescent="0.25">
      <c r="CRL736">
        <v>12</v>
      </c>
    </row>
    <row r="737" spans="2508:2508" x14ac:dyDescent="0.25">
      <c r="CRL737">
        <v>12</v>
      </c>
    </row>
    <row r="738" spans="2508:2508" x14ac:dyDescent="0.25">
      <c r="CRL738">
        <v>12</v>
      </c>
    </row>
    <row r="739" spans="2508:2508" x14ac:dyDescent="0.25">
      <c r="CRL739">
        <v>12</v>
      </c>
    </row>
    <row r="740" spans="2508:2508" x14ac:dyDescent="0.25">
      <c r="CRL740">
        <v>12</v>
      </c>
    </row>
    <row r="741" spans="2508:2508" x14ac:dyDescent="0.25">
      <c r="CRL741">
        <v>12</v>
      </c>
    </row>
    <row r="742" spans="2508:2508" x14ac:dyDescent="0.25">
      <c r="CRL742">
        <v>12</v>
      </c>
    </row>
    <row r="743" spans="2508:2508" x14ac:dyDescent="0.25">
      <c r="CRL743">
        <v>12</v>
      </c>
    </row>
    <row r="744" spans="2508:2508" x14ac:dyDescent="0.25">
      <c r="CRL744">
        <v>12</v>
      </c>
    </row>
    <row r="745" spans="2508:2508" x14ac:dyDescent="0.25">
      <c r="CRL745">
        <v>12</v>
      </c>
    </row>
    <row r="746" spans="2508:2508" x14ac:dyDescent="0.25">
      <c r="CRL746">
        <v>12</v>
      </c>
    </row>
    <row r="747" spans="2508:2508" x14ac:dyDescent="0.25">
      <c r="CRL747">
        <v>12</v>
      </c>
    </row>
    <row r="748" spans="2508:2508" x14ac:dyDescent="0.25">
      <c r="CRL748">
        <v>12</v>
      </c>
    </row>
    <row r="749" spans="2508:2508" x14ac:dyDescent="0.25">
      <c r="CRL749">
        <v>12</v>
      </c>
    </row>
    <row r="750" spans="2508:2508" x14ac:dyDescent="0.25">
      <c r="CRL750">
        <v>12</v>
      </c>
    </row>
    <row r="751" spans="2508:2508" x14ac:dyDescent="0.25">
      <c r="CRL751">
        <v>12</v>
      </c>
    </row>
    <row r="752" spans="2508:2508" x14ac:dyDescent="0.25">
      <c r="CRL752">
        <v>12</v>
      </c>
    </row>
    <row r="753" spans="2508:2508" x14ac:dyDescent="0.25">
      <c r="CRL753">
        <v>12</v>
      </c>
    </row>
    <row r="754" spans="2508:2508" x14ac:dyDescent="0.25">
      <c r="CRL754">
        <v>12</v>
      </c>
    </row>
    <row r="755" spans="2508:2508" x14ac:dyDescent="0.25">
      <c r="CRL755">
        <v>12</v>
      </c>
    </row>
    <row r="756" spans="2508:2508" x14ac:dyDescent="0.25">
      <c r="CRL756">
        <v>12</v>
      </c>
    </row>
    <row r="757" spans="2508:2508" x14ac:dyDescent="0.25">
      <c r="CRL757">
        <v>12</v>
      </c>
    </row>
    <row r="758" spans="2508:2508" x14ac:dyDescent="0.25">
      <c r="CRL758">
        <v>12</v>
      </c>
    </row>
    <row r="759" spans="2508:2508" x14ac:dyDescent="0.25">
      <c r="CRL759">
        <v>12</v>
      </c>
    </row>
    <row r="760" spans="2508:2508" x14ac:dyDescent="0.25">
      <c r="CRL760">
        <v>12</v>
      </c>
    </row>
    <row r="761" spans="2508:2508" x14ac:dyDescent="0.25">
      <c r="CRL761">
        <v>12</v>
      </c>
    </row>
    <row r="762" spans="2508:2508" x14ac:dyDescent="0.25">
      <c r="CRL762">
        <v>12</v>
      </c>
    </row>
    <row r="763" spans="2508:2508" x14ac:dyDescent="0.25">
      <c r="CRL763">
        <v>12</v>
      </c>
    </row>
    <row r="764" spans="2508:2508" x14ac:dyDescent="0.25">
      <c r="CRL764">
        <v>12</v>
      </c>
    </row>
    <row r="765" spans="2508:2508" x14ac:dyDescent="0.25">
      <c r="CRL765">
        <v>12</v>
      </c>
    </row>
    <row r="766" spans="2508:2508" x14ac:dyDescent="0.25">
      <c r="CRL766">
        <v>12</v>
      </c>
    </row>
    <row r="767" spans="2508:2508" x14ac:dyDescent="0.25">
      <c r="CRL767">
        <v>12</v>
      </c>
    </row>
    <row r="768" spans="2508:2508" x14ac:dyDescent="0.25">
      <c r="CRL768">
        <v>12</v>
      </c>
    </row>
    <row r="769" spans="2508:2508" x14ac:dyDescent="0.25">
      <c r="CRL769">
        <v>12</v>
      </c>
    </row>
    <row r="770" spans="2508:2508" x14ac:dyDescent="0.25">
      <c r="CRL770">
        <v>12</v>
      </c>
    </row>
    <row r="771" spans="2508:2508" x14ac:dyDescent="0.25">
      <c r="CRL771">
        <v>12</v>
      </c>
    </row>
    <row r="772" spans="2508:2508" x14ac:dyDescent="0.25">
      <c r="CRL772">
        <v>12</v>
      </c>
    </row>
    <row r="773" spans="2508:2508" x14ac:dyDescent="0.25">
      <c r="CRL773">
        <v>12</v>
      </c>
    </row>
    <row r="774" spans="2508:2508" x14ac:dyDescent="0.25">
      <c r="CRL774">
        <v>12</v>
      </c>
    </row>
    <row r="775" spans="2508:2508" x14ac:dyDescent="0.25">
      <c r="CRL775">
        <v>12</v>
      </c>
    </row>
    <row r="776" spans="2508:2508" x14ac:dyDescent="0.25">
      <c r="CRL776">
        <v>12</v>
      </c>
    </row>
    <row r="777" spans="2508:2508" x14ac:dyDescent="0.25">
      <c r="CRL777">
        <v>12</v>
      </c>
    </row>
    <row r="778" spans="2508:2508" x14ac:dyDescent="0.25">
      <c r="CRL778">
        <v>12</v>
      </c>
    </row>
    <row r="779" spans="2508:2508" x14ac:dyDescent="0.25">
      <c r="CRL779">
        <v>12</v>
      </c>
    </row>
    <row r="780" spans="2508:2508" x14ac:dyDescent="0.25">
      <c r="CRL780">
        <v>12</v>
      </c>
    </row>
    <row r="781" spans="2508:2508" x14ac:dyDescent="0.25">
      <c r="CRL781">
        <v>12</v>
      </c>
    </row>
    <row r="782" spans="2508:2508" x14ac:dyDescent="0.25">
      <c r="CRL782">
        <v>12</v>
      </c>
    </row>
    <row r="783" spans="2508:2508" x14ac:dyDescent="0.25">
      <c r="CRL783">
        <v>12</v>
      </c>
    </row>
    <row r="784" spans="2508:2508" x14ac:dyDescent="0.25">
      <c r="CRL784">
        <v>12</v>
      </c>
    </row>
    <row r="785" spans="2508:2508" x14ac:dyDescent="0.25">
      <c r="CRL785">
        <v>12</v>
      </c>
    </row>
    <row r="786" spans="2508:2508" x14ac:dyDescent="0.25">
      <c r="CRL786">
        <v>12</v>
      </c>
    </row>
    <row r="787" spans="2508:2508" x14ac:dyDescent="0.25">
      <c r="CRL787">
        <v>12</v>
      </c>
    </row>
    <row r="788" spans="2508:2508" x14ac:dyDescent="0.25">
      <c r="CRL788">
        <v>12</v>
      </c>
    </row>
    <row r="789" spans="2508:2508" x14ac:dyDescent="0.25">
      <c r="CRL789">
        <v>12</v>
      </c>
    </row>
    <row r="790" spans="2508:2508" x14ac:dyDescent="0.25">
      <c r="CRL790">
        <v>12</v>
      </c>
    </row>
    <row r="791" spans="2508:2508" x14ac:dyDescent="0.25">
      <c r="CRL791">
        <v>12</v>
      </c>
    </row>
    <row r="792" spans="2508:2508" x14ac:dyDescent="0.25">
      <c r="CRL792">
        <v>12</v>
      </c>
    </row>
    <row r="793" spans="2508:2508" x14ac:dyDescent="0.25">
      <c r="CRL793">
        <v>12</v>
      </c>
    </row>
    <row r="794" spans="2508:2508" x14ac:dyDescent="0.25">
      <c r="CRL794">
        <v>12</v>
      </c>
    </row>
    <row r="795" spans="2508:2508" x14ac:dyDescent="0.25">
      <c r="CRL795">
        <v>12</v>
      </c>
    </row>
    <row r="796" spans="2508:2508" x14ac:dyDescent="0.25">
      <c r="CRL796">
        <v>12</v>
      </c>
    </row>
    <row r="797" spans="2508:2508" x14ac:dyDescent="0.25">
      <c r="CRL797">
        <v>12</v>
      </c>
    </row>
    <row r="798" spans="2508:2508" x14ac:dyDescent="0.25">
      <c r="CRL798">
        <v>12</v>
      </c>
    </row>
    <row r="799" spans="2508:2508" x14ac:dyDescent="0.25">
      <c r="CRL799">
        <v>12</v>
      </c>
    </row>
    <row r="800" spans="2508:2508" x14ac:dyDescent="0.25">
      <c r="CRL800">
        <v>12</v>
      </c>
    </row>
    <row r="801" spans="2508:2508" x14ac:dyDescent="0.25">
      <c r="CRL801">
        <v>12</v>
      </c>
    </row>
    <row r="802" spans="2508:2508" x14ac:dyDescent="0.25">
      <c r="CRL802">
        <v>12</v>
      </c>
    </row>
    <row r="803" spans="2508:2508" x14ac:dyDescent="0.25">
      <c r="CRL803">
        <v>12</v>
      </c>
    </row>
    <row r="804" spans="2508:2508" x14ac:dyDescent="0.25">
      <c r="CRL804">
        <v>12</v>
      </c>
    </row>
    <row r="805" spans="2508:2508" x14ac:dyDescent="0.25">
      <c r="CRL805">
        <v>12</v>
      </c>
    </row>
    <row r="806" spans="2508:2508" x14ac:dyDescent="0.25">
      <c r="CRL806">
        <v>12</v>
      </c>
    </row>
    <row r="807" spans="2508:2508" x14ac:dyDescent="0.25">
      <c r="CRL807">
        <v>12</v>
      </c>
    </row>
    <row r="808" spans="2508:2508" x14ac:dyDescent="0.25">
      <c r="CRL808">
        <v>12</v>
      </c>
    </row>
    <row r="809" spans="2508:2508" x14ac:dyDescent="0.25">
      <c r="CRL809">
        <v>12</v>
      </c>
    </row>
    <row r="810" spans="2508:2508" x14ac:dyDescent="0.25">
      <c r="CRL810">
        <v>12</v>
      </c>
    </row>
    <row r="811" spans="2508:2508" x14ac:dyDescent="0.25">
      <c r="CRL811">
        <v>12</v>
      </c>
    </row>
    <row r="812" spans="2508:2508" x14ac:dyDescent="0.25">
      <c r="CRL812">
        <v>12</v>
      </c>
    </row>
    <row r="813" spans="2508:2508" x14ac:dyDescent="0.25">
      <c r="CRL813">
        <v>12</v>
      </c>
    </row>
    <row r="814" spans="2508:2508" x14ac:dyDescent="0.25">
      <c r="CRL814">
        <v>12</v>
      </c>
    </row>
    <row r="815" spans="2508:2508" x14ac:dyDescent="0.25">
      <c r="CRL815">
        <v>12</v>
      </c>
    </row>
    <row r="816" spans="2508:2508" x14ac:dyDescent="0.25">
      <c r="CRL816">
        <v>12</v>
      </c>
    </row>
    <row r="817" spans="2508:2508" x14ac:dyDescent="0.25">
      <c r="CRL817">
        <v>12</v>
      </c>
    </row>
    <row r="818" spans="2508:2508" x14ac:dyDescent="0.25">
      <c r="CRL818">
        <v>12</v>
      </c>
    </row>
    <row r="819" spans="2508:2508" x14ac:dyDescent="0.25">
      <c r="CRL819">
        <v>12</v>
      </c>
    </row>
    <row r="820" spans="2508:2508" x14ac:dyDescent="0.25">
      <c r="CRL820">
        <v>12</v>
      </c>
    </row>
    <row r="821" spans="2508:2508" x14ac:dyDescent="0.25">
      <c r="CRL821">
        <v>12</v>
      </c>
    </row>
    <row r="822" spans="2508:2508" x14ac:dyDescent="0.25">
      <c r="CRL822">
        <v>12</v>
      </c>
    </row>
    <row r="823" spans="2508:2508" x14ac:dyDescent="0.25">
      <c r="CRL823">
        <v>12</v>
      </c>
    </row>
    <row r="824" spans="2508:2508" x14ac:dyDescent="0.25">
      <c r="CRL824">
        <v>12</v>
      </c>
    </row>
    <row r="825" spans="2508:2508" x14ac:dyDescent="0.25">
      <c r="CRL825">
        <v>12</v>
      </c>
    </row>
    <row r="826" spans="2508:2508" x14ac:dyDescent="0.25">
      <c r="CRL826">
        <v>12</v>
      </c>
    </row>
    <row r="827" spans="2508:2508" x14ac:dyDescent="0.25">
      <c r="CRL827">
        <v>12</v>
      </c>
    </row>
    <row r="828" spans="2508:2508" x14ac:dyDescent="0.25">
      <c r="CRL828">
        <v>12</v>
      </c>
    </row>
    <row r="829" spans="2508:2508" x14ac:dyDescent="0.25">
      <c r="CRL829">
        <v>12</v>
      </c>
    </row>
    <row r="830" spans="2508:2508" x14ac:dyDescent="0.25">
      <c r="CRL830">
        <v>12</v>
      </c>
    </row>
    <row r="831" spans="2508:2508" x14ac:dyDescent="0.25">
      <c r="CRL831">
        <v>12</v>
      </c>
    </row>
    <row r="832" spans="2508:2508" x14ac:dyDescent="0.25">
      <c r="CRL832">
        <v>12</v>
      </c>
    </row>
    <row r="833" spans="2508:2508" x14ac:dyDescent="0.25">
      <c r="CRL833">
        <v>12</v>
      </c>
    </row>
    <row r="834" spans="2508:2508" x14ac:dyDescent="0.25">
      <c r="CRL834">
        <v>12</v>
      </c>
    </row>
    <row r="835" spans="2508:2508" x14ac:dyDescent="0.25">
      <c r="CRL835">
        <v>12</v>
      </c>
    </row>
    <row r="836" spans="2508:2508" x14ac:dyDescent="0.25">
      <c r="CRL836">
        <v>12</v>
      </c>
    </row>
    <row r="837" spans="2508:2508" x14ac:dyDescent="0.25">
      <c r="CRL837">
        <v>12</v>
      </c>
    </row>
    <row r="838" spans="2508:2508" x14ac:dyDescent="0.25">
      <c r="CRL838">
        <v>12</v>
      </c>
    </row>
    <row r="839" spans="2508:2508" x14ac:dyDescent="0.25">
      <c r="CRL839">
        <v>12</v>
      </c>
    </row>
    <row r="840" spans="2508:2508" x14ac:dyDescent="0.25">
      <c r="CRL840">
        <v>12</v>
      </c>
    </row>
    <row r="841" spans="2508:2508" x14ac:dyDescent="0.25">
      <c r="CRL841">
        <v>12</v>
      </c>
    </row>
    <row r="842" spans="2508:2508" x14ac:dyDescent="0.25">
      <c r="CRL842">
        <v>12</v>
      </c>
    </row>
    <row r="843" spans="2508:2508" x14ac:dyDescent="0.25">
      <c r="CRL843">
        <v>12</v>
      </c>
    </row>
    <row r="844" spans="2508:2508" x14ac:dyDescent="0.25">
      <c r="CRL844">
        <v>12</v>
      </c>
    </row>
    <row r="845" spans="2508:2508" x14ac:dyDescent="0.25">
      <c r="CRL845">
        <v>12</v>
      </c>
    </row>
    <row r="846" spans="2508:2508" x14ac:dyDescent="0.25">
      <c r="CRL846">
        <v>12</v>
      </c>
    </row>
    <row r="847" spans="2508:2508" x14ac:dyDescent="0.25">
      <c r="CRL847">
        <v>12</v>
      </c>
    </row>
    <row r="848" spans="2508:2508" x14ac:dyDescent="0.25">
      <c r="CRL848">
        <v>12</v>
      </c>
    </row>
    <row r="849" spans="2508:2508" x14ac:dyDescent="0.25">
      <c r="CRL849">
        <v>12</v>
      </c>
    </row>
    <row r="850" spans="2508:2508" x14ac:dyDescent="0.25">
      <c r="CRL850">
        <v>12</v>
      </c>
    </row>
    <row r="851" spans="2508:2508" x14ac:dyDescent="0.25">
      <c r="CRL851">
        <v>12</v>
      </c>
    </row>
    <row r="852" spans="2508:2508" x14ac:dyDescent="0.25">
      <c r="CRL852">
        <v>12</v>
      </c>
    </row>
    <row r="853" spans="2508:2508" x14ac:dyDescent="0.25">
      <c r="CRL853">
        <v>12</v>
      </c>
    </row>
    <row r="854" spans="2508:2508" x14ac:dyDescent="0.25">
      <c r="CRL854">
        <v>12</v>
      </c>
    </row>
    <row r="855" spans="2508:2508" x14ac:dyDescent="0.25">
      <c r="CRL855">
        <v>12</v>
      </c>
    </row>
    <row r="856" spans="2508:2508" x14ac:dyDescent="0.25">
      <c r="CRL856">
        <v>12</v>
      </c>
    </row>
    <row r="857" spans="2508:2508" x14ac:dyDescent="0.25">
      <c r="CRL857">
        <v>12</v>
      </c>
    </row>
    <row r="858" spans="2508:2508" x14ac:dyDescent="0.25">
      <c r="CRL858">
        <v>12</v>
      </c>
    </row>
    <row r="859" spans="2508:2508" x14ac:dyDescent="0.25">
      <c r="CRL859">
        <v>12</v>
      </c>
    </row>
    <row r="860" spans="2508:2508" x14ac:dyDescent="0.25">
      <c r="CRL860">
        <v>12</v>
      </c>
    </row>
    <row r="861" spans="2508:2508" x14ac:dyDescent="0.25">
      <c r="CRL861">
        <v>12</v>
      </c>
    </row>
    <row r="862" spans="2508:2508" x14ac:dyDescent="0.25">
      <c r="CRL862">
        <v>12</v>
      </c>
    </row>
    <row r="863" spans="2508:2508" x14ac:dyDescent="0.25">
      <c r="CRL863">
        <v>12</v>
      </c>
    </row>
    <row r="864" spans="2508:2508" x14ac:dyDescent="0.25">
      <c r="CRL864">
        <v>12</v>
      </c>
    </row>
    <row r="865" spans="2508:2508" x14ac:dyDescent="0.25">
      <c r="CRL865">
        <v>12</v>
      </c>
    </row>
    <row r="866" spans="2508:2508" x14ac:dyDescent="0.25">
      <c r="CRL866">
        <v>12</v>
      </c>
    </row>
    <row r="867" spans="2508:2508" x14ac:dyDescent="0.25">
      <c r="CRL867">
        <v>12</v>
      </c>
    </row>
    <row r="868" spans="2508:2508" x14ac:dyDescent="0.25">
      <c r="CRL868">
        <v>12</v>
      </c>
    </row>
    <row r="869" spans="2508:2508" x14ac:dyDescent="0.25">
      <c r="CRL869">
        <v>12</v>
      </c>
    </row>
    <row r="870" spans="2508:2508" x14ac:dyDescent="0.25">
      <c r="CRL870">
        <v>12</v>
      </c>
    </row>
    <row r="871" spans="2508:2508" x14ac:dyDescent="0.25">
      <c r="CRL871">
        <v>12</v>
      </c>
    </row>
    <row r="872" spans="2508:2508" x14ac:dyDescent="0.25">
      <c r="CRL872">
        <v>12</v>
      </c>
    </row>
    <row r="873" spans="2508:2508" x14ac:dyDescent="0.25">
      <c r="CRL873">
        <v>12</v>
      </c>
    </row>
    <row r="874" spans="2508:2508" x14ac:dyDescent="0.25">
      <c r="CRL874">
        <v>12</v>
      </c>
    </row>
    <row r="875" spans="2508:2508" x14ac:dyDescent="0.25">
      <c r="CRL875">
        <v>12</v>
      </c>
    </row>
    <row r="876" spans="2508:2508" x14ac:dyDescent="0.25">
      <c r="CRL876">
        <v>12</v>
      </c>
    </row>
    <row r="877" spans="2508:2508" x14ac:dyDescent="0.25">
      <c r="CRL877">
        <v>12</v>
      </c>
    </row>
    <row r="878" spans="2508:2508" x14ac:dyDescent="0.25">
      <c r="CRL878">
        <v>12</v>
      </c>
    </row>
    <row r="879" spans="2508:2508" x14ac:dyDescent="0.25">
      <c r="CRL879">
        <v>12</v>
      </c>
    </row>
    <row r="880" spans="2508:2508" x14ac:dyDescent="0.25">
      <c r="CRL880">
        <v>12</v>
      </c>
    </row>
    <row r="881" spans="2508:2508" x14ac:dyDescent="0.25">
      <c r="CRL881">
        <v>12</v>
      </c>
    </row>
    <row r="882" spans="2508:2508" x14ac:dyDescent="0.25">
      <c r="CRL882">
        <v>12</v>
      </c>
    </row>
    <row r="883" spans="2508:2508" x14ac:dyDescent="0.25">
      <c r="CRL883">
        <v>12</v>
      </c>
    </row>
    <row r="884" spans="2508:2508" x14ac:dyDescent="0.25">
      <c r="CRL884">
        <v>12</v>
      </c>
    </row>
    <row r="885" spans="2508:2508" x14ac:dyDescent="0.25">
      <c r="CRL885">
        <v>12</v>
      </c>
    </row>
    <row r="886" spans="2508:2508" x14ac:dyDescent="0.25">
      <c r="CRL886">
        <v>12</v>
      </c>
    </row>
    <row r="887" spans="2508:2508" x14ac:dyDescent="0.25">
      <c r="CRL887">
        <v>12</v>
      </c>
    </row>
    <row r="888" spans="2508:2508" x14ac:dyDescent="0.25">
      <c r="CRL888">
        <v>12</v>
      </c>
    </row>
    <row r="889" spans="2508:2508" x14ac:dyDescent="0.25">
      <c r="CRL889">
        <v>12</v>
      </c>
    </row>
    <row r="890" spans="2508:2508" x14ac:dyDescent="0.25">
      <c r="CRL890">
        <v>12</v>
      </c>
    </row>
    <row r="891" spans="2508:2508" x14ac:dyDescent="0.25">
      <c r="CRL891">
        <v>12</v>
      </c>
    </row>
    <row r="892" spans="2508:2508" x14ac:dyDescent="0.25">
      <c r="CRL892">
        <v>12</v>
      </c>
    </row>
    <row r="893" spans="2508:2508" x14ac:dyDescent="0.25">
      <c r="CRL893">
        <v>12</v>
      </c>
    </row>
    <row r="894" spans="2508:2508" x14ac:dyDescent="0.25">
      <c r="CRL894">
        <v>12</v>
      </c>
    </row>
    <row r="895" spans="2508:2508" x14ac:dyDescent="0.25">
      <c r="CRL895">
        <v>12</v>
      </c>
    </row>
    <row r="896" spans="2508:2508" x14ac:dyDescent="0.25">
      <c r="CRL896">
        <v>12</v>
      </c>
    </row>
    <row r="897" spans="2508:2508" x14ac:dyDescent="0.25">
      <c r="CRL897">
        <v>12</v>
      </c>
    </row>
    <row r="898" spans="2508:2508" x14ac:dyDescent="0.25">
      <c r="CRL898">
        <v>12</v>
      </c>
    </row>
    <row r="899" spans="2508:2508" x14ac:dyDescent="0.25">
      <c r="CRL899">
        <v>12</v>
      </c>
    </row>
    <row r="900" spans="2508:2508" x14ac:dyDescent="0.25">
      <c r="CRL900">
        <v>12</v>
      </c>
    </row>
    <row r="901" spans="2508:2508" x14ac:dyDescent="0.25">
      <c r="CRL901">
        <v>12</v>
      </c>
    </row>
    <row r="902" spans="2508:2508" x14ac:dyDescent="0.25">
      <c r="CRL902">
        <v>12</v>
      </c>
    </row>
    <row r="903" spans="2508:2508" x14ac:dyDescent="0.25">
      <c r="CRL903">
        <v>12</v>
      </c>
    </row>
    <row r="904" spans="2508:2508" x14ac:dyDescent="0.25">
      <c r="CRL904">
        <v>12</v>
      </c>
    </row>
    <row r="905" spans="2508:2508" x14ac:dyDescent="0.25">
      <c r="CRL905">
        <v>12</v>
      </c>
    </row>
    <row r="906" spans="2508:2508" x14ac:dyDescent="0.25">
      <c r="CRL906">
        <v>12</v>
      </c>
    </row>
    <row r="907" spans="2508:2508" x14ac:dyDescent="0.25">
      <c r="CRL907">
        <v>12</v>
      </c>
    </row>
    <row r="908" spans="2508:2508" x14ac:dyDescent="0.25">
      <c r="CRL908">
        <v>12</v>
      </c>
    </row>
    <row r="909" spans="2508:2508" x14ac:dyDescent="0.25">
      <c r="CRL909">
        <v>12</v>
      </c>
    </row>
    <row r="910" spans="2508:2508" x14ac:dyDescent="0.25">
      <c r="CRL910">
        <v>12</v>
      </c>
    </row>
    <row r="911" spans="2508:2508" x14ac:dyDescent="0.25">
      <c r="CRL911">
        <v>12</v>
      </c>
    </row>
    <row r="912" spans="2508:2508" x14ac:dyDescent="0.25">
      <c r="CRL912">
        <v>12</v>
      </c>
    </row>
    <row r="913" spans="2508:2508" x14ac:dyDescent="0.25">
      <c r="CRL913">
        <v>12</v>
      </c>
    </row>
    <row r="914" spans="2508:2508" x14ac:dyDescent="0.25">
      <c r="CRL914">
        <v>12</v>
      </c>
    </row>
    <row r="915" spans="2508:2508" x14ac:dyDescent="0.25">
      <c r="CRL915">
        <v>12</v>
      </c>
    </row>
    <row r="916" spans="2508:2508" x14ac:dyDescent="0.25">
      <c r="CRL916">
        <v>12</v>
      </c>
    </row>
    <row r="917" spans="2508:2508" x14ac:dyDescent="0.25">
      <c r="CRL917">
        <v>12</v>
      </c>
    </row>
    <row r="918" spans="2508:2508" x14ac:dyDescent="0.25">
      <c r="CRL918">
        <v>12</v>
      </c>
    </row>
    <row r="919" spans="2508:2508" x14ac:dyDescent="0.25">
      <c r="CRL919">
        <v>12</v>
      </c>
    </row>
    <row r="920" spans="2508:2508" x14ac:dyDescent="0.25">
      <c r="CRL920">
        <v>12</v>
      </c>
    </row>
    <row r="921" spans="2508:2508" x14ac:dyDescent="0.25">
      <c r="CRL921">
        <v>12</v>
      </c>
    </row>
    <row r="922" spans="2508:2508" x14ac:dyDescent="0.25">
      <c r="CRL922">
        <v>12</v>
      </c>
    </row>
    <row r="923" spans="2508:2508" x14ac:dyDescent="0.25">
      <c r="CRL923">
        <v>12</v>
      </c>
    </row>
    <row r="924" spans="2508:2508" x14ac:dyDescent="0.25">
      <c r="CRL924">
        <v>12</v>
      </c>
    </row>
    <row r="925" spans="2508:2508" x14ac:dyDescent="0.25">
      <c r="CRL925">
        <v>12</v>
      </c>
    </row>
    <row r="926" spans="2508:2508" x14ac:dyDescent="0.25">
      <c r="CRL926">
        <v>12</v>
      </c>
    </row>
    <row r="927" spans="2508:2508" x14ac:dyDescent="0.25">
      <c r="CRL927">
        <v>12</v>
      </c>
    </row>
    <row r="928" spans="2508:2508" x14ac:dyDescent="0.25">
      <c r="CRL928">
        <v>12</v>
      </c>
    </row>
    <row r="1515" spans="15:21" x14ac:dyDescent="0.25">
      <c r="O1515"/>
      <c r="R1515"/>
      <c r="S1515"/>
      <c r="U1515"/>
    </row>
    <row r="1516" spans="15:21" x14ac:dyDescent="0.25">
      <c r="O1516"/>
      <c r="R1516"/>
      <c r="S1516"/>
      <c r="U1516"/>
    </row>
    <row r="1519" spans="15:21" x14ac:dyDescent="0.25">
      <c r="O1519"/>
      <c r="R1519"/>
      <c r="S1519"/>
      <c r="U1519"/>
    </row>
    <row r="1520" spans="15:21" x14ac:dyDescent="0.25">
      <c r="O1520"/>
      <c r="R1520"/>
      <c r="S1520"/>
      <c r="U1520"/>
    </row>
    <row r="1523" spans="15:21" x14ac:dyDescent="0.25">
      <c r="O1523"/>
      <c r="R1523"/>
      <c r="S1523"/>
      <c r="U1523"/>
    </row>
    <row r="1524" spans="15:21" x14ac:dyDescent="0.25">
      <c r="O1524"/>
      <c r="R1524"/>
      <c r="S1524"/>
      <c r="U1524"/>
    </row>
    <row r="1527" spans="15:21" x14ac:dyDescent="0.25">
      <c r="O1527"/>
      <c r="R1527"/>
      <c r="S1527"/>
      <c r="U1527"/>
    </row>
    <row r="1528" spans="15:21" x14ac:dyDescent="0.25">
      <c r="O1528"/>
      <c r="R1528"/>
      <c r="S1528"/>
      <c r="U1528"/>
    </row>
    <row r="1531" spans="15:21" x14ac:dyDescent="0.25">
      <c r="O1531"/>
      <c r="R1531"/>
      <c r="S1531"/>
      <c r="U1531"/>
    </row>
    <row r="1532" spans="15:21" x14ac:dyDescent="0.25">
      <c r="O1532"/>
      <c r="R1532"/>
      <c r="S1532"/>
      <c r="U1532"/>
    </row>
    <row r="1535" spans="15:21" x14ac:dyDescent="0.25">
      <c r="O1535"/>
      <c r="R1535"/>
      <c r="S1535"/>
      <c r="U1535"/>
    </row>
    <row r="1536" spans="15:21" x14ac:dyDescent="0.25">
      <c r="O1536"/>
      <c r="R1536"/>
      <c r="S1536"/>
      <c r="U1536"/>
    </row>
    <row r="1537" spans="15:21" x14ac:dyDescent="0.25">
      <c r="O1537"/>
      <c r="R1537"/>
      <c r="S1537"/>
      <c r="U1537"/>
    </row>
    <row r="1539" spans="15:21" x14ac:dyDescent="0.25">
      <c r="O1539"/>
      <c r="R1539"/>
      <c r="S1539"/>
      <c r="U1539"/>
    </row>
    <row r="1540" spans="15:21" x14ac:dyDescent="0.25">
      <c r="O1540"/>
      <c r="R1540"/>
      <c r="S1540"/>
      <c r="U1540"/>
    </row>
    <row r="1545" spans="15:21" x14ac:dyDescent="0.25">
      <c r="O1545"/>
      <c r="R1545"/>
      <c r="S1545"/>
      <c r="U1545"/>
    </row>
    <row r="1546" spans="15:21" x14ac:dyDescent="0.25">
      <c r="O1546"/>
      <c r="R1546"/>
      <c r="S1546"/>
      <c r="U1546"/>
    </row>
    <row r="1547" spans="15:21" x14ac:dyDescent="0.25">
      <c r="O1547"/>
      <c r="R1547"/>
      <c r="S1547"/>
      <c r="U1547"/>
    </row>
    <row r="1549" spans="15:21" x14ac:dyDescent="0.25">
      <c r="O1549"/>
      <c r="R1549"/>
      <c r="S1549"/>
      <c r="U1549"/>
    </row>
    <row r="1550" spans="15:21" x14ac:dyDescent="0.25">
      <c r="O1550"/>
      <c r="R1550"/>
      <c r="S1550"/>
      <c r="U1550"/>
    </row>
    <row r="1555" spans="15:21" x14ac:dyDescent="0.25">
      <c r="O1555"/>
      <c r="R1555"/>
      <c r="S1555"/>
      <c r="U1555"/>
    </row>
    <row r="1556" spans="15:21" x14ac:dyDescent="0.25">
      <c r="O1556"/>
      <c r="R1556"/>
      <c r="S1556"/>
      <c r="U1556"/>
    </row>
    <row r="1557" spans="15:21" x14ac:dyDescent="0.25">
      <c r="O1557"/>
      <c r="R1557"/>
      <c r="S1557"/>
      <c r="U1557"/>
    </row>
    <row r="1559" spans="15:21" x14ac:dyDescent="0.25">
      <c r="O1559"/>
      <c r="R1559"/>
      <c r="S1559"/>
      <c r="U1559"/>
    </row>
    <row r="1560" spans="15:21" x14ac:dyDescent="0.25">
      <c r="O1560"/>
      <c r="R1560"/>
      <c r="S1560"/>
      <c r="U1560"/>
    </row>
    <row r="1565" spans="15:21" x14ac:dyDescent="0.25">
      <c r="O1565"/>
      <c r="R1565"/>
      <c r="S1565"/>
      <c r="U1565"/>
    </row>
    <row r="1567" spans="15:21" x14ac:dyDescent="0.25">
      <c r="O1567"/>
      <c r="R1567"/>
      <c r="S1567"/>
      <c r="U1567"/>
    </row>
    <row r="1569" spans="15:21" x14ac:dyDescent="0.25">
      <c r="O1569"/>
      <c r="R1569"/>
      <c r="S1569"/>
      <c r="U1569"/>
    </row>
    <row r="1570" spans="15:21" x14ac:dyDescent="0.25">
      <c r="O1570"/>
      <c r="R1570"/>
      <c r="S1570"/>
      <c r="U1570"/>
    </row>
    <row r="1575" spans="15:21" x14ac:dyDescent="0.25">
      <c r="O1575"/>
      <c r="R1575"/>
      <c r="S1575"/>
      <c r="U1575"/>
    </row>
    <row r="1577" spans="15:21" x14ac:dyDescent="0.25">
      <c r="O1577"/>
      <c r="R1577"/>
      <c r="S1577"/>
      <c r="U1577"/>
    </row>
    <row r="1579" spans="15:21" x14ac:dyDescent="0.25">
      <c r="O1579"/>
      <c r="R1579"/>
      <c r="S1579"/>
      <c r="U1579"/>
    </row>
    <row r="1580" spans="15:21" x14ac:dyDescent="0.25">
      <c r="O1580"/>
      <c r="R1580"/>
      <c r="S1580"/>
      <c r="U1580"/>
    </row>
    <row r="1585" spans="15:21" x14ac:dyDescent="0.25">
      <c r="O1585"/>
      <c r="R1585"/>
      <c r="S1585"/>
      <c r="U1585"/>
    </row>
    <row r="1587" spans="15:21" x14ac:dyDescent="0.25">
      <c r="O1587"/>
      <c r="R1587"/>
      <c r="S1587"/>
      <c r="U1587"/>
    </row>
    <row r="1589" spans="15:21" x14ac:dyDescent="0.25">
      <c r="O1589"/>
      <c r="R1589"/>
      <c r="S1589"/>
      <c r="U1589"/>
    </row>
    <row r="1590" spans="15:21" x14ac:dyDescent="0.25">
      <c r="O1590"/>
      <c r="R1590"/>
      <c r="S1590"/>
      <c r="U1590"/>
    </row>
    <row r="1595" spans="15:21" x14ac:dyDescent="0.25">
      <c r="O1595"/>
      <c r="R1595"/>
      <c r="S1595"/>
      <c r="U1595"/>
    </row>
    <row r="1597" spans="15:21" x14ac:dyDescent="0.25">
      <c r="O1597"/>
      <c r="R1597"/>
      <c r="S1597"/>
      <c r="U1597"/>
    </row>
    <row r="1599" spans="15:21" x14ac:dyDescent="0.25">
      <c r="O1599"/>
      <c r="R1599"/>
      <c r="S1599"/>
      <c r="U1599"/>
    </row>
    <row r="1600" spans="15:21" x14ac:dyDescent="0.25">
      <c r="O1600"/>
      <c r="R1600"/>
      <c r="S1600"/>
      <c r="U1600"/>
    </row>
    <row r="1605" spans="15:21" x14ac:dyDescent="0.25">
      <c r="O1605"/>
      <c r="R1605"/>
      <c r="S1605"/>
      <c r="U1605"/>
    </row>
    <row r="1606" spans="15:21" x14ac:dyDescent="0.25">
      <c r="O1606"/>
      <c r="R1606"/>
      <c r="S1606"/>
      <c r="U1606"/>
    </row>
    <row r="1607" spans="15:21" x14ac:dyDescent="0.25">
      <c r="O1607"/>
      <c r="R1607"/>
      <c r="S1607"/>
      <c r="U1607"/>
    </row>
    <row r="1609" spans="15:21" x14ac:dyDescent="0.25">
      <c r="O1609"/>
      <c r="R1609"/>
      <c r="S1609"/>
      <c r="U1609"/>
    </row>
    <row r="1610" spans="15:21" x14ac:dyDescent="0.25">
      <c r="O1610"/>
      <c r="R1610"/>
      <c r="S1610"/>
      <c r="U1610"/>
    </row>
    <row r="1615" spans="15:21" x14ac:dyDescent="0.25">
      <c r="O1615"/>
      <c r="R1615"/>
      <c r="S1615"/>
      <c r="U1615"/>
    </row>
    <row r="1616" spans="15:21" x14ac:dyDescent="0.25">
      <c r="O1616"/>
      <c r="R1616"/>
      <c r="S1616"/>
      <c r="U1616"/>
    </row>
    <row r="1617" spans="15:21" x14ac:dyDescent="0.25">
      <c r="O1617"/>
      <c r="R1617"/>
      <c r="S1617"/>
      <c r="U1617"/>
    </row>
    <row r="1619" spans="15:21" x14ac:dyDescent="0.25">
      <c r="O1619"/>
      <c r="R1619"/>
      <c r="S1619"/>
      <c r="U1619"/>
    </row>
    <row r="1620" spans="15:21" x14ac:dyDescent="0.25">
      <c r="O1620"/>
      <c r="R1620"/>
      <c r="S1620"/>
      <c r="U1620"/>
    </row>
    <row r="1625" spans="15:21" x14ac:dyDescent="0.25">
      <c r="O1625"/>
      <c r="R1625"/>
      <c r="S1625"/>
      <c r="U1625"/>
    </row>
    <row r="1626" spans="15:21" x14ac:dyDescent="0.25">
      <c r="O1626"/>
      <c r="R1626"/>
      <c r="S1626"/>
      <c r="U1626"/>
    </row>
    <row r="1627" spans="15:21" x14ac:dyDescent="0.25">
      <c r="O1627"/>
      <c r="R1627"/>
      <c r="S1627"/>
      <c r="U1627"/>
    </row>
    <row r="1629" spans="15:21" x14ac:dyDescent="0.25">
      <c r="O1629"/>
      <c r="R1629"/>
      <c r="S1629"/>
      <c r="U1629"/>
    </row>
    <row r="1630" spans="15:21" x14ac:dyDescent="0.25">
      <c r="O1630"/>
      <c r="R1630"/>
      <c r="S1630"/>
      <c r="U1630"/>
    </row>
    <row r="1635" spans="15:21" x14ac:dyDescent="0.25">
      <c r="O1635"/>
      <c r="R1635"/>
      <c r="S1635"/>
      <c r="U1635"/>
    </row>
    <row r="1636" spans="15:21" x14ac:dyDescent="0.25">
      <c r="O1636"/>
      <c r="R1636"/>
      <c r="S1636"/>
      <c r="U1636"/>
    </row>
    <row r="1637" spans="15:21" x14ac:dyDescent="0.25">
      <c r="O1637"/>
      <c r="R1637"/>
      <c r="S1637"/>
      <c r="U1637"/>
    </row>
    <row r="1639" spans="15:21" x14ac:dyDescent="0.25">
      <c r="O1639"/>
      <c r="R1639"/>
      <c r="S1639"/>
      <c r="U1639"/>
    </row>
    <row r="1640" spans="15:21" x14ac:dyDescent="0.25">
      <c r="O1640"/>
      <c r="R1640"/>
      <c r="S1640"/>
      <c r="U1640"/>
    </row>
    <row r="1645" spans="15:21" x14ac:dyDescent="0.25">
      <c r="O1645"/>
      <c r="R1645"/>
      <c r="S1645"/>
      <c r="U1645"/>
    </row>
    <row r="1646" spans="15:21" x14ac:dyDescent="0.25">
      <c r="O1646"/>
      <c r="R1646"/>
      <c r="S1646"/>
      <c r="U1646"/>
    </row>
    <row r="1647" spans="15:21" x14ac:dyDescent="0.25">
      <c r="O1647"/>
      <c r="R1647"/>
      <c r="S1647"/>
      <c r="U1647"/>
    </row>
    <row r="1649" spans="15:21" x14ac:dyDescent="0.25">
      <c r="O1649"/>
      <c r="R1649"/>
      <c r="S1649"/>
      <c r="U1649"/>
    </row>
    <row r="1650" spans="15:21" x14ac:dyDescent="0.25">
      <c r="O1650"/>
      <c r="R1650"/>
      <c r="S1650"/>
      <c r="U1650"/>
    </row>
    <row r="1655" spans="15:21" x14ac:dyDescent="0.25">
      <c r="O1655"/>
      <c r="R1655"/>
      <c r="S1655"/>
      <c r="U1655"/>
    </row>
    <row r="1656" spans="15:21" x14ac:dyDescent="0.25">
      <c r="O1656"/>
      <c r="R1656"/>
      <c r="S1656"/>
      <c r="U1656"/>
    </row>
    <row r="1657" spans="15:21" x14ac:dyDescent="0.25">
      <c r="O1657"/>
      <c r="R1657"/>
      <c r="S1657"/>
      <c r="U1657"/>
    </row>
    <row r="1659" spans="15:21" x14ac:dyDescent="0.25">
      <c r="O1659"/>
      <c r="R1659"/>
      <c r="S1659"/>
      <c r="U1659"/>
    </row>
    <row r="1660" spans="15:21" x14ac:dyDescent="0.25">
      <c r="O1660"/>
      <c r="R1660"/>
      <c r="S1660"/>
      <c r="U1660"/>
    </row>
    <row r="1665" spans="15:21" x14ac:dyDescent="0.25">
      <c r="O1665"/>
      <c r="R1665"/>
      <c r="S1665"/>
      <c r="U1665"/>
    </row>
    <row r="1666" spans="15:21" x14ac:dyDescent="0.25">
      <c r="O1666"/>
      <c r="R1666"/>
      <c r="S1666"/>
      <c r="U1666"/>
    </row>
    <row r="1667" spans="15:21" x14ac:dyDescent="0.25">
      <c r="O1667"/>
      <c r="R1667"/>
      <c r="S1667"/>
      <c r="U1667"/>
    </row>
    <row r="1669" spans="15:21" x14ac:dyDescent="0.25">
      <c r="O1669"/>
      <c r="R1669"/>
      <c r="S1669"/>
      <c r="U1669"/>
    </row>
    <row r="1670" spans="15:21" x14ac:dyDescent="0.25">
      <c r="O1670"/>
      <c r="R1670"/>
      <c r="S1670"/>
      <c r="U1670"/>
    </row>
    <row r="1675" spans="15:21" x14ac:dyDescent="0.25">
      <c r="O1675"/>
      <c r="R1675"/>
      <c r="S1675"/>
      <c r="U1675"/>
    </row>
    <row r="1676" spans="15:21" x14ac:dyDescent="0.25">
      <c r="O1676"/>
      <c r="R1676"/>
      <c r="S1676"/>
      <c r="U1676"/>
    </row>
    <row r="1677" spans="15:21" x14ac:dyDescent="0.25">
      <c r="O1677"/>
      <c r="R1677"/>
      <c r="S1677"/>
      <c r="U1677"/>
    </row>
    <row r="1679" spans="15:21" x14ac:dyDescent="0.25">
      <c r="O1679"/>
      <c r="R1679"/>
      <c r="S1679"/>
      <c r="U1679"/>
    </row>
    <row r="1680" spans="15:21" x14ac:dyDescent="0.25">
      <c r="O1680"/>
      <c r="R1680"/>
      <c r="S1680"/>
      <c r="U1680"/>
    </row>
    <row r="1685" spans="15:21" x14ac:dyDescent="0.25">
      <c r="O1685"/>
      <c r="R1685"/>
      <c r="S1685"/>
      <c r="U1685"/>
    </row>
    <row r="1686" spans="15:21" x14ac:dyDescent="0.25">
      <c r="O1686"/>
      <c r="R1686"/>
      <c r="S1686"/>
      <c r="U1686"/>
    </row>
    <row r="1687" spans="15:21" x14ac:dyDescent="0.25">
      <c r="O1687"/>
      <c r="R1687"/>
      <c r="S1687"/>
      <c r="U1687"/>
    </row>
    <row r="1689" spans="15:21" x14ac:dyDescent="0.25">
      <c r="O1689"/>
      <c r="R1689"/>
      <c r="S1689"/>
      <c r="U1689"/>
    </row>
    <row r="1690" spans="15:21" x14ac:dyDescent="0.25">
      <c r="O1690"/>
      <c r="R1690"/>
      <c r="S1690"/>
      <c r="U1690"/>
    </row>
    <row r="1695" spans="15:21" x14ac:dyDescent="0.25">
      <c r="O1695"/>
      <c r="R1695"/>
      <c r="S1695"/>
      <c r="U1695"/>
    </row>
    <row r="1696" spans="15:21" x14ac:dyDescent="0.25">
      <c r="O1696"/>
      <c r="R1696"/>
      <c r="S1696"/>
      <c r="U1696"/>
    </row>
    <row r="1697" spans="15:21" x14ac:dyDescent="0.25">
      <c r="O1697"/>
      <c r="R1697"/>
      <c r="S1697"/>
      <c r="U1697"/>
    </row>
    <row r="1699" spans="15:21" x14ac:dyDescent="0.25">
      <c r="O1699"/>
      <c r="R1699"/>
      <c r="S1699"/>
      <c r="U1699"/>
    </row>
    <row r="1700" spans="15:21" x14ac:dyDescent="0.25">
      <c r="O1700"/>
      <c r="R1700"/>
      <c r="S1700"/>
      <c r="U1700"/>
    </row>
    <row r="1705" spans="15:21" x14ac:dyDescent="0.25">
      <c r="O1705"/>
      <c r="R1705"/>
      <c r="S1705"/>
      <c r="U1705"/>
    </row>
    <row r="1707" spans="15:21" x14ac:dyDescent="0.25">
      <c r="O1707"/>
      <c r="R1707"/>
      <c r="S1707"/>
      <c r="U1707"/>
    </row>
    <row r="1709" spans="15:21" x14ac:dyDescent="0.25">
      <c r="O1709"/>
      <c r="R1709"/>
      <c r="S1709"/>
      <c r="U1709"/>
    </row>
    <row r="1710" spans="15:21" x14ac:dyDescent="0.25">
      <c r="O1710"/>
      <c r="R1710"/>
      <c r="S1710"/>
      <c r="U1710"/>
    </row>
    <row r="1715" spans="15:21" x14ac:dyDescent="0.25">
      <c r="O1715"/>
      <c r="R1715"/>
      <c r="S1715"/>
      <c r="U1715"/>
    </row>
    <row r="1716" spans="15:21" x14ac:dyDescent="0.25">
      <c r="O1716"/>
      <c r="R1716"/>
      <c r="S1716"/>
      <c r="U1716"/>
    </row>
    <row r="1717" spans="15:21" x14ac:dyDescent="0.25">
      <c r="O1717"/>
      <c r="R1717"/>
      <c r="S1717"/>
      <c r="U1717"/>
    </row>
    <row r="1719" spans="15:21" x14ac:dyDescent="0.25">
      <c r="O1719"/>
      <c r="R1719"/>
      <c r="S1719"/>
      <c r="U1719"/>
    </row>
    <row r="1720" spans="15:21" x14ac:dyDescent="0.25">
      <c r="O1720"/>
      <c r="R1720"/>
      <c r="S1720"/>
      <c r="U1720"/>
    </row>
    <row r="1725" spans="15:21" x14ac:dyDescent="0.25">
      <c r="O1725"/>
      <c r="R1725"/>
      <c r="S1725"/>
      <c r="U1725"/>
    </row>
    <row r="1726" spans="15:21" x14ac:dyDescent="0.25">
      <c r="O1726"/>
      <c r="R1726"/>
      <c r="S1726"/>
      <c r="U1726"/>
    </row>
    <row r="1727" spans="15:21" x14ac:dyDescent="0.25">
      <c r="O1727"/>
      <c r="R1727"/>
      <c r="S1727"/>
      <c r="U1727"/>
    </row>
    <row r="1729" spans="15:21" x14ac:dyDescent="0.25">
      <c r="O1729"/>
      <c r="R1729"/>
      <c r="S1729"/>
      <c r="U1729"/>
    </row>
    <row r="1730" spans="15:21" x14ac:dyDescent="0.25">
      <c r="O1730"/>
      <c r="R1730"/>
      <c r="S1730"/>
      <c r="U1730"/>
    </row>
    <row r="1735" spans="15:21" x14ac:dyDescent="0.25">
      <c r="O1735"/>
      <c r="R1735"/>
      <c r="S1735"/>
      <c r="U1735"/>
    </row>
    <row r="1737" spans="15:21" x14ac:dyDescent="0.25">
      <c r="O1737"/>
      <c r="R1737"/>
      <c r="S1737"/>
      <c r="U1737"/>
    </row>
    <row r="1739" spans="15:21" x14ac:dyDescent="0.25">
      <c r="O1739"/>
      <c r="R1739"/>
      <c r="S1739"/>
      <c r="U1739"/>
    </row>
    <row r="1740" spans="15:21" x14ac:dyDescent="0.25">
      <c r="O1740"/>
      <c r="R1740"/>
      <c r="S1740"/>
      <c r="U1740"/>
    </row>
    <row r="1745" spans="15:21" x14ac:dyDescent="0.25">
      <c r="O1745"/>
      <c r="R1745"/>
      <c r="S1745"/>
      <c r="U1745"/>
    </row>
    <row r="1746" spans="15:21" x14ac:dyDescent="0.25">
      <c r="O1746"/>
      <c r="R1746"/>
      <c r="S1746"/>
      <c r="U1746"/>
    </row>
    <row r="1747" spans="15:21" x14ac:dyDescent="0.25">
      <c r="O1747"/>
      <c r="R1747"/>
      <c r="S1747"/>
      <c r="U1747"/>
    </row>
    <row r="1749" spans="15:21" x14ac:dyDescent="0.25">
      <c r="O1749"/>
      <c r="R1749"/>
      <c r="S1749"/>
      <c r="U1749"/>
    </row>
    <row r="1750" spans="15:21" x14ac:dyDescent="0.25">
      <c r="O1750"/>
      <c r="R1750"/>
      <c r="S1750"/>
      <c r="U1750"/>
    </row>
    <row r="1755" spans="15:21" x14ac:dyDescent="0.25">
      <c r="O1755"/>
      <c r="R1755"/>
      <c r="S1755"/>
      <c r="U1755"/>
    </row>
    <row r="1756" spans="15:21" x14ac:dyDescent="0.25">
      <c r="O1756"/>
      <c r="R1756"/>
      <c r="S1756"/>
      <c r="U1756"/>
    </row>
    <row r="1757" spans="15:21" x14ac:dyDescent="0.25">
      <c r="O1757"/>
      <c r="R1757"/>
      <c r="S1757"/>
      <c r="U1757"/>
    </row>
    <row r="1759" spans="15:21" x14ac:dyDescent="0.25">
      <c r="O1759"/>
      <c r="R1759"/>
      <c r="S1759"/>
      <c r="U1759"/>
    </row>
    <row r="1760" spans="15:21" x14ac:dyDescent="0.25">
      <c r="O1760"/>
      <c r="R1760"/>
      <c r="S1760"/>
      <c r="U1760"/>
    </row>
    <row r="1765" spans="15:21" x14ac:dyDescent="0.25">
      <c r="O1765"/>
      <c r="R1765"/>
      <c r="S1765"/>
      <c r="U1765"/>
    </row>
    <row r="1767" spans="15:21" x14ac:dyDescent="0.25">
      <c r="O1767"/>
      <c r="R1767"/>
      <c r="S1767"/>
      <c r="U1767"/>
    </row>
    <row r="1769" spans="15:21" x14ac:dyDescent="0.25">
      <c r="O1769"/>
      <c r="R1769"/>
      <c r="S1769"/>
      <c r="U1769"/>
    </row>
    <row r="1770" spans="15:21" x14ac:dyDescent="0.25">
      <c r="O1770"/>
      <c r="R1770"/>
      <c r="S1770"/>
      <c r="U1770"/>
    </row>
    <row r="1775" spans="15:21" x14ac:dyDescent="0.25">
      <c r="O1775"/>
      <c r="R1775"/>
      <c r="S1775"/>
      <c r="U1775"/>
    </row>
    <row r="1776" spans="15:21" x14ac:dyDescent="0.25">
      <c r="O1776"/>
      <c r="R1776"/>
      <c r="S1776"/>
      <c r="U1776"/>
    </row>
    <row r="1777" spans="15:21" x14ac:dyDescent="0.25">
      <c r="O1777"/>
      <c r="R1777"/>
      <c r="S1777"/>
      <c r="U1777"/>
    </row>
    <row r="1779" spans="15:21" x14ac:dyDescent="0.25">
      <c r="O1779"/>
      <c r="R1779"/>
      <c r="S1779"/>
      <c r="U1779"/>
    </row>
    <row r="1780" spans="15:21" x14ac:dyDescent="0.25">
      <c r="O1780"/>
      <c r="R1780"/>
      <c r="S1780"/>
      <c r="U1780"/>
    </row>
    <row r="1785" spans="15:21" x14ac:dyDescent="0.25">
      <c r="O1785"/>
      <c r="R1785"/>
      <c r="S1785"/>
      <c r="U1785"/>
    </row>
    <row r="1786" spans="15:21" x14ac:dyDescent="0.25">
      <c r="O1786"/>
      <c r="R1786"/>
      <c r="S1786"/>
      <c r="U1786"/>
    </row>
    <row r="1787" spans="15:21" x14ac:dyDescent="0.25">
      <c r="O1787"/>
      <c r="R1787"/>
      <c r="S1787"/>
      <c r="U1787"/>
    </row>
    <row r="1789" spans="15:21" x14ac:dyDescent="0.25">
      <c r="O1789"/>
      <c r="R1789"/>
      <c r="S1789"/>
      <c r="U1789"/>
    </row>
    <row r="1790" spans="15:21" x14ac:dyDescent="0.25">
      <c r="O1790"/>
      <c r="R1790"/>
      <c r="S1790"/>
      <c r="U1790"/>
    </row>
    <row r="1795" spans="15:21" x14ac:dyDescent="0.25">
      <c r="O1795"/>
      <c r="R1795"/>
      <c r="S1795"/>
      <c r="U1795"/>
    </row>
    <row r="1796" spans="15:21" x14ac:dyDescent="0.25">
      <c r="O1796"/>
      <c r="R1796"/>
      <c r="S1796"/>
      <c r="U1796"/>
    </row>
    <row r="1797" spans="15:21" x14ac:dyDescent="0.25">
      <c r="O1797"/>
      <c r="R1797"/>
      <c r="S1797"/>
      <c r="U1797"/>
    </row>
    <row r="1798" spans="15:21" x14ac:dyDescent="0.25">
      <c r="O1798"/>
      <c r="R1798"/>
      <c r="S1798"/>
      <c r="U1798"/>
    </row>
    <row r="1799" spans="15:21" x14ac:dyDescent="0.25">
      <c r="O1799"/>
      <c r="R1799"/>
      <c r="S1799"/>
      <c r="U1799"/>
    </row>
    <row r="1800" spans="15:21" x14ac:dyDescent="0.25">
      <c r="O1800"/>
      <c r="R1800"/>
      <c r="S1800"/>
      <c r="U1800"/>
    </row>
    <row r="1805" spans="15:21" x14ac:dyDescent="0.25">
      <c r="O1805"/>
      <c r="R1805"/>
      <c r="S1805"/>
      <c r="U1805"/>
    </row>
    <row r="1806" spans="15:21" x14ac:dyDescent="0.25">
      <c r="O1806"/>
      <c r="R1806"/>
      <c r="S1806"/>
      <c r="U1806"/>
    </row>
    <row r="1807" spans="15:21" x14ac:dyDescent="0.25">
      <c r="O1807"/>
      <c r="R1807"/>
      <c r="S1807"/>
      <c r="U1807"/>
    </row>
    <row r="1809" spans="15:21" x14ac:dyDescent="0.25">
      <c r="O1809"/>
      <c r="R1809"/>
      <c r="S1809"/>
      <c r="U1809"/>
    </row>
    <row r="1810" spans="15:21" x14ac:dyDescent="0.25">
      <c r="O1810"/>
      <c r="R1810"/>
      <c r="S1810"/>
      <c r="U1810"/>
    </row>
    <row r="1815" spans="15:21" x14ac:dyDescent="0.25">
      <c r="O1815"/>
      <c r="R1815"/>
      <c r="S1815"/>
      <c r="U1815"/>
    </row>
    <row r="1817" spans="15:21" x14ac:dyDescent="0.25">
      <c r="O1817"/>
      <c r="R1817"/>
      <c r="S1817"/>
      <c r="U1817"/>
    </row>
    <row r="1819" spans="15:21" x14ac:dyDescent="0.25">
      <c r="O1819"/>
      <c r="R1819"/>
      <c r="S1819"/>
      <c r="U1819"/>
    </row>
    <row r="1820" spans="15:21" x14ac:dyDescent="0.25">
      <c r="O1820"/>
      <c r="R1820"/>
      <c r="S1820"/>
      <c r="U1820"/>
    </row>
    <row r="1825" spans="15:21" x14ac:dyDescent="0.25">
      <c r="O1825"/>
      <c r="R1825"/>
      <c r="S1825"/>
      <c r="U1825"/>
    </row>
    <row r="1827" spans="15:21" x14ac:dyDescent="0.25">
      <c r="O1827"/>
      <c r="R1827"/>
      <c r="S1827"/>
      <c r="U1827"/>
    </row>
    <row r="1829" spans="15:21" x14ac:dyDescent="0.25">
      <c r="O1829"/>
      <c r="R1829"/>
      <c r="S1829"/>
      <c r="U1829"/>
    </row>
    <row r="1830" spans="15:21" x14ac:dyDescent="0.25">
      <c r="O1830"/>
      <c r="R1830"/>
      <c r="S1830"/>
      <c r="U1830"/>
    </row>
    <row r="1835" spans="15:21" x14ac:dyDescent="0.25">
      <c r="O1835"/>
      <c r="R1835"/>
      <c r="S1835"/>
      <c r="U1835"/>
    </row>
    <row r="1837" spans="15:21" x14ac:dyDescent="0.25">
      <c r="O1837"/>
      <c r="R1837"/>
      <c r="S1837"/>
      <c r="U1837"/>
    </row>
    <row r="1839" spans="15:21" x14ac:dyDescent="0.25">
      <c r="O1839"/>
      <c r="R1839"/>
      <c r="S1839"/>
      <c r="U1839"/>
    </row>
    <row r="1840" spans="15:21" x14ac:dyDescent="0.25">
      <c r="O1840"/>
      <c r="R1840"/>
      <c r="S1840"/>
      <c r="U1840"/>
    </row>
    <row r="1845" spans="15:21" x14ac:dyDescent="0.25">
      <c r="O1845"/>
      <c r="R1845"/>
      <c r="S1845"/>
      <c r="U1845"/>
    </row>
    <row r="1846" spans="15:21" x14ac:dyDescent="0.25">
      <c r="O1846"/>
      <c r="R1846"/>
      <c r="S1846"/>
      <c r="U1846"/>
    </row>
    <row r="1847" spans="15:21" x14ac:dyDescent="0.25">
      <c r="O1847"/>
      <c r="R1847"/>
      <c r="S1847"/>
      <c r="U1847"/>
    </row>
    <row r="1849" spans="15:21" x14ac:dyDescent="0.25">
      <c r="O1849"/>
      <c r="R1849"/>
      <c r="S1849"/>
      <c r="U1849"/>
    </row>
    <row r="1850" spans="15:21" x14ac:dyDescent="0.25">
      <c r="O1850"/>
      <c r="R1850"/>
      <c r="S1850"/>
      <c r="U1850"/>
    </row>
    <row r="1855" spans="15:21" x14ac:dyDescent="0.25">
      <c r="O1855"/>
      <c r="R1855"/>
      <c r="S1855"/>
      <c r="U1855"/>
    </row>
    <row r="1856" spans="15:21" x14ac:dyDescent="0.25">
      <c r="O1856"/>
      <c r="R1856"/>
      <c r="S1856"/>
      <c r="U1856"/>
    </row>
    <row r="1857" spans="15:21" x14ac:dyDescent="0.25">
      <c r="O1857"/>
      <c r="R1857"/>
      <c r="S1857"/>
      <c r="U1857"/>
    </row>
    <row r="1859" spans="15:21" x14ac:dyDescent="0.25">
      <c r="O1859"/>
      <c r="R1859"/>
      <c r="S1859"/>
      <c r="U1859"/>
    </row>
    <row r="1860" spans="15:21" x14ac:dyDescent="0.25">
      <c r="O1860"/>
      <c r="R1860"/>
      <c r="S1860"/>
      <c r="U1860"/>
    </row>
    <row r="1865" spans="15:21" x14ac:dyDescent="0.25">
      <c r="O1865"/>
      <c r="R1865"/>
      <c r="S1865"/>
      <c r="U1865"/>
    </row>
    <row r="1866" spans="15:21" x14ac:dyDescent="0.25">
      <c r="O1866"/>
      <c r="R1866"/>
      <c r="S1866"/>
      <c r="U1866"/>
    </row>
    <row r="1867" spans="15:21" x14ac:dyDescent="0.25">
      <c r="O1867"/>
      <c r="R1867"/>
      <c r="S1867"/>
      <c r="U1867"/>
    </row>
    <row r="1869" spans="15:21" x14ac:dyDescent="0.25">
      <c r="O1869"/>
      <c r="R1869"/>
      <c r="S1869"/>
      <c r="U1869"/>
    </row>
    <row r="1870" spans="15:21" x14ac:dyDescent="0.25">
      <c r="O1870"/>
      <c r="R1870"/>
      <c r="S1870"/>
      <c r="U1870"/>
    </row>
    <row r="1875" spans="15:21" x14ac:dyDescent="0.25">
      <c r="O1875"/>
      <c r="R1875"/>
      <c r="S1875"/>
      <c r="U1875"/>
    </row>
    <row r="1876" spans="15:21" x14ac:dyDescent="0.25">
      <c r="O1876"/>
      <c r="R1876"/>
      <c r="S1876"/>
      <c r="U1876"/>
    </row>
    <row r="1877" spans="15:21" x14ac:dyDescent="0.25">
      <c r="O1877"/>
      <c r="R1877"/>
      <c r="S1877"/>
      <c r="U1877"/>
    </row>
    <row r="1879" spans="15:21" x14ac:dyDescent="0.25">
      <c r="O1879"/>
      <c r="R1879"/>
      <c r="S1879"/>
      <c r="U1879"/>
    </row>
    <row r="1880" spans="15:21" x14ac:dyDescent="0.25">
      <c r="O1880"/>
      <c r="R1880"/>
      <c r="S1880"/>
      <c r="U1880"/>
    </row>
    <row r="1885" spans="15:21" x14ac:dyDescent="0.25">
      <c r="O1885"/>
      <c r="R1885"/>
      <c r="S1885"/>
      <c r="U1885"/>
    </row>
    <row r="1886" spans="15:21" x14ac:dyDescent="0.25">
      <c r="O1886"/>
      <c r="R1886"/>
      <c r="S1886"/>
      <c r="U1886"/>
    </row>
    <row r="1887" spans="15:21" x14ac:dyDescent="0.25">
      <c r="O1887"/>
      <c r="R1887"/>
      <c r="S1887"/>
      <c r="U1887"/>
    </row>
    <row r="1889" spans="15:21" x14ac:dyDescent="0.25">
      <c r="O1889"/>
      <c r="R1889"/>
      <c r="S1889"/>
      <c r="U1889"/>
    </row>
    <row r="1890" spans="15:21" x14ac:dyDescent="0.25">
      <c r="O1890"/>
      <c r="R1890"/>
      <c r="S1890"/>
      <c r="U1890"/>
    </row>
    <row r="1895" spans="15:21" x14ac:dyDescent="0.25">
      <c r="O1895"/>
      <c r="R1895"/>
      <c r="S1895"/>
      <c r="U1895"/>
    </row>
    <row r="1896" spans="15:21" x14ac:dyDescent="0.25">
      <c r="O1896"/>
      <c r="R1896"/>
      <c r="S1896"/>
      <c r="U1896"/>
    </row>
    <row r="1897" spans="15:21" x14ac:dyDescent="0.25">
      <c r="O1897"/>
      <c r="R1897"/>
      <c r="S1897"/>
      <c r="U1897"/>
    </row>
    <row r="1899" spans="15:21" x14ac:dyDescent="0.25">
      <c r="O1899"/>
      <c r="R1899"/>
      <c r="S1899"/>
      <c r="U1899"/>
    </row>
    <row r="1900" spans="15:21" x14ac:dyDescent="0.25">
      <c r="O1900"/>
      <c r="R1900"/>
      <c r="S1900"/>
      <c r="U1900"/>
    </row>
    <row r="1905" spans="15:21" x14ac:dyDescent="0.25">
      <c r="O1905"/>
      <c r="R1905"/>
      <c r="S1905"/>
      <c r="U1905"/>
    </row>
    <row r="1907" spans="15:21" x14ac:dyDescent="0.25">
      <c r="O1907"/>
      <c r="R1907"/>
      <c r="S1907"/>
      <c r="U1907"/>
    </row>
    <row r="1909" spans="15:21" x14ac:dyDescent="0.25">
      <c r="O1909"/>
      <c r="R1909"/>
      <c r="S1909"/>
      <c r="U1909"/>
    </row>
    <row r="1910" spans="15:21" x14ac:dyDescent="0.25">
      <c r="O1910"/>
      <c r="R1910"/>
      <c r="S1910"/>
      <c r="U1910"/>
    </row>
    <row r="1915" spans="15:21" x14ac:dyDescent="0.25">
      <c r="O1915"/>
      <c r="R1915"/>
      <c r="S1915"/>
      <c r="U1915"/>
    </row>
    <row r="1916" spans="15:21" x14ac:dyDescent="0.25">
      <c r="O1916"/>
      <c r="R1916"/>
      <c r="S1916"/>
      <c r="U1916"/>
    </row>
    <row r="1917" spans="15:21" x14ac:dyDescent="0.25">
      <c r="O1917"/>
      <c r="R1917"/>
      <c r="S1917"/>
      <c r="U1917"/>
    </row>
    <row r="1919" spans="15:21" x14ac:dyDescent="0.25">
      <c r="O1919"/>
      <c r="R1919"/>
      <c r="S1919"/>
      <c r="U1919"/>
    </row>
    <row r="1920" spans="15:21" x14ac:dyDescent="0.25">
      <c r="O1920"/>
      <c r="R1920"/>
      <c r="S1920"/>
      <c r="U1920"/>
    </row>
    <row r="1925" spans="15:21" x14ac:dyDescent="0.25">
      <c r="O1925"/>
      <c r="R1925"/>
      <c r="S1925"/>
      <c r="U1925"/>
    </row>
    <row r="1926" spans="15:21" x14ac:dyDescent="0.25">
      <c r="O1926"/>
      <c r="R1926"/>
      <c r="S1926"/>
      <c r="U1926"/>
    </row>
    <row r="1927" spans="15:21" x14ac:dyDescent="0.25">
      <c r="O1927"/>
      <c r="R1927"/>
      <c r="S1927"/>
      <c r="U1927"/>
    </row>
    <row r="1929" spans="15:21" x14ac:dyDescent="0.25">
      <c r="O1929"/>
      <c r="R1929"/>
      <c r="S1929"/>
      <c r="U1929"/>
    </row>
    <row r="1930" spans="15:21" x14ac:dyDescent="0.25">
      <c r="O1930"/>
      <c r="R1930"/>
      <c r="S1930"/>
      <c r="U1930"/>
    </row>
    <row r="1935" spans="15:21" x14ac:dyDescent="0.25">
      <c r="O1935"/>
      <c r="R1935"/>
      <c r="S1935"/>
      <c r="U1935"/>
    </row>
    <row r="1936" spans="15:21" x14ac:dyDescent="0.25">
      <c r="O1936"/>
      <c r="R1936"/>
      <c r="S1936"/>
      <c r="U1936"/>
    </row>
    <row r="1937" spans="15:21" x14ac:dyDescent="0.25">
      <c r="O1937"/>
      <c r="R1937"/>
      <c r="S1937"/>
      <c r="U1937"/>
    </row>
    <row r="1939" spans="15:21" x14ac:dyDescent="0.25">
      <c r="O1939"/>
      <c r="R1939"/>
      <c r="S1939"/>
      <c r="U1939"/>
    </row>
    <row r="1940" spans="15:21" x14ac:dyDescent="0.25">
      <c r="O1940"/>
      <c r="R1940"/>
      <c r="S1940"/>
      <c r="U1940"/>
    </row>
    <row r="1945" spans="15:21" x14ac:dyDescent="0.25">
      <c r="O1945"/>
      <c r="R1945"/>
      <c r="S1945"/>
      <c r="U1945"/>
    </row>
    <row r="1946" spans="15:21" x14ac:dyDescent="0.25">
      <c r="O1946"/>
      <c r="R1946"/>
      <c r="S1946"/>
      <c r="U1946"/>
    </row>
    <row r="1947" spans="15:21" x14ac:dyDescent="0.25">
      <c r="O1947"/>
      <c r="R1947"/>
      <c r="S1947"/>
      <c r="U1947"/>
    </row>
    <row r="1948" spans="15:21" x14ac:dyDescent="0.25">
      <c r="O1948"/>
      <c r="R1948"/>
      <c r="S1948"/>
      <c r="U1948"/>
    </row>
    <row r="1949" spans="15:21" x14ac:dyDescent="0.25">
      <c r="O1949"/>
      <c r="R1949"/>
      <c r="S1949"/>
      <c r="U1949"/>
    </row>
    <row r="1950" spans="15:21" x14ac:dyDescent="0.25">
      <c r="O1950"/>
      <c r="R1950"/>
      <c r="S1950"/>
      <c r="U1950"/>
    </row>
    <row r="1955" spans="15:21" x14ac:dyDescent="0.25">
      <c r="O1955"/>
      <c r="R1955"/>
      <c r="S1955"/>
      <c r="U1955"/>
    </row>
    <row r="1957" spans="15:21" x14ac:dyDescent="0.25">
      <c r="O1957"/>
      <c r="R1957"/>
      <c r="S1957"/>
      <c r="U1957"/>
    </row>
    <row r="1959" spans="15:21" x14ac:dyDescent="0.25">
      <c r="O1959"/>
      <c r="R1959"/>
      <c r="S1959"/>
      <c r="U1959"/>
    </row>
    <row r="1960" spans="15:21" x14ac:dyDescent="0.25">
      <c r="O1960"/>
      <c r="R1960"/>
      <c r="S1960"/>
      <c r="U1960"/>
    </row>
    <row r="1965" spans="15:21" x14ac:dyDescent="0.25">
      <c r="O1965"/>
      <c r="R1965"/>
      <c r="S1965"/>
      <c r="U1965"/>
    </row>
    <row r="1966" spans="15:21" x14ac:dyDescent="0.25">
      <c r="O1966"/>
      <c r="R1966"/>
      <c r="S1966"/>
      <c r="U1966"/>
    </row>
    <row r="1967" spans="15:21" x14ac:dyDescent="0.25">
      <c r="O1967"/>
      <c r="R1967"/>
      <c r="S1967"/>
      <c r="U1967"/>
    </row>
    <row r="1969" spans="15:21" x14ac:dyDescent="0.25">
      <c r="O1969"/>
      <c r="R1969"/>
      <c r="S1969"/>
      <c r="U1969"/>
    </row>
    <row r="1970" spans="15:21" x14ac:dyDescent="0.25">
      <c r="O1970"/>
      <c r="R1970"/>
      <c r="S1970"/>
      <c r="U1970"/>
    </row>
    <row r="1975" spans="15:21" x14ac:dyDescent="0.25">
      <c r="O1975"/>
      <c r="R1975"/>
      <c r="S1975"/>
      <c r="U1975"/>
    </row>
    <row r="1976" spans="15:21" x14ac:dyDescent="0.25">
      <c r="O1976"/>
      <c r="R1976"/>
      <c r="S1976"/>
      <c r="U1976"/>
    </row>
    <row r="1977" spans="15:21" x14ac:dyDescent="0.25">
      <c r="O1977"/>
      <c r="R1977"/>
      <c r="S1977"/>
      <c r="U1977"/>
    </row>
    <row r="1979" spans="15:21" x14ac:dyDescent="0.25">
      <c r="O1979"/>
      <c r="R1979"/>
      <c r="S1979"/>
      <c r="U1979"/>
    </row>
    <row r="1980" spans="15:21" x14ac:dyDescent="0.25">
      <c r="O1980"/>
      <c r="R1980"/>
      <c r="S1980"/>
      <c r="U1980"/>
    </row>
    <row r="1985" spans="15:21" x14ac:dyDescent="0.25">
      <c r="O1985"/>
      <c r="R1985"/>
      <c r="S1985"/>
      <c r="U1985"/>
    </row>
    <row r="1987" spans="15:21" x14ac:dyDescent="0.25">
      <c r="O1987"/>
      <c r="R1987"/>
      <c r="S1987"/>
      <c r="U1987"/>
    </row>
    <row r="1989" spans="15:21" x14ac:dyDescent="0.25">
      <c r="O1989"/>
      <c r="R1989"/>
      <c r="S1989"/>
      <c r="U1989"/>
    </row>
    <row r="1990" spans="15:21" x14ac:dyDescent="0.25">
      <c r="O1990"/>
      <c r="R1990"/>
      <c r="S1990"/>
      <c r="U1990"/>
    </row>
    <row r="1996" spans="15:21" x14ac:dyDescent="0.25">
      <c r="O1996"/>
      <c r="R1996"/>
      <c r="S1996"/>
      <c r="U1996"/>
    </row>
    <row r="1997" spans="15:21" x14ac:dyDescent="0.25">
      <c r="O1997"/>
      <c r="R1997"/>
      <c r="S1997"/>
      <c r="U1997"/>
    </row>
    <row r="1998" spans="15:21" x14ac:dyDescent="0.25">
      <c r="O1998"/>
      <c r="R1998"/>
      <c r="S1998"/>
      <c r="U1998"/>
    </row>
    <row r="1999" spans="15:21" x14ac:dyDescent="0.25">
      <c r="O1999"/>
      <c r="R1999"/>
      <c r="S1999"/>
      <c r="U1999"/>
    </row>
    <row r="2000" spans="15:21" x14ac:dyDescent="0.25">
      <c r="O2000"/>
      <c r="R2000"/>
      <c r="S2000"/>
      <c r="U2000"/>
    </row>
    <row r="2005" spans="15:21" x14ac:dyDescent="0.25">
      <c r="O2005"/>
      <c r="R2005"/>
      <c r="S2005"/>
      <c r="U2005"/>
    </row>
    <row r="2006" spans="15:21" x14ac:dyDescent="0.25">
      <c r="O2006"/>
      <c r="R2006"/>
      <c r="S2006"/>
      <c r="U2006"/>
    </row>
    <row r="2007" spans="15:21" x14ac:dyDescent="0.25">
      <c r="O2007"/>
      <c r="R2007"/>
      <c r="S2007"/>
      <c r="U2007"/>
    </row>
    <row r="2009" spans="15:21" x14ac:dyDescent="0.25">
      <c r="O2009"/>
      <c r="R2009"/>
      <c r="S2009"/>
      <c r="U2009"/>
    </row>
    <row r="2010" spans="15:21" x14ac:dyDescent="0.25">
      <c r="O2010"/>
      <c r="R2010"/>
      <c r="S2010"/>
      <c r="U2010"/>
    </row>
    <row r="2015" spans="15:21" x14ac:dyDescent="0.25">
      <c r="O2015"/>
      <c r="R2015"/>
      <c r="S2015"/>
      <c r="U2015"/>
    </row>
    <row r="2016" spans="15:21" x14ac:dyDescent="0.25">
      <c r="O2016"/>
      <c r="R2016"/>
      <c r="S2016"/>
      <c r="U2016"/>
    </row>
    <row r="2017" spans="15:21" x14ac:dyDescent="0.25">
      <c r="O2017"/>
      <c r="R2017"/>
      <c r="S2017"/>
      <c r="U2017"/>
    </row>
    <row r="2019" spans="15:21" x14ac:dyDescent="0.25">
      <c r="O2019"/>
      <c r="R2019"/>
      <c r="S2019"/>
      <c r="U2019"/>
    </row>
    <row r="2020" spans="15:21" x14ac:dyDescent="0.25">
      <c r="O2020"/>
      <c r="R2020"/>
      <c r="S2020"/>
      <c r="U2020"/>
    </row>
    <row r="2025" spans="15:21" x14ac:dyDescent="0.25">
      <c r="O2025"/>
      <c r="R2025"/>
      <c r="S2025"/>
      <c r="U2025"/>
    </row>
    <row r="2027" spans="15:21" x14ac:dyDescent="0.25">
      <c r="O2027"/>
      <c r="R2027"/>
      <c r="S2027"/>
      <c r="U2027"/>
    </row>
    <row r="2029" spans="15:21" x14ac:dyDescent="0.25">
      <c r="O2029"/>
      <c r="R2029"/>
      <c r="S2029"/>
      <c r="U2029"/>
    </row>
    <row r="2030" spans="15:21" x14ac:dyDescent="0.25">
      <c r="O2030"/>
      <c r="R2030"/>
      <c r="S2030"/>
      <c r="U2030"/>
    </row>
    <row r="2035" spans="15:21" x14ac:dyDescent="0.25">
      <c r="O2035"/>
      <c r="R2035"/>
      <c r="S2035"/>
      <c r="U2035"/>
    </row>
    <row r="2037" spans="15:21" x14ac:dyDescent="0.25">
      <c r="O2037"/>
      <c r="R2037"/>
      <c r="S2037"/>
      <c r="U2037"/>
    </row>
    <row r="2039" spans="15:21" x14ac:dyDescent="0.25">
      <c r="O2039"/>
      <c r="R2039"/>
      <c r="S2039"/>
      <c r="U2039"/>
    </row>
    <row r="2040" spans="15:21" x14ac:dyDescent="0.25">
      <c r="O2040"/>
      <c r="R2040"/>
      <c r="S2040"/>
      <c r="U2040"/>
    </row>
    <row r="2046" spans="15:21" x14ac:dyDescent="0.25">
      <c r="O2046"/>
      <c r="R2046"/>
      <c r="S2046"/>
      <c r="U2046"/>
    </row>
    <row r="2047" spans="15:21" x14ac:dyDescent="0.25">
      <c r="O2047"/>
      <c r="R2047"/>
      <c r="S2047"/>
      <c r="U2047"/>
    </row>
    <row r="2048" spans="15:21" x14ac:dyDescent="0.25">
      <c r="O2048"/>
      <c r="R2048"/>
      <c r="S2048"/>
      <c r="U2048"/>
    </row>
    <row r="2049" spans="15:21" x14ac:dyDescent="0.25">
      <c r="O2049"/>
      <c r="R2049"/>
      <c r="S2049"/>
      <c r="U2049"/>
    </row>
    <row r="2050" spans="15:21" x14ac:dyDescent="0.25">
      <c r="O2050"/>
      <c r="R2050"/>
      <c r="S2050"/>
      <c r="U2050"/>
    </row>
    <row r="2055" spans="15:21" x14ac:dyDescent="0.25">
      <c r="O2055"/>
      <c r="R2055"/>
      <c r="S2055"/>
      <c r="U2055"/>
    </row>
    <row r="2056" spans="15:21" x14ac:dyDescent="0.25">
      <c r="O2056"/>
      <c r="R2056"/>
      <c r="S2056"/>
      <c r="U2056"/>
    </row>
    <row r="2057" spans="15:21" x14ac:dyDescent="0.25">
      <c r="O2057"/>
      <c r="R2057"/>
      <c r="S2057"/>
      <c r="U2057"/>
    </row>
    <row r="2059" spans="15:21" x14ac:dyDescent="0.25">
      <c r="O2059"/>
      <c r="R2059"/>
      <c r="S2059"/>
      <c r="U2059"/>
    </row>
    <row r="2060" spans="15:21" x14ac:dyDescent="0.25">
      <c r="O2060"/>
      <c r="R2060"/>
      <c r="S2060"/>
      <c r="U2060"/>
    </row>
    <row r="2065" spans="15:21" x14ac:dyDescent="0.25">
      <c r="O2065"/>
      <c r="R2065"/>
      <c r="S2065"/>
      <c r="U2065"/>
    </row>
    <row r="2067" spans="15:21" x14ac:dyDescent="0.25">
      <c r="O2067"/>
      <c r="R2067"/>
      <c r="S2067"/>
      <c r="U2067"/>
    </row>
    <row r="2069" spans="15:21" x14ac:dyDescent="0.25">
      <c r="O2069"/>
      <c r="R2069"/>
      <c r="S2069"/>
      <c r="U2069"/>
    </row>
    <row r="2070" spans="15:21" x14ac:dyDescent="0.25">
      <c r="O2070"/>
      <c r="R2070"/>
      <c r="S2070"/>
      <c r="U2070"/>
    </row>
    <row r="2075" spans="15:21" x14ac:dyDescent="0.25">
      <c r="O2075"/>
      <c r="R2075"/>
      <c r="S2075"/>
      <c r="U2075"/>
    </row>
    <row r="2077" spans="15:21" x14ac:dyDescent="0.25">
      <c r="O2077"/>
      <c r="R2077"/>
      <c r="S2077"/>
      <c r="U2077"/>
    </row>
    <row r="2079" spans="15:21" x14ac:dyDescent="0.25">
      <c r="O2079"/>
      <c r="R2079"/>
      <c r="S2079"/>
      <c r="U2079"/>
    </row>
    <row r="2080" spans="15:21" x14ac:dyDescent="0.25">
      <c r="O2080"/>
      <c r="R2080"/>
      <c r="S2080"/>
      <c r="U2080"/>
    </row>
    <row r="2085" spans="15:21" x14ac:dyDescent="0.25">
      <c r="O2085"/>
      <c r="R2085"/>
      <c r="S2085"/>
      <c r="U2085"/>
    </row>
    <row r="2086" spans="15:21" x14ac:dyDescent="0.25">
      <c r="O2086"/>
      <c r="R2086"/>
      <c r="S2086"/>
      <c r="U2086"/>
    </row>
    <row r="2087" spans="15:21" x14ac:dyDescent="0.25">
      <c r="O2087"/>
      <c r="R2087"/>
      <c r="S2087"/>
      <c r="U2087"/>
    </row>
    <row r="2089" spans="15:21" x14ac:dyDescent="0.25">
      <c r="O2089"/>
      <c r="R2089"/>
      <c r="S2089"/>
      <c r="U2089"/>
    </row>
    <row r="2090" spans="15:21" x14ac:dyDescent="0.25">
      <c r="O2090"/>
      <c r="R2090"/>
      <c r="S2090"/>
      <c r="U2090"/>
    </row>
    <row r="2095" spans="15:21" x14ac:dyDescent="0.25">
      <c r="O2095"/>
      <c r="R2095"/>
      <c r="S2095"/>
      <c r="U2095"/>
    </row>
    <row r="2096" spans="15:21" x14ac:dyDescent="0.25">
      <c r="O2096"/>
      <c r="R2096"/>
      <c r="S2096"/>
      <c r="U2096"/>
    </row>
    <row r="2097" spans="15:21" x14ac:dyDescent="0.25">
      <c r="O2097"/>
      <c r="R2097"/>
      <c r="S2097"/>
      <c r="U2097"/>
    </row>
    <row r="2098" spans="15:21" x14ac:dyDescent="0.25">
      <c r="O2098"/>
      <c r="R2098"/>
      <c r="S2098"/>
      <c r="U2098"/>
    </row>
    <row r="2099" spans="15:21" x14ac:dyDescent="0.25">
      <c r="O2099"/>
      <c r="R2099"/>
      <c r="S2099"/>
      <c r="U2099"/>
    </row>
    <row r="2100" spans="15:21" x14ac:dyDescent="0.25">
      <c r="O2100"/>
      <c r="R2100"/>
      <c r="S2100"/>
      <c r="U2100"/>
    </row>
    <row r="2105" spans="15:21" x14ac:dyDescent="0.25">
      <c r="O2105"/>
      <c r="R2105"/>
      <c r="S2105"/>
      <c r="U2105"/>
    </row>
    <row r="2107" spans="15:21" x14ac:dyDescent="0.25">
      <c r="O2107"/>
      <c r="R2107"/>
      <c r="S2107"/>
      <c r="U2107"/>
    </row>
    <row r="2109" spans="15:21" x14ac:dyDescent="0.25">
      <c r="O2109"/>
      <c r="R2109"/>
      <c r="S2109"/>
      <c r="U2109"/>
    </row>
    <row r="2110" spans="15:21" x14ac:dyDescent="0.25">
      <c r="O2110"/>
      <c r="R2110"/>
      <c r="S2110"/>
      <c r="U2110"/>
    </row>
    <row r="2115" spans="15:21" x14ac:dyDescent="0.25">
      <c r="O2115"/>
      <c r="R2115"/>
      <c r="S2115"/>
      <c r="U2115"/>
    </row>
    <row r="2116" spans="15:21" x14ac:dyDescent="0.25">
      <c r="O2116"/>
      <c r="R2116"/>
      <c r="S2116"/>
      <c r="U2116"/>
    </row>
    <row r="2117" spans="15:21" x14ac:dyDescent="0.25">
      <c r="O2117"/>
      <c r="R2117"/>
      <c r="S2117"/>
      <c r="U2117"/>
    </row>
    <row r="2119" spans="15:21" x14ac:dyDescent="0.25">
      <c r="O2119"/>
      <c r="R2119"/>
      <c r="S2119"/>
      <c r="U2119"/>
    </row>
    <row r="2120" spans="15:21" x14ac:dyDescent="0.25">
      <c r="O2120"/>
      <c r="R2120"/>
      <c r="S2120"/>
      <c r="U2120"/>
    </row>
    <row r="2125" spans="15:21" x14ac:dyDescent="0.25">
      <c r="O2125"/>
      <c r="R2125"/>
      <c r="S2125"/>
      <c r="U2125"/>
    </row>
    <row r="2126" spans="15:21" x14ac:dyDescent="0.25">
      <c r="O2126"/>
      <c r="R2126"/>
      <c r="S2126"/>
      <c r="U2126"/>
    </row>
    <row r="2127" spans="15:21" x14ac:dyDescent="0.25">
      <c r="O2127"/>
      <c r="R2127"/>
      <c r="S2127"/>
      <c r="U2127"/>
    </row>
    <row r="2129" spans="15:21" x14ac:dyDescent="0.25">
      <c r="O2129"/>
      <c r="R2129"/>
      <c r="S2129"/>
      <c r="U2129"/>
    </row>
    <row r="2130" spans="15:21" x14ac:dyDescent="0.25">
      <c r="O2130"/>
      <c r="R2130"/>
      <c r="S2130"/>
      <c r="U2130"/>
    </row>
    <row r="2135" spans="15:21" x14ac:dyDescent="0.25">
      <c r="O2135"/>
      <c r="R2135"/>
      <c r="S2135"/>
      <c r="U2135"/>
    </row>
    <row r="2136" spans="15:21" x14ac:dyDescent="0.25">
      <c r="O2136"/>
      <c r="R2136"/>
      <c r="S2136"/>
      <c r="U2136"/>
    </row>
    <row r="2137" spans="15:21" x14ac:dyDescent="0.25">
      <c r="O2137"/>
      <c r="R2137"/>
      <c r="S2137"/>
      <c r="U2137"/>
    </row>
    <row r="2139" spans="15:21" x14ac:dyDescent="0.25">
      <c r="O2139"/>
      <c r="R2139"/>
      <c r="S2139"/>
      <c r="U2139"/>
    </row>
    <row r="2140" spans="15:21" x14ac:dyDescent="0.25">
      <c r="O2140"/>
      <c r="R2140"/>
      <c r="S2140"/>
      <c r="U2140"/>
    </row>
    <row r="2146" spans="15:21" x14ac:dyDescent="0.25">
      <c r="O2146"/>
      <c r="R2146"/>
      <c r="S2146"/>
      <c r="U2146"/>
    </row>
    <row r="2147" spans="15:21" x14ac:dyDescent="0.25">
      <c r="O2147"/>
      <c r="R2147"/>
      <c r="S2147"/>
      <c r="U2147"/>
    </row>
    <row r="2148" spans="15:21" x14ac:dyDescent="0.25">
      <c r="O2148"/>
      <c r="R2148"/>
      <c r="S2148"/>
      <c r="U2148"/>
    </row>
    <row r="2149" spans="15:21" x14ac:dyDescent="0.25">
      <c r="O2149"/>
      <c r="R2149"/>
      <c r="S2149"/>
      <c r="U2149"/>
    </row>
    <row r="2150" spans="15:21" x14ac:dyDescent="0.25">
      <c r="O2150"/>
      <c r="R2150"/>
      <c r="S2150"/>
      <c r="U2150"/>
    </row>
    <row r="2155" spans="15:21" x14ac:dyDescent="0.25">
      <c r="O2155"/>
      <c r="R2155"/>
      <c r="S2155"/>
      <c r="U2155"/>
    </row>
    <row r="2156" spans="15:21" x14ac:dyDescent="0.25">
      <c r="O2156"/>
      <c r="R2156"/>
      <c r="S2156"/>
      <c r="U2156"/>
    </row>
    <row r="2157" spans="15:21" x14ac:dyDescent="0.25">
      <c r="O2157"/>
      <c r="R2157"/>
      <c r="S2157"/>
      <c r="U2157"/>
    </row>
    <row r="2159" spans="15:21" x14ac:dyDescent="0.25">
      <c r="O2159"/>
      <c r="R2159"/>
      <c r="S2159"/>
      <c r="U2159"/>
    </row>
    <row r="2160" spans="15:21" x14ac:dyDescent="0.25">
      <c r="O2160"/>
      <c r="R2160"/>
      <c r="S2160"/>
      <c r="U2160"/>
    </row>
    <row r="2165" spans="15:21" x14ac:dyDescent="0.25">
      <c r="O2165"/>
      <c r="R2165"/>
      <c r="S2165"/>
      <c r="U2165"/>
    </row>
    <row r="2166" spans="15:21" x14ac:dyDescent="0.25">
      <c r="O2166"/>
      <c r="R2166"/>
      <c r="S2166"/>
      <c r="U2166"/>
    </row>
    <row r="2167" spans="15:21" x14ac:dyDescent="0.25">
      <c r="O2167"/>
      <c r="R2167"/>
      <c r="S2167"/>
      <c r="U2167"/>
    </row>
    <row r="2169" spans="15:21" x14ac:dyDescent="0.25">
      <c r="O2169"/>
      <c r="R2169"/>
      <c r="S2169"/>
      <c r="U2169"/>
    </row>
    <row r="2170" spans="15:21" x14ac:dyDescent="0.25">
      <c r="O2170"/>
      <c r="R2170"/>
      <c r="S2170"/>
      <c r="U2170"/>
    </row>
    <row r="2175" spans="15:21" x14ac:dyDescent="0.25">
      <c r="O2175"/>
      <c r="R2175"/>
      <c r="S2175"/>
      <c r="U2175"/>
    </row>
    <row r="2176" spans="15:21" x14ac:dyDescent="0.25">
      <c r="O2176"/>
      <c r="R2176"/>
      <c r="S2176"/>
      <c r="U2176"/>
    </row>
    <row r="2177" spans="15:21" x14ac:dyDescent="0.25">
      <c r="O2177"/>
      <c r="R2177"/>
      <c r="S2177"/>
      <c r="U2177"/>
    </row>
    <row r="2179" spans="15:21" x14ac:dyDescent="0.25">
      <c r="O2179"/>
      <c r="R2179"/>
      <c r="S2179"/>
      <c r="U2179"/>
    </row>
    <row r="2180" spans="15:21" x14ac:dyDescent="0.25">
      <c r="O2180"/>
      <c r="R2180"/>
      <c r="S2180"/>
      <c r="U2180"/>
    </row>
    <row r="2245" spans="15:21" x14ac:dyDescent="0.25">
      <c r="O2245"/>
      <c r="R2245"/>
      <c r="S2245"/>
      <c r="U2245"/>
    </row>
    <row r="2295" spans="15:21" x14ac:dyDescent="0.25">
      <c r="O2295"/>
      <c r="R2295"/>
      <c r="S2295"/>
      <c r="U2295"/>
    </row>
    <row r="2345" spans="15:21" x14ac:dyDescent="0.25">
      <c r="O2345"/>
      <c r="R2345"/>
      <c r="S2345"/>
      <c r="U2345"/>
    </row>
    <row r="2395" spans="15:21" x14ac:dyDescent="0.25">
      <c r="O2395"/>
      <c r="R2395"/>
      <c r="S2395"/>
      <c r="U2395"/>
    </row>
    <row r="2445" spans="15:21" x14ac:dyDescent="0.25">
      <c r="O2445"/>
      <c r="R2445"/>
      <c r="S2445"/>
      <c r="U2445"/>
    </row>
    <row r="2495" spans="15:21" x14ac:dyDescent="0.25">
      <c r="O2495"/>
      <c r="R2495"/>
      <c r="S2495"/>
      <c r="U2495"/>
    </row>
    <row r="2545" spans="15:21" x14ac:dyDescent="0.25">
      <c r="O2545"/>
      <c r="R2545"/>
      <c r="S2545"/>
      <c r="U2545"/>
    </row>
    <row r="2595" spans="15:21" x14ac:dyDescent="0.25">
      <c r="O2595"/>
      <c r="R2595"/>
      <c r="S2595"/>
      <c r="U2595"/>
    </row>
    <row r="2645" spans="15:21" x14ac:dyDescent="0.25">
      <c r="O2645"/>
      <c r="R2645"/>
      <c r="S2645"/>
      <c r="U2645"/>
    </row>
    <row r="2691" spans="15:21" x14ac:dyDescent="0.25">
      <c r="O2691"/>
      <c r="R2691"/>
      <c r="S2691"/>
      <c r="U2691"/>
    </row>
    <row r="2740" spans="15:21" x14ac:dyDescent="0.25">
      <c r="O2740"/>
      <c r="R2740"/>
      <c r="S2740"/>
      <c r="U2740"/>
    </row>
    <row r="2790" spans="15:21" x14ac:dyDescent="0.25">
      <c r="O2790"/>
      <c r="R2790"/>
      <c r="S2790"/>
      <c r="U2790"/>
    </row>
    <row r="2840" spans="15:21" x14ac:dyDescent="0.25">
      <c r="O2840"/>
      <c r="R2840"/>
      <c r="S2840"/>
      <c r="U2840"/>
    </row>
    <row r="2850" spans="6:21" x14ac:dyDescent="0.25">
      <c r="F2850"/>
      <c r="O2850"/>
      <c r="R2850"/>
      <c r="S2850"/>
      <c r="T2850"/>
      <c r="U2850"/>
    </row>
    <row r="2851" spans="6:21" x14ac:dyDescent="0.25">
      <c r="F2851"/>
      <c r="O2851"/>
      <c r="R2851"/>
      <c r="S2851"/>
      <c r="T2851"/>
      <c r="U2851"/>
    </row>
    <row r="2852" spans="6:21" x14ac:dyDescent="0.25">
      <c r="F2852"/>
      <c r="O2852"/>
      <c r="R2852"/>
      <c r="S2852"/>
      <c r="T2852"/>
      <c r="U2852"/>
    </row>
    <row r="2853" spans="6:21" x14ac:dyDescent="0.25">
      <c r="F2853"/>
      <c r="O2853"/>
      <c r="R2853"/>
      <c r="S2853"/>
      <c r="T2853"/>
      <c r="U2853"/>
    </row>
    <row r="2854" spans="6:21" x14ac:dyDescent="0.25">
      <c r="F2854"/>
      <c r="O2854"/>
      <c r="R2854"/>
      <c r="S2854"/>
      <c r="T2854"/>
      <c r="U2854"/>
    </row>
    <row r="2855" spans="6:21" x14ac:dyDescent="0.25">
      <c r="F2855"/>
      <c r="O2855"/>
      <c r="R2855"/>
      <c r="S2855"/>
      <c r="T2855"/>
      <c r="U2855"/>
    </row>
    <row r="2856" spans="6:21" x14ac:dyDescent="0.25">
      <c r="F2856"/>
      <c r="O2856"/>
      <c r="R2856"/>
      <c r="S2856"/>
      <c r="T2856"/>
      <c r="U2856"/>
    </row>
    <row r="2857" spans="6:21" x14ac:dyDescent="0.25">
      <c r="F2857"/>
      <c r="O2857"/>
      <c r="R2857"/>
      <c r="S2857"/>
      <c r="T2857"/>
      <c r="U2857"/>
    </row>
    <row r="2858" spans="6:21" x14ac:dyDescent="0.25">
      <c r="F2858"/>
      <c r="O2858"/>
      <c r="R2858"/>
      <c r="S2858"/>
      <c r="T2858"/>
      <c r="U2858"/>
    </row>
    <row r="2859" spans="6:21" x14ac:dyDescent="0.25">
      <c r="F2859"/>
      <c r="O2859"/>
      <c r="R2859"/>
      <c r="S2859"/>
      <c r="T2859"/>
      <c r="U2859"/>
    </row>
    <row r="2860" spans="6:21" x14ac:dyDescent="0.25">
      <c r="F2860"/>
      <c r="O2860"/>
      <c r="R2860"/>
      <c r="S2860"/>
      <c r="T2860"/>
      <c r="U2860"/>
    </row>
    <row r="2861" spans="6:21" x14ac:dyDescent="0.25">
      <c r="F2861"/>
      <c r="O2861"/>
      <c r="R2861"/>
      <c r="S2861"/>
      <c r="T2861"/>
      <c r="U2861"/>
    </row>
    <row r="2862" spans="6:21" x14ac:dyDescent="0.25">
      <c r="F2862"/>
      <c r="O2862"/>
      <c r="R2862"/>
      <c r="S2862"/>
      <c r="T2862"/>
      <c r="U2862"/>
    </row>
    <row r="2863" spans="6:21" x14ac:dyDescent="0.25">
      <c r="F2863"/>
      <c r="O2863"/>
      <c r="R2863"/>
      <c r="S2863"/>
      <c r="T2863"/>
      <c r="U2863"/>
    </row>
    <row r="2864" spans="6:21" x14ac:dyDescent="0.25">
      <c r="F2864"/>
      <c r="O2864"/>
      <c r="R2864"/>
      <c r="S2864"/>
      <c r="T2864"/>
      <c r="U2864"/>
    </row>
    <row r="2865" spans="6:21" x14ac:dyDescent="0.25">
      <c r="F2865"/>
      <c r="O2865"/>
      <c r="R2865"/>
      <c r="S2865"/>
      <c r="T2865"/>
      <c r="U2865"/>
    </row>
    <row r="2866" spans="6:21" x14ac:dyDescent="0.25">
      <c r="F2866"/>
      <c r="O2866"/>
      <c r="R2866"/>
      <c r="S2866"/>
      <c r="T2866"/>
      <c r="U2866"/>
    </row>
    <row r="2867" spans="6:21" x14ac:dyDescent="0.25">
      <c r="F2867"/>
      <c r="O2867"/>
      <c r="R2867"/>
      <c r="S2867"/>
      <c r="T2867"/>
      <c r="U2867"/>
    </row>
    <row r="2868" spans="6:21" x14ac:dyDescent="0.25">
      <c r="F2868"/>
      <c r="O2868"/>
      <c r="R2868"/>
      <c r="S2868"/>
      <c r="T2868"/>
      <c r="U2868"/>
    </row>
    <row r="2869" spans="6:21" x14ac:dyDescent="0.25">
      <c r="F2869"/>
      <c r="O2869"/>
      <c r="R2869"/>
      <c r="S2869"/>
      <c r="T2869"/>
      <c r="U2869"/>
    </row>
    <row r="2870" spans="6:21" x14ac:dyDescent="0.25">
      <c r="F2870"/>
      <c r="O2870"/>
      <c r="R2870"/>
      <c r="S2870"/>
      <c r="T2870"/>
      <c r="U2870"/>
    </row>
    <row r="2871" spans="6:21" x14ac:dyDescent="0.25">
      <c r="F2871"/>
      <c r="O2871"/>
      <c r="R2871"/>
      <c r="S2871"/>
      <c r="T2871"/>
      <c r="U2871"/>
    </row>
    <row r="2872" spans="6:21" x14ac:dyDescent="0.25">
      <c r="F2872"/>
      <c r="O2872"/>
      <c r="R2872"/>
      <c r="S2872"/>
      <c r="T2872"/>
      <c r="U2872"/>
    </row>
    <row r="2873" spans="6:21" x14ac:dyDescent="0.25">
      <c r="F2873"/>
      <c r="O2873"/>
      <c r="R2873"/>
      <c r="S2873"/>
      <c r="T2873"/>
      <c r="U2873"/>
    </row>
    <row r="2874" spans="6:21" x14ac:dyDescent="0.25">
      <c r="F2874"/>
      <c r="O2874"/>
      <c r="R2874"/>
      <c r="S2874"/>
      <c r="T2874"/>
      <c r="U2874"/>
    </row>
    <row r="2875" spans="6:21" x14ac:dyDescent="0.25">
      <c r="F2875"/>
      <c r="O2875"/>
      <c r="R2875"/>
      <c r="S2875"/>
      <c r="T2875"/>
      <c r="U2875"/>
    </row>
    <row r="2876" spans="6:21" x14ac:dyDescent="0.25">
      <c r="F2876"/>
      <c r="O2876"/>
      <c r="R2876"/>
      <c r="S2876"/>
      <c r="T2876"/>
      <c r="U2876"/>
    </row>
    <row r="2877" spans="6:21" x14ac:dyDescent="0.25">
      <c r="F2877"/>
      <c r="O2877"/>
      <c r="R2877"/>
      <c r="S2877"/>
      <c r="T2877"/>
      <c r="U2877"/>
    </row>
    <row r="2878" spans="6:21" x14ac:dyDescent="0.25">
      <c r="F2878"/>
      <c r="O2878"/>
      <c r="R2878"/>
      <c r="S2878"/>
      <c r="T2878"/>
      <c r="U2878"/>
    </row>
    <row r="2879" spans="6:21" x14ac:dyDescent="0.25">
      <c r="F2879"/>
      <c r="O2879"/>
      <c r="R2879"/>
      <c r="S2879"/>
      <c r="T2879"/>
      <c r="U2879"/>
    </row>
    <row r="2880" spans="6:21" x14ac:dyDescent="0.25">
      <c r="F2880"/>
      <c r="O2880"/>
      <c r="R2880"/>
      <c r="S2880"/>
      <c r="T2880"/>
      <c r="U2880"/>
    </row>
    <row r="2881" spans="6:21" x14ac:dyDescent="0.25">
      <c r="F2881"/>
      <c r="O2881"/>
      <c r="R2881"/>
      <c r="S2881"/>
      <c r="T2881"/>
      <c r="U2881"/>
    </row>
    <row r="2882" spans="6:21" x14ac:dyDescent="0.25">
      <c r="F2882"/>
      <c r="O2882"/>
      <c r="R2882"/>
      <c r="S2882"/>
      <c r="T2882"/>
      <c r="U2882"/>
    </row>
    <row r="2883" spans="6:21" x14ac:dyDescent="0.25">
      <c r="F2883"/>
      <c r="O2883"/>
      <c r="R2883"/>
      <c r="S2883"/>
      <c r="T2883"/>
      <c r="U2883"/>
    </row>
    <row r="2884" spans="6:21" x14ac:dyDescent="0.25">
      <c r="F2884"/>
      <c r="O2884"/>
      <c r="R2884"/>
      <c r="S2884"/>
      <c r="T2884"/>
      <c r="U2884"/>
    </row>
    <row r="2885" spans="6:21" x14ac:dyDescent="0.25">
      <c r="F2885"/>
      <c r="O2885"/>
      <c r="R2885"/>
      <c r="S2885"/>
      <c r="T2885"/>
      <c r="U2885"/>
    </row>
    <row r="2886" spans="6:21" x14ac:dyDescent="0.25">
      <c r="F2886"/>
      <c r="O2886"/>
      <c r="R2886"/>
      <c r="S2886"/>
      <c r="T2886"/>
      <c r="U2886"/>
    </row>
    <row r="2887" spans="6:21" x14ac:dyDescent="0.25">
      <c r="F2887"/>
      <c r="O2887"/>
      <c r="R2887"/>
      <c r="S2887"/>
      <c r="T2887"/>
      <c r="U2887"/>
    </row>
    <row r="2888" spans="6:21" x14ac:dyDescent="0.25">
      <c r="F2888"/>
      <c r="O2888"/>
      <c r="R2888"/>
      <c r="S2888"/>
      <c r="T2888"/>
      <c r="U2888"/>
    </row>
    <row r="2889" spans="6:21" x14ac:dyDescent="0.25">
      <c r="F2889"/>
      <c r="O2889"/>
      <c r="R2889"/>
      <c r="S2889"/>
      <c r="T2889"/>
      <c r="U2889"/>
    </row>
    <row r="2890" spans="6:21" x14ac:dyDescent="0.25">
      <c r="F2890"/>
      <c r="O2890"/>
      <c r="R2890"/>
      <c r="S2890"/>
      <c r="T2890"/>
      <c r="U2890"/>
    </row>
    <row r="2891" spans="6:21" x14ac:dyDescent="0.25">
      <c r="F2891"/>
      <c r="O2891"/>
      <c r="R2891"/>
      <c r="S2891"/>
      <c r="T2891"/>
      <c r="U2891"/>
    </row>
    <row r="2892" spans="6:21" x14ac:dyDescent="0.25">
      <c r="F2892"/>
      <c r="O2892"/>
      <c r="R2892"/>
      <c r="S2892"/>
      <c r="T2892"/>
      <c r="U2892"/>
    </row>
    <row r="2893" spans="6:21" x14ac:dyDescent="0.25">
      <c r="F2893"/>
      <c r="O2893"/>
      <c r="R2893"/>
      <c r="S2893"/>
      <c r="T2893"/>
      <c r="U2893"/>
    </row>
    <row r="2894" spans="6:21" x14ac:dyDescent="0.25">
      <c r="F2894"/>
      <c r="O2894"/>
      <c r="R2894"/>
      <c r="S2894"/>
      <c r="T2894"/>
      <c r="U2894"/>
    </row>
    <row r="2895" spans="6:21" x14ac:dyDescent="0.25">
      <c r="F2895"/>
      <c r="O2895"/>
      <c r="R2895"/>
      <c r="S2895"/>
      <c r="T2895"/>
      <c r="U2895"/>
    </row>
    <row r="2896" spans="6:21" x14ac:dyDescent="0.25">
      <c r="F2896"/>
      <c r="O2896"/>
      <c r="R2896"/>
      <c r="S2896"/>
      <c r="T2896"/>
      <c r="U2896"/>
    </row>
    <row r="2897" spans="6:21" x14ac:dyDescent="0.25">
      <c r="F2897"/>
      <c r="O2897"/>
      <c r="R2897"/>
      <c r="S2897"/>
      <c r="T2897"/>
      <c r="U2897"/>
    </row>
    <row r="2898" spans="6:21" x14ac:dyDescent="0.25">
      <c r="F2898"/>
      <c r="O2898"/>
      <c r="R2898"/>
      <c r="S2898"/>
      <c r="T2898"/>
      <c r="U2898"/>
    </row>
    <row r="2899" spans="6:21" x14ac:dyDescent="0.25">
      <c r="F2899"/>
      <c r="O2899"/>
      <c r="R2899"/>
      <c r="S2899"/>
      <c r="T2899"/>
      <c r="U2899"/>
    </row>
    <row r="2900" spans="6:21" x14ac:dyDescent="0.25">
      <c r="F2900"/>
      <c r="O2900"/>
      <c r="R2900"/>
      <c r="S2900"/>
      <c r="T2900"/>
      <c r="U2900"/>
    </row>
    <row r="2901" spans="6:21" x14ac:dyDescent="0.25">
      <c r="F2901"/>
      <c r="O2901"/>
      <c r="R2901"/>
      <c r="S2901"/>
      <c r="T2901"/>
      <c r="U2901"/>
    </row>
    <row r="2902" spans="6:21" x14ac:dyDescent="0.25">
      <c r="F2902"/>
      <c r="O2902"/>
      <c r="R2902"/>
      <c r="S2902"/>
      <c r="T2902"/>
      <c r="U2902"/>
    </row>
    <row r="2903" spans="6:21" x14ac:dyDescent="0.25">
      <c r="F2903"/>
      <c r="O2903"/>
      <c r="R2903"/>
      <c r="S2903"/>
      <c r="T2903"/>
      <c r="U2903"/>
    </row>
    <row r="2904" spans="6:21" x14ac:dyDescent="0.25">
      <c r="F2904"/>
      <c r="O2904"/>
      <c r="R2904"/>
      <c r="S2904"/>
      <c r="T2904"/>
      <c r="U2904"/>
    </row>
    <row r="2905" spans="6:21" x14ac:dyDescent="0.25">
      <c r="F2905"/>
      <c r="O2905"/>
      <c r="R2905"/>
      <c r="S2905"/>
      <c r="T2905"/>
      <c r="U2905"/>
    </row>
    <row r="2906" spans="6:21" x14ac:dyDescent="0.25">
      <c r="F2906"/>
      <c r="O2906"/>
      <c r="R2906"/>
      <c r="S2906"/>
      <c r="T2906"/>
      <c r="U2906"/>
    </row>
    <row r="2907" spans="6:21" x14ac:dyDescent="0.25">
      <c r="F2907"/>
      <c r="O2907"/>
      <c r="R2907"/>
      <c r="S2907"/>
      <c r="T2907"/>
      <c r="U2907"/>
    </row>
    <row r="2908" spans="6:21" x14ac:dyDescent="0.25">
      <c r="F2908"/>
      <c r="O2908"/>
      <c r="R2908"/>
      <c r="S2908"/>
      <c r="T2908"/>
      <c r="U2908"/>
    </row>
    <row r="2909" spans="6:21" x14ac:dyDescent="0.25">
      <c r="F2909"/>
      <c r="O2909"/>
      <c r="R2909"/>
      <c r="S2909"/>
      <c r="T2909"/>
      <c r="U2909"/>
    </row>
    <row r="2910" spans="6:21" x14ac:dyDescent="0.25">
      <c r="F2910"/>
      <c r="O2910"/>
      <c r="R2910"/>
      <c r="S2910"/>
      <c r="T2910"/>
      <c r="U2910"/>
    </row>
    <row r="2911" spans="6:21" x14ac:dyDescent="0.25">
      <c r="F2911"/>
      <c r="O2911"/>
      <c r="R2911"/>
      <c r="S2911"/>
      <c r="T2911"/>
      <c r="U2911"/>
    </row>
    <row r="2912" spans="6:21" x14ac:dyDescent="0.25">
      <c r="F2912"/>
      <c r="O2912"/>
      <c r="R2912"/>
      <c r="S2912"/>
      <c r="T2912"/>
      <c r="U2912"/>
    </row>
    <row r="2913" spans="6:21" x14ac:dyDescent="0.25">
      <c r="F2913"/>
      <c r="O2913"/>
      <c r="R2913"/>
      <c r="S2913"/>
      <c r="T2913"/>
      <c r="U2913"/>
    </row>
    <row r="2914" spans="6:21" x14ac:dyDescent="0.25">
      <c r="F2914"/>
      <c r="O2914"/>
      <c r="R2914"/>
      <c r="S2914"/>
      <c r="T2914"/>
      <c r="U2914"/>
    </row>
    <row r="2915" spans="6:21" x14ac:dyDescent="0.25">
      <c r="F2915"/>
      <c r="O2915"/>
      <c r="R2915"/>
      <c r="S2915"/>
      <c r="T2915"/>
      <c r="U2915"/>
    </row>
    <row r="2916" spans="6:21" x14ac:dyDescent="0.25">
      <c r="F2916"/>
      <c r="O2916"/>
      <c r="R2916"/>
      <c r="S2916"/>
      <c r="T2916"/>
      <c r="U2916"/>
    </row>
    <row r="2917" spans="6:21" x14ac:dyDescent="0.25">
      <c r="F2917"/>
      <c r="O2917"/>
      <c r="R2917"/>
      <c r="S2917"/>
      <c r="T2917"/>
      <c r="U2917"/>
    </row>
    <row r="2918" spans="6:21" x14ac:dyDescent="0.25">
      <c r="F2918"/>
      <c r="O2918"/>
      <c r="R2918"/>
      <c r="S2918"/>
      <c r="T2918"/>
      <c r="U2918"/>
    </row>
    <row r="2919" spans="6:21" x14ac:dyDescent="0.25">
      <c r="F2919"/>
      <c r="O2919"/>
      <c r="R2919"/>
      <c r="S2919"/>
      <c r="T2919"/>
      <c r="U2919"/>
    </row>
    <row r="2920" spans="6:21" x14ac:dyDescent="0.25">
      <c r="F2920"/>
      <c r="O2920"/>
      <c r="R2920"/>
      <c r="S2920"/>
      <c r="T2920"/>
      <c r="U2920"/>
    </row>
    <row r="2921" spans="6:21" x14ac:dyDescent="0.25">
      <c r="F2921"/>
      <c r="O2921"/>
      <c r="R2921"/>
      <c r="S2921"/>
      <c r="T2921"/>
      <c r="U2921"/>
    </row>
    <row r="2922" spans="6:21" x14ac:dyDescent="0.25">
      <c r="F2922"/>
      <c r="O2922"/>
      <c r="R2922"/>
      <c r="S2922"/>
      <c r="T2922"/>
      <c r="U2922"/>
    </row>
    <row r="2923" spans="6:21" x14ac:dyDescent="0.25">
      <c r="F2923"/>
      <c r="O2923"/>
      <c r="R2923"/>
      <c r="S2923"/>
      <c r="T2923"/>
      <c r="U2923"/>
    </row>
    <row r="2924" spans="6:21" x14ac:dyDescent="0.25">
      <c r="F2924"/>
      <c r="O2924"/>
      <c r="R2924"/>
      <c r="S2924"/>
      <c r="T2924"/>
      <c r="U2924"/>
    </row>
    <row r="2925" spans="6:21" x14ac:dyDescent="0.25">
      <c r="F2925"/>
      <c r="O2925"/>
      <c r="R2925"/>
      <c r="S2925"/>
      <c r="T2925"/>
      <c r="U2925"/>
    </row>
    <row r="2926" spans="6:21" x14ac:dyDescent="0.25">
      <c r="F2926"/>
      <c r="O2926"/>
      <c r="R2926"/>
      <c r="S2926"/>
      <c r="T2926"/>
      <c r="U2926"/>
    </row>
    <row r="2927" spans="6:21" x14ac:dyDescent="0.25">
      <c r="F2927"/>
      <c r="O2927"/>
      <c r="R2927"/>
      <c r="S2927"/>
      <c r="T2927"/>
      <c r="U2927"/>
    </row>
    <row r="2928" spans="6:21" x14ac:dyDescent="0.25">
      <c r="F2928"/>
      <c r="O2928"/>
      <c r="R2928"/>
      <c r="S2928"/>
      <c r="T2928"/>
      <c r="U2928"/>
    </row>
    <row r="2929" spans="6:21" x14ac:dyDescent="0.25">
      <c r="F2929"/>
      <c r="O2929"/>
      <c r="R2929"/>
      <c r="S2929"/>
      <c r="T2929"/>
      <c r="U2929"/>
    </row>
    <row r="2930" spans="6:21" x14ac:dyDescent="0.25">
      <c r="F2930"/>
      <c r="O2930"/>
      <c r="R2930"/>
      <c r="S2930"/>
      <c r="T2930"/>
      <c r="U2930"/>
    </row>
    <row r="2931" spans="6:21" x14ac:dyDescent="0.25">
      <c r="F2931"/>
      <c r="O2931"/>
      <c r="R2931"/>
      <c r="S2931"/>
      <c r="T2931"/>
      <c r="U2931"/>
    </row>
    <row r="2932" spans="6:21" x14ac:dyDescent="0.25">
      <c r="F2932"/>
      <c r="O2932"/>
      <c r="R2932"/>
      <c r="S2932"/>
      <c r="T2932"/>
      <c r="U2932"/>
    </row>
    <row r="2933" spans="6:21" x14ac:dyDescent="0.25">
      <c r="F2933"/>
      <c r="O2933"/>
      <c r="R2933"/>
      <c r="S2933"/>
      <c r="T2933"/>
      <c r="U2933"/>
    </row>
    <row r="2934" spans="6:21" x14ac:dyDescent="0.25">
      <c r="F2934"/>
      <c r="O2934"/>
      <c r="R2934"/>
      <c r="S2934"/>
      <c r="T2934"/>
      <c r="U2934"/>
    </row>
    <row r="2935" spans="6:21" x14ac:dyDescent="0.25">
      <c r="F2935"/>
      <c r="O2935"/>
      <c r="R2935"/>
      <c r="S2935"/>
      <c r="T2935"/>
      <c r="U2935"/>
    </row>
    <row r="2936" spans="6:21" x14ac:dyDescent="0.25">
      <c r="F2936"/>
      <c r="O2936"/>
      <c r="R2936"/>
      <c r="S2936"/>
      <c r="T2936"/>
      <c r="U2936"/>
    </row>
    <row r="2937" spans="6:21" x14ac:dyDescent="0.25">
      <c r="F2937"/>
      <c r="O2937"/>
      <c r="R2937"/>
      <c r="S2937"/>
      <c r="T2937"/>
      <c r="U2937"/>
    </row>
    <row r="2938" spans="6:21" x14ac:dyDescent="0.25">
      <c r="F2938"/>
      <c r="O2938"/>
      <c r="R2938"/>
      <c r="S2938"/>
      <c r="T2938"/>
      <c r="U2938"/>
    </row>
    <row r="2939" spans="6:21" x14ac:dyDescent="0.25">
      <c r="F2939"/>
      <c r="O2939"/>
      <c r="R2939"/>
      <c r="S2939"/>
      <c r="T2939"/>
      <c r="U2939"/>
    </row>
    <row r="2940" spans="6:21" x14ac:dyDescent="0.25">
      <c r="F2940"/>
      <c r="O2940"/>
      <c r="R2940"/>
      <c r="S2940"/>
      <c r="T2940"/>
      <c r="U2940"/>
    </row>
    <row r="2941" spans="6:21" x14ac:dyDescent="0.25">
      <c r="F2941"/>
      <c r="O2941"/>
      <c r="R2941"/>
      <c r="S2941"/>
      <c r="T2941"/>
      <c r="U2941"/>
    </row>
    <row r="2942" spans="6:21" x14ac:dyDescent="0.25">
      <c r="F2942"/>
      <c r="O2942"/>
      <c r="R2942"/>
      <c r="S2942"/>
      <c r="T2942"/>
      <c r="U2942"/>
    </row>
    <row r="2943" spans="6:21" x14ac:dyDescent="0.25">
      <c r="F2943"/>
      <c r="O2943"/>
      <c r="R2943"/>
      <c r="S2943"/>
      <c r="T2943"/>
      <c r="U2943"/>
    </row>
    <row r="2944" spans="6:21" x14ac:dyDescent="0.25">
      <c r="F2944"/>
      <c r="O2944"/>
      <c r="R2944"/>
      <c r="S2944"/>
      <c r="T2944"/>
      <c r="U2944"/>
    </row>
    <row r="2945" spans="6:21" x14ac:dyDescent="0.25">
      <c r="F2945"/>
      <c r="O2945"/>
      <c r="R2945"/>
      <c r="S2945"/>
      <c r="T2945"/>
      <c r="U2945"/>
    </row>
    <row r="2946" spans="6:21" x14ac:dyDescent="0.25">
      <c r="F2946"/>
      <c r="O2946"/>
      <c r="R2946"/>
      <c r="S2946"/>
      <c r="T2946"/>
      <c r="U2946"/>
    </row>
    <row r="2947" spans="6:21" x14ac:dyDescent="0.25">
      <c r="F2947"/>
      <c r="O2947"/>
      <c r="R2947"/>
      <c r="S2947"/>
      <c r="T2947"/>
      <c r="U2947"/>
    </row>
    <row r="2948" spans="6:21" x14ac:dyDescent="0.25">
      <c r="F2948"/>
      <c r="O2948"/>
      <c r="R2948"/>
      <c r="S2948"/>
      <c r="T2948"/>
      <c r="U2948"/>
    </row>
    <row r="2949" spans="6:21" x14ac:dyDescent="0.25">
      <c r="F2949"/>
      <c r="O2949"/>
      <c r="R2949"/>
      <c r="S2949"/>
      <c r="T2949"/>
      <c r="U2949"/>
    </row>
    <row r="2950" spans="6:21" x14ac:dyDescent="0.25">
      <c r="F2950"/>
      <c r="O2950"/>
      <c r="R2950"/>
      <c r="S2950"/>
      <c r="T2950"/>
      <c r="U2950"/>
    </row>
    <row r="2951" spans="6:21" x14ac:dyDescent="0.25">
      <c r="F2951"/>
      <c r="O2951"/>
      <c r="R2951"/>
      <c r="S2951"/>
      <c r="T2951"/>
      <c r="U2951"/>
    </row>
    <row r="2952" spans="6:21" x14ac:dyDescent="0.25">
      <c r="F2952"/>
      <c r="O2952"/>
      <c r="R2952"/>
      <c r="S2952"/>
      <c r="T2952"/>
      <c r="U2952"/>
    </row>
    <row r="2953" spans="6:21" x14ac:dyDescent="0.25">
      <c r="F2953"/>
      <c r="O2953"/>
      <c r="R2953"/>
      <c r="S2953"/>
      <c r="T2953"/>
      <c r="U2953"/>
    </row>
    <row r="2954" spans="6:21" x14ac:dyDescent="0.25">
      <c r="F2954"/>
      <c r="O2954"/>
      <c r="R2954"/>
      <c r="S2954"/>
      <c r="T2954"/>
      <c r="U2954"/>
    </row>
    <row r="2955" spans="6:21" x14ac:dyDescent="0.25">
      <c r="F2955"/>
      <c r="O2955"/>
      <c r="R2955"/>
      <c r="S2955"/>
      <c r="T2955"/>
      <c r="U2955"/>
    </row>
    <row r="2956" spans="6:21" x14ac:dyDescent="0.25">
      <c r="F2956"/>
      <c r="O2956"/>
      <c r="R2956"/>
      <c r="S2956"/>
      <c r="T2956"/>
      <c r="U2956"/>
    </row>
    <row r="2957" spans="6:21" x14ac:dyDescent="0.25">
      <c r="F2957"/>
      <c r="O2957"/>
      <c r="R2957"/>
      <c r="S2957"/>
      <c r="T2957"/>
      <c r="U2957"/>
    </row>
    <row r="2958" spans="6:21" x14ac:dyDescent="0.25">
      <c r="F2958"/>
      <c r="O2958"/>
      <c r="R2958"/>
      <c r="S2958"/>
      <c r="T2958"/>
      <c r="U2958"/>
    </row>
    <row r="2959" spans="6:21" x14ac:dyDescent="0.25">
      <c r="F2959"/>
      <c r="O2959"/>
      <c r="R2959"/>
      <c r="S2959"/>
      <c r="T2959"/>
      <c r="U2959"/>
    </row>
    <row r="2960" spans="6:21" x14ac:dyDescent="0.25">
      <c r="F2960"/>
      <c r="O2960"/>
      <c r="R2960"/>
      <c r="S2960"/>
      <c r="T2960"/>
      <c r="U2960"/>
    </row>
    <row r="2961" spans="6:21" x14ac:dyDescent="0.25">
      <c r="F2961"/>
      <c r="O2961"/>
      <c r="R2961"/>
      <c r="S2961"/>
      <c r="T2961"/>
      <c r="U2961"/>
    </row>
    <row r="2962" spans="6:21" x14ac:dyDescent="0.25">
      <c r="F2962"/>
      <c r="O2962"/>
      <c r="R2962"/>
      <c r="S2962"/>
      <c r="T2962"/>
      <c r="U2962"/>
    </row>
    <row r="2963" spans="6:21" x14ac:dyDescent="0.25">
      <c r="F2963"/>
      <c r="O2963"/>
      <c r="R2963"/>
      <c r="S2963"/>
      <c r="T2963"/>
      <c r="U2963"/>
    </row>
    <row r="2964" spans="6:21" x14ac:dyDescent="0.25">
      <c r="F2964"/>
      <c r="O2964"/>
      <c r="R2964"/>
      <c r="S2964"/>
      <c r="T2964"/>
      <c r="U2964"/>
    </row>
    <row r="2965" spans="6:21" x14ac:dyDescent="0.25">
      <c r="F2965"/>
      <c r="O2965"/>
      <c r="R2965"/>
      <c r="S2965"/>
      <c r="T2965"/>
      <c r="U2965"/>
    </row>
    <row r="2966" spans="6:21" x14ac:dyDescent="0.25">
      <c r="F2966"/>
      <c r="O2966"/>
      <c r="R2966"/>
      <c r="S2966"/>
      <c r="T2966"/>
      <c r="U2966"/>
    </row>
    <row r="2967" spans="6:21" x14ac:dyDescent="0.25">
      <c r="F2967"/>
      <c r="O2967"/>
      <c r="R2967"/>
      <c r="S2967"/>
      <c r="T2967"/>
      <c r="U2967"/>
    </row>
    <row r="2968" spans="6:21" x14ac:dyDescent="0.25">
      <c r="F2968"/>
      <c r="O2968"/>
      <c r="R2968"/>
      <c r="S2968"/>
      <c r="T2968"/>
      <c r="U2968"/>
    </row>
    <row r="2969" spans="6:21" x14ac:dyDescent="0.25">
      <c r="F2969"/>
      <c r="O2969"/>
      <c r="R2969"/>
      <c r="S2969"/>
      <c r="T2969"/>
      <c r="U2969"/>
    </row>
    <row r="2970" spans="6:21" x14ac:dyDescent="0.25">
      <c r="F2970"/>
      <c r="O2970"/>
      <c r="R2970"/>
      <c r="S2970"/>
      <c r="T2970"/>
      <c r="U2970"/>
    </row>
    <row r="2971" spans="6:21" x14ac:dyDescent="0.25">
      <c r="F2971"/>
      <c r="O2971"/>
      <c r="R2971"/>
      <c r="S2971"/>
      <c r="T2971"/>
      <c r="U2971"/>
    </row>
    <row r="2972" spans="6:21" x14ac:dyDescent="0.25">
      <c r="F2972"/>
      <c r="O2972"/>
      <c r="R2972"/>
      <c r="S2972"/>
      <c r="T2972"/>
      <c r="U2972"/>
    </row>
    <row r="2973" spans="6:21" x14ac:dyDescent="0.25">
      <c r="F2973"/>
      <c r="O2973"/>
      <c r="R2973"/>
      <c r="S2973"/>
      <c r="T2973"/>
      <c r="U2973"/>
    </row>
    <row r="2974" spans="6:21" x14ac:dyDescent="0.25">
      <c r="F2974"/>
      <c r="O2974"/>
      <c r="R2974"/>
      <c r="S2974"/>
      <c r="T2974"/>
      <c r="U2974"/>
    </row>
    <row r="2975" spans="6:21" x14ac:dyDescent="0.25">
      <c r="F2975"/>
      <c r="O2975"/>
      <c r="R2975"/>
      <c r="S2975"/>
      <c r="T2975"/>
      <c r="U2975"/>
    </row>
    <row r="2976" spans="6:21" x14ac:dyDescent="0.25">
      <c r="F2976"/>
      <c r="O2976"/>
      <c r="R2976"/>
      <c r="S2976"/>
      <c r="T2976"/>
      <c r="U2976"/>
    </row>
    <row r="2977" spans="6:21" x14ac:dyDescent="0.25">
      <c r="F2977"/>
      <c r="O2977"/>
      <c r="R2977"/>
      <c r="S2977"/>
      <c r="T2977"/>
      <c r="U2977"/>
    </row>
    <row r="2978" spans="6:21" x14ac:dyDescent="0.25">
      <c r="F2978"/>
      <c r="O2978"/>
      <c r="R2978"/>
      <c r="S2978"/>
      <c r="T2978"/>
      <c r="U2978"/>
    </row>
    <row r="2979" spans="6:21" x14ac:dyDescent="0.25">
      <c r="F2979"/>
      <c r="O2979"/>
      <c r="R2979"/>
      <c r="S2979"/>
      <c r="T2979"/>
      <c r="U2979"/>
    </row>
    <row r="2980" spans="6:21" x14ac:dyDescent="0.25">
      <c r="F2980"/>
      <c r="O2980"/>
      <c r="R2980"/>
      <c r="S2980"/>
      <c r="T2980"/>
      <c r="U2980"/>
    </row>
    <row r="2981" spans="6:21" x14ac:dyDescent="0.25">
      <c r="F2981"/>
      <c r="O2981"/>
      <c r="R2981"/>
      <c r="S2981"/>
      <c r="T2981"/>
      <c r="U2981"/>
    </row>
    <row r="2982" spans="6:21" x14ac:dyDescent="0.25">
      <c r="F2982"/>
      <c r="O2982"/>
      <c r="R2982"/>
      <c r="S2982"/>
      <c r="T2982"/>
      <c r="U2982"/>
    </row>
    <row r="2983" spans="6:21" x14ac:dyDescent="0.25">
      <c r="F2983"/>
      <c r="O2983"/>
      <c r="R2983"/>
      <c r="S2983"/>
      <c r="T2983"/>
      <c r="U2983"/>
    </row>
    <row r="2984" spans="6:21" x14ac:dyDescent="0.25">
      <c r="F2984"/>
      <c r="O2984"/>
      <c r="R2984"/>
      <c r="S2984"/>
      <c r="T2984"/>
      <c r="U2984"/>
    </row>
    <row r="2985" spans="6:21" x14ac:dyDescent="0.25">
      <c r="F2985"/>
      <c r="O2985"/>
      <c r="R2985"/>
      <c r="S2985"/>
      <c r="T2985"/>
      <c r="U2985"/>
    </row>
    <row r="2986" spans="6:21" x14ac:dyDescent="0.25">
      <c r="F2986"/>
      <c r="O2986"/>
      <c r="R2986"/>
      <c r="S2986"/>
      <c r="T2986"/>
      <c r="U2986"/>
    </row>
    <row r="2987" spans="6:21" x14ac:dyDescent="0.25">
      <c r="F2987"/>
      <c r="O2987"/>
      <c r="R2987"/>
      <c r="S2987"/>
      <c r="T2987"/>
      <c r="U2987"/>
    </row>
    <row r="2988" spans="6:21" x14ac:dyDescent="0.25">
      <c r="F2988"/>
      <c r="O2988"/>
      <c r="R2988"/>
      <c r="S2988"/>
      <c r="T2988"/>
      <c r="U2988"/>
    </row>
    <row r="2989" spans="6:21" x14ac:dyDescent="0.25">
      <c r="F2989"/>
      <c r="O2989"/>
      <c r="R2989"/>
      <c r="S2989"/>
      <c r="T2989"/>
      <c r="U2989"/>
    </row>
    <row r="2990" spans="6:21" x14ac:dyDescent="0.25">
      <c r="F2990"/>
      <c r="O2990"/>
      <c r="R2990"/>
      <c r="S2990"/>
      <c r="T2990"/>
      <c r="U2990"/>
    </row>
    <row r="2991" spans="6:21" x14ac:dyDescent="0.25">
      <c r="F2991"/>
      <c r="O2991"/>
      <c r="R2991"/>
      <c r="S2991"/>
      <c r="T2991"/>
      <c r="U2991"/>
    </row>
    <row r="2992" spans="6:21" x14ac:dyDescent="0.25">
      <c r="F2992"/>
      <c r="O2992"/>
      <c r="R2992"/>
      <c r="S2992"/>
      <c r="T2992"/>
      <c r="U2992"/>
    </row>
    <row r="2993" spans="6:21" x14ac:dyDescent="0.25">
      <c r="F2993"/>
      <c r="O2993"/>
      <c r="R2993"/>
      <c r="S2993"/>
      <c r="T2993"/>
      <c r="U2993"/>
    </row>
    <row r="2994" spans="6:21" x14ac:dyDescent="0.25">
      <c r="F2994"/>
      <c r="O2994"/>
      <c r="R2994"/>
      <c r="S2994"/>
      <c r="T2994"/>
      <c r="U2994"/>
    </row>
    <row r="2995" spans="6:21" x14ac:dyDescent="0.25">
      <c r="F2995"/>
      <c r="O2995"/>
      <c r="R2995"/>
      <c r="S2995"/>
      <c r="T2995"/>
      <c r="U2995"/>
    </row>
    <row r="2996" spans="6:21" x14ac:dyDescent="0.25">
      <c r="F2996"/>
      <c r="O2996"/>
      <c r="R2996"/>
      <c r="S2996"/>
      <c r="T2996"/>
      <c r="U2996"/>
    </row>
    <row r="2997" spans="6:21" x14ac:dyDescent="0.25">
      <c r="F2997"/>
      <c r="O2997"/>
      <c r="R2997"/>
      <c r="S2997"/>
      <c r="T2997"/>
      <c r="U2997"/>
    </row>
    <row r="2998" spans="6:21" x14ac:dyDescent="0.25">
      <c r="F2998"/>
      <c r="O2998"/>
      <c r="R2998"/>
      <c r="S2998"/>
      <c r="T2998"/>
      <c r="U2998"/>
    </row>
    <row r="2999" spans="6:21" x14ac:dyDescent="0.25">
      <c r="F2999"/>
      <c r="O2999"/>
      <c r="R2999"/>
      <c r="S2999"/>
      <c r="T2999"/>
      <c r="U2999"/>
    </row>
    <row r="3000" spans="6:21" x14ac:dyDescent="0.25">
      <c r="F3000"/>
      <c r="O3000"/>
      <c r="R3000"/>
      <c r="S3000"/>
      <c r="T3000"/>
      <c r="U3000"/>
    </row>
    <row r="3001" spans="6:21" x14ac:dyDescent="0.25">
      <c r="F3001"/>
      <c r="O3001"/>
      <c r="R3001"/>
      <c r="S3001"/>
      <c r="T3001"/>
      <c r="U3001"/>
    </row>
    <row r="3002" spans="6:21" x14ac:dyDescent="0.25">
      <c r="F3002"/>
      <c r="O3002"/>
      <c r="R3002"/>
      <c r="S3002"/>
      <c r="T3002"/>
      <c r="U3002"/>
    </row>
    <row r="3003" spans="6:21" x14ac:dyDescent="0.25">
      <c r="F3003"/>
      <c r="O3003"/>
      <c r="R3003"/>
      <c r="S3003"/>
      <c r="T3003"/>
      <c r="U3003"/>
    </row>
    <row r="3004" spans="6:21" x14ac:dyDescent="0.25">
      <c r="F3004"/>
      <c r="O3004"/>
      <c r="R3004"/>
      <c r="S3004"/>
      <c r="T3004"/>
      <c r="U3004"/>
    </row>
    <row r="3005" spans="6:21" x14ac:dyDescent="0.25">
      <c r="F3005"/>
      <c r="O3005"/>
      <c r="R3005"/>
      <c r="S3005"/>
      <c r="T3005"/>
      <c r="U3005"/>
    </row>
    <row r="3006" spans="6:21" x14ac:dyDescent="0.25">
      <c r="F3006"/>
      <c r="O3006"/>
      <c r="R3006"/>
      <c r="S3006"/>
      <c r="T3006"/>
      <c r="U3006"/>
    </row>
    <row r="3007" spans="6:21" x14ac:dyDescent="0.25">
      <c r="F3007"/>
      <c r="O3007"/>
      <c r="R3007"/>
      <c r="S3007"/>
      <c r="T3007"/>
      <c r="U3007"/>
    </row>
    <row r="3008" spans="6:21" x14ac:dyDescent="0.25">
      <c r="F3008"/>
      <c r="O3008"/>
      <c r="R3008"/>
      <c r="S3008"/>
      <c r="T3008"/>
      <c r="U3008"/>
    </row>
    <row r="3009" spans="6:21" x14ac:dyDescent="0.25">
      <c r="F3009"/>
      <c r="O3009"/>
      <c r="R3009"/>
      <c r="S3009"/>
      <c r="T3009"/>
      <c r="U3009"/>
    </row>
    <row r="3010" spans="6:21" x14ac:dyDescent="0.25">
      <c r="F3010"/>
      <c r="O3010"/>
      <c r="R3010"/>
      <c r="S3010"/>
      <c r="T3010"/>
      <c r="U3010"/>
    </row>
    <row r="3011" spans="6:21" x14ac:dyDescent="0.25">
      <c r="F3011"/>
      <c r="O3011"/>
      <c r="R3011"/>
      <c r="S3011"/>
      <c r="T3011"/>
      <c r="U3011"/>
    </row>
    <row r="3012" spans="6:21" x14ac:dyDescent="0.25">
      <c r="F3012"/>
      <c r="O3012"/>
      <c r="R3012"/>
      <c r="S3012"/>
      <c r="T3012"/>
      <c r="U3012"/>
    </row>
    <row r="3013" spans="6:21" x14ac:dyDescent="0.25">
      <c r="F3013"/>
      <c r="O3013"/>
      <c r="R3013"/>
      <c r="S3013"/>
      <c r="T3013"/>
      <c r="U3013"/>
    </row>
    <row r="3014" spans="6:21" x14ac:dyDescent="0.25">
      <c r="F3014"/>
      <c r="O3014"/>
      <c r="R3014"/>
      <c r="S3014"/>
      <c r="T3014"/>
      <c r="U3014"/>
    </row>
    <row r="3015" spans="6:21" x14ac:dyDescent="0.25">
      <c r="F3015"/>
      <c r="O3015"/>
      <c r="R3015"/>
      <c r="S3015"/>
      <c r="T3015"/>
      <c r="U3015"/>
    </row>
    <row r="3016" spans="6:21" x14ac:dyDescent="0.25">
      <c r="F3016"/>
      <c r="O3016"/>
      <c r="R3016"/>
      <c r="S3016"/>
      <c r="T3016"/>
      <c r="U3016"/>
    </row>
    <row r="3017" spans="6:21" x14ac:dyDescent="0.25">
      <c r="F3017"/>
      <c r="O3017"/>
      <c r="R3017"/>
      <c r="S3017"/>
      <c r="T3017"/>
      <c r="U3017"/>
    </row>
    <row r="3018" spans="6:21" x14ac:dyDescent="0.25">
      <c r="F3018"/>
      <c r="O3018"/>
      <c r="R3018"/>
      <c r="S3018"/>
      <c r="T3018"/>
      <c r="U3018"/>
    </row>
    <row r="3019" spans="6:21" x14ac:dyDescent="0.25">
      <c r="F3019"/>
      <c r="O3019"/>
      <c r="R3019"/>
      <c r="S3019"/>
      <c r="T3019"/>
      <c r="U3019"/>
    </row>
    <row r="3020" spans="6:21" x14ac:dyDescent="0.25">
      <c r="F3020"/>
      <c r="O3020"/>
      <c r="R3020"/>
      <c r="S3020"/>
      <c r="T3020"/>
      <c r="U3020"/>
    </row>
    <row r="3021" spans="6:21" x14ac:dyDescent="0.25">
      <c r="F3021"/>
      <c r="O3021"/>
      <c r="R3021"/>
      <c r="S3021"/>
      <c r="T3021"/>
      <c r="U3021"/>
    </row>
    <row r="3022" spans="6:21" x14ac:dyDescent="0.25">
      <c r="F3022"/>
      <c r="O3022"/>
      <c r="R3022"/>
      <c r="S3022"/>
      <c r="T3022"/>
      <c r="U3022"/>
    </row>
    <row r="3023" spans="6:21" x14ac:dyDescent="0.25">
      <c r="F3023"/>
      <c r="O3023"/>
      <c r="R3023"/>
      <c r="S3023"/>
      <c r="T3023"/>
      <c r="U3023"/>
    </row>
    <row r="3024" spans="6:21" x14ac:dyDescent="0.25">
      <c r="F3024"/>
      <c r="O3024"/>
      <c r="R3024"/>
      <c r="S3024"/>
      <c r="T3024"/>
      <c r="U3024"/>
    </row>
    <row r="3025" spans="6:21" x14ac:dyDescent="0.25">
      <c r="F3025"/>
      <c r="O3025"/>
      <c r="R3025"/>
      <c r="S3025"/>
      <c r="T3025"/>
      <c r="U3025"/>
    </row>
    <row r="3026" spans="6:21" x14ac:dyDescent="0.25">
      <c r="F3026"/>
      <c r="O3026"/>
      <c r="R3026"/>
      <c r="S3026"/>
      <c r="T3026"/>
      <c r="U3026"/>
    </row>
    <row r="3027" spans="6:21" x14ac:dyDescent="0.25">
      <c r="F3027"/>
      <c r="O3027"/>
      <c r="R3027"/>
      <c r="S3027"/>
      <c r="T3027"/>
      <c r="U3027"/>
    </row>
    <row r="3028" spans="6:21" x14ac:dyDescent="0.25">
      <c r="F3028"/>
      <c r="O3028"/>
      <c r="R3028"/>
      <c r="S3028"/>
      <c r="T3028"/>
      <c r="U3028"/>
    </row>
    <row r="3029" spans="6:21" x14ac:dyDescent="0.25">
      <c r="F3029"/>
      <c r="O3029"/>
      <c r="R3029"/>
      <c r="S3029"/>
      <c r="T3029"/>
      <c r="U3029"/>
    </row>
    <row r="3030" spans="6:21" x14ac:dyDescent="0.25">
      <c r="F3030"/>
      <c r="O3030"/>
      <c r="R3030"/>
      <c r="S3030"/>
      <c r="T3030"/>
      <c r="U3030"/>
    </row>
    <row r="3031" spans="6:21" x14ac:dyDescent="0.25">
      <c r="F3031"/>
      <c r="O3031"/>
      <c r="R3031"/>
      <c r="S3031"/>
      <c r="T3031"/>
      <c r="U3031"/>
    </row>
    <row r="3032" spans="6:21" x14ac:dyDescent="0.25">
      <c r="F3032"/>
      <c r="O3032"/>
      <c r="R3032"/>
      <c r="S3032"/>
      <c r="T3032"/>
      <c r="U3032"/>
    </row>
    <row r="3033" spans="6:21" x14ac:dyDescent="0.25">
      <c r="F3033"/>
      <c r="O3033"/>
      <c r="R3033"/>
      <c r="S3033"/>
      <c r="T3033"/>
      <c r="U3033"/>
    </row>
    <row r="3034" spans="6:21" x14ac:dyDescent="0.25">
      <c r="F3034"/>
      <c r="O3034"/>
      <c r="R3034"/>
      <c r="S3034"/>
      <c r="T3034"/>
      <c r="U3034"/>
    </row>
    <row r="3035" spans="6:21" x14ac:dyDescent="0.25">
      <c r="F3035"/>
      <c r="O3035"/>
      <c r="R3035"/>
      <c r="S3035"/>
      <c r="T3035"/>
      <c r="U3035"/>
    </row>
    <row r="3036" spans="6:21" x14ac:dyDescent="0.25">
      <c r="F3036"/>
      <c r="O3036"/>
      <c r="R3036"/>
      <c r="S3036"/>
      <c r="T3036"/>
      <c r="U3036"/>
    </row>
    <row r="3037" spans="6:21" x14ac:dyDescent="0.25">
      <c r="F3037"/>
      <c r="O3037"/>
      <c r="R3037"/>
      <c r="S3037"/>
      <c r="T3037"/>
      <c r="U3037"/>
    </row>
    <row r="3038" spans="6:21" x14ac:dyDescent="0.25">
      <c r="F3038"/>
      <c r="O3038"/>
      <c r="R3038"/>
      <c r="S3038"/>
      <c r="T3038"/>
      <c r="U3038"/>
    </row>
    <row r="3039" spans="6:21" x14ac:dyDescent="0.25">
      <c r="F3039"/>
      <c r="O3039"/>
      <c r="R3039"/>
      <c r="S3039"/>
      <c r="T3039"/>
      <c r="U3039"/>
    </row>
    <row r="3040" spans="6:21" x14ac:dyDescent="0.25">
      <c r="F3040"/>
      <c r="O3040"/>
      <c r="R3040"/>
      <c r="S3040"/>
      <c r="T3040"/>
      <c r="U3040"/>
    </row>
    <row r="3041" spans="6:21" x14ac:dyDescent="0.25">
      <c r="F3041"/>
      <c r="O3041"/>
      <c r="R3041"/>
      <c r="S3041"/>
      <c r="T3041"/>
      <c r="U3041"/>
    </row>
    <row r="3042" spans="6:21" x14ac:dyDescent="0.25">
      <c r="F3042"/>
      <c r="O3042"/>
      <c r="R3042"/>
      <c r="S3042"/>
      <c r="T3042"/>
      <c r="U3042"/>
    </row>
    <row r="3043" spans="6:21" x14ac:dyDescent="0.25">
      <c r="F3043"/>
      <c r="O3043"/>
      <c r="R3043"/>
      <c r="S3043"/>
      <c r="T3043"/>
      <c r="U3043"/>
    </row>
    <row r="3044" spans="6:21" x14ac:dyDescent="0.25">
      <c r="F3044"/>
      <c r="O3044"/>
      <c r="R3044"/>
      <c r="S3044"/>
      <c r="T3044"/>
      <c r="U3044"/>
    </row>
    <row r="3045" spans="6:21" x14ac:dyDescent="0.25">
      <c r="F3045"/>
      <c r="O3045"/>
      <c r="R3045"/>
      <c r="S3045"/>
      <c r="T3045"/>
      <c r="U3045"/>
    </row>
    <row r="3046" spans="6:21" x14ac:dyDescent="0.25">
      <c r="F3046"/>
      <c r="O3046"/>
      <c r="R3046"/>
      <c r="S3046"/>
      <c r="T3046"/>
      <c r="U3046"/>
    </row>
    <row r="3047" spans="6:21" x14ac:dyDescent="0.25">
      <c r="F3047"/>
      <c r="O3047"/>
      <c r="R3047"/>
      <c r="S3047"/>
      <c r="T3047"/>
      <c r="U3047"/>
    </row>
    <row r="3048" spans="6:21" x14ac:dyDescent="0.25">
      <c r="F3048"/>
      <c r="O3048"/>
      <c r="R3048"/>
      <c r="S3048"/>
      <c r="T3048"/>
      <c r="U3048"/>
    </row>
    <row r="3049" spans="6:21" x14ac:dyDescent="0.25">
      <c r="F3049"/>
      <c r="O3049"/>
      <c r="R3049"/>
      <c r="S3049"/>
      <c r="T3049"/>
      <c r="U3049"/>
    </row>
    <row r="3050" spans="6:21" x14ac:dyDescent="0.25">
      <c r="F3050"/>
      <c r="O3050"/>
      <c r="R3050"/>
      <c r="S3050"/>
      <c r="T3050"/>
      <c r="U3050"/>
    </row>
    <row r="3051" spans="6:21" x14ac:dyDescent="0.25">
      <c r="F3051"/>
      <c r="O3051"/>
      <c r="R3051"/>
      <c r="S3051"/>
      <c r="T3051"/>
      <c r="U3051"/>
    </row>
    <row r="3052" spans="6:21" x14ac:dyDescent="0.25">
      <c r="F3052"/>
      <c r="O3052"/>
      <c r="R3052"/>
      <c r="S3052"/>
      <c r="T3052"/>
      <c r="U3052"/>
    </row>
    <row r="3053" spans="6:21" x14ac:dyDescent="0.25">
      <c r="F3053"/>
      <c r="O3053"/>
      <c r="R3053"/>
      <c r="S3053"/>
      <c r="T3053"/>
      <c r="U3053"/>
    </row>
    <row r="3054" spans="6:21" x14ac:dyDescent="0.25">
      <c r="F3054"/>
      <c r="O3054"/>
      <c r="R3054"/>
      <c r="S3054"/>
      <c r="T3054"/>
      <c r="U3054"/>
    </row>
    <row r="3055" spans="6:21" x14ac:dyDescent="0.25">
      <c r="F3055"/>
      <c r="O3055"/>
      <c r="R3055"/>
      <c r="S3055"/>
      <c r="T3055"/>
      <c r="U3055"/>
    </row>
    <row r="3056" spans="6:21" x14ac:dyDescent="0.25">
      <c r="F3056"/>
      <c r="O3056"/>
      <c r="R3056"/>
      <c r="S3056"/>
      <c r="T3056"/>
      <c r="U3056"/>
    </row>
    <row r="3057" spans="6:21" x14ac:dyDescent="0.25">
      <c r="F3057"/>
      <c r="O3057"/>
      <c r="R3057"/>
      <c r="S3057"/>
      <c r="T3057"/>
      <c r="U3057"/>
    </row>
    <row r="3058" spans="6:21" x14ac:dyDescent="0.25">
      <c r="F3058"/>
      <c r="O3058"/>
      <c r="R3058"/>
      <c r="S3058"/>
      <c r="T3058"/>
      <c r="U3058"/>
    </row>
    <row r="3059" spans="6:21" x14ac:dyDescent="0.25">
      <c r="F3059"/>
      <c r="O3059"/>
      <c r="R3059"/>
      <c r="S3059"/>
      <c r="T3059"/>
      <c r="U3059"/>
    </row>
    <row r="3060" spans="6:21" x14ac:dyDescent="0.25">
      <c r="F3060"/>
      <c r="O3060"/>
      <c r="R3060"/>
      <c r="S3060"/>
      <c r="T3060"/>
      <c r="U3060"/>
    </row>
    <row r="3061" spans="6:21" x14ac:dyDescent="0.25">
      <c r="F3061"/>
      <c r="O3061"/>
      <c r="R3061"/>
      <c r="S3061"/>
      <c r="T3061"/>
      <c r="U3061"/>
    </row>
    <row r="3062" spans="6:21" x14ac:dyDescent="0.25">
      <c r="F3062"/>
      <c r="O3062"/>
      <c r="R3062"/>
      <c r="S3062"/>
      <c r="T3062"/>
      <c r="U3062"/>
    </row>
    <row r="3063" spans="6:21" x14ac:dyDescent="0.25">
      <c r="F3063"/>
      <c r="O3063"/>
      <c r="R3063"/>
      <c r="S3063"/>
      <c r="T3063"/>
      <c r="U3063"/>
    </row>
    <row r="3064" spans="6:21" x14ac:dyDescent="0.25">
      <c r="F3064"/>
      <c r="O3064"/>
      <c r="R3064"/>
      <c r="S3064"/>
      <c r="T3064"/>
      <c r="U3064"/>
    </row>
    <row r="3065" spans="6:21" x14ac:dyDescent="0.25">
      <c r="F3065"/>
      <c r="O3065"/>
      <c r="R3065"/>
      <c r="S3065"/>
      <c r="T3065"/>
      <c r="U3065"/>
    </row>
    <row r="3066" spans="6:21" x14ac:dyDescent="0.25">
      <c r="F3066"/>
      <c r="O3066"/>
      <c r="R3066"/>
      <c r="S3066"/>
      <c r="T3066"/>
      <c r="U3066"/>
    </row>
    <row r="3067" spans="6:21" x14ac:dyDescent="0.25">
      <c r="F3067"/>
      <c r="O3067"/>
      <c r="R3067"/>
      <c r="S3067"/>
      <c r="T3067"/>
      <c r="U3067"/>
    </row>
    <row r="3068" spans="6:21" x14ac:dyDescent="0.25">
      <c r="F3068"/>
      <c r="O3068"/>
      <c r="R3068"/>
      <c r="S3068"/>
      <c r="T3068"/>
      <c r="U3068"/>
    </row>
    <row r="3069" spans="6:21" x14ac:dyDescent="0.25">
      <c r="F3069"/>
      <c r="O3069"/>
      <c r="R3069"/>
      <c r="S3069"/>
      <c r="T3069"/>
      <c r="U3069"/>
    </row>
    <row r="3070" spans="6:21" x14ac:dyDescent="0.25">
      <c r="F3070"/>
      <c r="O3070"/>
      <c r="R3070"/>
      <c r="S3070"/>
      <c r="T3070"/>
      <c r="U3070"/>
    </row>
    <row r="3071" spans="6:21" x14ac:dyDescent="0.25">
      <c r="F3071"/>
      <c r="O3071"/>
      <c r="R3071"/>
      <c r="S3071"/>
      <c r="T3071"/>
      <c r="U3071"/>
    </row>
    <row r="3072" spans="6:21" x14ac:dyDescent="0.25">
      <c r="F3072"/>
      <c r="O3072"/>
      <c r="R3072"/>
      <c r="S3072"/>
      <c r="T3072"/>
      <c r="U3072"/>
    </row>
    <row r="3073" spans="6:21" x14ac:dyDescent="0.25">
      <c r="F3073"/>
      <c r="O3073"/>
      <c r="R3073"/>
      <c r="S3073"/>
      <c r="T3073"/>
      <c r="U3073"/>
    </row>
    <row r="3074" spans="6:21" x14ac:dyDescent="0.25">
      <c r="F3074"/>
      <c r="O3074"/>
      <c r="R3074"/>
      <c r="S3074"/>
      <c r="T3074"/>
      <c r="U3074"/>
    </row>
    <row r="3075" spans="6:21" x14ac:dyDescent="0.25">
      <c r="F3075"/>
      <c r="O3075"/>
      <c r="R3075"/>
      <c r="S3075"/>
      <c r="T3075"/>
      <c r="U3075"/>
    </row>
    <row r="3076" spans="6:21" x14ac:dyDescent="0.25">
      <c r="F3076"/>
      <c r="O3076"/>
      <c r="R3076"/>
      <c r="S3076"/>
      <c r="T3076"/>
      <c r="U3076"/>
    </row>
    <row r="3077" spans="6:21" x14ac:dyDescent="0.25">
      <c r="F3077"/>
      <c r="O3077"/>
      <c r="R3077"/>
      <c r="S3077"/>
      <c r="T3077"/>
      <c r="U3077"/>
    </row>
    <row r="3078" spans="6:21" x14ac:dyDescent="0.25">
      <c r="F3078"/>
      <c r="O3078"/>
      <c r="R3078"/>
      <c r="S3078"/>
      <c r="T3078"/>
      <c r="U3078"/>
    </row>
    <row r="3079" spans="6:21" x14ac:dyDescent="0.25">
      <c r="F3079"/>
      <c r="O3079"/>
      <c r="R3079"/>
      <c r="S3079"/>
      <c r="T3079"/>
      <c r="U3079"/>
    </row>
    <row r="3080" spans="6:21" x14ac:dyDescent="0.25">
      <c r="F3080"/>
      <c r="O3080"/>
      <c r="R3080"/>
      <c r="S3080"/>
      <c r="T3080"/>
      <c r="U3080"/>
    </row>
    <row r="3081" spans="6:21" x14ac:dyDescent="0.25">
      <c r="F3081"/>
      <c r="O3081"/>
      <c r="R3081"/>
      <c r="S3081"/>
      <c r="T3081"/>
      <c r="U3081"/>
    </row>
    <row r="3082" spans="6:21" x14ac:dyDescent="0.25">
      <c r="F3082"/>
      <c r="O3082"/>
      <c r="R3082"/>
      <c r="S3082"/>
      <c r="T3082"/>
      <c r="U3082"/>
    </row>
    <row r="3083" spans="6:21" x14ac:dyDescent="0.25">
      <c r="F3083"/>
      <c r="O3083"/>
      <c r="R3083"/>
      <c r="S3083"/>
      <c r="T3083"/>
      <c r="U3083"/>
    </row>
    <row r="3084" spans="6:21" x14ac:dyDescent="0.25">
      <c r="F3084"/>
      <c r="O3084"/>
      <c r="R3084"/>
      <c r="S3084"/>
      <c r="T3084"/>
      <c r="U3084"/>
    </row>
    <row r="3085" spans="6:21" x14ac:dyDescent="0.25">
      <c r="F3085"/>
      <c r="O3085"/>
      <c r="R3085"/>
      <c r="S3085"/>
      <c r="T3085"/>
      <c r="U3085"/>
    </row>
    <row r="3086" spans="6:21" x14ac:dyDescent="0.25">
      <c r="F3086"/>
      <c r="O3086"/>
      <c r="R3086"/>
      <c r="S3086"/>
      <c r="T3086"/>
      <c r="U3086"/>
    </row>
    <row r="3087" spans="6:21" x14ac:dyDescent="0.25">
      <c r="F3087"/>
      <c r="O3087"/>
      <c r="R3087"/>
      <c r="S3087"/>
      <c r="T3087"/>
      <c r="U3087"/>
    </row>
    <row r="3088" spans="6:21" x14ac:dyDescent="0.25">
      <c r="F3088"/>
      <c r="O3088"/>
      <c r="R3088"/>
      <c r="S3088"/>
      <c r="T3088"/>
      <c r="U3088"/>
    </row>
    <row r="3089" spans="6:21" x14ac:dyDescent="0.25">
      <c r="F3089"/>
      <c r="O3089"/>
      <c r="R3089"/>
      <c r="S3089"/>
      <c r="T3089"/>
      <c r="U3089"/>
    </row>
    <row r="3090" spans="6:21" x14ac:dyDescent="0.25">
      <c r="F3090"/>
      <c r="O3090"/>
      <c r="R3090"/>
      <c r="S3090"/>
      <c r="T3090"/>
      <c r="U3090"/>
    </row>
    <row r="3091" spans="6:21" x14ac:dyDescent="0.25">
      <c r="F3091"/>
      <c r="O3091"/>
      <c r="R3091"/>
      <c r="S3091"/>
      <c r="T3091"/>
      <c r="U3091"/>
    </row>
    <row r="3092" spans="6:21" x14ac:dyDescent="0.25">
      <c r="F3092"/>
      <c r="O3092"/>
      <c r="R3092"/>
      <c r="S3092"/>
      <c r="T3092"/>
      <c r="U3092"/>
    </row>
    <row r="3093" spans="6:21" x14ac:dyDescent="0.25">
      <c r="F3093"/>
      <c r="O3093"/>
      <c r="R3093"/>
      <c r="S3093"/>
      <c r="T3093"/>
      <c r="U3093"/>
    </row>
    <row r="3094" spans="6:21" x14ac:dyDescent="0.25">
      <c r="F3094"/>
      <c r="O3094"/>
      <c r="R3094"/>
      <c r="S3094"/>
      <c r="T3094"/>
      <c r="U3094"/>
    </row>
    <row r="3095" spans="6:21" x14ac:dyDescent="0.25">
      <c r="F3095"/>
      <c r="O3095"/>
      <c r="R3095"/>
      <c r="S3095"/>
      <c r="T3095"/>
      <c r="U3095"/>
    </row>
    <row r="3096" spans="6:21" x14ac:dyDescent="0.25">
      <c r="F3096"/>
      <c r="O3096"/>
      <c r="R3096"/>
      <c r="S3096"/>
      <c r="T3096"/>
      <c r="U3096"/>
    </row>
    <row r="3097" spans="6:21" x14ac:dyDescent="0.25">
      <c r="F3097"/>
      <c r="O3097"/>
      <c r="R3097"/>
      <c r="S3097"/>
      <c r="T3097"/>
      <c r="U3097"/>
    </row>
    <row r="3098" spans="6:21" x14ac:dyDescent="0.25">
      <c r="F3098"/>
      <c r="O3098"/>
      <c r="R3098"/>
      <c r="S3098"/>
      <c r="T3098"/>
      <c r="U3098"/>
    </row>
    <row r="3099" spans="6:21" x14ac:dyDescent="0.25">
      <c r="F3099"/>
      <c r="O3099"/>
      <c r="R3099"/>
      <c r="S3099"/>
      <c r="T3099"/>
      <c r="U3099"/>
    </row>
    <row r="3100" spans="6:21" x14ac:dyDescent="0.25">
      <c r="F3100"/>
      <c r="O3100"/>
      <c r="R3100"/>
      <c r="S3100"/>
      <c r="T3100"/>
      <c r="U3100"/>
    </row>
    <row r="3101" spans="6:21" x14ac:dyDescent="0.25">
      <c r="F3101"/>
      <c r="O3101"/>
      <c r="R3101"/>
      <c r="S3101"/>
      <c r="T3101"/>
      <c r="U3101"/>
    </row>
    <row r="3102" spans="6:21" x14ac:dyDescent="0.25">
      <c r="F3102"/>
      <c r="O3102"/>
      <c r="R3102"/>
      <c r="S3102"/>
      <c r="T3102"/>
      <c r="U3102"/>
    </row>
    <row r="3103" spans="6:21" x14ac:dyDescent="0.25">
      <c r="F3103"/>
      <c r="O3103"/>
      <c r="R3103"/>
      <c r="S3103"/>
      <c r="T3103"/>
      <c r="U3103"/>
    </row>
    <row r="3104" spans="6:21" x14ac:dyDescent="0.25">
      <c r="F3104"/>
      <c r="O3104"/>
      <c r="R3104"/>
      <c r="S3104"/>
      <c r="T3104"/>
      <c r="U3104"/>
    </row>
    <row r="3105" spans="6:21" x14ac:dyDescent="0.25">
      <c r="F3105"/>
      <c r="O3105"/>
      <c r="R3105"/>
      <c r="S3105"/>
      <c r="T3105"/>
      <c r="U3105"/>
    </row>
    <row r="3106" spans="6:21" x14ac:dyDescent="0.25">
      <c r="F3106"/>
      <c r="O3106"/>
      <c r="R3106"/>
      <c r="S3106"/>
      <c r="T3106"/>
      <c r="U3106"/>
    </row>
    <row r="3107" spans="6:21" x14ac:dyDescent="0.25">
      <c r="F3107"/>
      <c r="O3107"/>
      <c r="R3107"/>
      <c r="S3107"/>
      <c r="T3107"/>
      <c r="U3107"/>
    </row>
    <row r="3108" spans="6:21" x14ac:dyDescent="0.25">
      <c r="F3108"/>
      <c r="O3108"/>
      <c r="R3108"/>
      <c r="S3108"/>
      <c r="T3108"/>
      <c r="U3108"/>
    </row>
    <row r="3109" spans="6:21" x14ac:dyDescent="0.25">
      <c r="F3109"/>
      <c r="O3109"/>
      <c r="R3109"/>
      <c r="S3109"/>
      <c r="T3109"/>
      <c r="U3109"/>
    </row>
    <row r="3110" spans="6:21" x14ac:dyDescent="0.25">
      <c r="F3110"/>
      <c r="O3110"/>
      <c r="R3110"/>
      <c r="S3110"/>
      <c r="T3110"/>
      <c r="U3110"/>
    </row>
    <row r="3111" spans="6:21" x14ac:dyDescent="0.25">
      <c r="F3111"/>
      <c r="O3111"/>
      <c r="R3111"/>
      <c r="S3111"/>
      <c r="T3111"/>
      <c r="U3111"/>
    </row>
    <row r="3112" spans="6:21" x14ac:dyDescent="0.25">
      <c r="F3112"/>
      <c r="O3112"/>
      <c r="R3112"/>
      <c r="S3112"/>
      <c r="T3112"/>
      <c r="U3112"/>
    </row>
    <row r="3113" spans="6:21" x14ac:dyDescent="0.25">
      <c r="F3113"/>
      <c r="O3113"/>
      <c r="R3113"/>
      <c r="S3113"/>
      <c r="T3113"/>
      <c r="U3113"/>
    </row>
    <row r="3114" spans="6:21" x14ac:dyDescent="0.25">
      <c r="F3114"/>
      <c r="O3114"/>
      <c r="R3114"/>
      <c r="S3114"/>
      <c r="T3114"/>
      <c r="U3114"/>
    </row>
    <row r="3115" spans="6:21" x14ac:dyDescent="0.25">
      <c r="F3115"/>
      <c r="O3115"/>
      <c r="R3115"/>
      <c r="S3115"/>
      <c r="T3115"/>
      <c r="U3115"/>
    </row>
    <row r="3116" spans="6:21" x14ac:dyDescent="0.25">
      <c r="F3116"/>
      <c r="O3116"/>
      <c r="R3116"/>
      <c r="S3116"/>
      <c r="T3116"/>
      <c r="U3116"/>
    </row>
    <row r="3117" spans="6:21" x14ac:dyDescent="0.25">
      <c r="F3117"/>
      <c r="O3117"/>
      <c r="R3117"/>
      <c r="S3117"/>
      <c r="T3117"/>
      <c r="U3117"/>
    </row>
    <row r="3118" spans="6:21" x14ac:dyDescent="0.25">
      <c r="F3118"/>
      <c r="O3118"/>
      <c r="R3118"/>
      <c r="S3118"/>
      <c r="T3118"/>
      <c r="U3118"/>
    </row>
    <row r="3119" spans="6:21" x14ac:dyDescent="0.25">
      <c r="F3119"/>
      <c r="O3119"/>
      <c r="R3119"/>
      <c r="S3119"/>
      <c r="T3119"/>
      <c r="U3119"/>
    </row>
    <row r="3120" spans="6:21" x14ac:dyDescent="0.25">
      <c r="F3120"/>
      <c r="O3120"/>
      <c r="R3120"/>
      <c r="S3120"/>
      <c r="T3120"/>
      <c r="U3120"/>
    </row>
    <row r="3121" spans="6:21" x14ac:dyDescent="0.25">
      <c r="F3121"/>
      <c r="O3121"/>
      <c r="R3121"/>
      <c r="S3121"/>
      <c r="T3121"/>
      <c r="U3121"/>
    </row>
    <row r="3122" spans="6:21" x14ac:dyDescent="0.25">
      <c r="F3122"/>
      <c r="O3122"/>
      <c r="R3122"/>
      <c r="S3122"/>
      <c r="T3122"/>
      <c r="U3122"/>
    </row>
    <row r="3123" spans="6:21" x14ac:dyDescent="0.25">
      <c r="F3123"/>
      <c r="O3123"/>
      <c r="R3123"/>
      <c r="S3123"/>
      <c r="T3123"/>
      <c r="U3123"/>
    </row>
    <row r="3124" spans="6:21" x14ac:dyDescent="0.25">
      <c r="F3124"/>
      <c r="O3124"/>
      <c r="R3124"/>
      <c r="S3124"/>
      <c r="T3124"/>
      <c r="U3124"/>
    </row>
    <row r="3125" spans="6:21" x14ac:dyDescent="0.25">
      <c r="F3125"/>
      <c r="O3125"/>
      <c r="R3125"/>
      <c r="S3125"/>
      <c r="T3125"/>
      <c r="U3125"/>
    </row>
    <row r="3126" spans="6:21" x14ac:dyDescent="0.25">
      <c r="F3126"/>
      <c r="O3126"/>
      <c r="R3126"/>
      <c r="S3126"/>
      <c r="T3126"/>
      <c r="U3126"/>
    </row>
    <row r="3127" spans="6:21" x14ac:dyDescent="0.25">
      <c r="F3127"/>
      <c r="O3127"/>
      <c r="R3127"/>
      <c r="S3127"/>
      <c r="T3127"/>
      <c r="U3127"/>
    </row>
    <row r="3128" spans="6:21" x14ac:dyDescent="0.25">
      <c r="F3128"/>
      <c r="O3128"/>
      <c r="R3128"/>
      <c r="S3128"/>
      <c r="T3128"/>
      <c r="U3128"/>
    </row>
    <row r="3129" spans="6:21" x14ac:dyDescent="0.25">
      <c r="F3129"/>
      <c r="O3129"/>
      <c r="R3129"/>
      <c r="S3129"/>
      <c r="T3129"/>
      <c r="U3129"/>
    </row>
    <row r="3130" spans="6:21" x14ac:dyDescent="0.25">
      <c r="F3130"/>
      <c r="O3130"/>
      <c r="R3130"/>
      <c r="S3130"/>
      <c r="T3130"/>
      <c r="U3130"/>
    </row>
    <row r="3131" spans="6:21" x14ac:dyDescent="0.25">
      <c r="F3131"/>
      <c r="O3131"/>
      <c r="R3131"/>
      <c r="S3131"/>
      <c r="T3131"/>
      <c r="U3131"/>
    </row>
    <row r="3132" spans="6:21" x14ac:dyDescent="0.25">
      <c r="F3132"/>
      <c r="O3132"/>
      <c r="R3132"/>
      <c r="S3132"/>
      <c r="T3132"/>
      <c r="U3132"/>
    </row>
    <row r="3133" spans="6:21" x14ac:dyDescent="0.25">
      <c r="F3133"/>
      <c r="O3133"/>
      <c r="R3133"/>
      <c r="S3133"/>
      <c r="T3133"/>
      <c r="U3133"/>
    </row>
    <row r="3134" spans="6:21" x14ac:dyDescent="0.25">
      <c r="F3134"/>
      <c r="O3134"/>
      <c r="R3134"/>
      <c r="S3134"/>
      <c r="T3134"/>
      <c r="U3134"/>
    </row>
    <row r="3135" spans="6:21" x14ac:dyDescent="0.25">
      <c r="F3135"/>
      <c r="O3135"/>
      <c r="R3135"/>
      <c r="S3135"/>
      <c r="T3135"/>
      <c r="U3135"/>
    </row>
    <row r="3136" spans="6:21" x14ac:dyDescent="0.25">
      <c r="F3136"/>
      <c r="O3136"/>
      <c r="R3136"/>
      <c r="S3136"/>
      <c r="T3136"/>
      <c r="U3136"/>
    </row>
    <row r="3137" spans="6:21" x14ac:dyDescent="0.25">
      <c r="F3137"/>
      <c r="O3137"/>
      <c r="R3137"/>
      <c r="S3137"/>
      <c r="T3137"/>
      <c r="U3137"/>
    </row>
    <row r="3138" spans="6:21" x14ac:dyDescent="0.25">
      <c r="F3138"/>
      <c r="O3138"/>
      <c r="R3138"/>
      <c r="S3138"/>
      <c r="T3138"/>
      <c r="U3138"/>
    </row>
    <row r="3139" spans="6:21" x14ac:dyDescent="0.25">
      <c r="F3139"/>
      <c r="O3139"/>
      <c r="R3139"/>
      <c r="S3139"/>
      <c r="T3139"/>
      <c r="U3139"/>
    </row>
    <row r="3140" spans="6:21" x14ac:dyDescent="0.25">
      <c r="F3140"/>
      <c r="O3140"/>
      <c r="R3140"/>
      <c r="S3140"/>
      <c r="T3140"/>
      <c r="U3140"/>
    </row>
    <row r="3141" spans="6:21" x14ac:dyDescent="0.25">
      <c r="F3141"/>
      <c r="O3141"/>
      <c r="R3141"/>
      <c r="S3141"/>
      <c r="T3141"/>
      <c r="U3141"/>
    </row>
    <row r="3142" spans="6:21" x14ac:dyDescent="0.25">
      <c r="F3142"/>
      <c r="O3142"/>
      <c r="R3142"/>
      <c r="S3142"/>
      <c r="T3142"/>
      <c r="U3142"/>
    </row>
    <row r="3143" spans="6:21" x14ac:dyDescent="0.25">
      <c r="F3143"/>
      <c r="O3143"/>
      <c r="R3143"/>
      <c r="S3143"/>
      <c r="T3143"/>
      <c r="U3143"/>
    </row>
    <row r="3144" spans="6:21" x14ac:dyDescent="0.25">
      <c r="F3144"/>
      <c r="O3144"/>
      <c r="R3144"/>
      <c r="S3144"/>
      <c r="T3144"/>
      <c r="U3144"/>
    </row>
    <row r="3145" spans="6:21" x14ac:dyDescent="0.25">
      <c r="F3145"/>
      <c r="O3145"/>
      <c r="R3145"/>
      <c r="S3145"/>
      <c r="T3145"/>
      <c r="U3145"/>
    </row>
    <row r="3146" spans="6:21" x14ac:dyDescent="0.25">
      <c r="F3146"/>
      <c r="O3146"/>
      <c r="R3146"/>
      <c r="S3146"/>
      <c r="T3146"/>
      <c r="U3146"/>
    </row>
    <row r="3147" spans="6:21" x14ac:dyDescent="0.25">
      <c r="F3147"/>
      <c r="O3147"/>
      <c r="R3147"/>
      <c r="S3147"/>
      <c r="T3147"/>
      <c r="U3147"/>
    </row>
    <row r="3148" spans="6:21" x14ac:dyDescent="0.25">
      <c r="F3148"/>
      <c r="O3148"/>
      <c r="R3148"/>
      <c r="S3148"/>
      <c r="T3148"/>
      <c r="U3148"/>
    </row>
    <row r="3149" spans="6:21" x14ac:dyDescent="0.25">
      <c r="F3149"/>
      <c r="O3149"/>
      <c r="R3149"/>
      <c r="S3149"/>
      <c r="T3149"/>
      <c r="U3149"/>
    </row>
    <row r="3150" spans="6:21" x14ac:dyDescent="0.25">
      <c r="F3150"/>
      <c r="O3150"/>
      <c r="R3150"/>
      <c r="S3150"/>
      <c r="T3150"/>
      <c r="U3150"/>
    </row>
    <row r="3151" spans="6:21" x14ac:dyDescent="0.25">
      <c r="F3151"/>
      <c r="O3151"/>
      <c r="R3151"/>
      <c r="S3151"/>
      <c r="T3151"/>
      <c r="U3151"/>
    </row>
    <row r="3152" spans="6:21" x14ac:dyDescent="0.25">
      <c r="F3152"/>
      <c r="O3152"/>
      <c r="R3152"/>
      <c r="S3152"/>
      <c r="T3152"/>
      <c r="U3152"/>
    </row>
    <row r="3153" spans="6:21" x14ac:dyDescent="0.25">
      <c r="F3153"/>
      <c r="O3153"/>
      <c r="R3153"/>
      <c r="S3153"/>
      <c r="T3153"/>
      <c r="U3153"/>
    </row>
    <row r="3154" spans="6:21" x14ac:dyDescent="0.25">
      <c r="F3154"/>
      <c r="O3154"/>
      <c r="R3154"/>
      <c r="S3154"/>
      <c r="T3154"/>
      <c r="U3154"/>
    </row>
    <row r="3155" spans="6:21" x14ac:dyDescent="0.25">
      <c r="F3155"/>
      <c r="O3155"/>
      <c r="R3155"/>
      <c r="S3155"/>
      <c r="T3155"/>
      <c r="U3155"/>
    </row>
    <row r="3156" spans="6:21" x14ac:dyDescent="0.25">
      <c r="F3156"/>
      <c r="O3156"/>
      <c r="R3156"/>
      <c r="S3156"/>
      <c r="T3156"/>
      <c r="U3156"/>
    </row>
    <row r="3157" spans="6:21" x14ac:dyDescent="0.25">
      <c r="F3157"/>
      <c r="O3157"/>
      <c r="R3157"/>
      <c r="S3157"/>
      <c r="T3157"/>
      <c r="U3157"/>
    </row>
    <row r="3158" spans="6:21" x14ac:dyDescent="0.25">
      <c r="F3158"/>
      <c r="O3158"/>
      <c r="R3158"/>
      <c r="S3158"/>
      <c r="T3158"/>
      <c r="U3158"/>
    </row>
    <row r="3159" spans="6:21" x14ac:dyDescent="0.25">
      <c r="F3159"/>
      <c r="O3159"/>
      <c r="R3159"/>
      <c r="S3159"/>
      <c r="T3159"/>
      <c r="U3159"/>
    </row>
    <row r="3160" spans="6:21" x14ac:dyDescent="0.25">
      <c r="F3160"/>
      <c r="O3160"/>
      <c r="R3160"/>
      <c r="S3160"/>
      <c r="T3160"/>
      <c r="U3160"/>
    </row>
    <row r="3161" spans="6:21" x14ac:dyDescent="0.25">
      <c r="F3161"/>
      <c r="O3161"/>
      <c r="R3161"/>
      <c r="S3161"/>
      <c r="T3161"/>
      <c r="U3161"/>
    </row>
    <row r="3162" spans="6:21" x14ac:dyDescent="0.25">
      <c r="F3162"/>
      <c r="O3162"/>
      <c r="R3162"/>
      <c r="S3162"/>
      <c r="T3162"/>
      <c r="U3162"/>
    </row>
    <row r="3163" spans="6:21" x14ac:dyDescent="0.25">
      <c r="F3163"/>
      <c r="O3163"/>
      <c r="R3163"/>
      <c r="S3163"/>
      <c r="T3163"/>
      <c r="U3163"/>
    </row>
    <row r="3164" spans="6:21" x14ac:dyDescent="0.25">
      <c r="F3164"/>
      <c r="O3164"/>
      <c r="R3164"/>
      <c r="S3164"/>
      <c r="T3164"/>
      <c r="U3164"/>
    </row>
    <row r="3165" spans="6:21" x14ac:dyDescent="0.25">
      <c r="F3165"/>
      <c r="O3165"/>
      <c r="R3165"/>
      <c r="S3165"/>
      <c r="T3165"/>
      <c r="U3165"/>
    </row>
    <row r="3166" spans="6:21" x14ac:dyDescent="0.25">
      <c r="F3166"/>
      <c r="O3166"/>
      <c r="R3166"/>
      <c r="S3166"/>
      <c r="T3166"/>
      <c r="U3166"/>
    </row>
    <row r="3167" spans="6:21" x14ac:dyDescent="0.25">
      <c r="F3167"/>
      <c r="O3167"/>
      <c r="R3167"/>
      <c r="S3167"/>
      <c r="T3167"/>
      <c r="U3167"/>
    </row>
    <row r="3168" spans="6:21" x14ac:dyDescent="0.25">
      <c r="F3168"/>
      <c r="O3168"/>
      <c r="R3168"/>
      <c r="S3168"/>
      <c r="T3168"/>
      <c r="U3168"/>
    </row>
    <row r="3169" spans="6:21" x14ac:dyDescent="0.25">
      <c r="F3169"/>
      <c r="O3169"/>
      <c r="R3169"/>
      <c r="S3169"/>
      <c r="T3169"/>
      <c r="U3169"/>
    </row>
    <row r="3170" spans="6:21" x14ac:dyDescent="0.25">
      <c r="F3170"/>
      <c r="O3170"/>
      <c r="R3170"/>
      <c r="S3170"/>
      <c r="T3170"/>
      <c r="U3170"/>
    </row>
    <row r="3171" spans="6:21" x14ac:dyDescent="0.25">
      <c r="F3171"/>
      <c r="O3171"/>
      <c r="R3171"/>
      <c r="S3171"/>
      <c r="T3171"/>
      <c r="U3171"/>
    </row>
    <row r="3172" spans="6:21" x14ac:dyDescent="0.25">
      <c r="F3172"/>
      <c r="O3172"/>
      <c r="R3172"/>
      <c r="S3172"/>
      <c r="T3172"/>
      <c r="U3172"/>
    </row>
    <row r="3173" spans="6:21" x14ac:dyDescent="0.25">
      <c r="F3173"/>
      <c r="O3173"/>
      <c r="R3173"/>
      <c r="S3173"/>
      <c r="T3173"/>
      <c r="U3173"/>
    </row>
    <row r="3174" spans="6:21" x14ac:dyDescent="0.25">
      <c r="F3174"/>
      <c r="O3174"/>
      <c r="R3174"/>
      <c r="S3174"/>
      <c r="T3174"/>
      <c r="U3174"/>
    </row>
    <row r="3175" spans="6:21" x14ac:dyDescent="0.25">
      <c r="F3175"/>
      <c r="O3175"/>
      <c r="R3175"/>
      <c r="S3175"/>
      <c r="T3175"/>
      <c r="U3175"/>
    </row>
    <row r="3176" spans="6:21" x14ac:dyDescent="0.25">
      <c r="F3176"/>
      <c r="O3176"/>
      <c r="R3176"/>
      <c r="S3176"/>
      <c r="T3176"/>
      <c r="U3176"/>
    </row>
    <row r="3177" spans="6:21" x14ac:dyDescent="0.25">
      <c r="F3177"/>
      <c r="O3177"/>
      <c r="R3177"/>
      <c r="S3177"/>
      <c r="T3177"/>
      <c r="U3177"/>
    </row>
    <row r="3178" spans="6:21" x14ac:dyDescent="0.25">
      <c r="F3178"/>
      <c r="O3178"/>
      <c r="R3178"/>
      <c r="S3178"/>
      <c r="T3178"/>
      <c r="U3178"/>
    </row>
    <row r="3179" spans="6:21" x14ac:dyDescent="0.25">
      <c r="F3179"/>
      <c r="O3179"/>
      <c r="R3179"/>
      <c r="S3179"/>
      <c r="T3179"/>
      <c r="U3179"/>
    </row>
    <row r="3180" spans="6:21" x14ac:dyDescent="0.25">
      <c r="F3180"/>
      <c r="O3180"/>
      <c r="R3180"/>
      <c r="S3180"/>
      <c r="T3180"/>
      <c r="U3180"/>
    </row>
    <row r="3181" spans="6:21" x14ac:dyDescent="0.25">
      <c r="F3181"/>
      <c r="O3181"/>
      <c r="R3181"/>
      <c r="S3181"/>
      <c r="T3181"/>
      <c r="U3181"/>
    </row>
    <row r="3182" spans="6:21" x14ac:dyDescent="0.25">
      <c r="F3182"/>
      <c r="O3182"/>
      <c r="R3182"/>
      <c r="S3182"/>
      <c r="T3182"/>
      <c r="U3182"/>
    </row>
    <row r="3183" spans="6:21" x14ac:dyDescent="0.25">
      <c r="F3183"/>
      <c r="O3183"/>
      <c r="R3183"/>
      <c r="S3183"/>
      <c r="T3183"/>
      <c r="U3183"/>
    </row>
    <row r="3184" spans="6:21" x14ac:dyDescent="0.25">
      <c r="F3184"/>
      <c r="O3184"/>
      <c r="R3184"/>
      <c r="S3184"/>
      <c r="T3184"/>
      <c r="U3184"/>
    </row>
    <row r="3185" spans="6:21" x14ac:dyDescent="0.25">
      <c r="F3185"/>
      <c r="O3185"/>
      <c r="R3185"/>
      <c r="S3185"/>
      <c r="T3185"/>
      <c r="U3185"/>
    </row>
    <row r="3186" spans="6:21" x14ac:dyDescent="0.25">
      <c r="F3186"/>
      <c r="O3186"/>
      <c r="R3186"/>
      <c r="S3186"/>
      <c r="T3186"/>
      <c r="U3186"/>
    </row>
    <row r="3187" spans="6:21" x14ac:dyDescent="0.25">
      <c r="F3187"/>
      <c r="O3187"/>
      <c r="R3187"/>
      <c r="S3187"/>
      <c r="T3187"/>
      <c r="U3187"/>
    </row>
    <row r="3188" spans="6:21" x14ac:dyDescent="0.25">
      <c r="F3188"/>
      <c r="O3188"/>
      <c r="R3188"/>
      <c r="S3188"/>
      <c r="T3188"/>
      <c r="U3188"/>
    </row>
    <row r="3189" spans="6:21" x14ac:dyDescent="0.25">
      <c r="F3189"/>
      <c r="O3189"/>
      <c r="R3189"/>
      <c r="S3189"/>
      <c r="T3189"/>
      <c r="U3189"/>
    </row>
    <row r="3190" spans="6:21" x14ac:dyDescent="0.25">
      <c r="F3190"/>
      <c r="O3190"/>
      <c r="R3190"/>
      <c r="S3190"/>
      <c r="T3190"/>
      <c r="U3190"/>
    </row>
    <row r="3191" spans="6:21" x14ac:dyDescent="0.25">
      <c r="F3191"/>
      <c r="O3191"/>
      <c r="R3191"/>
      <c r="S3191"/>
      <c r="T3191"/>
      <c r="U3191"/>
    </row>
    <row r="3192" spans="6:21" x14ac:dyDescent="0.25">
      <c r="F3192"/>
      <c r="O3192"/>
      <c r="R3192"/>
      <c r="S3192"/>
      <c r="T3192"/>
      <c r="U3192"/>
    </row>
    <row r="3193" spans="6:21" x14ac:dyDescent="0.25">
      <c r="F3193"/>
      <c r="O3193"/>
      <c r="R3193"/>
      <c r="S3193"/>
      <c r="T3193"/>
      <c r="U3193"/>
    </row>
    <row r="3194" spans="6:21" x14ac:dyDescent="0.25">
      <c r="F3194"/>
      <c r="O3194"/>
      <c r="R3194"/>
      <c r="S3194"/>
      <c r="T3194"/>
      <c r="U3194"/>
    </row>
    <row r="3195" spans="6:21" x14ac:dyDescent="0.25">
      <c r="F3195"/>
      <c r="O3195"/>
      <c r="R3195"/>
      <c r="S3195"/>
      <c r="T3195"/>
      <c r="U3195"/>
    </row>
    <row r="3196" spans="6:21" x14ac:dyDescent="0.25">
      <c r="F3196"/>
      <c r="O3196"/>
      <c r="R3196"/>
      <c r="S3196"/>
      <c r="T3196"/>
      <c r="U3196"/>
    </row>
    <row r="3197" spans="6:21" x14ac:dyDescent="0.25">
      <c r="F3197"/>
      <c r="O3197"/>
      <c r="R3197"/>
      <c r="S3197"/>
      <c r="T3197"/>
      <c r="U3197"/>
    </row>
    <row r="3198" spans="6:21" x14ac:dyDescent="0.25">
      <c r="F3198"/>
      <c r="O3198"/>
      <c r="R3198"/>
      <c r="S3198"/>
      <c r="T3198"/>
      <c r="U3198"/>
    </row>
    <row r="3199" spans="6:21" x14ac:dyDescent="0.25">
      <c r="F3199"/>
      <c r="O3199"/>
      <c r="R3199"/>
      <c r="S3199"/>
      <c r="T3199"/>
      <c r="U3199"/>
    </row>
    <row r="3200" spans="6:21" x14ac:dyDescent="0.25">
      <c r="F3200"/>
      <c r="O3200"/>
      <c r="R3200"/>
      <c r="S3200"/>
      <c r="T3200"/>
      <c r="U3200"/>
    </row>
    <row r="3201" spans="6:21" x14ac:dyDescent="0.25">
      <c r="F3201"/>
      <c r="O3201"/>
      <c r="R3201"/>
      <c r="S3201"/>
      <c r="T3201"/>
      <c r="U3201"/>
    </row>
    <row r="3202" spans="6:21" x14ac:dyDescent="0.25">
      <c r="F3202"/>
      <c r="O3202"/>
      <c r="R3202"/>
      <c r="S3202"/>
      <c r="T3202"/>
      <c r="U3202"/>
    </row>
    <row r="3203" spans="6:21" x14ac:dyDescent="0.25">
      <c r="F3203"/>
      <c r="O3203"/>
      <c r="R3203"/>
      <c r="S3203"/>
      <c r="T3203"/>
      <c r="U3203"/>
    </row>
    <row r="3204" spans="6:21" x14ac:dyDescent="0.25">
      <c r="F3204"/>
      <c r="O3204"/>
      <c r="R3204"/>
      <c r="S3204"/>
      <c r="T3204"/>
      <c r="U3204"/>
    </row>
    <row r="3205" spans="6:21" x14ac:dyDescent="0.25">
      <c r="F3205"/>
      <c r="O3205"/>
      <c r="R3205"/>
      <c r="S3205"/>
      <c r="T3205"/>
      <c r="U3205"/>
    </row>
    <row r="3206" spans="6:21" x14ac:dyDescent="0.25">
      <c r="F3206"/>
      <c r="O3206"/>
      <c r="R3206"/>
      <c r="S3206"/>
      <c r="T3206"/>
      <c r="U3206"/>
    </row>
    <row r="3207" spans="6:21" x14ac:dyDescent="0.25">
      <c r="F3207"/>
      <c r="O3207"/>
      <c r="R3207"/>
      <c r="S3207"/>
      <c r="T3207"/>
      <c r="U3207"/>
    </row>
    <row r="3208" spans="6:21" x14ac:dyDescent="0.25">
      <c r="F3208"/>
      <c r="O3208"/>
      <c r="R3208"/>
      <c r="S3208"/>
      <c r="T3208"/>
      <c r="U3208"/>
    </row>
    <row r="3209" spans="6:21" x14ac:dyDescent="0.25">
      <c r="F3209"/>
      <c r="O3209"/>
      <c r="R3209"/>
      <c r="S3209"/>
      <c r="T3209"/>
      <c r="U3209"/>
    </row>
    <row r="3210" spans="6:21" x14ac:dyDescent="0.25">
      <c r="F3210"/>
      <c r="O3210"/>
      <c r="R3210"/>
      <c r="S3210"/>
      <c r="T3210"/>
      <c r="U3210"/>
    </row>
    <row r="3211" spans="6:21" x14ac:dyDescent="0.25">
      <c r="F3211"/>
      <c r="O3211"/>
      <c r="R3211"/>
      <c r="S3211"/>
      <c r="T3211"/>
      <c r="U3211"/>
    </row>
    <row r="3212" spans="6:21" x14ac:dyDescent="0.25">
      <c r="F3212"/>
      <c r="O3212"/>
      <c r="R3212"/>
      <c r="S3212"/>
      <c r="T3212"/>
      <c r="U3212"/>
    </row>
    <row r="3213" spans="6:21" x14ac:dyDescent="0.25">
      <c r="F3213"/>
      <c r="O3213"/>
      <c r="R3213"/>
      <c r="S3213"/>
      <c r="T3213"/>
      <c r="U3213"/>
    </row>
    <row r="3214" spans="6:21" x14ac:dyDescent="0.25">
      <c r="F3214"/>
      <c r="O3214"/>
      <c r="R3214"/>
      <c r="S3214"/>
      <c r="T3214"/>
      <c r="U3214"/>
    </row>
    <row r="3215" spans="6:21" x14ac:dyDescent="0.25">
      <c r="F3215"/>
      <c r="O3215"/>
      <c r="R3215"/>
      <c r="S3215"/>
      <c r="T3215"/>
      <c r="U3215"/>
    </row>
    <row r="3216" spans="6:21" x14ac:dyDescent="0.25">
      <c r="F3216"/>
      <c r="O3216"/>
      <c r="R3216"/>
      <c r="S3216"/>
      <c r="T3216"/>
      <c r="U3216"/>
    </row>
    <row r="3217" spans="6:21" x14ac:dyDescent="0.25">
      <c r="F3217"/>
      <c r="O3217"/>
      <c r="R3217"/>
      <c r="S3217"/>
      <c r="T3217"/>
      <c r="U3217"/>
    </row>
    <row r="3218" spans="6:21" x14ac:dyDescent="0.25">
      <c r="F3218"/>
      <c r="O3218"/>
      <c r="R3218"/>
      <c r="S3218"/>
      <c r="T3218"/>
      <c r="U3218"/>
    </row>
    <row r="3219" spans="6:21" x14ac:dyDescent="0.25">
      <c r="F3219"/>
      <c r="O3219"/>
      <c r="R3219"/>
      <c r="S3219"/>
      <c r="T3219"/>
      <c r="U3219"/>
    </row>
    <row r="3220" spans="6:21" x14ac:dyDescent="0.25">
      <c r="F3220"/>
      <c r="O3220"/>
      <c r="R3220"/>
      <c r="S3220"/>
      <c r="T3220"/>
      <c r="U3220"/>
    </row>
    <row r="3221" spans="6:21" x14ac:dyDescent="0.25">
      <c r="F3221"/>
      <c r="O3221"/>
      <c r="R3221"/>
      <c r="S3221"/>
      <c r="T3221"/>
      <c r="U3221"/>
    </row>
    <row r="3222" spans="6:21" x14ac:dyDescent="0.25">
      <c r="F3222"/>
      <c r="O3222"/>
      <c r="R3222"/>
      <c r="S3222"/>
      <c r="T3222"/>
      <c r="U3222"/>
    </row>
    <row r="3223" spans="6:21" x14ac:dyDescent="0.25">
      <c r="F3223"/>
      <c r="O3223"/>
      <c r="R3223"/>
      <c r="S3223"/>
      <c r="T3223"/>
      <c r="U3223"/>
    </row>
    <row r="3224" spans="6:21" x14ac:dyDescent="0.25">
      <c r="F3224"/>
      <c r="O3224"/>
      <c r="R3224"/>
      <c r="S3224"/>
      <c r="T3224"/>
      <c r="U3224"/>
    </row>
    <row r="3225" spans="6:21" x14ac:dyDescent="0.25">
      <c r="F3225"/>
      <c r="O3225"/>
      <c r="R3225"/>
      <c r="S3225"/>
      <c r="T3225"/>
      <c r="U3225"/>
    </row>
    <row r="3226" spans="6:21" x14ac:dyDescent="0.25">
      <c r="F3226"/>
      <c r="O3226"/>
      <c r="R3226"/>
      <c r="S3226"/>
      <c r="T3226"/>
      <c r="U3226"/>
    </row>
    <row r="3227" spans="6:21" x14ac:dyDescent="0.25">
      <c r="F3227"/>
      <c r="O3227"/>
      <c r="R3227"/>
      <c r="S3227"/>
      <c r="T3227"/>
      <c r="U3227"/>
    </row>
    <row r="3228" spans="6:21" x14ac:dyDescent="0.25">
      <c r="F3228"/>
      <c r="O3228"/>
      <c r="R3228"/>
      <c r="S3228"/>
      <c r="T3228"/>
      <c r="U3228"/>
    </row>
    <row r="3229" spans="6:21" x14ac:dyDescent="0.25">
      <c r="F3229"/>
      <c r="O3229"/>
      <c r="R3229"/>
      <c r="S3229"/>
      <c r="T3229"/>
      <c r="U3229"/>
    </row>
    <row r="3230" spans="6:21" x14ac:dyDescent="0.25">
      <c r="F3230"/>
      <c r="O3230"/>
      <c r="R3230"/>
      <c r="S3230"/>
      <c r="T3230"/>
      <c r="U3230"/>
    </row>
    <row r="3231" spans="6:21" x14ac:dyDescent="0.25">
      <c r="F3231"/>
      <c r="O3231"/>
      <c r="R3231"/>
      <c r="S3231"/>
      <c r="T3231"/>
      <c r="U3231"/>
    </row>
    <row r="3232" spans="6:21" x14ac:dyDescent="0.25">
      <c r="F3232"/>
      <c r="O3232"/>
      <c r="R3232"/>
      <c r="S3232"/>
      <c r="T3232"/>
      <c r="U3232"/>
    </row>
    <row r="3233" spans="6:21" x14ac:dyDescent="0.25">
      <c r="F3233"/>
      <c r="O3233"/>
      <c r="R3233"/>
      <c r="S3233"/>
      <c r="T3233"/>
      <c r="U3233"/>
    </row>
    <row r="3234" spans="6:21" x14ac:dyDescent="0.25">
      <c r="F3234"/>
      <c r="O3234"/>
      <c r="R3234"/>
      <c r="S3234"/>
      <c r="T3234"/>
      <c r="U3234"/>
    </row>
    <row r="3235" spans="6:21" x14ac:dyDescent="0.25">
      <c r="F3235"/>
      <c r="O3235"/>
      <c r="R3235"/>
      <c r="S3235"/>
      <c r="T3235"/>
      <c r="U3235"/>
    </row>
    <row r="3236" spans="6:21" x14ac:dyDescent="0.25">
      <c r="F3236"/>
      <c r="O3236"/>
      <c r="R3236"/>
      <c r="S3236"/>
      <c r="T3236"/>
      <c r="U3236"/>
    </row>
    <row r="3237" spans="6:21" x14ac:dyDescent="0.25">
      <c r="F3237"/>
      <c r="O3237"/>
      <c r="R3237"/>
      <c r="S3237"/>
      <c r="T3237"/>
      <c r="U3237"/>
    </row>
    <row r="3238" spans="6:21" x14ac:dyDescent="0.25">
      <c r="F3238"/>
      <c r="O3238"/>
      <c r="R3238"/>
      <c r="S3238"/>
      <c r="T3238"/>
      <c r="U3238"/>
    </row>
    <row r="3239" spans="6:21" x14ac:dyDescent="0.25">
      <c r="F3239"/>
      <c r="O3239"/>
      <c r="R3239"/>
      <c r="S3239"/>
      <c r="T3239"/>
      <c r="U3239"/>
    </row>
    <row r="3240" spans="6:21" x14ac:dyDescent="0.25">
      <c r="F3240"/>
      <c r="O3240"/>
      <c r="R3240"/>
      <c r="S3240"/>
      <c r="T3240"/>
      <c r="U3240"/>
    </row>
    <row r="3241" spans="6:21" x14ac:dyDescent="0.25">
      <c r="F3241"/>
      <c r="O3241"/>
      <c r="R3241"/>
      <c r="S3241"/>
      <c r="T3241"/>
      <c r="U3241"/>
    </row>
    <row r="3242" spans="6:21" x14ac:dyDescent="0.25">
      <c r="F3242"/>
      <c r="O3242"/>
      <c r="R3242"/>
      <c r="S3242"/>
      <c r="T3242"/>
      <c r="U3242"/>
    </row>
    <row r="3243" spans="6:21" x14ac:dyDescent="0.25">
      <c r="F3243"/>
      <c r="O3243"/>
      <c r="R3243"/>
      <c r="S3243"/>
      <c r="T3243"/>
      <c r="U3243"/>
    </row>
    <row r="3244" spans="6:21" x14ac:dyDescent="0.25">
      <c r="F3244"/>
      <c r="O3244"/>
      <c r="R3244"/>
      <c r="S3244"/>
      <c r="T3244"/>
      <c r="U3244"/>
    </row>
    <row r="3245" spans="6:21" x14ac:dyDescent="0.25">
      <c r="F3245"/>
      <c r="O3245"/>
      <c r="R3245"/>
      <c r="S3245"/>
      <c r="T3245"/>
      <c r="U3245"/>
    </row>
    <row r="3246" spans="6:21" x14ac:dyDescent="0.25">
      <c r="F3246"/>
      <c r="O3246"/>
      <c r="R3246"/>
      <c r="S3246"/>
      <c r="T3246"/>
      <c r="U3246"/>
    </row>
    <row r="3247" spans="6:21" x14ac:dyDescent="0.25">
      <c r="F3247"/>
      <c r="O3247"/>
      <c r="R3247"/>
      <c r="S3247"/>
      <c r="T3247"/>
      <c r="U3247"/>
    </row>
    <row r="3248" spans="6:21" x14ac:dyDescent="0.25">
      <c r="F3248"/>
      <c r="O3248"/>
      <c r="R3248"/>
      <c r="S3248"/>
      <c r="T3248"/>
      <c r="U3248"/>
    </row>
    <row r="3249" spans="6:21" x14ac:dyDescent="0.25">
      <c r="F3249"/>
      <c r="O3249"/>
      <c r="R3249"/>
      <c r="S3249"/>
      <c r="T3249"/>
      <c r="U3249"/>
    </row>
    <row r="3250" spans="6:21" x14ac:dyDescent="0.25">
      <c r="F3250"/>
      <c r="O3250"/>
      <c r="R3250"/>
      <c r="S3250"/>
      <c r="T3250"/>
      <c r="U3250"/>
    </row>
    <row r="3251" spans="6:21" x14ac:dyDescent="0.25">
      <c r="F3251"/>
      <c r="O3251"/>
      <c r="R3251"/>
      <c r="S3251"/>
      <c r="T3251"/>
      <c r="U3251"/>
    </row>
    <row r="3252" spans="6:21" x14ac:dyDescent="0.25">
      <c r="F3252"/>
      <c r="O3252"/>
      <c r="R3252"/>
      <c r="S3252"/>
      <c r="T3252"/>
      <c r="U3252"/>
    </row>
    <row r="3253" spans="6:21" x14ac:dyDescent="0.25">
      <c r="F3253"/>
      <c r="O3253"/>
      <c r="R3253"/>
      <c r="S3253"/>
      <c r="T3253"/>
      <c r="U3253"/>
    </row>
    <row r="3254" spans="6:21" x14ac:dyDescent="0.25">
      <c r="F3254"/>
      <c r="O3254"/>
      <c r="R3254"/>
      <c r="S3254"/>
      <c r="T3254"/>
      <c r="U3254"/>
    </row>
    <row r="3255" spans="6:21" x14ac:dyDescent="0.25">
      <c r="F3255"/>
      <c r="O3255"/>
      <c r="R3255"/>
      <c r="S3255"/>
      <c r="T3255"/>
      <c r="U3255"/>
    </row>
    <row r="3256" spans="6:21" x14ac:dyDescent="0.25">
      <c r="F3256"/>
      <c r="O3256"/>
      <c r="R3256"/>
      <c r="S3256"/>
      <c r="T3256"/>
      <c r="U3256"/>
    </row>
    <row r="3257" spans="6:21" x14ac:dyDescent="0.25">
      <c r="F3257"/>
      <c r="O3257"/>
      <c r="R3257"/>
      <c r="S3257"/>
      <c r="T3257"/>
      <c r="U3257"/>
    </row>
    <row r="3258" spans="6:21" x14ac:dyDescent="0.25">
      <c r="F3258"/>
      <c r="O3258"/>
      <c r="R3258"/>
      <c r="S3258"/>
      <c r="T3258"/>
      <c r="U3258"/>
    </row>
    <row r="3259" spans="6:21" x14ac:dyDescent="0.25">
      <c r="F3259"/>
      <c r="O3259"/>
      <c r="R3259"/>
      <c r="S3259"/>
      <c r="T3259"/>
      <c r="U3259"/>
    </row>
    <row r="3260" spans="6:21" x14ac:dyDescent="0.25">
      <c r="F3260"/>
      <c r="O3260"/>
      <c r="R3260"/>
      <c r="S3260"/>
      <c r="T3260"/>
      <c r="U3260"/>
    </row>
    <row r="3261" spans="6:21" x14ac:dyDescent="0.25">
      <c r="F3261"/>
      <c r="O3261"/>
      <c r="R3261"/>
      <c r="S3261"/>
      <c r="T3261"/>
      <c r="U3261"/>
    </row>
    <row r="3262" spans="6:21" x14ac:dyDescent="0.25">
      <c r="F3262"/>
      <c r="O3262"/>
      <c r="R3262"/>
      <c r="S3262"/>
      <c r="T3262"/>
      <c r="U3262"/>
    </row>
    <row r="3263" spans="6:21" x14ac:dyDescent="0.25">
      <c r="F3263"/>
      <c r="O3263"/>
      <c r="R3263"/>
      <c r="S3263"/>
      <c r="T3263"/>
      <c r="U3263"/>
    </row>
    <row r="3264" spans="6:21" x14ac:dyDescent="0.25">
      <c r="F3264"/>
      <c r="O3264"/>
      <c r="R3264"/>
      <c r="S3264"/>
      <c r="T3264"/>
      <c r="U3264"/>
    </row>
    <row r="3265" spans="6:21" x14ac:dyDescent="0.25">
      <c r="F3265"/>
      <c r="O3265"/>
      <c r="R3265"/>
      <c r="S3265"/>
      <c r="T3265"/>
      <c r="U3265"/>
    </row>
    <row r="3266" spans="6:21" x14ac:dyDescent="0.25">
      <c r="F3266"/>
      <c r="O3266"/>
      <c r="R3266"/>
      <c r="S3266"/>
      <c r="T3266"/>
      <c r="U3266"/>
    </row>
    <row r="3267" spans="6:21" x14ac:dyDescent="0.25">
      <c r="F3267"/>
      <c r="O3267"/>
      <c r="R3267"/>
      <c r="S3267"/>
      <c r="T3267"/>
      <c r="U3267"/>
    </row>
    <row r="3268" spans="6:21" x14ac:dyDescent="0.25">
      <c r="F3268"/>
      <c r="O3268"/>
      <c r="R3268"/>
      <c r="S3268"/>
      <c r="T3268"/>
      <c r="U3268"/>
    </row>
    <row r="3269" spans="6:21" x14ac:dyDescent="0.25">
      <c r="F3269"/>
      <c r="O3269"/>
      <c r="R3269"/>
      <c r="S3269"/>
      <c r="T3269"/>
      <c r="U3269"/>
    </row>
    <row r="3270" spans="6:21" x14ac:dyDescent="0.25">
      <c r="F3270"/>
      <c r="O3270"/>
      <c r="R3270"/>
      <c r="S3270"/>
      <c r="T3270"/>
      <c r="U3270"/>
    </row>
    <row r="3271" spans="6:21" x14ac:dyDescent="0.25">
      <c r="F3271"/>
      <c r="O3271"/>
      <c r="R3271"/>
      <c r="S3271"/>
      <c r="T3271"/>
      <c r="U3271"/>
    </row>
    <row r="3272" spans="6:21" x14ac:dyDescent="0.25">
      <c r="F3272"/>
      <c r="O3272"/>
      <c r="R3272"/>
      <c r="S3272"/>
      <c r="T3272"/>
      <c r="U3272"/>
    </row>
    <row r="3273" spans="6:21" x14ac:dyDescent="0.25">
      <c r="F3273"/>
      <c r="O3273"/>
      <c r="R3273"/>
      <c r="S3273"/>
      <c r="T3273"/>
      <c r="U3273"/>
    </row>
    <row r="3274" spans="6:21" x14ac:dyDescent="0.25">
      <c r="F3274"/>
      <c r="O3274"/>
      <c r="R3274"/>
      <c r="S3274"/>
      <c r="T3274"/>
      <c r="U3274"/>
    </row>
    <row r="3275" spans="6:21" x14ac:dyDescent="0.25">
      <c r="F3275"/>
      <c r="O3275"/>
      <c r="R3275"/>
      <c r="S3275"/>
      <c r="T3275"/>
      <c r="U3275"/>
    </row>
    <row r="3276" spans="6:21" x14ac:dyDescent="0.25">
      <c r="F3276"/>
      <c r="O3276"/>
      <c r="R3276"/>
      <c r="S3276"/>
      <c r="T3276"/>
      <c r="U3276"/>
    </row>
    <row r="3277" spans="6:21" x14ac:dyDescent="0.25">
      <c r="F3277"/>
      <c r="O3277"/>
      <c r="R3277"/>
      <c r="S3277"/>
      <c r="T3277"/>
      <c r="U3277"/>
    </row>
    <row r="3278" spans="6:21" x14ac:dyDescent="0.25">
      <c r="F3278"/>
      <c r="O3278"/>
      <c r="R3278"/>
      <c r="S3278"/>
      <c r="T3278"/>
      <c r="U3278"/>
    </row>
    <row r="3279" spans="6:21" x14ac:dyDescent="0.25">
      <c r="F3279"/>
      <c r="O3279"/>
      <c r="R3279"/>
      <c r="S3279"/>
      <c r="T3279"/>
      <c r="U3279"/>
    </row>
    <row r="3280" spans="6:21" x14ac:dyDescent="0.25">
      <c r="F3280"/>
      <c r="O3280"/>
      <c r="R3280"/>
      <c r="S3280"/>
      <c r="T3280"/>
      <c r="U3280"/>
    </row>
    <row r="3281" spans="6:21" x14ac:dyDescent="0.25">
      <c r="F3281"/>
      <c r="O3281"/>
      <c r="R3281"/>
      <c r="S3281"/>
      <c r="T3281"/>
      <c r="U3281"/>
    </row>
    <row r="3282" spans="6:21" x14ac:dyDescent="0.25">
      <c r="F3282"/>
      <c r="O3282"/>
      <c r="R3282"/>
      <c r="S3282"/>
      <c r="T3282"/>
      <c r="U3282"/>
    </row>
    <row r="3283" spans="6:21" x14ac:dyDescent="0.25">
      <c r="F3283"/>
      <c r="O3283"/>
      <c r="R3283"/>
      <c r="S3283"/>
      <c r="T3283"/>
      <c r="U3283"/>
    </row>
    <row r="3284" spans="6:21" x14ac:dyDescent="0.25">
      <c r="F3284"/>
      <c r="O3284"/>
      <c r="R3284"/>
      <c r="S3284"/>
      <c r="T3284"/>
      <c r="U3284"/>
    </row>
    <row r="3285" spans="6:21" x14ac:dyDescent="0.25">
      <c r="F3285"/>
      <c r="O3285"/>
      <c r="R3285"/>
      <c r="S3285"/>
      <c r="T3285"/>
      <c r="U3285"/>
    </row>
    <row r="3286" spans="6:21" x14ac:dyDescent="0.25">
      <c r="F3286"/>
      <c r="O3286"/>
      <c r="R3286"/>
      <c r="S3286"/>
      <c r="T3286"/>
      <c r="U3286"/>
    </row>
    <row r="3287" spans="6:21" x14ac:dyDescent="0.25">
      <c r="F3287"/>
      <c r="O3287"/>
      <c r="R3287"/>
      <c r="S3287"/>
      <c r="T3287"/>
      <c r="U3287"/>
    </row>
    <row r="3288" spans="6:21" x14ac:dyDescent="0.25">
      <c r="F3288"/>
      <c r="O3288"/>
      <c r="R3288"/>
      <c r="S3288"/>
      <c r="T3288"/>
      <c r="U3288"/>
    </row>
    <row r="3289" spans="6:21" x14ac:dyDescent="0.25">
      <c r="F3289"/>
      <c r="O3289"/>
      <c r="R3289"/>
      <c r="S3289"/>
      <c r="T3289"/>
      <c r="U3289"/>
    </row>
    <row r="3290" spans="6:21" x14ac:dyDescent="0.25">
      <c r="F3290"/>
      <c r="O3290"/>
      <c r="R3290"/>
      <c r="S3290"/>
      <c r="T3290"/>
      <c r="U3290"/>
    </row>
    <row r="3291" spans="6:21" x14ac:dyDescent="0.25">
      <c r="F3291"/>
      <c r="O3291"/>
      <c r="R3291"/>
      <c r="S3291"/>
      <c r="T3291"/>
      <c r="U3291"/>
    </row>
    <row r="3292" spans="6:21" x14ac:dyDescent="0.25">
      <c r="F3292"/>
      <c r="O3292"/>
      <c r="R3292"/>
      <c r="S3292"/>
      <c r="T3292"/>
      <c r="U3292"/>
    </row>
    <row r="3293" spans="6:21" x14ac:dyDescent="0.25">
      <c r="F3293"/>
      <c r="O3293"/>
      <c r="R3293"/>
      <c r="S3293"/>
      <c r="T3293"/>
      <c r="U3293"/>
    </row>
    <row r="3294" spans="6:21" x14ac:dyDescent="0.25">
      <c r="F3294"/>
      <c r="O3294"/>
      <c r="R3294"/>
      <c r="S3294"/>
      <c r="T3294"/>
      <c r="U3294"/>
    </row>
    <row r="3295" spans="6:21" x14ac:dyDescent="0.25">
      <c r="F3295"/>
      <c r="O3295"/>
      <c r="R3295"/>
      <c r="S3295"/>
      <c r="T3295"/>
      <c r="U3295"/>
    </row>
    <row r="3296" spans="6:21" x14ac:dyDescent="0.25">
      <c r="F3296"/>
      <c r="O3296"/>
      <c r="R3296"/>
      <c r="S3296"/>
      <c r="T3296"/>
      <c r="U3296"/>
    </row>
    <row r="3297" spans="6:21" x14ac:dyDescent="0.25">
      <c r="F3297"/>
      <c r="O3297"/>
      <c r="R3297"/>
      <c r="S3297"/>
      <c r="T3297"/>
      <c r="U3297"/>
    </row>
    <row r="3298" spans="6:21" x14ac:dyDescent="0.25">
      <c r="F3298"/>
      <c r="O3298"/>
      <c r="R3298"/>
      <c r="S3298"/>
      <c r="T3298"/>
      <c r="U3298"/>
    </row>
    <row r="3299" spans="6:21" x14ac:dyDescent="0.25">
      <c r="F3299"/>
      <c r="O3299"/>
      <c r="R3299"/>
      <c r="S3299"/>
      <c r="T3299"/>
      <c r="U3299"/>
    </row>
    <row r="3300" spans="6:21" x14ac:dyDescent="0.25">
      <c r="F3300"/>
      <c r="O3300"/>
      <c r="R3300"/>
      <c r="S3300"/>
      <c r="T3300"/>
      <c r="U3300"/>
    </row>
    <row r="3301" spans="6:21" x14ac:dyDescent="0.25">
      <c r="F3301"/>
      <c r="O3301"/>
      <c r="R3301"/>
      <c r="S3301"/>
      <c r="T3301"/>
      <c r="U3301"/>
    </row>
    <row r="3302" spans="6:21" x14ac:dyDescent="0.25">
      <c r="F3302"/>
      <c r="O3302"/>
      <c r="R3302"/>
      <c r="S3302"/>
      <c r="T3302"/>
      <c r="U3302"/>
    </row>
    <row r="3303" spans="6:21" x14ac:dyDescent="0.25">
      <c r="F3303"/>
      <c r="O3303"/>
      <c r="R3303"/>
      <c r="S3303"/>
      <c r="T3303"/>
      <c r="U3303"/>
    </row>
    <row r="3304" spans="6:21" x14ac:dyDescent="0.25">
      <c r="F3304"/>
      <c r="O3304"/>
      <c r="R3304"/>
      <c r="S3304"/>
      <c r="T3304"/>
      <c r="U3304"/>
    </row>
    <row r="3305" spans="6:21" x14ac:dyDescent="0.25">
      <c r="F3305"/>
      <c r="O3305"/>
      <c r="R3305"/>
      <c r="S3305"/>
      <c r="T3305"/>
      <c r="U3305"/>
    </row>
    <row r="3306" spans="6:21" x14ac:dyDescent="0.25">
      <c r="F3306"/>
      <c r="O3306"/>
      <c r="R3306"/>
      <c r="S3306"/>
      <c r="T3306"/>
      <c r="U3306"/>
    </row>
    <row r="3307" spans="6:21" x14ac:dyDescent="0.25">
      <c r="F3307"/>
      <c r="O3307"/>
      <c r="R3307"/>
      <c r="S3307"/>
      <c r="T3307"/>
      <c r="U3307"/>
    </row>
    <row r="3308" spans="6:21" x14ac:dyDescent="0.25">
      <c r="F3308"/>
      <c r="O3308"/>
      <c r="R3308"/>
      <c r="S3308"/>
      <c r="T3308"/>
      <c r="U3308"/>
    </row>
    <row r="3309" spans="6:21" x14ac:dyDescent="0.25">
      <c r="F3309"/>
      <c r="O3309"/>
      <c r="R3309"/>
      <c r="S3309"/>
      <c r="T3309"/>
      <c r="U3309"/>
    </row>
    <row r="3310" spans="6:21" x14ac:dyDescent="0.25">
      <c r="F3310"/>
      <c r="O3310"/>
      <c r="R3310"/>
      <c r="S3310"/>
      <c r="T3310"/>
      <c r="U3310"/>
    </row>
    <row r="3311" spans="6:21" x14ac:dyDescent="0.25">
      <c r="F3311"/>
      <c r="O3311"/>
      <c r="R3311"/>
      <c r="S3311"/>
      <c r="T3311"/>
      <c r="U3311"/>
    </row>
    <row r="3312" spans="6:21" x14ac:dyDescent="0.25">
      <c r="F3312"/>
      <c r="O3312"/>
      <c r="R3312"/>
      <c r="S3312"/>
      <c r="T3312"/>
      <c r="U3312"/>
    </row>
    <row r="3313" spans="6:21" x14ac:dyDescent="0.25">
      <c r="F3313"/>
      <c r="O3313"/>
      <c r="R3313"/>
      <c r="S3313"/>
      <c r="T3313"/>
      <c r="U3313"/>
    </row>
    <row r="3314" spans="6:21" x14ac:dyDescent="0.25">
      <c r="F3314"/>
      <c r="O3314"/>
      <c r="R3314"/>
      <c r="S3314"/>
      <c r="T3314"/>
      <c r="U3314"/>
    </row>
    <row r="3315" spans="6:21" x14ac:dyDescent="0.25">
      <c r="F3315"/>
      <c r="O3315"/>
      <c r="R3315"/>
      <c r="S3315"/>
      <c r="T3315"/>
      <c r="U3315"/>
    </row>
    <row r="3316" spans="6:21" x14ac:dyDescent="0.25">
      <c r="F3316"/>
      <c r="O3316"/>
      <c r="R3316"/>
      <c r="S3316"/>
      <c r="T3316"/>
      <c r="U3316"/>
    </row>
    <row r="3317" spans="6:21" x14ac:dyDescent="0.25">
      <c r="F3317"/>
      <c r="O3317"/>
      <c r="R3317"/>
      <c r="S3317"/>
      <c r="T3317"/>
      <c r="U3317"/>
    </row>
    <row r="3318" spans="6:21" x14ac:dyDescent="0.25">
      <c r="F3318"/>
      <c r="O3318"/>
      <c r="R3318"/>
      <c r="S3318"/>
      <c r="T3318"/>
      <c r="U3318"/>
    </row>
    <row r="3319" spans="6:21" x14ac:dyDescent="0.25">
      <c r="F3319"/>
      <c r="O3319"/>
      <c r="R3319"/>
      <c r="S3319"/>
      <c r="T3319"/>
      <c r="U3319"/>
    </row>
    <row r="3320" spans="6:21" x14ac:dyDescent="0.25">
      <c r="F3320"/>
      <c r="O3320"/>
      <c r="R3320"/>
      <c r="S3320"/>
      <c r="T3320"/>
      <c r="U3320"/>
    </row>
    <row r="3321" spans="6:21" x14ac:dyDescent="0.25">
      <c r="F3321"/>
      <c r="O3321"/>
      <c r="R3321"/>
      <c r="S3321"/>
      <c r="T3321"/>
      <c r="U3321"/>
    </row>
    <row r="3322" spans="6:21" x14ac:dyDescent="0.25">
      <c r="F3322"/>
      <c r="O3322"/>
      <c r="R3322"/>
      <c r="S3322"/>
      <c r="T3322"/>
      <c r="U3322"/>
    </row>
    <row r="3323" spans="6:21" x14ac:dyDescent="0.25">
      <c r="F3323"/>
      <c r="O3323"/>
      <c r="R3323"/>
      <c r="S3323"/>
      <c r="T3323"/>
      <c r="U3323"/>
    </row>
    <row r="3324" spans="6:21" x14ac:dyDescent="0.25">
      <c r="F3324"/>
      <c r="O3324"/>
      <c r="R3324"/>
      <c r="S3324"/>
      <c r="T3324"/>
      <c r="U3324"/>
    </row>
    <row r="3325" spans="6:21" x14ac:dyDescent="0.25">
      <c r="F3325"/>
      <c r="O3325"/>
      <c r="R3325"/>
      <c r="S3325"/>
      <c r="T3325"/>
      <c r="U3325"/>
    </row>
    <row r="3326" spans="6:21" x14ac:dyDescent="0.25">
      <c r="F3326"/>
      <c r="O3326"/>
      <c r="R3326"/>
      <c r="S3326"/>
      <c r="T3326"/>
      <c r="U3326"/>
    </row>
    <row r="3327" spans="6:21" x14ac:dyDescent="0.25">
      <c r="F3327"/>
      <c r="O3327"/>
      <c r="R3327"/>
      <c r="S3327"/>
      <c r="T3327"/>
      <c r="U3327"/>
    </row>
    <row r="3328" spans="6:21" x14ac:dyDescent="0.25">
      <c r="F3328"/>
      <c r="O3328"/>
      <c r="R3328"/>
      <c r="S3328"/>
      <c r="T3328"/>
      <c r="U3328"/>
    </row>
    <row r="3329" spans="6:21" x14ac:dyDescent="0.25">
      <c r="F3329"/>
      <c r="O3329"/>
      <c r="R3329"/>
      <c r="S3329"/>
      <c r="T3329"/>
      <c r="U3329"/>
    </row>
    <row r="3330" spans="6:21" x14ac:dyDescent="0.25">
      <c r="F3330"/>
      <c r="O3330"/>
      <c r="R3330"/>
      <c r="S3330"/>
      <c r="T3330"/>
      <c r="U3330"/>
    </row>
    <row r="3331" spans="6:21" x14ac:dyDescent="0.25">
      <c r="F3331"/>
      <c r="O3331"/>
      <c r="R3331"/>
      <c r="S3331"/>
      <c r="T3331"/>
      <c r="U3331"/>
    </row>
    <row r="3332" spans="6:21" x14ac:dyDescent="0.25">
      <c r="F3332"/>
      <c r="O3332"/>
      <c r="R3332"/>
      <c r="S3332"/>
      <c r="T3332"/>
      <c r="U3332"/>
    </row>
    <row r="3333" spans="6:21" x14ac:dyDescent="0.25">
      <c r="F3333"/>
      <c r="O3333"/>
      <c r="R3333"/>
      <c r="S3333"/>
      <c r="T3333"/>
      <c r="U3333"/>
    </row>
    <row r="3334" spans="6:21" x14ac:dyDescent="0.25">
      <c r="F3334"/>
      <c r="O3334"/>
      <c r="R3334"/>
      <c r="S3334"/>
      <c r="T3334"/>
      <c r="U3334"/>
    </row>
    <row r="3335" spans="6:21" x14ac:dyDescent="0.25">
      <c r="F3335"/>
      <c r="O3335"/>
      <c r="R3335"/>
      <c r="S3335"/>
      <c r="T3335"/>
      <c r="U3335"/>
    </row>
    <row r="3336" spans="6:21" x14ac:dyDescent="0.25">
      <c r="F3336"/>
      <c r="O3336"/>
      <c r="R3336"/>
      <c r="S3336"/>
      <c r="T3336"/>
      <c r="U3336"/>
    </row>
    <row r="3337" spans="6:21" x14ac:dyDescent="0.25">
      <c r="F3337"/>
      <c r="O3337"/>
      <c r="R3337"/>
      <c r="S3337"/>
      <c r="T3337"/>
      <c r="U3337"/>
    </row>
    <row r="3338" spans="6:21" x14ac:dyDescent="0.25">
      <c r="F3338"/>
      <c r="O3338"/>
      <c r="R3338"/>
      <c r="S3338"/>
      <c r="T3338"/>
      <c r="U3338"/>
    </row>
    <row r="3339" spans="6:21" x14ac:dyDescent="0.25">
      <c r="F3339"/>
      <c r="O3339"/>
      <c r="R3339"/>
      <c r="S3339"/>
      <c r="T3339"/>
      <c r="U3339"/>
    </row>
    <row r="3340" spans="6:21" x14ac:dyDescent="0.25">
      <c r="F3340"/>
      <c r="O3340"/>
      <c r="R3340"/>
      <c r="S3340"/>
      <c r="T3340"/>
      <c r="U3340"/>
    </row>
    <row r="3341" spans="6:21" x14ac:dyDescent="0.25">
      <c r="F3341"/>
      <c r="O3341"/>
      <c r="R3341"/>
      <c r="S3341"/>
      <c r="T3341"/>
      <c r="U3341"/>
    </row>
    <row r="3342" spans="6:21" x14ac:dyDescent="0.25">
      <c r="F3342"/>
      <c r="O3342"/>
      <c r="R3342"/>
      <c r="S3342"/>
      <c r="T3342"/>
      <c r="U3342"/>
    </row>
    <row r="3343" spans="6:21" x14ac:dyDescent="0.25">
      <c r="F3343"/>
      <c r="O3343"/>
      <c r="R3343"/>
      <c r="S3343"/>
      <c r="T3343"/>
      <c r="U3343"/>
    </row>
    <row r="3344" spans="6:21" x14ac:dyDescent="0.25">
      <c r="F3344"/>
      <c r="O3344"/>
      <c r="R3344"/>
      <c r="S3344"/>
      <c r="T3344"/>
      <c r="U3344"/>
    </row>
    <row r="3345" spans="6:21" x14ac:dyDescent="0.25">
      <c r="F3345"/>
      <c r="O3345"/>
      <c r="R3345"/>
      <c r="S3345"/>
      <c r="T3345"/>
      <c r="U3345"/>
    </row>
    <row r="3346" spans="6:21" x14ac:dyDescent="0.25">
      <c r="F3346"/>
      <c r="O3346"/>
      <c r="R3346"/>
      <c r="S3346"/>
      <c r="T3346"/>
      <c r="U3346"/>
    </row>
    <row r="3347" spans="6:21" x14ac:dyDescent="0.25">
      <c r="F3347"/>
      <c r="O3347"/>
      <c r="R3347"/>
      <c r="S3347"/>
      <c r="T3347"/>
      <c r="U3347"/>
    </row>
    <row r="3348" spans="6:21" x14ac:dyDescent="0.25">
      <c r="F3348"/>
      <c r="O3348"/>
      <c r="R3348"/>
      <c r="S3348"/>
      <c r="T3348"/>
      <c r="U3348"/>
    </row>
    <row r="3349" spans="6:21" x14ac:dyDescent="0.25">
      <c r="F3349"/>
      <c r="O3349"/>
      <c r="R3349"/>
      <c r="S3349"/>
      <c r="T3349"/>
      <c r="U3349"/>
    </row>
    <row r="3350" spans="6:21" x14ac:dyDescent="0.25">
      <c r="F3350"/>
      <c r="O3350"/>
      <c r="R3350"/>
      <c r="S3350"/>
      <c r="T3350"/>
      <c r="U3350"/>
    </row>
    <row r="3351" spans="6:21" x14ac:dyDescent="0.25">
      <c r="F3351"/>
      <c r="O3351"/>
      <c r="R3351"/>
      <c r="S3351"/>
      <c r="T3351"/>
      <c r="U3351"/>
    </row>
    <row r="3352" spans="6:21" x14ac:dyDescent="0.25">
      <c r="F3352"/>
      <c r="O3352"/>
      <c r="R3352"/>
      <c r="S3352"/>
      <c r="T3352"/>
      <c r="U3352"/>
    </row>
    <row r="3353" spans="6:21" x14ac:dyDescent="0.25">
      <c r="F3353"/>
      <c r="O3353"/>
      <c r="R3353"/>
      <c r="S3353"/>
      <c r="T3353"/>
      <c r="U3353"/>
    </row>
    <row r="3354" spans="6:21" x14ac:dyDescent="0.25">
      <c r="F3354"/>
      <c r="O3354"/>
      <c r="R3354"/>
      <c r="S3354"/>
      <c r="T3354"/>
      <c r="U3354"/>
    </row>
    <row r="3355" spans="6:21" x14ac:dyDescent="0.25">
      <c r="F3355"/>
      <c r="O3355"/>
      <c r="R3355"/>
      <c r="S3355"/>
      <c r="T3355"/>
      <c r="U3355"/>
    </row>
    <row r="3356" spans="6:21" x14ac:dyDescent="0.25">
      <c r="F3356"/>
      <c r="O3356"/>
      <c r="R3356"/>
      <c r="S3356"/>
      <c r="T3356"/>
      <c r="U3356"/>
    </row>
    <row r="3357" spans="6:21" x14ac:dyDescent="0.25">
      <c r="F3357"/>
      <c r="O3357"/>
      <c r="R3357"/>
      <c r="S3357"/>
      <c r="T3357"/>
      <c r="U3357"/>
    </row>
    <row r="3358" spans="6:21" x14ac:dyDescent="0.25">
      <c r="F3358"/>
      <c r="O3358"/>
      <c r="R3358"/>
      <c r="S3358"/>
      <c r="T3358"/>
      <c r="U3358"/>
    </row>
    <row r="3359" spans="6:21" x14ac:dyDescent="0.25">
      <c r="F3359"/>
      <c r="O3359"/>
      <c r="R3359"/>
      <c r="S3359"/>
      <c r="T3359"/>
      <c r="U3359"/>
    </row>
    <row r="3360" spans="6:21" x14ac:dyDescent="0.25">
      <c r="F3360"/>
      <c r="O3360"/>
      <c r="R3360"/>
      <c r="S3360"/>
      <c r="T3360"/>
      <c r="U3360"/>
    </row>
    <row r="3361" spans="6:21" x14ac:dyDescent="0.25">
      <c r="F3361"/>
      <c r="O3361"/>
      <c r="R3361"/>
      <c r="S3361"/>
      <c r="T3361"/>
      <c r="U3361"/>
    </row>
    <row r="3362" spans="6:21" x14ac:dyDescent="0.25">
      <c r="F3362"/>
      <c r="O3362"/>
      <c r="R3362"/>
      <c r="S3362"/>
      <c r="T3362"/>
      <c r="U3362"/>
    </row>
    <row r="3363" spans="6:21" x14ac:dyDescent="0.25">
      <c r="F3363"/>
      <c r="O3363"/>
      <c r="R3363"/>
      <c r="S3363"/>
      <c r="T3363"/>
      <c r="U3363"/>
    </row>
    <row r="3364" spans="6:21" x14ac:dyDescent="0.25">
      <c r="F3364"/>
      <c r="O3364"/>
      <c r="R3364"/>
      <c r="S3364"/>
      <c r="T3364"/>
      <c r="U3364"/>
    </row>
    <row r="3365" spans="6:21" x14ac:dyDescent="0.25">
      <c r="F3365"/>
      <c r="O3365"/>
      <c r="R3365"/>
      <c r="S3365"/>
      <c r="T3365"/>
      <c r="U3365"/>
    </row>
    <row r="3366" spans="6:21" x14ac:dyDescent="0.25">
      <c r="F3366"/>
      <c r="O3366"/>
      <c r="R3366"/>
      <c r="S3366"/>
      <c r="T3366"/>
      <c r="U3366"/>
    </row>
    <row r="3367" spans="6:21" x14ac:dyDescent="0.25">
      <c r="F3367"/>
      <c r="O3367"/>
      <c r="R3367"/>
      <c r="S3367"/>
      <c r="T3367"/>
      <c r="U3367"/>
    </row>
    <row r="3368" spans="6:21" x14ac:dyDescent="0.25">
      <c r="F3368"/>
      <c r="O3368"/>
      <c r="R3368"/>
      <c r="S3368"/>
      <c r="T3368"/>
      <c r="U3368"/>
    </row>
    <row r="3369" spans="6:21" x14ac:dyDescent="0.25">
      <c r="F3369"/>
      <c r="O3369"/>
      <c r="R3369"/>
      <c r="S3369"/>
      <c r="T3369"/>
      <c r="U3369"/>
    </row>
    <row r="3370" spans="6:21" x14ac:dyDescent="0.25">
      <c r="F3370"/>
      <c r="O3370"/>
      <c r="R3370"/>
      <c r="S3370"/>
      <c r="T3370"/>
      <c r="U3370"/>
    </row>
    <row r="3371" spans="6:21" x14ac:dyDescent="0.25">
      <c r="F3371"/>
      <c r="O3371"/>
      <c r="R3371"/>
      <c r="S3371"/>
      <c r="T3371"/>
      <c r="U3371"/>
    </row>
    <row r="3372" spans="6:21" x14ac:dyDescent="0.25">
      <c r="F3372"/>
      <c r="O3372"/>
      <c r="R3372"/>
      <c r="S3372"/>
      <c r="T3372"/>
      <c r="U3372"/>
    </row>
    <row r="3373" spans="6:21" x14ac:dyDescent="0.25">
      <c r="F3373"/>
      <c r="O3373"/>
      <c r="R3373"/>
      <c r="S3373"/>
      <c r="T3373"/>
      <c r="U3373"/>
    </row>
    <row r="3374" spans="6:21" x14ac:dyDescent="0.25">
      <c r="F3374"/>
      <c r="O3374"/>
      <c r="R3374"/>
      <c r="S3374"/>
      <c r="T3374"/>
      <c r="U3374"/>
    </row>
    <row r="3375" spans="6:21" x14ac:dyDescent="0.25">
      <c r="F3375"/>
      <c r="O3375"/>
      <c r="R3375"/>
      <c r="S3375"/>
      <c r="T3375"/>
      <c r="U3375"/>
    </row>
    <row r="3376" spans="6:21" x14ac:dyDescent="0.25">
      <c r="F3376"/>
      <c r="O3376"/>
      <c r="R3376"/>
      <c r="S3376"/>
      <c r="T3376"/>
      <c r="U3376"/>
    </row>
    <row r="3377" spans="6:21" x14ac:dyDescent="0.25">
      <c r="F3377"/>
      <c r="O3377"/>
      <c r="R3377"/>
      <c r="S3377"/>
      <c r="T3377"/>
      <c r="U3377"/>
    </row>
    <row r="3378" spans="6:21" x14ac:dyDescent="0.25">
      <c r="F3378"/>
      <c r="O3378"/>
      <c r="R3378"/>
      <c r="S3378"/>
      <c r="T3378"/>
      <c r="U3378"/>
    </row>
    <row r="3379" spans="6:21" x14ac:dyDescent="0.25">
      <c r="F3379"/>
      <c r="O3379"/>
      <c r="R3379"/>
      <c r="S3379"/>
      <c r="T3379"/>
      <c r="U3379"/>
    </row>
    <row r="3380" spans="6:21" x14ac:dyDescent="0.25">
      <c r="F3380"/>
      <c r="O3380"/>
      <c r="R3380"/>
      <c r="S3380"/>
      <c r="T3380"/>
      <c r="U3380"/>
    </row>
    <row r="3381" spans="6:21" x14ac:dyDescent="0.25">
      <c r="F3381"/>
      <c r="O3381"/>
      <c r="R3381"/>
      <c r="S3381"/>
      <c r="T3381"/>
      <c r="U3381"/>
    </row>
    <row r="3382" spans="6:21" x14ac:dyDescent="0.25">
      <c r="F3382"/>
      <c r="O3382"/>
      <c r="R3382"/>
      <c r="S3382"/>
      <c r="T3382"/>
      <c r="U3382"/>
    </row>
    <row r="3383" spans="6:21" x14ac:dyDescent="0.25">
      <c r="F3383"/>
      <c r="O3383"/>
      <c r="R3383"/>
      <c r="S3383"/>
      <c r="T3383"/>
      <c r="U3383"/>
    </row>
    <row r="3384" spans="6:21" x14ac:dyDescent="0.25">
      <c r="F3384"/>
      <c r="O3384"/>
      <c r="R3384"/>
      <c r="S3384"/>
      <c r="T3384"/>
      <c r="U3384"/>
    </row>
    <row r="3385" spans="6:21" x14ac:dyDescent="0.25">
      <c r="F3385"/>
      <c r="O3385"/>
      <c r="R3385"/>
      <c r="S3385"/>
      <c r="T3385"/>
      <c r="U3385"/>
    </row>
    <row r="3386" spans="6:21" x14ac:dyDescent="0.25">
      <c r="F3386"/>
      <c r="O3386"/>
      <c r="R3386"/>
      <c r="S3386"/>
      <c r="T3386"/>
      <c r="U3386"/>
    </row>
    <row r="3387" spans="6:21" x14ac:dyDescent="0.25">
      <c r="F3387"/>
      <c r="O3387"/>
      <c r="R3387"/>
      <c r="S3387"/>
      <c r="T3387"/>
      <c r="U3387"/>
    </row>
    <row r="3388" spans="6:21" x14ac:dyDescent="0.25">
      <c r="F3388"/>
      <c r="O3388"/>
      <c r="R3388"/>
      <c r="S3388"/>
      <c r="T3388"/>
      <c r="U3388"/>
    </row>
    <row r="3389" spans="6:21" x14ac:dyDescent="0.25">
      <c r="F3389"/>
      <c r="O3389"/>
      <c r="R3389"/>
      <c r="S3389"/>
      <c r="T3389"/>
      <c r="U3389"/>
    </row>
    <row r="3390" spans="6:21" x14ac:dyDescent="0.25">
      <c r="F3390"/>
      <c r="O3390"/>
      <c r="R3390"/>
      <c r="S3390"/>
      <c r="T3390"/>
      <c r="U3390"/>
    </row>
    <row r="3391" spans="6:21" x14ac:dyDescent="0.25">
      <c r="F3391"/>
      <c r="O3391"/>
      <c r="R3391"/>
      <c r="S3391"/>
      <c r="T3391"/>
      <c r="U3391"/>
    </row>
    <row r="3392" spans="6:21" x14ac:dyDescent="0.25">
      <c r="F3392"/>
      <c r="O3392"/>
      <c r="R3392"/>
      <c r="S3392"/>
      <c r="T3392"/>
      <c r="U3392"/>
    </row>
    <row r="3393" spans="6:21" x14ac:dyDescent="0.25">
      <c r="F3393"/>
      <c r="O3393"/>
      <c r="R3393"/>
      <c r="S3393"/>
      <c r="T3393"/>
      <c r="U3393"/>
    </row>
    <row r="3394" spans="6:21" x14ac:dyDescent="0.25">
      <c r="F3394"/>
      <c r="O3394"/>
      <c r="R3394"/>
      <c r="S3394"/>
      <c r="T3394"/>
      <c r="U3394"/>
    </row>
    <row r="3395" spans="6:21" x14ac:dyDescent="0.25">
      <c r="F3395"/>
      <c r="O3395"/>
      <c r="R3395"/>
      <c r="S3395"/>
      <c r="T3395"/>
      <c r="U3395"/>
    </row>
    <row r="3396" spans="6:21" x14ac:dyDescent="0.25">
      <c r="F3396"/>
      <c r="O3396"/>
      <c r="R3396"/>
      <c r="S3396"/>
      <c r="T3396"/>
      <c r="U3396"/>
    </row>
    <row r="3397" spans="6:21" x14ac:dyDescent="0.25">
      <c r="F3397"/>
      <c r="O3397"/>
      <c r="R3397"/>
      <c r="S3397"/>
      <c r="T3397"/>
      <c r="U3397"/>
    </row>
    <row r="3398" spans="6:21" x14ac:dyDescent="0.25">
      <c r="F3398"/>
      <c r="O3398"/>
      <c r="R3398"/>
      <c r="S3398"/>
      <c r="T3398"/>
      <c r="U3398"/>
    </row>
    <row r="3399" spans="6:21" x14ac:dyDescent="0.25">
      <c r="F3399"/>
      <c r="O3399"/>
      <c r="R3399"/>
      <c r="S3399"/>
      <c r="T3399"/>
      <c r="U3399"/>
    </row>
    <row r="3400" spans="6:21" x14ac:dyDescent="0.25">
      <c r="F3400"/>
      <c r="O3400"/>
      <c r="R3400"/>
      <c r="S3400"/>
      <c r="T3400"/>
      <c r="U3400"/>
    </row>
    <row r="3401" spans="6:21" x14ac:dyDescent="0.25">
      <c r="F3401"/>
      <c r="O3401"/>
      <c r="R3401"/>
      <c r="S3401"/>
      <c r="T3401"/>
      <c r="U3401"/>
    </row>
    <row r="3402" spans="6:21" x14ac:dyDescent="0.25">
      <c r="F3402"/>
      <c r="O3402"/>
      <c r="R3402"/>
      <c r="S3402"/>
      <c r="T3402"/>
      <c r="U3402"/>
    </row>
    <row r="3403" spans="6:21" x14ac:dyDescent="0.25">
      <c r="F3403"/>
      <c r="O3403"/>
      <c r="R3403"/>
      <c r="S3403"/>
      <c r="T3403"/>
      <c r="U3403"/>
    </row>
    <row r="3404" spans="6:21" x14ac:dyDescent="0.25">
      <c r="F3404"/>
      <c r="O3404"/>
      <c r="R3404"/>
      <c r="S3404"/>
      <c r="T3404"/>
      <c r="U3404"/>
    </row>
    <row r="3405" spans="6:21" x14ac:dyDescent="0.25">
      <c r="F3405"/>
      <c r="O3405"/>
      <c r="R3405"/>
      <c r="S3405"/>
      <c r="T3405"/>
      <c r="U3405"/>
    </row>
    <row r="3406" spans="6:21" x14ac:dyDescent="0.25">
      <c r="F3406"/>
      <c r="O3406"/>
      <c r="R3406"/>
      <c r="S3406"/>
      <c r="T3406"/>
      <c r="U3406"/>
    </row>
    <row r="3407" spans="6:21" x14ac:dyDescent="0.25">
      <c r="F3407"/>
      <c r="O3407"/>
      <c r="R3407"/>
      <c r="S3407"/>
      <c r="T3407"/>
      <c r="U3407"/>
    </row>
    <row r="3408" spans="6:21" x14ac:dyDescent="0.25">
      <c r="F3408"/>
      <c r="O3408"/>
      <c r="R3408"/>
      <c r="S3408"/>
      <c r="T3408"/>
      <c r="U3408"/>
    </row>
    <row r="3409" spans="6:21" x14ac:dyDescent="0.25">
      <c r="F3409"/>
      <c r="O3409"/>
      <c r="R3409"/>
      <c r="S3409"/>
      <c r="T3409"/>
      <c r="U3409"/>
    </row>
    <row r="3410" spans="6:21" x14ac:dyDescent="0.25">
      <c r="F3410"/>
      <c r="O3410"/>
      <c r="R3410"/>
      <c r="S3410"/>
      <c r="T3410"/>
      <c r="U3410"/>
    </row>
    <row r="3411" spans="6:21" x14ac:dyDescent="0.25">
      <c r="F3411"/>
      <c r="O3411"/>
      <c r="R3411"/>
      <c r="S3411"/>
      <c r="T3411"/>
      <c r="U3411"/>
    </row>
    <row r="3412" spans="6:21" x14ac:dyDescent="0.25">
      <c r="F3412"/>
      <c r="O3412"/>
      <c r="R3412"/>
      <c r="S3412"/>
      <c r="T3412"/>
      <c r="U3412"/>
    </row>
    <row r="3413" spans="6:21" x14ac:dyDescent="0.25">
      <c r="F3413"/>
      <c r="O3413"/>
      <c r="R3413"/>
      <c r="S3413"/>
      <c r="T3413"/>
      <c r="U3413"/>
    </row>
    <row r="3414" spans="6:21" x14ac:dyDescent="0.25">
      <c r="F3414"/>
      <c r="O3414"/>
      <c r="R3414"/>
      <c r="S3414"/>
      <c r="T3414"/>
      <c r="U3414"/>
    </row>
    <row r="3415" spans="6:21" x14ac:dyDescent="0.25">
      <c r="F3415"/>
      <c r="O3415"/>
      <c r="R3415"/>
      <c r="S3415"/>
      <c r="T3415"/>
      <c r="U3415"/>
    </row>
    <row r="3416" spans="6:21" x14ac:dyDescent="0.25">
      <c r="F3416"/>
      <c r="O3416"/>
      <c r="R3416"/>
      <c r="S3416"/>
      <c r="T3416"/>
      <c r="U3416"/>
    </row>
    <row r="3417" spans="6:21" x14ac:dyDescent="0.25">
      <c r="F3417"/>
      <c r="O3417"/>
      <c r="R3417"/>
      <c r="S3417"/>
      <c r="T3417"/>
      <c r="U3417"/>
    </row>
    <row r="3418" spans="6:21" x14ac:dyDescent="0.25">
      <c r="F3418"/>
      <c r="O3418"/>
      <c r="R3418"/>
      <c r="S3418"/>
      <c r="T3418"/>
      <c r="U3418"/>
    </row>
    <row r="3419" spans="6:21" x14ac:dyDescent="0.25">
      <c r="F3419"/>
      <c r="O3419"/>
      <c r="R3419"/>
      <c r="S3419"/>
      <c r="T3419"/>
      <c r="U3419"/>
    </row>
    <row r="3420" spans="6:21" x14ac:dyDescent="0.25">
      <c r="F3420"/>
      <c r="O3420"/>
      <c r="R3420"/>
      <c r="S3420"/>
      <c r="T3420"/>
      <c r="U3420"/>
    </row>
    <row r="3421" spans="6:21" x14ac:dyDescent="0.25">
      <c r="F3421"/>
      <c r="O3421"/>
      <c r="R3421"/>
      <c r="S3421"/>
      <c r="T3421"/>
      <c r="U3421"/>
    </row>
    <row r="3422" spans="6:21" x14ac:dyDescent="0.25">
      <c r="F3422"/>
      <c r="O3422"/>
      <c r="R3422"/>
      <c r="S3422"/>
      <c r="T3422"/>
      <c r="U3422"/>
    </row>
    <row r="3423" spans="6:21" x14ac:dyDescent="0.25">
      <c r="F3423"/>
      <c r="O3423"/>
      <c r="R3423"/>
      <c r="S3423"/>
      <c r="T3423"/>
      <c r="U3423"/>
    </row>
    <row r="3424" spans="6:21" x14ac:dyDescent="0.25">
      <c r="F3424"/>
      <c r="O3424"/>
      <c r="R3424"/>
      <c r="S3424"/>
      <c r="T3424"/>
      <c r="U3424"/>
    </row>
    <row r="3425" spans="6:21" x14ac:dyDescent="0.25">
      <c r="F3425"/>
      <c r="O3425"/>
      <c r="R3425"/>
      <c r="S3425"/>
      <c r="T3425"/>
      <c r="U3425"/>
    </row>
    <row r="3426" spans="6:21" x14ac:dyDescent="0.25">
      <c r="F3426"/>
      <c r="O3426"/>
      <c r="R3426"/>
      <c r="S3426"/>
      <c r="T3426"/>
      <c r="U3426"/>
    </row>
    <row r="3427" spans="6:21" x14ac:dyDescent="0.25">
      <c r="F3427"/>
      <c r="O3427"/>
      <c r="R3427"/>
      <c r="S3427"/>
      <c r="T3427"/>
      <c r="U3427"/>
    </row>
    <row r="3428" spans="6:21" x14ac:dyDescent="0.25">
      <c r="F3428"/>
      <c r="O3428"/>
      <c r="R3428"/>
      <c r="S3428"/>
      <c r="T3428"/>
      <c r="U3428"/>
    </row>
    <row r="3429" spans="6:21" x14ac:dyDescent="0.25">
      <c r="F3429"/>
      <c r="O3429"/>
      <c r="R3429"/>
      <c r="S3429"/>
      <c r="T3429"/>
      <c r="U3429"/>
    </row>
    <row r="3430" spans="6:21" x14ac:dyDescent="0.25">
      <c r="F3430"/>
      <c r="O3430"/>
      <c r="R3430"/>
      <c r="S3430"/>
      <c r="T3430"/>
      <c r="U3430"/>
    </row>
    <row r="3431" spans="6:21" x14ac:dyDescent="0.25">
      <c r="F3431"/>
      <c r="O3431"/>
      <c r="R3431"/>
      <c r="S3431"/>
      <c r="T3431"/>
      <c r="U3431"/>
    </row>
    <row r="3432" spans="6:21" x14ac:dyDescent="0.25">
      <c r="F3432"/>
      <c r="O3432"/>
      <c r="R3432"/>
      <c r="S3432"/>
      <c r="T3432"/>
      <c r="U3432"/>
    </row>
    <row r="3433" spans="6:21" x14ac:dyDescent="0.25">
      <c r="F3433"/>
      <c r="O3433"/>
      <c r="R3433"/>
      <c r="S3433"/>
      <c r="T3433"/>
      <c r="U3433"/>
    </row>
    <row r="3434" spans="6:21" x14ac:dyDescent="0.25">
      <c r="F3434"/>
      <c r="O3434"/>
      <c r="R3434"/>
      <c r="S3434"/>
      <c r="T3434"/>
      <c r="U3434"/>
    </row>
    <row r="3435" spans="6:21" x14ac:dyDescent="0.25">
      <c r="F3435"/>
      <c r="O3435"/>
      <c r="R3435"/>
      <c r="S3435"/>
      <c r="T3435"/>
      <c r="U3435"/>
    </row>
    <row r="3436" spans="6:21" x14ac:dyDescent="0.25">
      <c r="F3436"/>
      <c r="O3436"/>
      <c r="R3436"/>
      <c r="S3436"/>
      <c r="T3436"/>
      <c r="U3436"/>
    </row>
    <row r="3437" spans="6:21" x14ac:dyDescent="0.25">
      <c r="F3437"/>
      <c r="O3437"/>
      <c r="R3437"/>
      <c r="S3437"/>
      <c r="T3437"/>
      <c r="U3437"/>
    </row>
    <row r="3438" spans="6:21" x14ac:dyDescent="0.25">
      <c r="F3438"/>
      <c r="O3438"/>
      <c r="R3438"/>
      <c r="S3438"/>
      <c r="T3438"/>
      <c r="U3438"/>
    </row>
    <row r="3439" spans="6:21" x14ac:dyDescent="0.25">
      <c r="F3439"/>
      <c r="O3439"/>
      <c r="R3439"/>
      <c r="S3439"/>
      <c r="T3439"/>
      <c r="U3439"/>
    </row>
    <row r="3440" spans="6:21" x14ac:dyDescent="0.25">
      <c r="F3440"/>
      <c r="O3440"/>
      <c r="R3440"/>
      <c r="S3440"/>
      <c r="T3440"/>
      <c r="U3440"/>
    </row>
    <row r="3441" spans="6:21" x14ac:dyDescent="0.25">
      <c r="F3441"/>
      <c r="O3441"/>
      <c r="R3441"/>
      <c r="S3441"/>
      <c r="T3441"/>
      <c r="U3441"/>
    </row>
    <row r="3442" spans="6:21" x14ac:dyDescent="0.25">
      <c r="F3442"/>
      <c r="O3442"/>
      <c r="R3442"/>
      <c r="S3442"/>
      <c r="T3442"/>
      <c r="U3442"/>
    </row>
    <row r="3443" spans="6:21" x14ac:dyDescent="0.25">
      <c r="F3443"/>
      <c r="O3443"/>
      <c r="R3443"/>
      <c r="S3443"/>
      <c r="T3443"/>
      <c r="U3443"/>
    </row>
    <row r="3444" spans="6:21" x14ac:dyDescent="0.25">
      <c r="F3444"/>
      <c r="O3444"/>
      <c r="R3444"/>
      <c r="S3444"/>
      <c r="T3444"/>
      <c r="U3444"/>
    </row>
    <row r="3445" spans="6:21" x14ac:dyDescent="0.25">
      <c r="F3445"/>
      <c r="O3445"/>
      <c r="R3445"/>
      <c r="S3445"/>
      <c r="T3445"/>
      <c r="U3445"/>
    </row>
    <row r="3446" spans="6:21" x14ac:dyDescent="0.25">
      <c r="F3446"/>
      <c r="O3446"/>
      <c r="R3446"/>
      <c r="S3446"/>
      <c r="T3446"/>
      <c r="U3446"/>
    </row>
    <row r="3447" spans="6:21" x14ac:dyDescent="0.25">
      <c r="F3447"/>
      <c r="O3447"/>
      <c r="R3447"/>
      <c r="S3447"/>
      <c r="T3447"/>
      <c r="U3447"/>
    </row>
    <row r="3448" spans="6:21" x14ac:dyDescent="0.25">
      <c r="F3448"/>
      <c r="O3448"/>
      <c r="R3448"/>
      <c r="S3448"/>
      <c r="T3448"/>
      <c r="U3448"/>
    </row>
    <row r="3449" spans="6:21" x14ac:dyDescent="0.25">
      <c r="F3449"/>
      <c r="O3449"/>
      <c r="R3449"/>
      <c r="S3449"/>
      <c r="T3449"/>
      <c r="U3449"/>
    </row>
    <row r="3450" spans="6:21" x14ac:dyDescent="0.25">
      <c r="F3450"/>
      <c r="O3450"/>
      <c r="R3450"/>
      <c r="S3450"/>
      <c r="T3450"/>
      <c r="U3450"/>
    </row>
    <row r="3451" spans="6:21" x14ac:dyDescent="0.25">
      <c r="F3451"/>
      <c r="O3451"/>
      <c r="R3451"/>
      <c r="S3451"/>
      <c r="T3451"/>
      <c r="U3451"/>
    </row>
    <row r="3452" spans="6:21" x14ac:dyDescent="0.25">
      <c r="F3452"/>
      <c r="O3452"/>
      <c r="R3452"/>
      <c r="S3452"/>
      <c r="T3452"/>
      <c r="U3452"/>
    </row>
    <row r="3453" spans="6:21" x14ac:dyDescent="0.25">
      <c r="F3453"/>
      <c r="O3453"/>
      <c r="R3453"/>
      <c r="S3453"/>
      <c r="T3453"/>
      <c r="U3453"/>
    </row>
    <row r="3454" spans="6:21" x14ac:dyDescent="0.25">
      <c r="F3454"/>
      <c r="O3454"/>
      <c r="R3454"/>
      <c r="S3454"/>
      <c r="T3454"/>
      <c r="U3454"/>
    </row>
    <row r="3455" spans="6:21" x14ac:dyDescent="0.25">
      <c r="F3455"/>
      <c r="O3455"/>
      <c r="R3455"/>
      <c r="S3455"/>
      <c r="T3455"/>
      <c r="U3455"/>
    </row>
    <row r="3456" spans="6:21" x14ac:dyDescent="0.25">
      <c r="F3456"/>
      <c r="O3456"/>
      <c r="R3456"/>
      <c r="S3456"/>
      <c r="T3456"/>
      <c r="U3456"/>
    </row>
    <row r="3457" spans="6:21" x14ac:dyDescent="0.25">
      <c r="F3457"/>
      <c r="O3457"/>
      <c r="R3457"/>
      <c r="S3457"/>
      <c r="T3457"/>
      <c r="U3457"/>
    </row>
    <row r="3458" spans="6:21" x14ac:dyDescent="0.25">
      <c r="F3458"/>
      <c r="O3458"/>
      <c r="R3458"/>
      <c r="S3458"/>
      <c r="T3458"/>
      <c r="U3458"/>
    </row>
    <row r="3459" spans="6:21" x14ac:dyDescent="0.25">
      <c r="F3459"/>
      <c r="O3459"/>
      <c r="R3459"/>
      <c r="S3459"/>
      <c r="T3459"/>
      <c r="U3459"/>
    </row>
    <row r="3460" spans="6:21" x14ac:dyDescent="0.25">
      <c r="F3460"/>
      <c r="O3460"/>
      <c r="R3460"/>
      <c r="S3460"/>
      <c r="T3460"/>
      <c r="U3460"/>
    </row>
    <row r="3461" spans="6:21" x14ac:dyDescent="0.25">
      <c r="F3461"/>
      <c r="O3461"/>
      <c r="R3461"/>
      <c r="S3461"/>
      <c r="T3461"/>
      <c r="U3461"/>
    </row>
    <row r="3462" spans="6:21" x14ac:dyDescent="0.25">
      <c r="F3462"/>
      <c r="O3462"/>
      <c r="R3462"/>
      <c r="S3462"/>
      <c r="T3462"/>
      <c r="U3462"/>
    </row>
    <row r="3463" spans="6:21" x14ac:dyDescent="0.25">
      <c r="F3463"/>
      <c r="O3463"/>
      <c r="R3463"/>
      <c r="S3463"/>
      <c r="T3463"/>
      <c r="U3463"/>
    </row>
    <row r="3464" spans="6:21" x14ac:dyDescent="0.25">
      <c r="F3464"/>
      <c r="O3464"/>
      <c r="R3464"/>
      <c r="S3464"/>
      <c r="T3464"/>
      <c r="U3464"/>
    </row>
    <row r="3465" spans="6:21" x14ac:dyDescent="0.25">
      <c r="F3465"/>
      <c r="O3465"/>
      <c r="R3465"/>
      <c r="S3465"/>
      <c r="T3465"/>
      <c r="U3465"/>
    </row>
    <row r="3466" spans="6:21" x14ac:dyDescent="0.25">
      <c r="F3466"/>
      <c r="O3466"/>
      <c r="R3466"/>
      <c r="S3466"/>
      <c r="T3466"/>
      <c r="U3466"/>
    </row>
    <row r="3467" spans="6:21" x14ac:dyDescent="0.25">
      <c r="F3467"/>
      <c r="O3467"/>
      <c r="R3467"/>
      <c r="S3467"/>
      <c r="T3467"/>
      <c r="U3467"/>
    </row>
    <row r="3468" spans="6:21" x14ac:dyDescent="0.25">
      <c r="F3468"/>
      <c r="O3468"/>
      <c r="R3468"/>
      <c r="S3468"/>
      <c r="T3468"/>
      <c r="U3468"/>
    </row>
    <row r="3469" spans="6:21" x14ac:dyDescent="0.25">
      <c r="F3469"/>
      <c r="O3469"/>
      <c r="R3469"/>
      <c r="S3469"/>
      <c r="T3469"/>
      <c r="U3469"/>
    </row>
    <row r="3470" spans="6:21" x14ac:dyDescent="0.25">
      <c r="F3470"/>
      <c r="O3470"/>
      <c r="R3470"/>
      <c r="S3470"/>
      <c r="T3470"/>
      <c r="U3470"/>
    </row>
    <row r="3471" spans="6:21" x14ac:dyDescent="0.25">
      <c r="F3471"/>
      <c r="O3471"/>
      <c r="R3471"/>
      <c r="S3471"/>
      <c r="T3471"/>
      <c r="U3471"/>
    </row>
    <row r="3472" spans="6:21" x14ac:dyDescent="0.25">
      <c r="F3472"/>
      <c r="O3472"/>
      <c r="R3472"/>
      <c r="S3472"/>
      <c r="T3472"/>
      <c r="U3472"/>
    </row>
    <row r="3473" spans="6:21" x14ac:dyDescent="0.25">
      <c r="F3473"/>
      <c r="O3473"/>
      <c r="R3473"/>
      <c r="S3473"/>
      <c r="T3473"/>
      <c r="U3473"/>
    </row>
    <row r="3474" spans="6:21" x14ac:dyDescent="0.25">
      <c r="F3474"/>
      <c r="O3474"/>
      <c r="R3474"/>
      <c r="S3474"/>
      <c r="T3474"/>
      <c r="U3474"/>
    </row>
    <row r="3475" spans="6:21" x14ac:dyDescent="0.25">
      <c r="F3475"/>
      <c r="O3475"/>
      <c r="R3475"/>
      <c r="S3475"/>
      <c r="T3475"/>
      <c r="U3475"/>
    </row>
    <row r="3476" spans="6:21" x14ac:dyDescent="0.25">
      <c r="F3476"/>
      <c r="O3476"/>
      <c r="R3476"/>
      <c r="S3476"/>
      <c r="T3476"/>
      <c r="U3476"/>
    </row>
    <row r="3477" spans="6:21" x14ac:dyDescent="0.25">
      <c r="F3477"/>
      <c r="O3477"/>
      <c r="R3477"/>
      <c r="S3477"/>
      <c r="T3477"/>
      <c r="U3477"/>
    </row>
    <row r="3478" spans="6:21" x14ac:dyDescent="0.25">
      <c r="F3478"/>
      <c r="O3478"/>
      <c r="R3478"/>
      <c r="S3478"/>
      <c r="T3478"/>
      <c r="U3478"/>
    </row>
    <row r="3479" spans="6:21" x14ac:dyDescent="0.25">
      <c r="F3479"/>
      <c r="O3479"/>
      <c r="R3479"/>
      <c r="S3479"/>
      <c r="T3479"/>
      <c r="U3479"/>
    </row>
    <row r="3480" spans="6:21" x14ac:dyDescent="0.25">
      <c r="F3480"/>
      <c r="O3480"/>
      <c r="R3480"/>
      <c r="S3480"/>
      <c r="T3480"/>
      <c r="U3480"/>
    </row>
    <row r="3481" spans="6:21" x14ac:dyDescent="0.25">
      <c r="F3481"/>
      <c r="O3481"/>
      <c r="R3481"/>
      <c r="S3481"/>
      <c r="T3481"/>
      <c r="U3481"/>
    </row>
    <row r="3482" spans="6:21" x14ac:dyDescent="0.25">
      <c r="F3482"/>
      <c r="O3482"/>
      <c r="R3482"/>
      <c r="S3482"/>
      <c r="T3482"/>
      <c r="U3482"/>
    </row>
    <row r="3483" spans="6:21" x14ac:dyDescent="0.25">
      <c r="F3483"/>
      <c r="O3483"/>
      <c r="R3483"/>
      <c r="S3483"/>
      <c r="T3483"/>
      <c r="U3483"/>
    </row>
    <row r="3484" spans="6:21" x14ac:dyDescent="0.25">
      <c r="F3484"/>
      <c r="O3484"/>
      <c r="R3484"/>
      <c r="S3484"/>
      <c r="T3484"/>
      <c r="U3484"/>
    </row>
    <row r="3485" spans="6:21" x14ac:dyDescent="0.25">
      <c r="F3485"/>
      <c r="O3485"/>
      <c r="R3485"/>
      <c r="S3485"/>
      <c r="T3485"/>
      <c r="U3485"/>
    </row>
    <row r="3486" spans="6:21" x14ac:dyDescent="0.25">
      <c r="F3486"/>
      <c r="O3486"/>
      <c r="R3486"/>
      <c r="S3486"/>
      <c r="T3486"/>
      <c r="U3486"/>
    </row>
    <row r="3487" spans="6:21" x14ac:dyDescent="0.25">
      <c r="F3487"/>
      <c r="O3487"/>
      <c r="R3487"/>
      <c r="S3487"/>
      <c r="T3487"/>
      <c r="U3487"/>
    </row>
    <row r="3488" spans="6:21" x14ac:dyDescent="0.25">
      <c r="F3488"/>
      <c r="O3488"/>
      <c r="R3488"/>
      <c r="S3488"/>
      <c r="T3488"/>
      <c r="U3488"/>
    </row>
    <row r="3489" spans="6:21" x14ac:dyDescent="0.25">
      <c r="F3489"/>
      <c r="O3489"/>
      <c r="R3489"/>
      <c r="S3489"/>
      <c r="T3489"/>
      <c r="U3489"/>
    </row>
    <row r="3490" spans="6:21" x14ac:dyDescent="0.25">
      <c r="F3490"/>
      <c r="O3490"/>
      <c r="R3490"/>
      <c r="S3490"/>
      <c r="T3490"/>
      <c r="U3490"/>
    </row>
    <row r="3491" spans="6:21" x14ac:dyDescent="0.25">
      <c r="F3491"/>
      <c r="O3491"/>
      <c r="R3491"/>
      <c r="S3491"/>
      <c r="T3491"/>
      <c r="U3491"/>
    </row>
    <row r="3492" spans="6:21" x14ac:dyDescent="0.25">
      <c r="F3492"/>
      <c r="O3492"/>
      <c r="R3492"/>
      <c r="S3492"/>
      <c r="T3492"/>
      <c r="U3492"/>
    </row>
    <row r="3493" spans="6:21" x14ac:dyDescent="0.25">
      <c r="F3493"/>
      <c r="O3493"/>
      <c r="R3493"/>
      <c r="S3493"/>
      <c r="T3493"/>
      <c r="U3493"/>
    </row>
    <row r="3494" spans="6:21" x14ac:dyDescent="0.25">
      <c r="F3494"/>
      <c r="O3494"/>
      <c r="R3494"/>
      <c r="S3494"/>
      <c r="T3494"/>
      <c r="U3494"/>
    </row>
    <row r="3495" spans="6:21" x14ac:dyDescent="0.25">
      <c r="F3495"/>
      <c r="O3495"/>
      <c r="R3495"/>
      <c r="S3495"/>
      <c r="T3495"/>
      <c r="U3495"/>
    </row>
    <row r="3496" spans="6:21" x14ac:dyDescent="0.25">
      <c r="F3496"/>
      <c r="O3496"/>
      <c r="R3496"/>
      <c r="S3496"/>
      <c r="T3496"/>
      <c r="U3496"/>
    </row>
    <row r="3497" spans="6:21" x14ac:dyDescent="0.25">
      <c r="F3497"/>
      <c r="O3497"/>
      <c r="R3497"/>
      <c r="S3497"/>
      <c r="T3497"/>
      <c r="U3497"/>
    </row>
    <row r="3498" spans="6:21" x14ac:dyDescent="0.25">
      <c r="F3498"/>
      <c r="O3498"/>
      <c r="R3498"/>
      <c r="S3498"/>
      <c r="T3498"/>
      <c r="U3498"/>
    </row>
    <row r="3499" spans="6:21" x14ac:dyDescent="0.25">
      <c r="F3499"/>
      <c r="O3499"/>
      <c r="R3499"/>
      <c r="S3499"/>
      <c r="T3499"/>
      <c r="U3499"/>
    </row>
    <row r="3500" spans="6:21" x14ac:dyDescent="0.25">
      <c r="F3500"/>
      <c r="O3500"/>
      <c r="R3500"/>
      <c r="S3500"/>
      <c r="T3500"/>
      <c r="U3500"/>
    </row>
    <row r="3501" spans="6:21" x14ac:dyDescent="0.25">
      <c r="F3501"/>
      <c r="O3501"/>
      <c r="R3501"/>
      <c r="S3501"/>
      <c r="T3501"/>
      <c r="U3501"/>
    </row>
    <row r="3502" spans="6:21" x14ac:dyDescent="0.25">
      <c r="F3502"/>
      <c r="O3502"/>
      <c r="R3502"/>
      <c r="S3502"/>
      <c r="T3502"/>
      <c r="U3502"/>
    </row>
    <row r="3503" spans="6:21" x14ac:dyDescent="0.25">
      <c r="F3503"/>
      <c r="O3503"/>
      <c r="R3503"/>
      <c r="S3503"/>
      <c r="T3503"/>
      <c r="U3503"/>
    </row>
    <row r="3504" spans="6:21" x14ac:dyDescent="0.25">
      <c r="F3504"/>
      <c r="O3504"/>
      <c r="R3504"/>
      <c r="S3504"/>
      <c r="T3504"/>
      <c r="U3504"/>
    </row>
    <row r="3505" spans="6:21" x14ac:dyDescent="0.25">
      <c r="F3505"/>
      <c r="O3505"/>
      <c r="R3505"/>
      <c r="S3505"/>
      <c r="T3505"/>
      <c r="U3505"/>
    </row>
    <row r="3506" spans="6:21" x14ac:dyDescent="0.25">
      <c r="F3506"/>
      <c r="O3506"/>
      <c r="R3506"/>
      <c r="S3506"/>
      <c r="T3506"/>
      <c r="U3506"/>
    </row>
    <row r="3507" spans="6:21" x14ac:dyDescent="0.25">
      <c r="F3507"/>
      <c r="O3507"/>
      <c r="R3507"/>
      <c r="S3507"/>
      <c r="T3507"/>
      <c r="U3507"/>
    </row>
    <row r="3508" spans="6:21" x14ac:dyDescent="0.25">
      <c r="F3508"/>
      <c r="O3508"/>
      <c r="R3508"/>
      <c r="S3508"/>
      <c r="T3508"/>
      <c r="U3508"/>
    </row>
    <row r="3509" spans="6:21" x14ac:dyDescent="0.25">
      <c r="F3509"/>
      <c r="O3509"/>
      <c r="R3509"/>
      <c r="S3509"/>
      <c r="T3509"/>
      <c r="U3509"/>
    </row>
    <row r="3510" spans="6:21" x14ac:dyDescent="0.25">
      <c r="F3510"/>
      <c r="O3510"/>
      <c r="R3510"/>
      <c r="S3510"/>
      <c r="T3510"/>
      <c r="U3510"/>
    </row>
    <row r="3511" spans="6:21" x14ac:dyDescent="0.25">
      <c r="F3511"/>
      <c r="O3511"/>
      <c r="R3511"/>
      <c r="S3511"/>
      <c r="T3511"/>
      <c r="U3511"/>
    </row>
    <row r="3512" spans="6:21" x14ac:dyDescent="0.25">
      <c r="F3512"/>
      <c r="O3512"/>
      <c r="R3512"/>
      <c r="S3512"/>
      <c r="T3512"/>
      <c r="U3512"/>
    </row>
    <row r="3513" spans="6:21" x14ac:dyDescent="0.25">
      <c r="F3513"/>
      <c r="O3513"/>
      <c r="R3513"/>
      <c r="S3513"/>
      <c r="T3513"/>
      <c r="U3513"/>
    </row>
    <row r="3514" spans="6:21" x14ac:dyDescent="0.25">
      <c r="F3514"/>
      <c r="O3514"/>
      <c r="R3514"/>
      <c r="S3514"/>
      <c r="T3514"/>
      <c r="U3514"/>
    </row>
    <row r="3515" spans="6:21" x14ac:dyDescent="0.25">
      <c r="F3515"/>
      <c r="O3515"/>
      <c r="R3515"/>
      <c r="S3515"/>
      <c r="T3515"/>
      <c r="U3515"/>
    </row>
    <row r="3516" spans="6:21" x14ac:dyDescent="0.25">
      <c r="F3516"/>
      <c r="O3516"/>
      <c r="R3516"/>
      <c r="S3516"/>
      <c r="T3516"/>
      <c r="U3516"/>
    </row>
    <row r="3517" spans="6:21" x14ac:dyDescent="0.25">
      <c r="F3517"/>
      <c r="O3517"/>
      <c r="R3517"/>
      <c r="S3517"/>
      <c r="T3517"/>
      <c r="U3517"/>
    </row>
    <row r="3518" spans="6:21" x14ac:dyDescent="0.25">
      <c r="F3518"/>
      <c r="O3518"/>
      <c r="R3518"/>
      <c r="S3518"/>
      <c r="T3518"/>
      <c r="U3518"/>
    </row>
    <row r="3519" spans="6:21" x14ac:dyDescent="0.25">
      <c r="F3519"/>
      <c r="O3519"/>
      <c r="R3519"/>
      <c r="S3519"/>
      <c r="T3519"/>
      <c r="U3519"/>
    </row>
    <row r="3520" spans="6:21" x14ac:dyDescent="0.25">
      <c r="F3520"/>
      <c r="O3520"/>
      <c r="R3520"/>
      <c r="S3520"/>
      <c r="T3520"/>
      <c r="U3520"/>
    </row>
    <row r="3521" spans="6:21" x14ac:dyDescent="0.25">
      <c r="F3521"/>
      <c r="O3521"/>
      <c r="R3521"/>
      <c r="S3521"/>
      <c r="T3521"/>
      <c r="U3521"/>
    </row>
    <row r="3522" spans="6:21" x14ac:dyDescent="0.25">
      <c r="F3522"/>
      <c r="O3522"/>
      <c r="R3522"/>
      <c r="S3522"/>
      <c r="T3522"/>
      <c r="U3522"/>
    </row>
    <row r="3523" spans="6:21" x14ac:dyDescent="0.25">
      <c r="F3523"/>
      <c r="O3523"/>
      <c r="R3523"/>
      <c r="S3523"/>
      <c r="T3523"/>
      <c r="U3523"/>
    </row>
    <row r="3524" spans="6:21" x14ac:dyDescent="0.25">
      <c r="F3524"/>
      <c r="O3524"/>
      <c r="R3524"/>
      <c r="S3524"/>
      <c r="T3524"/>
      <c r="U3524"/>
    </row>
    <row r="3525" spans="6:21" x14ac:dyDescent="0.25">
      <c r="F3525"/>
      <c r="O3525"/>
      <c r="R3525"/>
      <c r="S3525"/>
      <c r="T3525"/>
      <c r="U3525"/>
    </row>
    <row r="3526" spans="6:21" x14ac:dyDescent="0.25">
      <c r="F3526"/>
      <c r="O3526"/>
      <c r="R3526"/>
      <c r="S3526"/>
      <c r="T3526"/>
      <c r="U3526"/>
    </row>
    <row r="3527" spans="6:21" x14ac:dyDescent="0.25">
      <c r="F3527"/>
      <c r="O3527"/>
      <c r="R3527"/>
      <c r="S3527"/>
      <c r="T3527"/>
      <c r="U3527"/>
    </row>
    <row r="3528" spans="6:21" x14ac:dyDescent="0.25">
      <c r="F3528"/>
      <c r="O3528"/>
      <c r="R3528"/>
      <c r="S3528"/>
      <c r="T3528"/>
      <c r="U3528"/>
    </row>
    <row r="3529" spans="6:21" x14ac:dyDescent="0.25">
      <c r="F3529"/>
      <c r="O3529"/>
      <c r="R3529"/>
      <c r="S3529"/>
      <c r="T3529"/>
      <c r="U3529"/>
    </row>
    <row r="3530" spans="6:21" x14ac:dyDescent="0.25">
      <c r="F3530"/>
      <c r="O3530"/>
      <c r="R3530"/>
      <c r="S3530"/>
      <c r="T3530"/>
      <c r="U3530"/>
    </row>
    <row r="3531" spans="6:21" x14ac:dyDescent="0.25">
      <c r="F3531"/>
      <c r="O3531"/>
      <c r="R3531"/>
      <c r="S3531"/>
      <c r="T3531"/>
      <c r="U3531"/>
    </row>
    <row r="3532" spans="6:21" x14ac:dyDescent="0.25">
      <c r="F3532"/>
      <c r="O3532"/>
      <c r="R3532"/>
      <c r="S3532"/>
      <c r="T3532"/>
      <c r="U3532"/>
    </row>
    <row r="3533" spans="6:21" x14ac:dyDescent="0.25">
      <c r="F3533"/>
      <c r="O3533"/>
      <c r="R3533"/>
      <c r="S3533"/>
      <c r="T3533"/>
      <c r="U3533"/>
    </row>
    <row r="3534" spans="6:21" x14ac:dyDescent="0.25">
      <c r="F3534"/>
      <c r="O3534"/>
      <c r="R3534"/>
      <c r="S3534"/>
      <c r="T3534"/>
      <c r="U3534"/>
    </row>
    <row r="3535" spans="6:21" x14ac:dyDescent="0.25">
      <c r="F3535"/>
      <c r="O3535"/>
      <c r="R3535"/>
      <c r="S3535"/>
      <c r="T3535"/>
      <c r="U3535"/>
    </row>
    <row r="3536" spans="6:21" x14ac:dyDescent="0.25">
      <c r="F3536"/>
      <c r="O3536"/>
      <c r="R3536"/>
      <c r="S3536"/>
      <c r="T3536"/>
      <c r="U3536"/>
    </row>
    <row r="3537" spans="6:21" x14ac:dyDescent="0.25">
      <c r="F3537"/>
      <c r="O3537"/>
      <c r="R3537"/>
      <c r="S3537"/>
      <c r="T3537"/>
      <c r="U3537"/>
    </row>
    <row r="3538" spans="6:21" x14ac:dyDescent="0.25">
      <c r="F3538"/>
      <c r="O3538"/>
      <c r="R3538"/>
      <c r="S3538"/>
      <c r="T3538"/>
      <c r="U3538"/>
    </row>
    <row r="3539" spans="6:21" x14ac:dyDescent="0.25">
      <c r="F3539"/>
      <c r="O3539"/>
      <c r="R3539"/>
      <c r="S3539"/>
      <c r="T3539"/>
      <c r="U3539"/>
    </row>
    <row r="3540" spans="6:21" x14ac:dyDescent="0.25">
      <c r="F3540"/>
      <c r="O3540"/>
      <c r="R3540"/>
      <c r="S3540"/>
      <c r="T3540"/>
      <c r="U3540"/>
    </row>
    <row r="3541" spans="6:21" x14ac:dyDescent="0.25">
      <c r="F3541"/>
      <c r="O3541"/>
      <c r="R3541"/>
      <c r="S3541"/>
      <c r="T3541"/>
      <c r="U3541"/>
    </row>
    <row r="3542" spans="6:21" x14ac:dyDescent="0.25">
      <c r="F3542"/>
      <c r="O3542"/>
      <c r="R3542"/>
      <c r="S3542"/>
      <c r="T3542"/>
      <c r="U3542"/>
    </row>
    <row r="3543" spans="6:21" x14ac:dyDescent="0.25">
      <c r="F3543"/>
      <c r="O3543"/>
      <c r="R3543"/>
      <c r="S3543"/>
      <c r="T3543"/>
      <c r="U3543"/>
    </row>
    <row r="3544" spans="6:21" x14ac:dyDescent="0.25">
      <c r="F3544"/>
      <c r="O3544"/>
      <c r="R3544"/>
      <c r="S3544"/>
      <c r="T3544"/>
      <c r="U3544"/>
    </row>
    <row r="3545" spans="6:21" x14ac:dyDescent="0.25">
      <c r="F3545"/>
      <c r="O3545"/>
      <c r="R3545"/>
      <c r="S3545"/>
      <c r="T3545"/>
      <c r="U3545"/>
    </row>
    <row r="3546" spans="6:21" x14ac:dyDescent="0.25">
      <c r="F3546"/>
      <c r="O3546"/>
      <c r="R3546"/>
      <c r="S3546"/>
      <c r="T3546"/>
      <c r="U3546"/>
    </row>
    <row r="3547" spans="6:21" x14ac:dyDescent="0.25">
      <c r="F3547"/>
      <c r="O3547"/>
      <c r="R3547"/>
      <c r="S3547"/>
      <c r="T3547"/>
      <c r="U3547"/>
    </row>
    <row r="3548" spans="6:21" x14ac:dyDescent="0.25">
      <c r="F3548"/>
      <c r="O3548"/>
      <c r="R3548"/>
      <c r="S3548"/>
      <c r="T3548"/>
      <c r="U3548"/>
    </row>
    <row r="3549" spans="6:21" x14ac:dyDescent="0.25">
      <c r="F3549"/>
      <c r="O3549"/>
      <c r="R3549"/>
      <c r="S3549"/>
      <c r="T3549"/>
      <c r="U3549"/>
    </row>
    <row r="3550" spans="6:21" x14ac:dyDescent="0.25">
      <c r="F3550"/>
      <c r="O3550"/>
      <c r="R3550"/>
      <c r="S3550"/>
      <c r="T3550"/>
      <c r="U3550"/>
    </row>
    <row r="3551" spans="6:21" x14ac:dyDescent="0.25">
      <c r="F3551"/>
      <c r="O3551"/>
      <c r="R3551"/>
      <c r="S3551"/>
      <c r="T3551"/>
      <c r="U3551"/>
    </row>
    <row r="3552" spans="6:21" x14ac:dyDescent="0.25">
      <c r="F3552"/>
      <c r="O3552"/>
      <c r="R3552"/>
      <c r="S3552"/>
      <c r="T3552"/>
      <c r="U3552"/>
    </row>
    <row r="3553" spans="6:21" x14ac:dyDescent="0.25">
      <c r="F3553"/>
      <c r="O3553"/>
      <c r="R3553"/>
      <c r="S3553"/>
      <c r="T3553"/>
      <c r="U3553"/>
    </row>
    <row r="3554" spans="6:21" x14ac:dyDescent="0.25">
      <c r="F3554"/>
      <c r="O3554"/>
      <c r="R3554"/>
      <c r="S3554"/>
      <c r="T3554"/>
      <c r="U3554"/>
    </row>
    <row r="3555" spans="6:21" x14ac:dyDescent="0.25">
      <c r="F3555"/>
      <c r="O3555"/>
      <c r="R3555"/>
      <c r="S3555"/>
      <c r="T3555"/>
      <c r="U3555"/>
    </row>
    <row r="3556" spans="6:21" x14ac:dyDescent="0.25">
      <c r="F3556"/>
      <c r="O3556"/>
      <c r="R3556"/>
      <c r="S3556"/>
      <c r="T3556"/>
      <c r="U3556"/>
    </row>
    <row r="3557" spans="6:21" x14ac:dyDescent="0.25">
      <c r="F3557"/>
      <c r="O3557"/>
      <c r="R3557"/>
      <c r="S3557"/>
      <c r="T3557"/>
      <c r="U3557"/>
    </row>
    <row r="3558" spans="6:21" x14ac:dyDescent="0.25">
      <c r="F3558"/>
      <c r="O3558"/>
      <c r="R3558"/>
      <c r="S3558"/>
      <c r="T3558"/>
      <c r="U3558"/>
    </row>
    <row r="3559" spans="6:21" x14ac:dyDescent="0.25">
      <c r="F3559"/>
      <c r="O3559"/>
      <c r="R3559"/>
      <c r="S3559"/>
      <c r="T3559"/>
      <c r="U3559"/>
    </row>
    <row r="3560" spans="6:21" x14ac:dyDescent="0.25">
      <c r="F3560"/>
      <c r="O3560"/>
      <c r="R3560"/>
      <c r="S3560"/>
      <c r="T3560"/>
      <c r="U3560"/>
    </row>
    <row r="3561" spans="6:21" x14ac:dyDescent="0.25">
      <c r="F3561"/>
      <c r="O3561"/>
      <c r="R3561"/>
      <c r="S3561"/>
      <c r="T3561"/>
      <c r="U3561"/>
    </row>
    <row r="3562" spans="6:21" x14ac:dyDescent="0.25">
      <c r="F3562"/>
      <c r="O3562"/>
      <c r="R3562"/>
      <c r="S3562"/>
      <c r="T3562"/>
      <c r="U3562"/>
    </row>
    <row r="3563" spans="6:21" x14ac:dyDescent="0.25">
      <c r="F3563"/>
      <c r="O3563"/>
      <c r="R3563"/>
      <c r="S3563"/>
      <c r="T3563"/>
      <c r="U3563"/>
    </row>
    <row r="3564" spans="6:21" x14ac:dyDescent="0.25">
      <c r="F3564"/>
      <c r="O3564"/>
      <c r="R3564"/>
      <c r="S3564"/>
      <c r="T3564"/>
      <c r="U3564"/>
    </row>
    <row r="3565" spans="6:21" x14ac:dyDescent="0.25">
      <c r="F3565"/>
      <c r="O3565"/>
      <c r="R3565"/>
      <c r="S3565"/>
      <c r="T3565"/>
      <c r="U3565"/>
    </row>
    <row r="3566" spans="6:21" x14ac:dyDescent="0.25">
      <c r="F3566"/>
      <c r="O3566"/>
      <c r="R3566"/>
      <c r="S3566"/>
      <c r="T3566"/>
      <c r="U3566"/>
    </row>
    <row r="3567" spans="6:21" x14ac:dyDescent="0.25">
      <c r="F3567"/>
      <c r="O3567"/>
      <c r="R3567"/>
      <c r="S3567"/>
      <c r="T3567"/>
      <c r="U3567"/>
    </row>
    <row r="3568" spans="6:21" x14ac:dyDescent="0.25">
      <c r="F3568"/>
      <c r="O3568"/>
      <c r="R3568"/>
      <c r="S3568"/>
      <c r="T3568"/>
      <c r="U3568"/>
    </row>
    <row r="3569" spans="6:21" x14ac:dyDescent="0.25">
      <c r="F3569"/>
      <c r="O3569"/>
      <c r="R3569"/>
      <c r="S3569"/>
      <c r="T3569"/>
      <c r="U3569"/>
    </row>
    <row r="3570" spans="6:21" x14ac:dyDescent="0.25">
      <c r="F3570"/>
      <c r="O3570"/>
      <c r="R3570"/>
      <c r="S3570"/>
      <c r="T3570"/>
      <c r="U3570"/>
    </row>
    <row r="3571" spans="6:21" x14ac:dyDescent="0.25">
      <c r="F3571"/>
      <c r="O3571"/>
      <c r="R3571"/>
      <c r="S3571"/>
      <c r="T3571"/>
      <c r="U3571"/>
    </row>
    <row r="3572" spans="6:21" x14ac:dyDescent="0.25">
      <c r="F3572"/>
      <c r="O3572"/>
      <c r="R3572"/>
      <c r="S3572"/>
      <c r="T3572"/>
      <c r="U3572"/>
    </row>
    <row r="3573" spans="6:21" x14ac:dyDescent="0.25">
      <c r="F3573"/>
      <c r="O3573"/>
      <c r="R3573"/>
      <c r="S3573"/>
      <c r="T3573"/>
      <c r="U3573"/>
    </row>
    <row r="3574" spans="6:21" x14ac:dyDescent="0.25">
      <c r="F3574"/>
      <c r="O3574"/>
      <c r="R3574"/>
      <c r="S3574"/>
      <c r="T3574"/>
      <c r="U3574"/>
    </row>
    <row r="3575" spans="6:21" x14ac:dyDescent="0.25">
      <c r="F3575"/>
      <c r="O3575"/>
      <c r="R3575"/>
      <c r="S3575"/>
      <c r="T3575"/>
      <c r="U3575"/>
    </row>
    <row r="3576" spans="6:21" x14ac:dyDescent="0.25">
      <c r="F3576"/>
      <c r="O3576"/>
      <c r="R3576"/>
      <c r="S3576"/>
      <c r="T3576"/>
      <c r="U3576"/>
    </row>
    <row r="3577" spans="6:21" x14ac:dyDescent="0.25">
      <c r="F3577"/>
      <c r="O3577"/>
      <c r="R3577"/>
      <c r="S3577"/>
      <c r="T3577"/>
      <c r="U3577"/>
    </row>
    <row r="3578" spans="6:21" x14ac:dyDescent="0.25">
      <c r="F3578"/>
      <c r="O3578"/>
      <c r="R3578"/>
      <c r="S3578"/>
      <c r="T3578"/>
      <c r="U3578"/>
    </row>
    <row r="3579" spans="6:21" x14ac:dyDescent="0.25">
      <c r="F3579"/>
      <c r="O3579"/>
      <c r="R3579"/>
      <c r="S3579"/>
      <c r="T3579"/>
      <c r="U3579"/>
    </row>
    <row r="3580" spans="6:21" x14ac:dyDescent="0.25">
      <c r="F3580"/>
      <c r="O3580"/>
      <c r="R3580"/>
      <c r="S3580"/>
      <c r="T3580"/>
      <c r="U3580"/>
    </row>
    <row r="3581" spans="6:21" x14ac:dyDescent="0.25">
      <c r="F3581"/>
      <c r="O3581"/>
      <c r="R3581"/>
      <c r="S3581"/>
      <c r="T3581"/>
      <c r="U3581"/>
    </row>
    <row r="3582" spans="6:21" x14ac:dyDescent="0.25">
      <c r="F3582"/>
      <c r="O3582"/>
      <c r="R3582"/>
      <c r="S3582"/>
      <c r="T3582"/>
      <c r="U3582"/>
    </row>
    <row r="3583" spans="6:21" x14ac:dyDescent="0.25">
      <c r="F3583"/>
      <c r="O3583"/>
      <c r="R3583"/>
      <c r="S3583"/>
      <c r="T3583"/>
      <c r="U3583"/>
    </row>
    <row r="3584" spans="6:21" x14ac:dyDescent="0.25">
      <c r="F3584"/>
      <c r="O3584"/>
      <c r="R3584"/>
      <c r="S3584"/>
      <c r="T3584"/>
      <c r="U3584"/>
    </row>
    <row r="3585" spans="6:21" x14ac:dyDescent="0.25">
      <c r="F3585"/>
      <c r="O3585"/>
      <c r="R3585"/>
      <c r="S3585"/>
      <c r="T3585"/>
      <c r="U3585"/>
    </row>
    <row r="3586" spans="6:21" x14ac:dyDescent="0.25">
      <c r="F3586"/>
      <c r="O3586"/>
      <c r="R3586"/>
      <c r="S3586"/>
      <c r="T3586"/>
      <c r="U3586"/>
    </row>
    <row r="3587" spans="6:21" x14ac:dyDescent="0.25">
      <c r="F3587"/>
      <c r="O3587"/>
      <c r="R3587"/>
      <c r="S3587"/>
      <c r="T3587"/>
      <c r="U3587"/>
    </row>
    <row r="3588" spans="6:21" x14ac:dyDescent="0.25">
      <c r="F3588"/>
      <c r="O3588"/>
      <c r="R3588"/>
      <c r="S3588"/>
      <c r="T3588"/>
      <c r="U3588"/>
    </row>
    <row r="3589" spans="6:21" x14ac:dyDescent="0.25">
      <c r="F3589"/>
      <c r="O3589"/>
      <c r="R3589"/>
      <c r="S3589"/>
      <c r="T3589"/>
      <c r="U3589"/>
    </row>
    <row r="3590" spans="6:21" x14ac:dyDescent="0.25">
      <c r="F3590"/>
      <c r="O3590"/>
      <c r="R3590"/>
      <c r="S3590"/>
      <c r="T3590"/>
      <c r="U3590"/>
    </row>
    <row r="3591" spans="6:21" x14ac:dyDescent="0.25">
      <c r="F3591"/>
      <c r="O3591"/>
      <c r="R3591"/>
      <c r="S3591"/>
      <c r="T3591"/>
      <c r="U3591"/>
    </row>
    <row r="3592" spans="6:21" x14ac:dyDescent="0.25">
      <c r="F3592"/>
      <c r="O3592"/>
      <c r="R3592"/>
      <c r="S3592"/>
      <c r="T3592"/>
      <c r="U3592"/>
    </row>
    <row r="3593" spans="6:21" x14ac:dyDescent="0.25">
      <c r="F3593"/>
      <c r="O3593"/>
      <c r="R3593"/>
      <c r="S3593"/>
      <c r="T3593"/>
      <c r="U3593"/>
    </row>
    <row r="3594" spans="6:21" x14ac:dyDescent="0.25">
      <c r="F3594"/>
      <c r="O3594"/>
      <c r="R3594"/>
      <c r="S3594"/>
      <c r="T3594"/>
      <c r="U3594"/>
    </row>
    <row r="3595" spans="6:21" x14ac:dyDescent="0.25">
      <c r="F3595"/>
      <c r="O3595"/>
      <c r="R3595"/>
      <c r="S3595"/>
      <c r="T3595"/>
      <c r="U3595"/>
    </row>
    <row r="3596" spans="6:21" x14ac:dyDescent="0.25">
      <c r="F3596"/>
      <c r="O3596"/>
      <c r="R3596"/>
      <c r="S3596"/>
      <c r="T3596"/>
      <c r="U3596"/>
    </row>
    <row r="3597" spans="6:21" x14ac:dyDescent="0.25">
      <c r="F3597"/>
      <c r="O3597"/>
      <c r="R3597"/>
      <c r="S3597"/>
      <c r="T3597"/>
      <c r="U3597"/>
    </row>
    <row r="3598" spans="6:21" x14ac:dyDescent="0.25">
      <c r="F3598"/>
      <c r="O3598"/>
      <c r="R3598"/>
      <c r="S3598"/>
      <c r="T3598"/>
      <c r="U3598"/>
    </row>
    <row r="3599" spans="6:21" x14ac:dyDescent="0.25">
      <c r="F3599"/>
      <c r="O3599"/>
      <c r="R3599"/>
      <c r="S3599"/>
      <c r="T3599"/>
      <c r="U3599"/>
    </row>
    <row r="3600" spans="6:21" x14ac:dyDescent="0.25">
      <c r="F3600"/>
      <c r="O3600"/>
      <c r="R3600"/>
      <c r="S3600"/>
      <c r="T3600"/>
      <c r="U3600"/>
    </row>
    <row r="3601" spans="6:21" x14ac:dyDescent="0.25">
      <c r="F3601"/>
      <c r="O3601"/>
      <c r="R3601"/>
      <c r="S3601"/>
      <c r="T3601"/>
      <c r="U3601"/>
    </row>
    <row r="3602" spans="6:21" x14ac:dyDescent="0.25">
      <c r="F3602"/>
      <c r="O3602"/>
      <c r="R3602"/>
      <c r="S3602"/>
      <c r="T3602"/>
      <c r="U3602"/>
    </row>
    <row r="3603" spans="6:21" x14ac:dyDescent="0.25">
      <c r="F3603"/>
      <c r="O3603"/>
      <c r="R3603"/>
      <c r="S3603"/>
      <c r="T3603"/>
      <c r="U3603"/>
    </row>
    <row r="3604" spans="6:21" x14ac:dyDescent="0.25">
      <c r="F3604"/>
      <c r="O3604"/>
      <c r="R3604"/>
      <c r="S3604"/>
      <c r="T3604"/>
      <c r="U3604"/>
    </row>
    <row r="3605" spans="6:21" x14ac:dyDescent="0.25">
      <c r="F3605"/>
      <c r="O3605"/>
      <c r="R3605"/>
      <c r="S3605"/>
      <c r="T3605"/>
      <c r="U3605"/>
    </row>
    <row r="3606" spans="6:21" x14ac:dyDescent="0.25">
      <c r="F3606"/>
      <c r="O3606"/>
      <c r="R3606"/>
      <c r="S3606"/>
      <c r="T3606"/>
      <c r="U3606"/>
    </row>
    <row r="3607" spans="6:21" x14ac:dyDescent="0.25">
      <c r="F3607"/>
      <c r="O3607"/>
      <c r="R3607"/>
      <c r="S3607"/>
      <c r="T3607"/>
      <c r="U3607"/>
    </row>
    <row r="3608" spans="6:21" x14ac:dyDescent="0.25">
      <c r="F3608"/>
      <c r="O3608"/>
      <c r="R3608"/>
      <c r="S3608"/>
      <c r="T3608"/>
      <c r="U3608"/>
    </row>
    <row r="3609" spans="6:21" x14ac:dyDescent="0.25">
      <c r="F3609"/>
      <c r="O3609"/>
      <c r="R3609"/>
      <c r="S3609"/>
      <c r="T3609"/>
      <c r="U3609"/>
    </row>
    <row r="3610" spans="6:21" x14ac:dyDescent="0.25">
      <c r="F3610"/>
      <c r="O3610"/>
      <c r="R3610"/>
      <c r="S3610"/>
      <c r="T3610"/>
      <c r="U3610"/>
    </row>
    <row r="3611" spans="6:21" x14ac:dyDescent="0.25">
      <c r="F3611"/>
      <c r="O3611"/>
      <c r="R3611"/>
      <c r="S3611"/>
      <c r="T3611"/>
      <c r="U3611"/>
    </row>
    <row r="3612" spans="6:21" x14ac:dyDescent="0.25">
      <c r="F3612"/>
      <c r="O3612"/>
      <c r="R3612"/>
      <c r="S3612"/>
      <c r="T3612"/>
      <c r="U3612"/>
    </row>
    <row r="3613" spans="6:21" x14ac:dyDescent="0.25">
      <c r="F3613"/>
      <c r="O3613"/>
      <c r="R3613"/>
      <c r="S3613"/>
      <c r="T3613"/>
      <c r="U3613"/>
    </row>
    <row r="3614" spans="6:21" x14ac:dyDescent="0.25">
      <c r="F3614"/>
      <c r="O3614"/>
      <c r="R3614"/>
      <c r="S3614"/>
      <c r="T3614"/>
      <c r="U3614"/>
    </row>
    <row r="3615" spans="6:21" x14ac:dyDescent="0.25">
      <c r="F3615"/>
      <c r="O3615"/>
      <c r="R3615"/>
      <c r="S3615"/>
      <c r="T3615"/>
      <c r="U3615"/>
    </row>
    <row r="3616" spans="6:21" x14ac:dyDescent="0.25">
      <c r="F3616"/>
      <c r="O3616"/>
      <c r="R3616"/>
      <c r="S3616"/>
      <c r="T3616"/>
      <c r="U3616"/>
    </row>
    <row r="3617" spans="6:21" x14ac:dyDescent="0.25">
      <c r="F3617"/>
      <c r="O3617"/>
      <c r="R3617"/>
      <c r="S3617"/>
      <c r="T3617"/>
      <c r="U3617"/>
    </row>
    <row r="3618" spans="6:21" x14ac:dyDescent="0.25">
      <c r="F3618"/>
      <c r="O3618"/>
      <c r="R3618"/>
      <c r="S3618"/>
      <c r="T3618"/>
      <c r="U3618"/>
    </row>
    <row r="3619" spans="6:21" x14ac:dyDescent="0.25">
      <c r="F3619"/>
      <c r="O3619"/>
      <c r="R3619"/>
      <c r="S3619"/>
      <c r="T3619"/>
      <c r="U3619"/>
    </row>
    <row r="3620" spans="6:21" x14ac:dyDescent="0.25">
      <c r="F3620"/>
      <c r="O3620"/>
      <c r="R3620"/>
      <c r="S3620"/>
      <c r="T3620"/>
      <c r="U3620"/>
    </row>
    <row r="3621" spans="6:21" x14ac:dyDescent="0.25">
      <c r="F3621"/>
      <c r="O3621"/>
      <c r="R3621"/>
      <c r="S3621"/>
      <c r="T3621"/>
      <c r="U3621"/>
    </row>
    <row r="3622" spans="6:21" x14ac:dyDescent="0.25">
      <c r="F3622"/>
      <c r="O3622"/>
      <c r="R3622"/>
      <c r="S3622"/>
      <c r="T3622"/>
      <c r="U3622"/>
    </row>
    <row r="3623" spans="6:21" x14ac:dyDescent="0.25">
      <c r="F3623"/>
      <c r="O3623"/>
      <c r="R3623"/>
      <c r="S3623"/>
      <c r="T3623"/>
      <c r="U3623"/>
    </row>
    <row r="3624" spans="6:21" x14ac:dyDescent="0.25">
      <c r="F3624"/>
      <c r="O3624"/>
      <c r="R3624"/>
      <c r="S3624"/>
      <c r="T3624"/>
      <c r="U3624"/>
    </row>
    <row r="3625" spans="6:21" x14ac:dyDescent="0.25">
      <c r="F3625"/>
      <c r="O3625"/>
      <c r="R3625"/>
      <c r="S3625"/>
      <c r="T3625"/>
      <c r="U3625"/>
    </row>
    <row r="3626" spans="6:21" x14ac:dyDescent="0.25">
      <c r="F3626"/>
      <c r="O3626"/>
      <c r="R3626"/>
      <c r="S3626"/>
      <c r="T3626"/>
      <c r="U3626"/>
    </row>
    <row r="3627" spans="6:21" x14ac:dyDescent="0.25">
      <c r="F3627"/>
      <c r="O3627"/>
      <c r="R3627"/>
      <c r="S3627"/>
      <c r="T3627"/>
      <c r="U3627"/>
    </row>
    <row r="3628" spans="6:21" x14ac:dyDescent="0.25">
      <c r="F3628"/>
      <c r="O3628"/>
      <c r="R3628"/>
      <c r="S3628"/>
      <c r="T3628"/>
      <c r="U3628"/>
    </row>
    <row r="3629" spans="6:21" x14ac:dyDescent="0.25">
      <c r="F3629"/>
      <c r="O3629"/>
      <c r="R3629"/>
      <c r="S3629"/>
      <c r="T3629"/>
      <c r="U3629"/>
    </row>
    <row r="3630" spans="6:21" x14ac:dyDescent="0.25">
      <c r="F3630"/>
      <c r="O3630"/>
      <c r="R3630"/>
      <c r="S3630"/>
      <c r="T3630"/>
      <c r="U3630"/>
    </row>
    <row r="3631" spans="6:21" x14ac:dyDescent="0.25">
      <c r="F3631"/>
      <c r="O3631"/>
      <c r="R3631"/>
      <c r="S3631"/>
      <c r="T3631"/>
      <c r="U3631"/>
    </row>
    <row r="3632" spans="6:21" x14ac:dyDescent="0.25">
      <c r="F3632"/>
      <c r="O3632"/>
      <c r="R3632"/>
      <c r="S3632"/>
      <c r="T3632"/>
      <c r="U3632"/>
    </row>
    <row r="3633" spans="6:21" x14ac:dyDescent="0.25">
      <c r="F3633"/>
      <c r="O3633"/>
      <c r="R3633"/>
      <c r="S3633"/>
      <c r="T3633"/>
      <c r="U3633"/>
    </row>
    <row r="3634" spans="6:21" x14ac:dyDescent="0.25">
      <c r="F3634"/>
      <c r="O3634"/>
      <c r="R3634"/>
      <c r="S3634"/>
      <c r="T3634"/>
      <c r="U3634"/>
    </row>
    <row r="3635" spans="6:21" x14ac:dyDescent="0.25">
      <c r="F3635"/>
      <c r="O3635"/>
      <c r="R3635"/>
      <c r="S3635"/>
      <c r="T3635"/>
      <c r="U3635"/>
    </row>
    <row r="3636" spans="6:21" x14ac:dyDescent="0.25">
      <c r="F3636"/>
      <c r="O3636"/>
      <c r="R3636"/>
      <c r="S3636"/>
      <c r="T3636"/>
      <c r="U3636"/>
    </row>
    <row r="3637" spans="6:21" x14ac:dyDescent="0.25">
      <c r="F3637"/>
      <c r="O3637"/>
      <c r="R3637"/>
      <c r="S3637"/>
      <c r="T3637"/>
      <c r="U3637"/>
    </row>
    <row r="3638" spans="6:21" x14ac:dyDescent="0.25">
      <c r="F3638"/>
      <c r="O3638"/>
      <c r="R3638"/>
      <c r="S3638"/>
      <c r="T3638"/>
      <c r="U3638"/>
    </row>
    <row r="3639" spans="6:21" x14ac:dyDescent="0.25">
      <c r="F3639"/>
      <c r="O3639"/>
      <c r="R3639"/>
      <c r="S3639"/>
      <c r="T3639"/>
      <c r="U3639"/>
    </row>
    <row r="3640" spans="6:21" x14ac:dyDescent="0.25">
      <c r="F3640"/>
      <c r="O3640"/>
      <c r="R3640"/>
      <c r="S3640"/>
      <c r="T3640"/>
      <c r="U3640"/>
    </row>
    <row r="3641" spans="6:21" x14ac:dyDescent="0.25">
      <c r="F3641"/>
      <c r="O3641"/>
      <c r="R3641"/>
      <c r="S3641"/>
      <c r="T3641"/>
      <c r="U3641"/>
    </row>
    <row r="3642" spans="6:21" x14ac:dyDescent="0.25">
      <c r="F3642"/>
      <c r="O3642"/>
      <c r="R3642"/>
      <c r="S3642"/>
      <c r="T3642"/>
      <c r="U3642"/>
    </row>
    <row r="3643" spans="6:21" x14ac:dyDescent="0.25">
      <c r="F3643"/>
      <c r="O3643"/>
      <c r="R3643"/>
      <c r="S3643"/>
      <c r="T3643"/>
      <c r="U3643"/>
    </row>
    <row r="3644" spans="6:21" x14ac:dyDescent="0.25">
      <c r="F3644"/>
      <c r="O3644"/>
      <c r="R3644"/>
      <c r="S3644"/>
      <c r="T3644"/>
      <c r="U3644"/>
    </row>
    <row r="3645" spans="6:21" x14ac:dyDescent="0.25">
      <c r="F3645"/>
      <c r="O3645"/>
      <c r="R3645"/>
      <c r="S3645"/>
      <c r="T3645"/>
      <c r="U3645"/>
    </row>
    <row r="3646" spans="6:21" x14ac:dyDescent="0.25">
      <c r="F3646"/>
      <c r="O3646"/>
      <c r="R3646"/>
      <c r="S3646"/>
      <c r="T3646"/>
      <c r="U3646"/>
    </row>
    <row r="3647" spans="6:21" x14ac:dyDescent="0.25">
      <c r="F3647"/>
      <c r="O3647"/>
      <c r="R3647"/>
      <c r="S3647"/>
      <c r="T3647"/>
      <c r="U3647"/>
    </row>
    <row r="3648" spans="6:21" x14ac:dyDescent="0.25">
      <c r="F3648"/>
      <c r="O3648"/>
      <c r="R3648"/>
      <c r="S3648"/>
      <c r="T3648"/>
      <c r="U3648"/>
    </row>
    <row r="3649" spans="6:21" x14ac:dyDescent="0.25">
      <c r="F3649"/>
      <c r="O3649"/>
      <c r="R3649"/>
      <c r="S3649"/>
      <c r="T3649"/>
      <c r="U3649"/>
    </row>
    <row r="3650" spans="6:21" x14ac:dyDescent="0.25">
      <c r="F3650"/>
      <c r="O3650"/>
      <c r="R3650"/>
      <c r="S3650"/>
      <c r="T3650"/>
      <c r="U3650"/>
    </row>
    <row r="3651" spans="6:21" x14ac:dyDescent="0.25">
      <c r="F3651"/>
      <c r="O3651"/>
      <c r="R3651"/>
      <c r="S3651"/>
      <c r="T3651"/>
      <c r="U3651"/>
    </row>
    <row r="3652" spans="6:21" x14ac:dyDescent="0.25">
      <c r="F3652"/>
      <c r="O3652"/>
      <c r="R3652"/>
      <c r="S3652"/>
      <c r="T3652"/>
      <c r="U3652"/>
    </row>
    <row r="3653" spans="6:21" x14ac:dyDescent="0.25">
      <c r="F3653"/>
      <c r="O3653"/>
      <c r="R3653"/>
      <c r="S3653"/>
      <c r="T3653"/>
      <c r="U3653"/>
    </row>
    <row r="3654" spans="6:21" x14ac:dyDescent="0.25">
      <c r="F3654"/>
      <c r="O3654"/>
      <c r="R3654"/>
      <c r="S3654"/>
      <c r="T3654"/>
      <c r="U3654"/>
    </row>
    <row r="3655" spans="6:21" x14ac:dyDescent="0.25">
      <c r="F3655"/>
      <c r="O3655"/>
      <c r="R3655"/>
      <c r="S3655"/>
      <c r="T3655"/>
      <c r="U3655"/>
    </row>
    <row r="3656" spans="6:21" x14ac:dyDescent="0.25">
      <c r="F3656"/>
      <c r="O3656"/>
      <c r="R3656"/>
      <c r="S3656"/>
      <c r="T3656"/>
      <c r="U3656"/>
    </row>
    <row r="3657" spans="6:21" x14ac:dyDescent="0.25">
      <c r="F3657"/>
      <c r="O3657"/>
      <c r="R3657"/>
      <c r="S3657"/>
      <c r="T3657"/>
      <c r="U3657"/>
    </row>
    <row r="3658" spans="6:21" x14ac:dyDescent="0.25">
      <c r="F3658"/>
      <c r="O3658"/>
      <c r="R3658"/>
      <c r="S3658"/>
      <c r="T3658"/>
      <c r="U3658"/>
    </row>
    <row r="3659" spans="6:21" x14ac:dyDescent="0.25">
      <c r="F3659"/>
      <c r="O3659"/>
      <c r="R3659"/>
      <c r="S3659"/>
      <c r="T3659"/>
      <c r="U3659"/>
    </row>
    <row r="3660" spans="6:21" x14ac:dyDescent="0.25">
      <c r="F3660"/>
      <c r="O3660"/>
      <c r="R3660"/>
      <c r="S3660"/>
      <c r="T3660"/>
      <c r="U3660"/>
    </row>
    <row r="3661" spans="6:21" x14ac:dyDescent="0.25">
      <c r="F3661"/>
      <c r="O3661"/>
      <c r="R3661"/>
      <c r="S3661"/>
      <c r="T3661"/>
      <c r="U3661"/>
    </row>
    <row r="3662" spans="6:21" x14ac:dyDescent="0.25">
      <c r="F3662"/>
      <c r="O3662"/>
      <c r="R3662"/>
      <c r="S3662"/>
      <c r="T3662"/>
      <c r="U3662"/>
    </row>
    <row r="3663" spans="6:21" x14ac:dyDescent="0.25">
      <c r="F3663"/>
      <c r="O3663"/>
      <c r="R3663"/>
      <c r="S3663"/>
      <c r="T3663"/>
      <c r="U3663"/>
    </row>
    <row r="3664" spans="6:21" x14ac:dyDescent="0.25">
      <c r="F3664"/>
      <c r="O3664"/>
      <c r="R3664"/>
      <c r="S3664"/>
      <c r="T3664"/>
      <c r="U3664"/>
    </row>
    <row r="3665" spans="6:21" x14ac:dyDescent="0.25">
      <c r="F3665"/>
      <c r="O3665"/>
      <c r="R3665"/>
      <c r="S3665"/>
      <c r="T3665"/>
      <c r="U3665"/>
    </row>
    <row r="3666" spans="6:21" x14ac:dyDescent="0.25">
      <c r="F3666"/>
      <c r="O3666"/>
      <c r="R3666"/>
      <c r="S3666"/>
      <c r="T3666"/>
      <c r="U3666"/>
    </row>
    <row r="3667" spans="6:21" x14ac:dyDescent="0.25">
      <c r="F3667"/>
      <c r="O3667"/>
      <c r="R3667"/>
      <c r="S3667"/>
      <c r="T3667"/>
      <c r="U3667"/>
    </row>
    <row r="3668" spans="6:21" x14ac:dyDescent="0.25">
      <c r="F3668"/>
      <c r="O3668"/>
      <c r="R3668"/>
      <c r="S3668"/>
      <c r="T3668"/>
      <c r="U3668"/>
    </row>
    <row r="3669" spans="6:21" x14ac:dyDescent="0.25">
      <c r="F3669"/>
      <c r="O3669"/>
      <c r="R3669"/>
      <c r="S3669"/>
      <c r="T3669"/>
      <c r="U3669"/>
    </row>
    <row r="3670" spans="6:21" x14ac:dyDescent="0.25">
      <c r="F3670"/>
      <c r="O3670"/>
      <c r="R3670"/>
      <c r="S3670"/>
      <c r="T3670"/>
      <c r="U3670"/>
    </row>
    <row r="3671" spans="6:21" x14ac:dyDescent="0.25">
      <c r="F3671"/>
      <c r="O3671"/>
      <c r="R3671"/>
      <c r="S3671"/>
      <c r="T3671"/>
      <c r="U3671"/>
    </row>
    <row r="3672" spans="6:21" x14ac:dyDescent="0.25">
      <c r="F3672"/>
      <c r="O3672"/>
      <c r="R3672"/>
      <c r="S3672"/>
      <c r="T3672"/>
      <c r="U3672"/>
    </row>
    <row r="3673" spans="6:21" x14ac:dyDescent="0.25">
      <c r="F3673"/>
      <c r="O3673"/>
      <c r="R3673"/>
      <c r="S3673"/>
      <c r="T3673"/>
      <c r="U3673"/>
    </row>
    <row r="3674" spans="6:21" x14ac:dyDescent="0.25">
      <c r="F3674"/>
      <c r="O3674"/>
      <c r="R3674"/>
      <c r="S3674"/>
      <c r="T3674"/>
      <c r="U3674"/>
    </row>
    <row r="3675" spans="6:21" x14ac:dyDescent="0.25">
      <c r="F3675"/>
      <c r="O3675"/>
      <c r="R3675"/>
      <c r="S3675"/>
      <c r="T3675"/>
      <c r="U3675"/>
    </row>
    <row r="3676" spans="6:21" x14ac:dyDescent="0.25">
      <c r="F3676"/>
      <c r="O3676"/>
      <c r="R3676"/>
      <c r="S3676"/>
      <c r="T3676"/>
      <c r="U3676"/>
    </row>
    <row r="3677" spans="6:21" x14ac:dyDescent="0.25">
      <c r="F3677"/>
      <c r="O3677"/>
      <c r="R3677"/>
      <c r="S3677"/>
      <c r="T3677"/>
      <c r="U3677"/>
    </row>
    <row r="3678" spans="6:21" x14ac:dyDescent="0.25">
      <c r="F3678"/>
      <c r="O3678"/>
      <c r="R3678"/>
      <c r="S3678"/>
      <c r="T3678"/>
      <c r="U3678"/>
    </row>
    <row r="3679" spans="6:21" x14ac:dyDescent="0.25">
      <c r="F3679"/>
      <c r="O3679"/>
      <c r="R3679"/>
      <c r="S3679"/>
      <c r="T3679"/>
      <c r="U3679"/>
    </row>
    <row r="3680" spans="6:21" x14ac:dyDescent="0.25">
      <c r="F3680"/>
      <c r="O3680"/>
      <c r="R3680"/>
      <c r="S3680"/>
      <c r="T3680"/>
      <c r="U3680"/>
    </row>
    <row r="3681" spans="6:21" x14ac:dyDescent="0.25">
      <c r="F3681"/>
      <c r="O3681"/>
      <c r="R3681"/>
      <c r="S3681"/>
      <c r="T3681"/>
      <c r="U3681"/>
    </row>
    <row r="3682" spans="6:21" x14ac:dyDescent="0.25">
      <c r="F3682"/>
      <c r="O3682"/>
      <c r="R3682"/>
      <c r="S3682"/>
      <c r="T3682"/>
      <c r="U3682"/>
    </row>
    <row r="3683" spans="6:21" x14ac:dyDescent="0.25">
      <c r="F3683"/>
      <c r="O3683"/>
      <c r="R3683"/>
      <c r="S3683"/>
      <c r="T3683"/>
      <c r="U3683"/>
    </row>
    <row r="3684" spans="6:21" x14ac:dyDescent="0.25">
      <c r="F3684"/>
      <c r="O3684"/>
      <c r="R3684"/>
      <c r="S3684"/>
      <c r="T3684"/>
      <c r="U3684"/>
    </row>
    <row r="3685" spans="6:21" x14ac:dyDescent="0.25">
      <c r="F3685"/>
      <c r="O3685"/>
      <c r="R3685"/>
      <c r="S3685"/>
      <c r="T3685"/>
      <c r="U3685"/>
    </row>
    <row r="3686" spans="6:21" x14ac:dyDescent="0.25">
      <c r="F3686"/>
      <c r="O3686"/>
      <c r="R3686"/>
      <c r="S3686"/>
      <c r="T3686"/>
      <c r="U3686"/>
    </row>
    <row r="3687" spans="6:21" x14ac:dyDescent="0.25">
      <c r="F3687"/>
      <c r="O3687"/>
      <c r="R3687"/>
      <c r="S3687"/>
      <c r="T3687"/>
      <c r="U3687"/>
    </row>
    <row r="3688" spans="6:21" x14ac:dyDescent="0.25">
      <c r="F3688"/>
      <c r="O3688"/>
      <c r="R3688"/>
      <c r="S3688"/>
      <c r="T3688"/>
      <c r="U3688"/>
    </row>
    <row r="3689" spans="6:21" x14ac:dyDescent="0.25">
      <c r="F3689"/>
      <c r="O3689"/>
      <c r="R3689"/>
      <c r="S3689"/>
      <c r="T3689"/>
      <c r="U3689"/>
    </row>
    <row r="3690" spans="6:21" x14ac:dyDescent="0.25">
      <c r="F3690"/>
      <c r="O3690"/>
      <c r="R3690"/>
      <c r="S3690"/>
      <c r="T3690"/>
      <c r="U3690"/>
    </row>
    <row r="3691" spans="6:21" x14ac:dyDescent="0.25">
      <c r="F3691"/>
      <c r="O3691"/>
      <c r="R3691"/>
      <c r="S3691"/>
      <c r="T3691"/>
      <c r="U3691"/>
    </row>
    <row r="3692" spans="6:21" x14ac:dyDescent="0.25">
      <c r="F3692"/>
      <c r="O3692"/>
      <c r="R3692"/>
      <c r="S3692"/>
      <c r="T3692"/>
      <c r="U3692"/>
    </row>
    <row r="3693" spans="6:21" x14ac:dyDescent="0.25">
      <c r="F3693"/>
      <c r="O3693"/>
      <c r="R3693"/>
      <c r="S3693"/>
      <c r="T3693"/>
      <c r="U3693"/>
    </row>
    <row r="3694" spans="6:21" x14ac:dyDescent="0.25">
      <c r="F3694"/>
      <c r="O3694"/>
      <c r="R3694"/>
      <c r="S3694"/>
      <c r="T3694"/>
      <c r="U3694"/>
    </row>
    <row r="3695" spans="6:21" x14ac:dyDescent="0.25">
      <c r="F3695"/>
      <c r="O3695"/>
      <c r="R3695"/>
      <c r="S3695"/>
      <c r="T3695"/>
      <c r="U3695"/>
    </row>
    <row r="3696" spans="6:21" x14ac:dyDescent="0.25">
      <c r="F3696"/>
      <c r="O3696"/>
      <c r="R3696"/>
      <c r="S3696"/>
      <c r="T3696"/>
      <c r="U3696"/>
    </row>
    <row r="3697" spans="6:21" x14ac:dyDescent="0.25">
      <c r="F3697"/>
      <c r="O3697"/>
      <c r="R3697"/>
      <c r="S3697"/>
      <c r="T3697"/>
      <c r="U3697"/>
    </row>
    <row r="3698" spans="6:21" x14ac:dyDescent="0.25">
      <c r="F3698"/>
      <c r="O3698"/>
      <c r="R3698"/>
      <c r="S3698"/>
      <c r="T3698"/>
      <c r="U3698"/>
    </row>
    <row r="3699" spans="6:21" x14ac:dyDescent="0.25">
      <c r="F3699"/>
      <c r="O3699"/>
      <c r="R3699"/>
      <c r="S3699"/>
      <c r="T3699"/>
      <c r="U3699"/>
    </row>
    <row r="3700" spans="6:21" x14ac:dyDescent="0.25">
      <c r="F3700"/>
      <c r="O3700"/>
      <c r="R3700"/>
      <c r="S3700"/>
      <c r="T3700"/>
      <c r="U3700"/>
    </row>
    <row r="3701" spans="6:21" x14ac:dyDescent="0.25">
      <c r="F3701"/>
      <c r="O3701"/>
      <c r="R3701"/>
      <c r="S3701"/>
      <c r="T3701"/>
      <c r="U3701"/>
    </row>
    <row r="3702" spans="6:21" x14ac:dyDescent="0.25">
      <c r="F3702"/>
      <c r="O3702"/>
      <c r="R3702"/>
      <c r="S3702"/>
      <c r="T3702"/>
      <c r="U3702"/>
    </row>
    <row r="3703" spans="6:21" x14ac:dyDescent="0.25">
      <c r="F3703"/>
      <c r="O3703"/>
      <c r="R3703"/>
      <c r="S3703"/>
      <c r="T3703"/>
      <c r="U3703"/>
    </row>
    <row r="3704" spans="6:21" x14ac:dyDescent="0.25">
      <c r="F3704"/>
      <c r="O3704"/>
      <c r="R3704"/>
      <c r="S3704"/>
      <c r="T3704"/>
      <c r="U3704"/>
    </row>
    <row r="3705" spans="6:21" x14ac:dyDescent="0.25">
      <c r="F3705"/>
      <c r="O3705"/>
      <c r="R3705"/>
      <c r="S3705"/>
      <c r="T3705"/>
      <c r="U3705"/>
    </row>
    <row r="3706" spans="6:21" x14ac:dyDescent="0.25">
      <c r="F3706"/>
      <c r="O3706"/>
      <c r="R3706"/>
      <c r="S3706"/>
      <c r="T3706"/>
      <c r="U3706"/>
    </row>
    <row r="3707" spans="6:21" x14ac:dyDescent="0.25">
      <c r="F3707"/>
      <c r="O3707"/>
      <c r="R3707"/>
      <c r="S3707"/>
      <c r="T3707"/>
      <c r="U3707"/>
    </row>
    <row r="3708" spans="6:21" x14ac:dyDescent="0.25">
      <c r="F3708"/>
      <c r="O3708"/>
      <c r="R3708"/>
      <c r="S3708"/>
      <c r="T3708"/>
      <c r="U3708"/>
    </row>
    <row r="3709" spans="6:21" x14ac:dyDescent="0.25">
      <c r="F3709"/>
      <c r="O3709"/>
      <c r="R3709"/>
      <c r="S3709"/>
      <c r="T3709"/>
      <c r="U3709"/>
    </row>
    <row r="3710" spans="6:21" x14ac:dyDescent="0.25">
      <c r="F3710"/>
      <c r="O3710"/>
      <c r="R3710"/>
      <c r="S3710"/>
      <c r="T3710"/>
      <c r="U3710"/>
    </row>
    <row r="3711" spans="6:21" x14ac:dyDescent="0.25">
      <c r="F3711"/>
      <c r="O3711"/>
      <c r="R3711"/>
      <c r="S3711"/>
      <c r="T3711"/>
      <c r="U3711"/>
    </row>
    <row r="3712" spans="6:21" x14ac:dyDescent="0.25">
      <c r="F3712"/>
      <c r="O3712"/>
      <c r="R3712"/>
      <c r="S3712"/>
      <c r="T3712"/>
      <c r="U3712"/>
    </row>
    <row r="3713" spans="6:21" x14ac:dyDescent="0.25">
      <c r="F3713"/>
      <c r="O3713"/>
      <c r="R3713"/>
      <c r="S3713"/>
      <c r="T3713"/>
      <c r="U3713"/>
    </row>
    <row r="3714" spans="6:21" x14ac:dyDescent="0.25">
      <c r="F3714"/>
      <c r="O3714"/>
      <c r="R3714"/>
      <c r="S3714"/>
      <c r="T3714"/>
      <c r="U3714"/>
    </row>
    <row r="3715" spans="6:21" x14ac:dyDescent="0.25">
      <c r="F3715"/>
      <c r="O3715"/>
      <c r="R3715"/>
      <c r="S3715"/>
      <c r="T3715"/>
      <c r="U3715"/>
    </row>
    <row r="3716" spans="6:21" x14ac:dyDescent="0.25">
      <c r="F3716"/>
      <c r="O3716"/>
      <c r="R3716"/>
      <c r="S3716"/>
      <c r="T3716"/>
      <c r="U3716"/>
    </row>
    <row r="3717" spans="6:21" x14ac:dyDescent="0.25">
      <c r="F3717"/>
      <c r="O3717"/>
      <c r="R3717"/>
      <c r="S3717"/>
      <c r="T3717"/>
      <c r="U3717"/>
    </row>
    <row r="3718" spans="6:21" x14ac:dyDescent="0.25">
      <c r="F3718"/>
      <c r="O3718"/>
      <c r="R3718"/>
      <c r="S3718"/>
      <c r="T3718"/>
      <c r="U3718"/>
    </row>
    <row r="3719" spans="6:21" x14ac:dyDescent="0.25">
      <c r="F3719"/>
      <c r="O3719"/>
      <c r="R3719"/>
      <c r="S3719"/>
      <c r="T3719"/>
      <c r="U3719"/>
    </row>
    <row r="3720" spans="6:21" x14ac:dyDescent="0.25">
      <c r="F3720"/>
      <c r="O3720"/>
      <c r="R3720"/>
      <c r="S3720"/>
      <c r="T3720"/>
      <c r="U3720"/>
    </row>
    <row r="3721" spans="6:21" x14ac:dyDescent="0.25">
      <c r="F3721"/>
      <c r="O3721"/>
      <c r="R3721"/>
      <c r="S3721"/>
      <c r="T3721"/>
      <c r="U3721"/>
    </row>
    <row r="3722" spans="6:21" x14ac:dyDescent="0.25">
      <c r="F3722"/>
      <c r="O3722"/>
      <c r="R3722"/>
      <c r="S3722"/>
      <c r="T3722"/>
      <c r="U3722"/>
    </row>
    <row r="3723" spans="6:21" x14ac:dyDescent="0.25">
      <c r="F3723"/>
      <c r="O3723"/>
      <c r="R3723"/>
      <c r="S3723"/>
      <c r="T3723"/>
      <c r="U3723"/>
    </row>
    <row r="3724" spans="6:21" x14ac:dyDescent="0.25">
      <c r="F3724"/>
      <c r="O3724"/>
      <c r="R3724"/>
      <c r="S3724"/>
      <c r="T3724"/>
      <c r="U3724"/>
    </row>
    <row r="3725" spans="6:21" x14ac:dyDescent="0.25">
      <c r="F3725"/>
      <c r="O3725"/>
      <c r="R3725"/>
      <c r="S3725"/>
      <c r="T3725"/>
      <c r="U3725"/>
    </row>
    <row r="3726" spans="6:21" x14ac:dyDescent="0.25">
      <c r="F3726"/>
      <c r="O3726"/>
      <c r="R3726"/>
      <c r="S3726"/>
      <c r="T3726"/>
      <c r="U3726"/>
    </row>
    <row r="3727" spans="6:21" x14ac:dyDescent="0.25">
      <c r="F3727"/>
      <c r="O3727"/>
      <c r="R3727"/>
      <c r="S3727"/>
      <c r="T3727"/>
      <c r="U3727"/>
    </row>
    <row r="3728" spans="6:21" x14ac:dyDescent="0.25">
      <c r="F3728"/>
      <c r="O3728"/>
      <c r="R3728"/>
      <c r="S3728"/>
      <c r="T3728"/>
      <c r="U3728"/>
    </row>
    <row r="3729" spans="6:21" x14ac:dyDescent="0.25">
      <c r="F3729"/>
      <c r="O3729"/>
      <c r="R3729"/>
      <c r="S3729"/>
      <c r="T3729"/>
      <c r="U3729"/>
    </row>
    <row r="3730" spans="6:21" x14ac:dyDescent="0.25">
      <c r="F3730"/>
      <c r="O3730"/>
      <c r="R3730"/>
      <c r="S3730"/>
      <c r="T3730"/>
      <c r="U3730"/>
    </row>
    <row r="3731" spans="6:21" x14ac:dyDescent="0.25">
      <c r="F3731"/>
      <c r="O3731"/>
      <c r="R3731"/>
      <c r="S3731"/>
      <c r="T3731"/>
      <c r="U3731"/>
    </row>
    <row r="3732" spans="6:21" x14ac:dyDescent="0.25">
      <c r="F3732"/>
      <c r="O3732"/>
      <c r="R3732"/>
      <c r="S3732"/>
      <c r="T3732"/>
      <c r="U3732"/>
    </row>
    <row r="3733" spans="6:21" x14ac:dyDescent="0.25">
      <c r="F3733"/>
      <c r="O3733"/>
      <c r="R3733"/>
      <c r="S3733"/>
      <c r="T3733"/>
      <c r="U3733"/>
    </row>
    <row r="3734" spans="6:21" x14ac:dyDescent="0.25">
      <c r="F3734"/>
      <c r="O3734"/>
      <c r="R3734"/>
      <c r="S3734"/>
      <c r="T3734"/>
      <c r="U3734"/>
    </row>
    <row r="3735" spans="6:21" x14ac:dyDescent="0.25">
      <c r="F3735"/>
      <c r="O3735"/>
      <c r="R3735"/>
      <c r="S3735"/>
      <c r="T3735"/>
      <c r="U3735"/>
    </row>
    <row r="3736" spans="6:21" x14ac:dyDescent="0.25">
      <c r="F3736"/>
      <c r="O3736"/>
      <c r="R3736"/>
      <c r="S3736"/>
      <c r="T3736"/>
      <c r="U3736"/>
    </row>
    <row r="3737" spans="6:21" x14ac:dyDescent="0.25">
      <c r="F3737"/>
      <c r="O3737"/>
      <c r="R3737"/>
      <c r="S3737"/>
      <c r="T3737"/>
      <c r="U3737"/>
    </row>
    <row r="3738" spans="6:21" x14ac:dyDescent="0.25">
      <c r="F3738"/>
      <c r="O3738"/>
      <c r="R3738"/>
      <c r="S3738"/>
      <c r="T3738"/>
      <c r="U3738"/>
    </row>
    <row r="3739" spans="6:21" x14ac:dyDescent="0.25">
      <c r="F3739"/>
      <c r="O3739"/>
      <c r="R3739"/>
      <c r="S3739"/>
      <c r="T3739"/>
      <c r="U3739"/>
    </row>
    <row r="3740" spans="6:21" x14ac:dyDescent="0.25">
      <c r="F3740"/>
      <c r="O3740"/>
      <c r="R3740"/>
      <c r="S3740"/>
      <c r="T3740"/>
      <c r="U3740"/>
    </row>
    <row r="3741" spans="6:21" x14ac:dyDescent="0.25">
      <c r="F3741"/>
      <c r="O3741"/>
      <c r="R3741"/>
      <c r="S3741"/>
      <c r="T3741"/>
      <c r="U3741"/>
    </row>
    <row r="3742" spans="6:21" x14ac:dyDescent="0.25">
      <c r="F3742"/>
      <c r="O3742"/>
      <c r="R3742"/>
      <c r="S3742"/>
      <c r="T3742"/>
      <c r="U3742"/>
    </row>
    <row r="3743" spans="6:21" x14ac:dyDescent="0.25">
      <c r="F3743"/>
      <c r="O3743"/>
      <c r="R3743"/>
      <c r="S3743"/>
      <c r="T3743"/>
      <c r="U3743"/>
    </row>
    <row r="3744" spans="6:21" x14ac:dyDescent="0.25">
      <c r="F3744"/>
      <c r="O3744"/>
      <c r="R3744"/>
      <c r="S3744"/>
      <c r="T3744"/>
      <c r="U3744"/>
    </row>
    <row r="3745" spans="6:21" x14ac:dyDescent="0.25">
      <c r="F3745"/>
      <c r="O3745"/>
      <c r="R3745"/>
      <c r="S3745"/>
      <c r="T3745"/>
      <c r="U3745"/>
    </row>
    <row r="3746" spans="6:21" x14ac:dyDescent="0.25">
      <c r="F3746"/>
      <c r="O3746"/>
      <c r="R3746"/>
      <c r="S3746"/>
      <c r="T3746"/>
      <c r="U3746"/>
    </row>
    <row r="3747" spans="6:21" x14ac:dyDescent="0.25">
      <c r="F3747"/>
      <c r="O3747"/>
      <c r="R3747"/>
      <c r="S3747"/>
      <c r="T3747"/>
      <c r="U3747"/>
    </row>
    <row r="3748" spans="6:21" x14ac:dyDescent="0.25">
      <c r="F3748"/>
      <c r="O3748"/>
      <c r="R3748"/>
      <c r="S3748"/>
      <c r="T3748"/>
      <c r="U3748"/>
    </row>
    <row r="3749" spans="6:21" x14ac:dyDescent="0.25">
      <c r="F3749"/>
      <c r="O3749"/>
      <c r="R3749"/>
      <c r="S3749"/>
      <c r="T3749"/>
      <c r="U3749"/>
    </row>
    <row r="3750" spans="6:21" x14ac:dyDescent="0.25">
      <c r="F3750"/>
      <c r="O3750"/>
      <c r="R3750"/>
      <c r="S3750"/>
      <c r="T3750"/>
      <c r="U3750"/>
    </row>
    <row r="3751" spans="6:21" x14ac:dyDescent="0.25">
      <c r="F3751"/>
      <c r="O3751"/>
      <c r="R3751"/>
      <c r="S3751"/>
      <c r="T3751"/>
      <c r="U3751"/>
    </row>
    <row r="3752" spans="6:21" x14ac:dyDescent="0.25">
      <c r="F3752"/>
      <c r="O3752"/>
      <c r="R3752"/>
      <c r="S3752"/>
      <c r="T3752"/>
      <c r="U3752"/>
    </row>
    <row r="3753" spans="6:21" x14ac:dyDescent="0.25">
      <c r="F3753"/>
      <c r="O3753"/>
      <c r="R3753"/>
      <c r="S3753"/>
      <c r="T3753"/>
      <c r="U3753"/>
    </row>
    <row r="3754" spans="6:21" x14ac:dyDescent="0.25">
      <c r="F3754"/>
      <c r="O3754"/>
      <c r="R3754"/>
      <c r="S3754"/>
      <c r="T3754"/>
      <c r="U3754"/>
    </row>
    <row r="3755" spans="6:21" x14ac:dyDescent="0.25">
      <c r="F3755"/>
      <c r="O3755"/>
      <c r="R3755"/>
      <c r="S3755"/>
      <c r="T3755"/>
      <c r="U3755"/>
    </row>
    <row r="3756" spans="6:21" x14ac:dyDescent="0.25">
      <c r="F3756"/>
      <c r="O3756"/>
      <c r="R3756"/>
      <c r="S3756"/>
      <c r="T3756"/>
      <c r="U3756"/>
    </row>
    <row r="3757" spans="6:21" x14ac:dyDescent="0.25">
      <c r="F3757"/>
      <c r="O3757"/>
      <c r="R3757"/>
      <c r="S3757"/>
      <c r="T3757"/>
      <c r="U3757"/>
    </row>
    <row r="3758" spans="6:21" x14ac:dyDescent="0.25">
      <c r="F3758"/>
      <c r="O3758"/>
      <c r="R3758"/>
      <c r="S3758"/>
      <c r="T3758"/>
      <c r="U3758"/>
    </row>
    <row r="3759" spans="6:21" x14ac:dyDescent="0.25">
      <c r="F3759"/>
      <c r="O3759"/>
      <c r="R3759"/>
      <c r="S3759"/>
      <c r="T3759"/>
      <c r="U3759"/>
    </row>
    <row r="3760" spans="6:21" x14ac:dyDescent="0.25">
      <c r="F3760"/>
      <c r="O3760"/>
      <c r="R3760"/>
      <c r="S3760"/>
      <c r="T3760"/>
      <c r="U3760"/>
    </row>
    <row r="3761" spans="6:21" x14ac:dyDescent="0.25">
      <c r="F3761"/>
      <c r="O3761"/>
      <c r="R3761"/>
      <c r="S3761"/>
      <c r="T3761"/>
      <c r="U3761"/>
    </row>
    <row r="3762" spans="6:21" x14ac:dyDescent="0.25">
      <c r="F3762"/>
      <c r="O3762"/>
      <c r="R3762"/>
      <c r="S3762"/>
      <c r="T3762"/>
      <c r="U3762"/>
    </row>
    <row r="3763" spans="6:21" x14ac:dyDescent="0.25">
      <c r="F3763"/>
      <c r="O3763"/>
      <c r="R3763"/>
      <c r="S3763"/>
      <c r="T3763"/>
      <c r="U3763"/>
    </row>
    <row r="3764" spans="6:21" x14ac:dyDescent="0.25">
      <c r="F3764"/>
      <c r="O3764"/>
      <c r="R3764"/>
      <c r="S3764"/>
      <c r="T3764"/>
      <c r="U3764"/>
    </row>
    <row r="3765" spans="6:21" x14ac:dyDescent="0.25">
      <c r="F3765"/>
      <c r="O3765"/>
      <c r="R3765"/>
      <c r="S3765"/>
      <c r="T3765"/>
      <c r="U3765"/>
    </row>
    <row r="3766" spans="6:21" x14ac:dyDescent="0.25">
      <c r="F3766"/>
      <c r="O3766"/>
      <c r="R3766"/>
      <c r="S3766"/>
      <c r="T3766"/>
      <c r="U3766"/>
    </row>
    <row r="3767" spans="6:21" x14ac:dyDescent="0.25">
      <c r="F3767"/>
      <c r="O3767"/>
      <c r="R3767"/>
      <c r="S3767"/>
      <c r="T3767"/>
      <c r="U3767"/>
    </row>
    <row r="3768" spans="6:21" x14ac:dyDescent="0.25">
      <c r="F3768"/>
      <c r="O3768"/>
      <c r="R3768"/>
      <c r="S3768"/>
      <c r="T3768"/>
      <c r="U3768"/>
    </row>
    <row r="3769" spans="6:21" x14ac:dyDescent="0.25">
      <c r="F3769"/>
      <c r="O3769"/>
      <c r="R3769"/>
      <c r="S3769"/>
      <c r="T3769"/>
      <c r="U3769"/>
    </row>
    <row r="3770" spans="6:21" x14ac:dyDescent="0.25">
      <c r="F3770"/>
      <c r="O3770"/>
      <c r="R3770"/>
      <c r="S3770"/>
      <c r="T3770"/>
      <c r="U3770"/>
    </row>
    <row r="3771" spans="6:21" x14ac:dyDescent="0.25">
      <c r="F3771"/>
      <c r="O3771"/>
      <c r="R3771"/>
      <c r="S3771"/>
      <c r="T3771"/>
      <c r="U3771"/>
    </row>
    <row r="3772" spans="6:21" x14ac:dyDescent="0.25">
      <c r="F3772"/>
      <c r="O3772"/>
      <c r="R3772"/>
      <c r="S3772"/>
      <c r="T3772"/>
      <c r="U3772"/>
    </row>
    <row r="3773" spans="6:21" x14ac:dyDescent="0.25">
      <c r="F3773"/>
      <c r="O3773"/>
      <c r="R3773"/>
      <c r="S3773"/>
      <c r="T3773"/>
      <c r="U3773"/>
    </row>
    <row r="3774" spans="6:21" x14ac:dyDescent="0.25">
      <c r="F3774"/>
      <c r="O3774"/>
      <c r="R3774"/>
      <c r="S3774"/>
      <c r="T3774"/>
      <c r="U3774"/>
    </row>
    <row r="3775" spans="6:21" x14ac:dyDescent="0.25">
      <c r="F3775"/>
      <c r="O3775"/>
      <c r="R3775"/>
      <c r="S3775"/>
      <c r="T3775"/>
      <c r="U3775"/>
    </row>
    <row r="3776" spans="6:21" x14ac:dyDescent="0.25">
      <c r="F3776"/>
      <c r="O3776"/>
      <c r="R3776"/>
      <c r="S3776"/>
      <c r="T3776"/>
      <c r="U3776"/>
    </row>
    <row r="3777" spans="6:21" x14ac:dyDescent="0.25">
      <c r="F3777"/>
      <c r="O3777"/>
      <c r="R3777"/>
      <c r="S3777"/>
      <c r="T3777"/>
      <c r="U3777"/>
    </row>
    <row r="3778" spans="6:21" x14ac:dyDescent="0.25">
      <c r="F3778"/>
      <c r="O3778"/>
      <c r="R3778"/>
      <c r="S3778"/>
      <c r="T3778"/>
      <c r="U3778"/>
    </row>
    <row r="3779" spans="6:21" x14ac:dyDescent="0.25">
      <c r="F3779"/>
      <c r="O3779"/>
      <c r="R3779"/>
      <c r="S3779"/>
      <c r="T3779"/>
      <c r="U3779"/>
    </row>
    <row r="3780" spans="6:21" x14ac:dyDescent="0.25">
      <c r="F3780"/>
      <c r="O3780"/>
      <c r="R3780"/>
      <c r="S3780"/>
      <c r="T3780"/>
      <c r="U3780"/>
    </row>
    <row r="3781" spans="6:21" x14ac:dyDescent="0.25">
      <c r="F3781"/>
      <c r="O3781"/>
      <c r="R3781"/>
      <c r="S3781"/>
      <c r="T3781"/>
      <c r="U3781"/>
    </row>
    <row r="3782" spans="6:21" x14ac:dyDescent="0.25">
      <c r="F3782"/>
      <c r="O3782"/>
      <c r="R3782"/>
      <c r="S3782"/>
      <c r="T3782"/>
      <c r="U3782"/>
    </row>
    <row r="3783" spans="6:21" x14ac:dyDescent="0.25">
      <c r="F3783"/>
      <c r="O3783"/>
      <c r="R3783"/>
      <c r="S3783"/>
      <c r="T3783"/>
      <c r="U3783"/>
    </row>
    <row r="3784" spans="6:21" x14ac:dyDescent="0.25">
      <c r="F3784"/>
      <c r="O3784"/>
      <c r="R3784"/>
      <c r="S3784"/>
      <c r="T3784"/>
      <c r="U3784"/>
    </row>
    <row r="3785" spans="6:21" x14ac:dyDescent="0.25">
      <c r="F3785"/>
      <c r="O3785"/>
      <c r="R3785"/>
      <c r="S3785"/>
      <c r="T3785"/>
      <c r="U3785"/>
    </row>
    <row r="3786" spans="6:21" x14ac:dyDescent="0.25">
      <c r="F3786"/>
      <c r="O3786"/>
      <c r="R3786"/>
      <c r="S3786"/>
      <c r="T3786"/>
      <c r="U3786"/>
    </row>
    <row r="3787" spans="6:21" x14ac:dyDescent="0.25">
      <c r="F3787"/>
      <c r="O3787"/>
      <c r="R3787"/>
      <c r="S3787"/>
      <c r="T3787"/>
      <c r="U3787"/>
    </row>
    <row r="3788" spans="6:21" x14ac:dyDescent="0.25">
      <c r="F3788"/>
      <c r="O3788"/>
      <c r="R3788"/>
      <c r="S3788"/>
      <c r="T3788"/>
      <c r="U3788"/>
    </row>
    <row r="3789" spans="6:21" x14ac:dyDescent="0.25">
      <c r="F3789"/>
      <c r="O3789"/>
      <c r="R3789"/>
      <c r="S3789"/>
      <c r="T3789"/>
      <c r="U3789"/>
    </row>
    <row r="3790" spans="6:21" x14ac:dyDescent="0.25">
      <c r="F3790"/>
      <c r="O3790"/>
      <c r="R3790"/>
      <c r="S3790"/>
      <c r="T3790"/>
      <c r="U3790"/>
    </row>
    <row r="3791" spans="6:21" x14ac:dyDescent="0.25">
      <c r="F3791"/>
      <c r="O3791"/>
      <c r="R3791"/>
      <c r="S3791"/>
      <c r="T3791"/>
      <c r="U3791"/>
    </row>
    <row r="3792" spans="6:21" x14ac:dyDescent="0.25">
      <c r="F3792"/>
      <c r="O3792"/>
      <c r="R3792"/>
      <c r="S3792"/>
      <c r="T3792"/>
      <c r="U3792"/>
    </row>
    <row r="3793" spans="6:21" x14ac:dyDescent="0.25">
      <c r="F3793"/>
      <c r="O3793"/>
      <c r="R3793"/>
      <c r="S3793"/>
      <c r="T3793"/>
      <c r="U3793"/>
    </row>
    <row r="3794" spans="6:21" x14ac:dyDescent="0.25">
      <c r="F3794"/>
      <c r="O3794"/>
      <c r="R3794"/>
      <c r="S3794"/>
      <c r="T3794"/>
      <c r="U3794"/>
    </row>
    <row r="3795" spans="6:21" x14ac:dyDescent="0.25">
      <c r="F3795"/>
      <c r="O3795"/>
      <c r="R3795"/>
      <c r="S3795"/>
      <c r="T3795"/>
      <c r="U3795"/>
    </row>
    <row r="3796" spans="6:21" x14ac:dyDescent="0.25">
      <c r="F3796"/>
      <c r="O3796"/>
      <c r="R3796"/>
      <c r="S3796"/>
      <c r="T3796"/>
      <c r="U3796"/>
    </row>
    <row r="3797" spans="6:21" x14ac:dyDescent="0.25">
      <c r="F3797"/>
      <c r="O3797"/>
      <c r="R3797"/>
      <c r="S3797"/>
      <c r="T3797"/>
      <c r="U3797"/>
    </row>
    <row r="3798" spans="6:21" x14ac:dyDescent="0.25">
      <c r="F3798"/>
      <c r="O3798"/>
      <c r="R3798"/>
      <c r="S3798"/>
      <c r="T3798"/>
      <c r="U3798"/>
    </row>
    <row r="3799" spans="6:21" x14ac:dyDescent="0.25">
      <c r="F3799"/>
      <c r="O3799"/>
      <c r="R3799"/>
      <c r="S3799"/>
      <c r="T3799"/>
      <c r="U3799"/>
    </row>
    <row r="3800" spans="6:21" x14ac:dyDescent="0.25">
      <c r="F3800"/>
      <c r="O3800"/>
      <c r="R3800"/>
      <c r="S3800"/>
      <c r="T3800"/>
      <c r="U3800"/>
    </row>
    <row r="3801" spans="6:21" x14ac:dyDescent="0.25">
      <c r="F3801"/>
      <c r="O3801"/>
      <c r="R3801"/>
      <c r="S3801"/>
      <c r="T3801"/>
      <c r="U3801"/>
    </row>
    <row r="3802" spans="6:21" x14ac:dyDescent="0.25">
      <c r="F3802"/>
      <c r="O3802"/>
      <c r="R3802"/>
      <c r="S3802"/>
      <c r="T3802"/>
      <c r="U3802"/>
    </row>
    <row r="3803" spans="6:21" x14ac:dyDescent="0.25">
      <c r="F3803"/>
      <c r="O3803"/>
      <c r="R3803"/>
      <c r="S3803"/>
      <c r="T3803"/>
      <c r="U3803"/>
    </row>
    <row r="3804" spans="6:21" x14ac:dyDescent="0.25">
      <c r="F3804"/>
      <c r="O3804"/>
      <c r="R3804"/>
      <c r="S3804"/>
      <c r="T3804"/>
      <c r="U3804"/>
    </row>
    <row r="3805" spans="6:21" x14ac:dyDescent="0.25">
      <c r="F3805"/>
      <c r="O3805"/>
      <c r="R3805"/>
      <c r="S3805"/>
      <c r="T3805"/>
      <c r="U3805"/>
    </row>
    <row r="3806" spans="6:21" x14ac:dyDescent="0.25">
      <c r="F3806"/>
      <c r="O3806"/>
      <c r="R3806"/>
      <c r="S3806"/>
      <c r="T3806"/>
      <c r="U3806"/>
    </row>
    <row r="3807" spans="6:21" x14ac:dyDescent="0.25">
      <c r="F3807"/>
      <c r="O3807"/>
      <c r="R3807"/>
      <c r="S3807"/>
      <c r="T3807"/>
      <c r="U3807"/>
    </row>
    <row r="3808" spans="6:21" x14ac:dyDescent="0.25">
      <c r="F3808"/>
      <c r="O3808"/>
      <c r="R3808"/>
      <c r="S3808"/>
      <c r="T3808"/>
      <c r="U3808"/>
    </row>
    <row r="3809" spans="6:21" x14ac:dyDescent="0.25">
      <c r="F3809"/>
      <c r="O3809"/>
      <c r="R3809"/>
      <c r="S3809"/>
      <c r="T3809"/>
      <c r="U3809"/>
    </row>
    <row r="3810" spans="6:21" x14ac:dyDescent="0.25">
      <c r="F3810"/>
      <c r="O3810"/>
      <c r="R3810"/>
      <c r="S3810"/>
      <c r="T3810"/>
      <c r="U3810"/>
    </row>
    <row r="3811" spans="6:21" x14ac:dyDescent="0.25">
      <c r="F3811"/>
      <c r="O3811"/>
      <c r="R3811"/>
      <c r="S3811"/>
      <c r="T3811"/>
      <c r="U3811"/>
    </row>
    <row r="3812" spans="6:21" x14ac:dyDescent="0.25">
      <c r="F3812"/>
      <c r="O3812"/>
      <c r="R3812"/>
      <c r="S3812"/>
      <c r="T3812"/>
      <c r="U3812"/>
    </row>
    <row r="3813" spans="6:21" x14ac:dyDescent="0.25">
      <c r="F3813"/>
      <c r="O3813"/>
      <c r="R3813"/>
      <c r="S3813"/>
      <c r="T3813"/>
      <c r="U3813"/>
    </row>
    <row r="3814" spans="6:21" x14ac:dyDescent="0.25">
      <c r="F3814"/>
      <c r="O3814"/>
      <c r="R3814"/>
      <c r="S3814"/>
      <c r="T3814"/>
      <c r="U3814"/>
    </row>
    <row r="3815" spans="6:21" x14ac:dyDescent="0.25">
      <c r="F3815"/>
      <c r="O3815"/>
      <c r="R3815"/>
      <c r="S3815"/>
      <c r="T3815"/>
      <c r="U3815"/>
    </row>
    <row r="3816" spans="6:21" x14ac:dyDescent="0.25">
      <c r="F3816"/>
      <c r="O3816"/>
      <c r="R3816"/>
      <c r="S3816"/>
      <c r="T3816"/>
      <c r="U3816"/>
    </row>
    <row r="3817" spans="6:21" x14ac:dyDescent="0.25">
      <c r="F3817"/>
      <c r="O3817"/>
      <c r="R3817"/>
      <c r="S3817"/>
      <c r="T3817"/>
      <c r="U3817"/>
    </row>
    <row r="3818" spans="6:21" x14ac:dyDescent="0.25">
      <c r="F3818"/>
      <c r="O3818"/>
      <c r="R3818"/>
      <c r="S3818"/>
      <c r="T3818"/>
      <c r="U3818"/>
    </row>
    <row r="3819" spans="6:21" x14ac:dyDescent="0.25">
      <c r="F3819"/>
      <c r="O3819"/>
      <c r="R3819"/>
      <c r="S3819"/>
      <c r="T3819"/>
      <c r="U3819"/>
    </row>
    <row r="3820" spans="6:21" x14ac:dyDescent="0.25">
      <c r="F3820"/>
      <c r="O3820"/>
      <c r="R3820"/>
      <c r="S3820"/>
      <c r="T3820"/>
      <c r="U3820"/>
    </row>
    <row r="3821" spans="6:21" x14ac:dyDescent="0.25">
      <c r="F3821"/>
      <c r="O3821"/>
      <c r="R3821"/>
      <c r="S3821"/>
      <c r="T3821"/>
      <c r="U3821"/>
    </row>
    <row r="3822" spans="6:21" x14ac:dyDescent="0.25">
      <c r="F3822"/>
      <c r="O3822"/>
      <c r="R3822"/>
      <c r="S3822"/>
      <c r="T3822"/>
      <c r="U3822"/>
    </row>
    <row r="3823" spans="6:21" x14ac:dyDescent="0.25">
      <c r="F3823"/>
      <c r="O3823"/>
      <c r="R3823"/>
      <c r="S3823"/>
      <c r="T3823"/>
      <c r="U3823"/>
    </row>
    <row r="3824" spans="6:21" x14ac:dyDescent="0.25">
      <c r="F3824"/>
      <c r="O3824"/>
      <c r="R3824"/>
      <c r="S3824"/>
      <c r="T3824"/>
      <c r="U3824"/>
    </row>
    <row r="3825" spans="6:21" x14ac:dyDescent="0.25">
      <c r="F3825"/>
      <c r="O3825"/>
      <c r="R3825"/>
      <c r="S3825"/>
      <c r="T3825"/>
      <c r="U3825"/>
    </row>
    <row r="3826" spans="6:21" x14ac:dyDescent="0.25">
      <c r="F3826"/>
      <c r="O3826"/>
      <c r="R3826"/>
      <c r="S3826"/>
      <c r="T3826"/>
      <c r="U3826"/>
    </row>
    <row r="3827" spans="6:21" x14ac:dyDescent="0.25">
      <c r="F3827"/>
      <c r="O3827"/>
      <c r="R3827"/>
      <c r="S3827"/>
      <c r="T3827"/>
      <c r="U3827"/>
    </row>
    <row r="3828" spans="6:21" x14ac:dyDescent="0.25">
      <c r="F3828"/>
      <c r="O3828"/>
      <c r="R3828"/>
      <c r="S3828"/>
      <c r="T3828"/>
      <c r="U3828"/>
    </row>
    <row r="3829" spans="6:21" x14ac:dyDescent="0.25">
      <c r="F3829"/>
      <c r="O3829"/>
      <c r="R3829"/>
      <c r="S3829"/>
      <c r="T3829"/>
      <c r="U3829"/>
    </row>
    <row r="3830" spans="6:21" x14ac:dyDescent="0.25">
      <c r="F3830"/>
      <c r="O3830"/>
      <c r="R3830"/>
      <c r="S3830"/>
      <c r="T3830"/>
      <c r="U3830"/>
    </row>
    <row r="3831" spans="6:21" x14ac:dyDescent="0.25">
      <c r="F3831"/>
      <c r="O3831"/>
      <c r="R3831"/>
      <c r="S3831"/>
      <c r="T3831"/>
      <c r="U3831"/>
    </row>
    <row r="3832" spans="6:21" x14ac:dyDescent="0.25">
      <c r="F3832"/>
      <c r="O3832"/>
      <c r="R3832"/>
      <c r="S3832"/>
      <c r="T3832"/>
      <c r="U3832"/>
    </row>
    <row r="3833" spans="6:21" x14ac:dyDescent="0.25">
      <c r="F3833"/>
      <c r="O3833"/>
      <c r="R3833"/>
      <c r="S3833"/>
      <c r="T3833"/>
      <c r="U3833"/>
    </row>
    <row r="3834" spans="6:21" x14ac:dyDescent="0.25">
      <c r="F3834"/>
      <c r="O3834"/>
      <c r="R3834"/>
      <c r="S3834"/>
      <c r="T3834"/>
      <c r="U3834"/>
    </row>
    <row r="3835" spans="6:21" x14ac:dyDescent="0.25">
      <c r="F3835"/>
      <c r="O3835"/>
      <c r="R3835"/>
      <c r="S3835"/>
      <c r="T3835"/>
      <c r="U3835"/>
    </row>
    <row r="3836" spans="6:21" x14ac:dyDescent="0.25">
      <c r="F3836"/>
      <c r="O3836"/>
      <c r="R3836"/>
      <c r="S3836"/>
      <c r="T3836"/>
      <c r="U3836"/>
    </row>
    <row r="3837" spans="6:21" x14ac:dyDescent="0.25">
      <c r="F3837"/>
      <c r="O3837"/>
      <c r="R3837"/>
      <c r="S3837"/>
      <c r="T3837"/>
      <c r="U3837"/>
    </row>
    <row r="3838" spans="6:21" x14ac:dyDescent="0.25">
      <c r="F3838"/>
      <c r="O3838"/>
      <c r="R3838"/>
      <c r="S3838"/>
      <c r="T3838"/>
      <c r="U3838"/>
    </row>
    <row r="3839" spans="6:21" x14ac:dyDescent="0.25">
      <c r="F3839"/>
      <c r="O3839"/>
      <c r="R3839"/>
      <c r="S3839"/>
      <c r="T3839"/>
      <c r="U3839"/>
    </row>
    <row r="3840" spans="6:21" x14ac:dyDescent="0.25">
      <c r="F3840"/>
      <c r="O3840"/>
      <c r="R3840"/>
      <c r="S3840"/>
      <c r="T3840"/>
      <c r="U3840"/>
    </row>
    <row r="3841" spans="6:21" x14ac:dyDescent="0.25">
      <c r="F3841"/>
      <c r="O3841"/>
      <c r="R3841"/>
      <c r="S3841"/>
      <c r="T3841"/>
      <c r="U3841"/>
    </row>
    <row r="3842" spans="6:21" x14ac:dyDescent="0.25">
      <c r="F3842"/>
      <c r="O3842"/>
      <c r="R3842"/>
      <c r="S3842"/>
      <c r="T3842"/>
      <c r="U3842"/>
    </row>
    <row r="3843" spans="6:21" x14ac:dyDescent="0.25">
      <c r="F3843"/>
      <c r="O3843"/>
      <c r="R3843"/>
      <c r="S3843"/>
      <c r="T3843"/>
      <c r="U3843"/>
    </row>
    <row r="3844" spans="6:21" x14ac:dyDescent="0.25">
      <c r="F3844"/>
      <c r="O3844"/>
      <c r="R3844"/>
      <c r="S3844"/>
      <c r="T3844"/>
      <c r="U3844"/>
    </row>
    <row r="3845" spans="6:21" x14ac:dyDescent="0.25">
      <c r="F3845"/>
      <c r="O3845"/>
      <c r="R3845"/>
      <c r="S3845"/>
      <c r="T3845"/>
      <c r="U3845"/>
    </row>
    <row r="3846" spans="6:21" x14ac:dyDescent="0.25">
      <c r="F3846"/>
      <c r="O3846"/>
      <c r="R3846"/>
      <c r="S3846"/>
      <c r="T3846"/>
      <c r="U3846"/>
    </row>
    <row r="3847" spans="6:21" x14ac:dyDescent="0.25">
      <c r="F3847"/>
      <c r="O3847"/>
      <c r="R3847"/>
      <c r="S3847"/>
      <c r="T3847"/>
      <c r="U3847"/>
    </row>
    <row r="3848" spans="6:21" x14ac:dyDescent="0.25">
      <c r="F3848"/>
      <c r="O3848"/>
      <c r="R3848"/>
      <c r="S3848"/>
      <c r="T3848"/>
      <c r="U3848"/>
    </row>
    <row r="3849" spans="6:21" x14ac:dyDescent="0.25">
      <c r="F3849"/>
      <c r="O3849"/>
      <c r="R3849"/>
      <c r="S3849"/>
      <c r="T3849"/>
      <c r="U3849"/>
    </row>
    <row r="3850" spans="6:21" x14ac:dyDescent="0.25">
      <c r="F3850"/>
      <c r="O3850"/>
      <c r="R3850"/>
      <c r="S3850"/>
      <c r="T3850"/>
      <c r="U3850"/>
    </row>
    <row r="3851" spans="6:21" x14ac:dyDescent="0.25">
      <c r="F3851"/>
      <c r="O3851"/>
      <c r="R3851"/>
      <c r="S3851"/>
      <c r="T3851"/>
      <c r="U3851"/>
    </row>
    <row r="3852" spans="6:21" x14ac:dyDescent="0.25">
      <c r="F3852"/>
      <c r="O3852"/>
      <c r="R3852"/>
      <c r="S3852"/>
      <c r="T3852"/>
      <c r="U3852"/>
    </row>
    <row r="3853" spans="6:21" x14ac:dyDescent="0.25">
      <c r="F3853"/>
      <c r="O3853"/>
      <c r="R3853"/>
      <c r="S3853"/>
      <c r="T3853"/>
      <c r="U3853"/>
    </row>
    <row r="3854" spans="6:21" x14ac:dyDescent="0.25">
      <c r="F3854"/>
      <c r="O3854"/>
      <c r="R3854"/>
      <c r="S3854"/>
      <c r="T3854"/>
      <c r="U3854"/>
    </row>
    <row r="3855" spans="6:21" x14ac:dyDescent="0.25">
      <c r="F3855"/>
      <c r="O3855"/>
      <c r="R3855"/>
      <c r="S3855"/>
      <c r="T3855"/>
      <c r="U3855"/>
    </row>
    <row r="3856" spans="6:21" x14ac:dyDescent="0.25">
      <c r="F3856"/>
      <c r="O3856"/>
      <c r="R3856"/>
      <c r="S3856"/>
      <c r="T3856"/>
      <c r="U3856"/>
    </row>
    <row r="3857" spans="6:21" x14ac:dyDescent="0.25">
      <c r="F3857"/>
      <c r="O3857"/>
      <c r="R3857"/>
      <c r="S3857"/>
      <c r="T3857"/>
      <c r="U3857"/>
    </row>
    <row r="3858" spans="6:21" x14ac:dyDescent="0.25">
      <c r="F3858"/>
      <c r="O3858"/>
      <c r="R3858"/>
      <c r="S3858"/>
      <c r="T3858"/>
      <c r="U3858"/>
    </row>
    <row r="3859" spans="6:21" x14ac:dyDescent="0.25">
      <c r="F3859"/>
      <c r="O3859"/>
      <c r="R3859"/>
      <c r="S3859"/>
      <c r="T3859"/>
      <c r="U3859"/>
    </row>
    <row r="3860" spans="6:21" x14ac:dyDescent="0.25">
      <c r="F3860"/>
      <c r="O3860"/>
      <c r="R3860"/>
      <c r="S3860"/>
      <c r="T3860"/>
      <c r="U3860"/>
    </row>
    <row r="3861" spans="6:21" x14ac:dyDescent="0.25">
      <c r="F3861"/>
      <c r="O3861"/>
      <c r="R3861"/>
      <c r="S3861"/>
      <c r="T3861"/>
      <c r="U3861"/>
    </row>
    <row r="3862" spans="6:21" x14ac:dyDescent="0.25">
      <c r="F3862"/>
      <c r="O3862"/>
      <c r="R3862"/>
      <c r="S3862"/>
      <c r="T3862"/>
      <c r="U3862"/>
    </row>
    <row r="3863" spans="6:21" x14ac:dyDescent="0.25">
      <c r="F3863"/>
      <c r="O3863"/>
      <c r="R3863"/>
      <c r="S3863"/>
      <c r="T3863"/>
      <c r="U3863"/>
    </row>
    <row r="3864" spans="6:21" x14ac:dyDescent="0.25">
      <c r="F3864"/>
      <c r="O3864"/>
      <c r="R3864"/>
      <c r="S3864"/>
      <c r="T3864"/>
      <c r="U3864"/>
    </row>
    <row r="3865" spans="6:21" x14ac:dyDescent="0.25">
      <c r="F3865"/>
      <c r="O3865"/>
      <c r="R3865"/>
      <c r="S3865"/>
      <c r="T3865"/>
      <c r="U3865"/>
    </row>
    <row r="3866" spans="6:21" x14ac:dyDescent="0.25">
      <c r="F3866"/>
      <c r="O3866"/>
      <c r="R3866"/>
      <c r="S3866"/>
      <c r="T3866"/>
      <c r="U3866"/>
    </row>
    <row r="3867" spans="6:21" x14ac:dyDescent="0.25">
      <c r="F3867"/>
      <c r="O3867"/>
      <c r="R3867"/>
      <c r="S3867"/>
      <c r="T3867"/>
      <c r="U3867"/>
    </row>
    <row r="3868" spans="6:21" x14ac:dyDescent="0.25">
      <c r="F3868"/>
      <c r="O3868"/>
      <c r="R3868"/>
      <c r="S3868"/>
      <c r="T3868"/>
      <c r="U3868"/>
    </row>
    <row r="3869" spans="6:21" x14ac:dyDescent="0.25">
      <c r="F3869"/>
      <c r="O3869"/>
      <c r="R3869"/>
      <c r="S3869"/>
      <c r="T3869"/>
      <c r="U3869"/>
    </row>
    <row r="3870" spans="6:21" x14ac:dyDescent="0.25">
      <c r="F3870"/>
      <c r="O3870"/>
      <c r="R3870"/>
      <c r="S3870"/>
      <c r="T3870"/>
      <c r="U3870"/>
    </row>
    <row r="3871" spans="6:21" x14ac:dyDescent="0.25">
      <c r="F3871"/>
      <c r="O3871"/>
      <c r="R3871"/>
      <c r="S3871"/>
      <c r="T3871"/>
      <c r="U3871"/>
    </row>
    <row r="3872" spans="6:21" x14ac:dyDescent="0.25">
      <c r="F3872"/>
      <c r="O3872"/>
      <c r="R3872"/>
      <c r="S3872"/>
      <c r="T3872"/>
      <c r="U3872"/>
    </row>
    <row r="3873" spans="6:21" x14ac:dyDescent="0.25">
      <c r="F3873"/>
      <c r="O3873"/>
      <c r="R3873"/>
      <c r="S3873"/>
      <c r="T3873"/>
      <c r="U3873"/>
    </row>
    <row r="3874" spans="6:21" x14ac:dyDescent="0.25">
      <c r="F3874"/>
      <c r="O3874"/>
      <c r="R3874"/>
      <c r="S3874"/>
      <c r="T3874"/>
      <c r="U3874"/>
    </row>
    <row r="3875" spans="6:21" x14ac:dyDescent="0.25">
      <c r="F3875"/>
      <c r="O3875"/>
      <c r="R3875"/>
      <c r="S3875"/>
      <c r="T3875"/>
      <c r="U3875"/>
    </row>
    <row r="3876" spans="6:21" x14ac:dyDescent="0.25">
      <c r="F3876"/>
      <c r="O3876"/>
      <c r="R3876"/>
      <c r="S3876"/>
      <c r="T3876"/>
      <c r="U3876"/>
    </row>
    <row r="3877" spans="6:21" x14ac:dyDescent="0.25">
      <c r="F3877"/>
      <c r="O3877"/>
      <c r="R3877"/>
      <c r="S3877"/>
      <c r="T3877"/>
      <c r="U3877"/>
    </row>
    <row r="3878" spans="6:21" x14ac:dyDescent="0.25">
      <c r="F3878"/>
      <c r="O3878"/>
      <c r="R3878"/>
      <c r="S3878"/>
      <c r="T3878"/>
      <c r="U3878"/>
    </row>
    <row r="3879" spans="6:21" x14ac:dyDescent="0.25">
      <c r="F3879"/>
      <c r="O3879"/>
      <c r="R3879"/>
      <c r="S3879"/>
      <c r="T3879"/>
      <c r="U3879"/>
    </row>
    <row r="3880" spans="6:21" x14ac:dyDescent="0.25">
      <c r="F3880"/>
      <c r="O3880"/>
      <c r="R3880"/>
      <c r="S3880"/>
      <c r="T3880"/>
      <c r="U3880"/>
    </row>
    <row r="3881" spans="6:21" x14ac:dyDescent="0.25">
      <c r="F3881"/>
      <c r="O3881"/>
      <c r="R3881"/>
      <c r="S3881"/>
      <c r="T3881"/>
      <c r="U3881"/>
    </row>
    <row r="3882" spans="6:21" x14ac:dyDescent="0.25">
      <c r="F3882"/>
      <c r="O3882"/>
      <c r="R3882"/>
      <c r="S3882"/>
      <c r="T3882"/>
      <c r="U3882"/>
    </row>
    <row r="3883" spans="6:21" x14ac:dyDescent="0.25">
      <c r="F3883"/>
      <c r="O3883"/>
      <c r="R3883"/>
      <c r="S3883"/>
      <c r="T3883"/>
      <c r="U3883"/>
    </row>
    <row r="3884" spans="6:21" x14ac:dyDescent="0.25">
      <c r="F3884"/>
      <c r="O3884"/>
      <c r="R3884"/>
      <c r="S3884"/>
      <c r="T3884"/>
      <c r="U3884"/>
    </row>
    <row r="3885" spans="6:21" x14ac:dyDescent="0.25">
      <c r="F3885"/>
      <c r="O3885"/>
      <c r="R3885"/>
      <c r="S3885"/>
      <c r="T3885"/>
      <c r="U3885"/>
    </row>
    <row r="3886" spans="6:21" x14ac:dyDescent="0.25">
      <c r="F3886"/>
      <c r="O3886"/>
      <c r="R3886"/>
      <c r="S3886"/>
      <c r="T3886"/>
      <c r="U3886"/>
    </row>
    <row r="3887" spans="6:21" x14ac:dyDescent="0.25">
      <c r="F3887"/>
      <c r="O3887"/>
      <c r="R3887"/>
      <c r="S3887"/>
      <c r="T3887"/>
      <c r="U3887"/>
    </row>
    <row r="3888" spans="6:21" x14ac:dyDescent="0.25">
      <c r="F3888"/>
      <c r="O3888"/>
      <c r="R3888"/>
      <c r="S3888"/>
      <c r="T3888"/>
      <c r="U3888"/>
    </row>
    <row r="3889" spans="6:21" x14ac:dyDescent="0.25">
      <c r="F3889"/>
      <c r="O3889"/>
      <c r="R3889"/>
      <c r="S3889"/>
      <c r="T3889"/>
      <c r="U3889"/>
    </row>
    <row r="3890" spans="6:21" x14ac:dyDescent="0.25">
      <c r="F3890"/>
      <c r="O3890"/>
      <c r="R3890"/>
      <c r="S3890"/>
      <c r="T3890"/>
      <c r="U3890"/>
    </row>
    <row r="3891" spans="6:21" x14ac:dyDescent="0.25">
      <c r="F3891"/>
      <c r="O3891"/>
      <c r="R3891"/>
      <c r="S3891"/>
      <c r="T3891"/>
      <c r="U3891"/>
    </row>
    <row r="3892" spans="6:21" x14ac:dyDescent="0.25">
      <c r="F3892"/>
      <c r="O3892"/>
      <c r="R3892"/>
      <c r="S3892"/>
      <c r="T3892"/>
      <c r="U3892"/>
    </row>
    <row r="3893" spans="6:21" x14ac:dyDescent="0.25">
      <c r="F3893"/>
      <c r="O3893"/>
      <c r="R3893"/>
      <c r="S3893"/>
      <c r="T3893"/>
      <c r="U3893"/>
    </row>
    <row r="3894" spans="6:21" x14ac:dyDescent="0.25">
      <c r="F3894"/>
      <c r="O3894"/>
      <c r="R3894"/>
      <c r="S3894"/>
      <c r="T3894"/>
      <c r="U3894"/>
    </row>
    <row r="3895" spans="6:21" x14ac:dyDescent="0.25">
      <c r="F3895"/>
      <c r="O3895"/>
      <c r="R3895"/>
      <c r="S3895"/>
      <c r="T3895"/>
      <c r="U3895"/>
    </row>
    <row r="3896" spans="6:21" x14ac:dyDescent="0.25">
      <c r="F3896"/>
      <c r="O3896"/>
      <c r="R3896"/>
      <c r="S3896"/>
      <c r="T3896"/>
      <c r="U3896"/>
    </row>
    <row r="3897" spans="6:21" x14ac:dyDescent="0.25">
      <c r="F3897"/>
      <c r="O3897"/>
      <c r="R3897"/>
      <c r="S3897"/>
      <c r="T3897"/>
      <c r="U3897"/>
    </row>
    <row r="3898" spans="6:21" x14ac:dyDescent="0.25">
      <c r="F3898"/>
      <c r="O3898"/>
      <c r="R3898"/>
      <c r="S3898"/>
      <c r="T3898"/>
      <c r="U3898"/>
    </row>
    <row r="3899" spans="6:21" x14ac:dyDescent="0.25">
      <c r="F3899"/>
      <c r="O3899"/>
      <c r="R3899"/>
      <c r="S3899"/>
      <c r="T3899"/>
      <c r="U3899"/>
    </row>
    <row r="3900" spans="6:21" x14ac:dyDescent="0.25">
      <c r="F3900"/>
      <c r="O3900"/>
      <c r="R3900"/>
      <c r="S3900"/>
      <c r="T3900"/>
      <c r="U3900"/>
    </row>
    <row r="3901" spans="6:21" x14ac:dyDescent="0.25">
      <c r="F3901"/>
      <c r="O3901"/>
      <c r="R3901"/>
      <c r="S3901"/>
      <c r="T3901"/>
      <c r="U3901"/>
    </row>
    <row r="3902" spans="6:21" x14ac:dyDescent="0.25">
      <c r="F3902"/>
      <c r="O3902"/>
      <c r="R3902"/>
      <c r="S3902"/>
      <c r="T3902"/>
      <c r="U3902"/>
    </row>
    <row r="3903" spans="6:21" x14ac:dyDescent="0.25">
      <c r="F3903"/>
      <c r="O3903"/>
      <c r="R3903"/>
      <c r="S3903"/>
      <c r="T3903"/>
      <c r="U3903"/>
    </row>
    <row r="3904" spans="6:21" x14ac:dyDescent="0.25">
      <c r="F3904"/>
      <c r="O3904"/>
      <c r="R3904"/>
      <c r="S3904"/>
      <c r="T3904"/>
      <c r="U3904"/>
    </row>
    <row r="3905" spans="6:21" x14ac:dyDescent="0.25">
      <c r="F3905"/>
      <c r="O3905"/>
      <c r="R3905"/>
      <c r="S3905"/>
      <c r="T3905"/>
      <c r="U3905"/>
    </row>
    <row r="3906" spans="6:21" x14ac:dyDescent="0.25">
      <c r="F3906"/>
      <c r="O3906"/>
      <c r="R3906"/>
      <c r="S3906"/>
      <c r="T3906"/>
      <c r="U3906"/>
    </row>
    <row r="3907" spans="6:21" x14ac:dyDescent="0.25">
      <c r="F3907"/>
      <c r="O3907"/>
      <c r="R3907"/>
      <c r="S3907"/>
      <c r="T3907"/>
      <c r="U3907"/>
    </row>
    <row r="3908" spans="6:21" x14ac:dyDescent="0.25">
      <c r="F3908"/>
      <c r="O3908"/>
      <c r="R3908"/>
      <c r="S3908"/>
      <c r="T3908"/>
      <c r="U3908"/>
    </row>
    <row r="3909" spans="6:21" x14ac:dyDescent="0.25">
      <c r="F3909"/>
      <c r="O3909"/>
      <c r="R3909"/>
      <c r="S3909"/>
      <c r="T3909"/>
      <c r="U3909"/>
    </row>
    <row r="3910" spans="6:21" x14ac:dyDescent="0.25">
      <c r="F3910"/>
      <c r="O3910"/>
      <c r="R3910"/>
      <c r="S3910"/>
      <c r="T3910"/>
      <c r="U3910"/>
    </row>
    <row r="3911" spans="6:21" x14ac:dyDescent="0.25">
      <c r="F3911"/>
      <c r="O3911"/>
      <c r="R3911"/>
      <c r="S3911"/>
      <c r="T3911"/>
      <c r="U3911"/>
    </row>
    <row r="3912" spans="6:21" x14ac:dyDescent="0.25">
      <c r="F3912"/>
      <c r="O3912"/>
      <c r="R3912"/>
      <c r="S3912"/>
      <c r="T3912"/>
      <c r="U3912"/>
    </row>
    <row r="3913" spans="6:21" x14ac:dyDescent="0.25">
      <c r="F3913"/>
      <c r="O3913"/>
      <c r="R3913"/>
      <c r="S3913"/>
      <c r="T3913"/>
      <c r="U3913"/>
    </row>
    <row r="3914" spans="6:21" x14ac:dyDescent="0.25">
      <c r="F3914"/>
      <c r="O3914"/>
      <c r="R3914"/>
      <c r="S3914"/>
      <c r="T3914"/>
      <c r="U3914"/>
    </row>
    <row r="3915" spans="6:21" x14ac:dyDescent="0.25">
      <c r="F3915"/>
      <c r="O3915"/>
      <c r="R3915"/>
      <c r="S3915"/>
      <c r="T3915"/>
      <c r="U3915"/>
    </row>
    <row r="3916" spans="6:21" x14ac:dyDescent="0.25">
      <c r="F3916"/>
      <c r="O3916"/>
      <c r="R3916"/>
      <c r="S3916"/>
      <c r="T3916"/>
      <c r="U3916"/>
    </row>
    <row r="3917" spans="6:21" x14ac:dyDescent="0.25">
      <c r="F3917"/>
      <c r="O3917"/>
      <c r="R3917"/>
      <c r="S3917"/>
      <c r="T3917"/>
      <c r="U3917"/>
    </row>
    <row r="3918" spans="6:21" x14ac:dyDescent="0.25">
      <c r="F3918"/>
      <c r="O3918"/>
      <c r="R3918"/>
      <c r="S3918"/>
      <c r="T3918"/>
      <c r="U3918"/>
    </row>
    <row r="3919" spans="6:21" x14ac:dyDescent="0.25">
      <c r="F3919"/>
      <c r="O3919"/>
      <c r="R3919"/>
      <c r="S3919"/>
      <c r="T3919"/>
      <c r="U3919"/>
    </row>
    <row r="3920" spans="6:21" x14ac:dyDescent="0.25">
      <c r="F3920"/>
      <c r="O3920"/>
      <c r="R3920"/>
      <c r="S3920"/>
      <c r="T3920"/>
      <c r="U3920"/>
    </row>
    <row r="3921" spans="6:21" x14ac:dyDescent="0.25">
      <c r="F3921"/>
      <c r="O3921"/>
      <c r="R3921"/>
      <c r="S3921"/>
      <c r="T3921"/>
      <c r="U3921"/>
    </row>
    <row r="3922" spans="6:21" x14ac:dyDescent="0.25">
      <c r="F3922"/>
      <c r="O3922"/>
      <c r="R3922"/>
      <c r="S3922"/>
      <c r="T3922"/>
      <c r="U3922"/>
    </row>
    <row r="3923" spans="6:21" x14ac:dyDescent="0.25">
      <c r="F3923"/>
      <c r="O3923"/>
      <c r="R3923"/>
      <c r="S3923"/>
      <c r="T3923"/>
      <c r="U3923"/>
    </row>
    <row r="3924" spans="6:21" x14ac:dyDescent="0.25">
      <c r="F3924"/>
      <c r="O3924"/>
      <c r="R3924"/>
      <c r="S3924"/>
      <c r="T3924"/>
      <c r="U3924"/>
    </row>
    <row r="3925" spans="6:21" x14ac:dyDescent="0.25">
      <c r="F3925"/>
      <c r="O3925"/>
      <c r="R3925"/>
      <c r="S3925"/>
      <c r="T3925"/>
      <c r="U3925"/>
    </row>
    <row r="3926" spans="6:21" x14ac:dyDescent="0.25">
      <c r="F3926"/>
      <c r="O3926"/>
      <c r="R3926"/>
      <c r="S3926"/>
      <c r="T3926"/>
      <c r="U3926"/>
    </row>
    <row r="3927" spans="6:21" x14ac:dyDescent="0.25">
      <c r="F3927"/>
      <c r="O3927"/>
      <c r="R3927"/>
      <c r="S3927"/>
      <c r="T3927"/>
      <c r="U3927"/>
    </row>
    <row r="3928" spans="6:21" x14ac:dyDescent="0.25">
      <c r="F3928"/>
      <c r="O3928"/>
      <c r="R3928"/>
      <c r="S3928"/>
      <c r="T3928"/>
      <c r="U3928"/>
    </row>
    <row r="3929" spans="6:21" x14ac:dyDescent="0.25">
      <c r="F3929"/>
      <c r="O3929"/>
      <c r="R3929"/>
      <c r="S3929"/>
      <c r="T3929"/>
      <c r="U3929"/>
    </row>
    <row r="3930" spans="6:21" x14ac:dyDescent="0.25">
      <c r="F3930"/>
      <c r="O3930"/>
      <c r="R3930"/>
      <c r="S3930"/>
      <c r="T3930"/>
      <c r="U3930"/>
    </row>
    <row r="3931" spans="6:21" x14ac:dyDescent="0.25">
      <c r="F3931"/>
      <c r="O3931"/>
      <c r="R3931"/>
      <c r="S3931"/>
      <c r="T3931"/>
      <c r="U3931"/>
    </row>
    <row r="3932" spans="6:21" x14ac:dyDescent="0.25">
      <c r="F3932"/>
      <c r="O3932"/>
      <c r="R3932"/>
      <c r="S3932"/>
      <c r="T3932"/>
      <c r="U3932"/>
    </row>
    <row r="3933" spans="6:21" x14ac:dyDescent="0.25">
      <c r="F3933"/>
      <c r="O3933"/>
      <c r="R3933"/>
      <c r="S3933"/>
      <c r="T3933"/>
      <c r="U3933"/>
    </row>
    <row r="3934" spans="6:21" x14ac:dyDescent="0.25">
      <c r="F3934"/>
      <c r="O3934"/>
      <c r="R3934"/>
      <c r="S3934"/>
      <c r="T3934"/>
      <c r="U3934"/>
    </row>
    <row r="3935" spans="6:21" x14ac:dyDescent="0.25">
      <c r="F3935"/>
      <c r="O3935"/>
      <c r="R3935"/>
      <c r="S3935"/>
      <c r="T3935"/>
      <c r="U3935"/>
    </row>
    <row r="3936" spans="6:21" x14ac:dyDescent="0.25">
      <c r="F3936"/>
      <c r="O3936"/>
      <c r="R3936"/>
      <c r="S3936"/>
      <c r="T3936"/>
      <c r="U3936"/>
    </row>
    <row r="3937" spans="6:21" x14ac:dyDescent="0.25">
      <c r="F3937"/>
      <c r="O3937"/>
      <c r="R3937"/>
      <c r="S3937"/>
      <c r="T3937"/>
      <c r="U3937"/>
    </row>
    <row r="3938" spans="6:21" x14ac:dyDescent="0.25">
      <c r="F3938"/>
      <c r="O3938"/>
      <c r="R3938"/>
      <c r="S3938"/>
      <c r="T3938"/>
      <c r="U3938"/>
    </row>
    <row r="3939" spans="6:21" x14ac:dyDescent="0.25">
      <c r="F3939"/>
      <c r="O3939"/>
      <c r="R3939"/>
      <c r="S3939"/>
      <c r="T3939"/>
      <c r="U3939"/>
    </row>
    <row r="3940" spans="6:21" x14ac:dyDescent="0.25">
      <c r="F3940"/>
      <c r="O3940"/>
      <c r="R3940"/>
      <c r="S3940"/>
      <c r="T3940"/>
      <c r="U3940"/>
    </row>
    <row r="3941" spans="6:21" x14ac:dyDescent="0.25">
      <c r="F3941"/>
      <c r="O3941"/>
      <c r="R3941"/>
      <c r="S3941"/>
      <c r="T3941"/>
      <c r="U3941"/>
    </row>
    <row r="3942" spans="6:21" x14ac:dyDescent="0.25">
      <c r="F3942"/>
      <c r="O3942"/>
      <c r="R3942"/>
      <c r="S3942"/>
      <c r="T3942"/>
      <c r="U3942"/>
    </row>
    <row r="3943" spans="6:21" x14ac:dyDescent="0.25">
      <c r="F3943"/>
      <c r="O3943"/>
      <c r="R3943"/>
      <c r="S3943"/>
      <c r="T3943"/>
      <c r="U3943"/>
    </row>
    <row r="3944" spans="6:21" x14ac:dyDescent="0.25">
      <c r="F3944"/>
      <c r="O3944"/>
      <c r="R3944"/>
      <c r="S3944"/>
      <c r="T3944"/>
      <c r="U3944"/>
    </row>
    <row r="3945" spans="6:21" x14ac:dyDescent="0.25">
      <c r="F3945"/>
      <c r="O3945"/>
      <c r="R3945"/>
      <c r="S3945"/>
      <c r="T3945"/>
      <c r="U3945"/>
    </row>
    <row r="3946" spans="6:21" x14ac:dyDescent="0.25">
      <c r="F3946"/>
      <c r="O3946"/>
      <c r="R3946"/>
      <c r="S3946"/>
      <c r="T3946"/>
      <c r="U3946"/>
    </row>
    <row r="3947" spans="6:21" x14ac:dyDescent="0.25">
      <c r="F3947"/>
      <c r="O3947"/>
      <c r="R3947"/>
      <c r="S3947"/>
      <c r="T3947"/>
      <c r="U3947"/>
    </row>
    <row r="3948" spans="6:21" x14ac:dyDescent="0.25">
      <c r="F3948"/>
      <c r="O3948"/>
      <c r="R3948"/>
      <c r="S3948"/>
      <c r="T3948"/>
      <c r="U3948"/>
    </row>
    <row r="3949" spans="6:21" x14ac:dyDescent="0.25">
      <c r="F3949"/>
      <c r="O3949"/>
      <c r="R3949"/>
      <c r="S3949"/>
      <c r="T3949"/>
      <c r="U3949"/>
    </row>
    <row r="3950" spans="6:21" x14ac:dyDescent="0.25">
      <c r="F3950"/>
      <c r="O3950"/>
      <c r="R3950"/>
      <c r="S3950"/>
      <c r="T3950"/>
      <c r="U3950"/>
    </row>
    <row r="3951" spans="6:21" x14ac:dyDescent="0.25">
      <c r="F3951"/>
      <c r="O3951"/>
      <c r="R3951"/>
      <c r="S3951"/>
      <c r="T3951"/>
      <c r="U3951"/>
    </row>
    <row r="3952" spans="6:21" x14ac:dyDescent="0.25">
      <c r="F3952"/>
      <c r="O3952"/>
      <c r="R3952"/>
      <c r="S3952"/>
      <c r="T3952"/>
      <c r="U3952"/>
    </row>
    <row r="3953" spans="6:21" x14ac:dyDescent="0.25">
      <c r="F3953"/>
      <c r="O3953"/>
      <c r="R3953"/>
      <c r="S3953"/>
      <c r="T3953"/>
      <c r="U3953"/>
    </row>
    <row r="3954" spans="6:21" x14ac:dyDescent="0.25">
      <c r="F3954"/>
      <c r="O3954"/>
      <c r="R3954"/>
      <c r="S3954"/>
      <c r="T3954"/>
      <c r="U3954"/>
    </row>
    <row r="3955" spans="6:21" x14ac:dyDescent="0.25">
      <c r="F3955"/>
      <c r="O3955"/>
      <c r="R3955"/>
      <c r="S3955"/>
      <c r="T3955"/>
      <c r="U3955"/>
    </row>
    <row r="3956" spans="6:21" x14ac:dyDescent="0.25">
      <c r="F3956"/>
      <c r="O3956"/>
      <c r="R3956"/>
      <c r="S3956"/>
      <c r="T3956"/>
      <c r="U3956"/>
    </row>
    <row r="3957" spans="6:21" x14ac:dyDescent="0.25">
      <c r="F3957"/>
      <c r="O3957"/>
      <c r="R3957"/>
      <c r="S3957"/>
      <c r="T3957"/>
      <c r="U3957"/>
    </row>
    <row r="3958" spans="6:21" x14ac:dyDescent="0.25">
      <c r="F3958"/>
      <c r="O3958"/>
      <c r="R3958"/>
      <c r="S3958"/>
      <c r="T3958"/>
      <c r="U3958"/>
    </row>
    <row r="3959" spans="6:21" x14ac:dyDescent="0.25">
      <c r="F3959"/>
      <c r="O3959"/>
      <c r="R3959"/>
      <c r="S3959"/>
      <c r="T3959"/>
      <c r="U3959"/>
    </row>
    <row r="3960" spans="6:21" x14ac:dyDescent="0.25">
      <c r="F3960"/>
      <c r="O3960"/>
      <c r="R3960"/>
      <c r="S3960"/>
      <c r="T3960"/>
      <c r="U3960"/>
    </row>
    <row r="3961" spans="6:21" x14ac:dyDescent="0.25">
      <c r="F3961"/>
      <c r="O3961"/>
      <c r="R3961"/>
      <c r="S3961"/>
      <c r="T3961"/>
      <c r="U3961"/>
    </row>
    <row r="3962" spans="6:21" x14ac:dyDescent="0.25">
      <c r="F3962"/>
      <c r="O3962"/>
      <c r="R3962"/>
      <c r="S3962"/>
      <c r="T3962"/>
      <c r="U3962"/>
    </row>
    <row r="3963" spans="6:21" x14ac:dyDescent="0.25">
      <c r="F3963"/>
      <c r="O3963"/>
      <c r="R3963"/>
      <c r="S3963"/>
      <c r="T3963"/>
      <c r="U3963"/>
    </row>
    <row r="3964" spans="6:21" x14ac:dyDescent="0.25">
      <c r="F3964"/>
      <c r="O3964"/>
      <c r="R3964"/>
      <c r="S3964"/>
      <c r="T3964"/>
      <c r="U3964"/>
    </row>
    <row r="3965" spans="6:21" x14ac:dyDescent="0.25">
      <c r="F3965"/>
      <c r="O3965"/>
      <c r="R3965"/>
      <c r="S3965"/>
      <c r="T3965"/>
      <c r="U3965"/>
    </row>
    <row r="3966" spans="6:21" x14ac:dyDescent="0.25">
      <c r="F3966"/>
      <c r="O3966"/>
      <c r="R3966"/>
      <c r="S3966"/>
      <c r="T3966"/>
      <c r="U3966"/>
    </row>
    <row r="3967" spans="6:21" x14ac:dyDescent="0.25">
      <c r="F3967"/>
      <c r="O3967"/>
      <c r="R3967"/>
      <c r="S3967"/>
      <c r="T3967"/>
      <c r="U3967"/>
    </row>
    <row r="3968" spans="6:21" x14ac:dyDescent="0.25">
      <c r="F3968"/>
      <c r="O3968"/>
      <c r="R3968"/>
      <c r="S3968"/>
      <c r="T3968"/>
      <c r="U3968"/>
    </row>
    <row r="3969" spans="6:21" x14ac:dyDescent="0.25">
      <c r="F3969"/>
      <c r="O3969"/>
      <c r="R3969"/>
      <c r="S3969"/>
      <c r="T3969"/>
      <c r="U3969"/>
    </row>
    <row r="3970" spans="6:21" x14ac:dyDescent="0.25">
      <c r="F3970"/>
      <c r="O3970"/>
      <c r="R3970"/>
      <c r="S3970"/>
      <c r="T3970"/>
      <c r="U3970"/>
    </row>
    <row r="3971" spans="6:21" x14ac:dyDescent="0.25">
      <c r="F3971"/>
      <c r="O3971"/>
      <c r="R3971"/>
      <c r="S3971"/>
      <c r="T3971"/>
      <c r="U3971"/>
    </row>
    <row r="3972" spans="6:21" x14ac:dyDescent="0.25">
      <c r="F3972"/>
      <c r="O3972"/>
      <c r="R3972"/>
      <c r="S3972"/>
      <c r="T3972"/>
      <c r="U3972"/>
    </row>
    <row r="3973" spans="6:21" x14ac:dyDescent="0.25">
      <c r="F3973"/>
      <c r="O3973"/>
      <c r="R3973"/>
      <c r="S3973"/>
      <c r="T3973"/>
      <c r="U3973"/>
    </row>
    <row r="3974" spans="6:21" x14ac:dyDescent="0.25">
      <c r="F3974"/>
      <c r="O3974"/>
      <c r="R3974"/>
      <c r="S3974"/>
      <c r="T3974"/>
      <c r="U3974"/>
    </row>
    <row r="3975" spans="6:21" x14ac:dyDescent="0.25">
      <c r="F3975"/>
      <c r="O3975"/>
      <c r="R3975"/>
      <c r="S3975"/>
      <c r="T3975"/>
      <c r="U3975"/>
    </row>
    <row r="3976" spans="6:21" x14ac:dyDescent="0.25">
      <c r="F3976"/>
      <c r="O3976"/>
      <c r="R3976"/>
      <c r="S3976"/>
      <c r="T3976"/>
      <c r="U3976"/>
    </row>
    <row r="3977" spans="6:21" x14ac:dyDescent="0.25">
      <c r="F3977"/>
      <c r="O3977"/>
      <c r="R3977"/>
      <c r="S3977"/>
      <c r="T3977"/>
      <c r="U3977"/>
    </row>
    <row r="3978" spans="6:21" x14ac:dyDescent="0.25">
      <c r="F3978"/>
      <c r="O3978"/>
      <c r="R3978"/>
      <c r="S3978"/>
      <c r="T3978"/>
      <c r="U3978"/>
    </row>
    <row r="3979" spans="6:21" x14ac:dyDescent="0.25">
      <c r="F3979"/>
      <c r="O3979"/>
      <c r="R3979"/>
      <c r="S3979"/>
      <c r="T3979"/>
      <c r="U3979"/>
    </row>
    <row r="3980" spans="6:21" x14ac:dyDescent="0.25">
      <c r="F3980"/>
      <c r="O3980"/>
      <c r="R3980"/>
      <c r="S3980"/>
      <c r="T3980"/>
      <c r="U3980"/>
    </row>
    <row r="3981" spans="6:21" x14ac:dyDescent="0.25">
      <c r="F3981"/>
      <c r="O3981"/>
      <c r="R3981"/>
      <c r="S3981"/>
      <c r="T3981"/>
      <c r="U3981"/>
    </row>
    <row r="3982" spans="6:21" x14ac:dyDescent="0.25">
      <c r="F3982"/>
      <c r="O3982"/>
      <c r="R3982"/>
      <c r="S3982"/>
      <c r="T3982"/>
      <c r="U3982"/>
    </row>
    <row r="3983" spans="6:21" x14ac:dyDescent="0.25">
      <c r="F3983"/>
      <c r="O3983"/>
      <c r="R3983"/>
      <c r="S3983"/>
      <c r="T3983"/>
      <c r="U3983"/>
    </row>
    <row r="3984" spans="6:21" x14ac:dyDescent="0.25">
      <c r="F3984"/>
      <c r="O3984"/>
      <c r="R3984"/>
      <c r="S3984"/>
      <c r="T3984"/>
      <c r="U3984"/>
    </row>
    <row r="3985" spans="6:21" x14ac:dyDescent="0.25">
      <c r="F3985"/>
      <c r="O3985"/>
      <c r="R3985"/>
      <c r="S3985"/>
      <c r="T3985"/>
      <c r="U3985"/>
    </row>
    <row r="3986" spans="6:21" x14ac:dyDescent="0.25">
      <c r="F3986"/>
      <c r="O3986"/>
      <c r="R3986"/>
      <c r="S3986"/>
      <c r="T3986"/>
      <c r="U3986"/>
    </row>
    <row r="3987" spans="6:21" x14ac:dyDescent="0.25">
      <c r="F3987"/>
      <c r="O3987"/>
      <c r="R3987"/>
      <c r="S3987"/>
      <c r="T3987"/>
      <c r="U3987"/>
    </row>
    <row r="3988" spans="6:21" x14ac:dyDescent="0.25">
      <c r="F3988"/>
      <c r="O3988"/>
      <c r="R3988"/>
      <c r="S3988"/>
      <c r="T3988"/>
      <c r="U3988"/>
    </row>
    <row r="3989" spans="6:21" x14ac:dyDescent="0.25">
      <c r="F3989"/>
      <c r="O3989"/>
      <c r="R3989"/>
      <c r="S3989"/>
      <c r="T3989"/>
      <c r="U3989"/>
    </row>
    <row r="3990" spans="6:21" x14ac:dyDescent="0.25">
      <c r="F3990"/>
      <c r="O3990"/>
      <c r="R3990"/>
      <c r="S3990"/>
      <c r="T3990"/>
      <c r="U3990"/>
    </row>
    <row r="3991" spans="6:21" x14ac:dyDescent="0.25">
      <c r="F3991"/>
      <c r="O3991"/>
      <c r="R3991"/>
      <c r="S3991"/>
      <c r="T3991"/>
      <c r="U3991"/>
    </row>
    <row r="3992" spans="6:21" x14ac:dyDescent="0.25">
      <c r="F3992"/>
      <c r="O3992"/>
      <c r="R3992"/>
      <c r="S3992"/>
      <c r="T3992"/>
      <c r="U3992"/>
    </row>
    <row r="3993" spans="6:21" x14ac:dyDescent="0.25">
      <c r="F3993"/>
      <c r="O3993"/>
      <c r="R3993"/>
      <c r="S3993"/>
      <c r="T3993"/>
      <c r="U3993"/>
    </row>
    <row r="3994" spans="6:21" x14ac:dyDescent="0.25">
      <c r="F3994"/>
      <c r="O3994"/>
      <c r="R3994"/>
      <c r="S3994"/>
      <c r="T3994"/>
      <c r="U3994"/>
    </row>
    <row r="3995" spans="6:21" x14ac:dyDescent="0.25">
      <c r="F3995"/>
      <c r="O3995"/>
      <c r="R3995"/>
      <c r="S3995"/>
      <c r="T3995"/>
      <c r="U3995"/>
    </row>
    <row r="3996" spans="6:21" x14ac:dyDescent="0.25">
      <c r="F3996"/>
      <c r="O3996"/>
      <c r="R3996"/>
      <c r="S3996"/>
      <c r="T3996"/>
      <c r="U3996"/>
    </row>
    <row r="3997" spans="6:21" x14ac:dyDescent="0.25">
      <c r="F3997"/>
      <c r="O3997"/>
      <c r="R3997"/>
      <c r="S3997"/>
      <c r="T3997"/>
      <c r="U3997"/>
    </row>
    <row r="3998" spans="6:21" x14ac:dyDescent="0.25">
      <c r="F3998"/>
      <c r="O3998"/>
      <c r="R3998"/>
      <c r="S3998"/>
      <c r="T3998"/>
      <c r="U3998"/>
    </row>
    <row r="3999" spans="6:21" x14ac:dyDescent="0.25">
      <c r="F3999"/>
      <c r="O3999"/>
      <c r="R3999"/>
      <c r="S3999"/>
      <c r="T3999"/>
      <c r="U3999"/>
    </row>
    <row r="4000" spans="6:21" x14ac:dyDescent="0.25">
      <c r="F4000"/>
      <c r="O4000"/>
      <c r="R4000"/>
      <c r="S4000"/>
      <c r="T4000"/>
      <c r="U4000"/>
    </row>
    <row r="4001" spans="6:21" x14ac:dyDescent="0.25">
      <c r="F4001"/>
      <c r="O4001"/>
      <c r="R4001"/>
      <c r="S4001"/>
      <c r="T4001"/>
      <c r="U4001"/>
    </row>
    <row r="4002" spans="6:21" x14ac:dyDescent="0.25">
      <c r="F4002"/>
      <c r="O4002"/>
      <c r="R4002"/>
      <c r="S4002"/>
      <c r="T4002"/>
      <c r="U4002"/>
    </row>
    <row r="4003" spans="6:21" x14ac:dyDescent="0.25">
      <c r="F4003"/>
      <c r="O4003"/>
      <c r="R4003"/>
      <c r="S4003"/>
      <c r="T4003"/>
      <c r="U4003"/>
    </row>
    <row r="4004" spans="6:21" x14ac:dyDescent="0.25">
      <c r="F4004"/>
      <c r="O4004"/>
      <c r="R4004"/>
      <c r="S4004"/>
      <c r="T4004"/>
      <c r="U4004"/>
    </row>
    <row r="4005" spans="6:21" x14ac:dyDescent="0.25">
      <c r="F4005"/>
      <c r="O4005"/>
      <c r="R4005"/>
      <c r="S4005"/>
      <c r="T4005"/>
      <c r="U4005"/>
    </row>
    <row r="4006" spans="6:21" x14ac:dyDescent="0.25">
      <c r="F4006"/>
      <c r="O4006"/>
      <c r="R4006"/>
      <c r="S4006"/>
      <c r="T4006"/>
      <c r="U4006"/>
    </row>
    <row r="4007" spans="6:21" x14ac:dyDescent="0.25">
      <c r="F4007"/>
      <c r="O4007"/>
      <c r="R4007"/>
      <c r="S4007"/>
      <c r="T4007"/>
      <c r="U4007"/>
    </row>
    <row r="4008" spans="6:21" x14ac:dyDescent="0.25">
      <c r="F4008"/>
      <c r="O4008"/>
      <c r="R4008"/>
      <c r="S4008"/>
      <c r="T4008"/>
      <c r="U4008"/>
    </row>
    <row r="4009" spans="6:21" x14ac:dyDescent="0.25">
      <c r="F4009"/>
      <c r="O4009"/>
      <c r="R4009"/>
      <c r="S4009"/>
      <c r="T4009"/>
      <c r="U4009"/>
    </row>
    <row r="4010" spans="6:21" x14ac:dyDescent="0.25">
      <c r="F4010"/>
      <c r="O4010"/>
      <c r="R4010"/>
      <c r="S4010"/>
      <c r="T4010"/>
      <c r="U4010"/>
    </row>
    <row r="4011" spans="6:21" x14ac:dyDescent="0.25">
      <c r="F4011"/>
      <c r="O4011"/>
      <c r="R4011"/>
      <c r="S4011"/>
      <c r="T4011"/>
      <c r="U4011"/>
    </row>
    <row r="4012" spans="6:21" x14ac:dyDescent="0.25">
      <c r="F4012"/>
      <c r="O4012"/>
      <c r="R4012"/>
      <c r="S4012"/>
      <c r="T4012"/>
      <c r="U4012"/>
    </row>
    <row r="4013" spans="6:21" x14ac:dyDescent="0.25">
      <c r="F4013"/>
      <c r="O4013"/>
      <c r="R4013"/>
      <c r="S4013"/>
      <c r="T4013"/>
      <c r="U4013"/>
    </row>
    <row r="4014" spans="6:21" x14ac:dyDescent="0.25">
      <c r="F4014"/>
      <c r="O4014"/>
      <c r="R4014"/>
      <c r="S4014"/>
      <c r="T4014"/>
      <c r="U4014"/>
    </row>
    <row r="4015" spans="6:21" x14ac:dyDescent="0.25">
      <c r="F4015"/>
      <c r="O4015"/>
      <c r="R4015"/>
      <c r="S4015"/>
      <c r="T4015"/>
      <c r="U4015"/>
    </row>
    <row r="4016" spans="6:21" x14ac:dyDescent="0.25">
      <c r="F4016"/>
      <c r="O4016"/>
      <c r="R4016"/>
      <c r="S4016"/>
      <c r="T4016"/>
      <c r="U4016"/>
    </row>
    <row r="4017" spans="6:21" x14ac:dyDescent="0.25">
      <c r="F4017"/>
      <c r="O4017"/>
      <c r="R4017"/>
      <c r="S4017"/>
      <c r="T4017"/>
      <c r="U4017"/>
    </row>
    <row r="4018" spans="6:21" x14ac:dyDescent="0.25">
      <c r="F4018"/>
      <c r="O4018"/>
      <c r="R4018"/>
      <c r="S4018"/>
      <c r="T4018"/>
      <c r="U4018"/>
    </row>
    <row r="4019" spans="6:21" x14ac:dyDescent="0.25">
      <c r="F4019"/>
      <c r="O4019"/>
      <c r="R4019"/>
      <c r="S4019"/>
      <c r="T4019"/>
      <c r="U4019"/>
    </row>
    <row r="4020" spans="6:21" x14ac:dyDescent="0.25">
      <c r="F4020"/>
      <c r="O4020"/>
      <c r="R4020"/>
      <c r="S4020"/>
      <c r="T4020"/>
      <c r="U4020"/>
    </row>
    <row r="4021" spans="6:21" x14ac:dyDescent="0.25">
      <c r="F4021"/>
      <c r="O4021"/>
      <c r="R4021"/>
      <c r="S4021"/>
      <c r="T4021"/>
      <c r="U4021"/>
    </row>
    <row r="4022" spans="6:21" x14ac:dyDescent="0.25">
      <c r="F4022"/>
      <c r="O4022"/>
      <c r="R4022"/>
      <c r="S4022"/>
      <c r="T4022"/>
      <c r="U4022"/>
    </row>
    <row r="4023" spans="6:21" x14ac:dyDescent="0.25">
      <c r="F4023"/>
      <c r="O4023"/>
      <c r="R4023"/>
      <c r="S4023"/>
      <c r="T4023"/>
      <c r="U4023"/>
    </row>
    <row r="4024" spans="6:21" x14ac:dyDescent="0.25">
      <c r="F4024"/>
      <c r="O4024"/>
      <c r="R4024"/>
      <c r="S4024"/>
      <c r="T4024"/>
      <c r="U4024"/>
    </row>
    <row r="4025" spans="6:21" x14ac:dyDescent="0.25">
      <c r="F4025"/>
      <c r="O4025"/>
      <c r="R4025"/>
      <c r="S4025"/>
      <c r="T4025"/>
      <c r="U4025"/>
    </row>
    <row r="4026" spans="6:21" x14ac:dyDescent="0.25">
      <c r="F4026"/>
      <c r="O4026"/>
      <c r="R4026"/>
      <c r="S4026"/>
      <c r="T4026"/>
      <c r="U4026"/>
    </row>
    <row r="4027" spans="6:21" x14ac:dyDescent="0.25">
      <c r="F4027"/>
      <c r="O4027"/>
      <c r="R4027"/>
      <c r="S4027"/>
      <c r="T4027"/>
      <c r="U4027"/>
    </row>
    <row r="4028" spans="6:21" x14ac:dyDescent="0.25">
      <c r="F4028"/>
      <c r="O4028"/>
      <c r="R4028"/>
      <c r="S4028"/>
      <c r="T4028"/>
      <c r="U4028"/>
    </row>
    <row r="4029" spans="6:21" x14ac:dyDescent="0.25">
      <c r="F4029"/>
      <c r="O4029"/>
      <c r="R4029"/>
      <c r="S4029"/>
      <c r="T4029"/>
      <c r="U4029"/>
    </row>
    <row r="4030" spans="6:21" x14ac:dyDescent="0.25">
      <c r="F4030"/>
      <c r="O4030"/>
      <c r="R4030"/>
      <c r="S4030"/>
      <c r="T4030"/>
      <c r="U4030"/>
    </row>
    <row r="4031" spans="6:21" x14ac:dyDescent="0.25">
      <c r="F4031"/>
      <c r="O4031"/>
      <c r="R4031"/>
      <c r="S4031"/>
      <c r="T4031"/>
      <c r="U4031"/>
    </row>
    <row r="4032" spans="6:21" x14ac:dyDescent="0.25">
      <c r="F4032"/>
      <c r="O4032"/>
      <c r="R4032"/>
      <c r="S4032"/>
      <c r="T4032"/>
      <c r="U4032"/>
    </row>
    <row r="4033" spans="6:21" x14ac:dyDescent="0.25">
      <c r="F4033"/>
      <c r="O4033"/>
      <c r="R4033"/>
      <c r="S4033"/>
      <c r="T4033"/>
      <c r="U4033"/>
    </row>
    <row r="4034" spans="6:21" x14ac:dyDescent="0.25">
      <c r="F4034"/>
      <c r="O4034"/>
      <c r="R4034"/>
      <c r="S4034"/>
      <c r="T4034"/>
      <c r="U4034"/>
    </row>
    <row r="4035" spans="6:21" x14ac:dyDescent="0.25">
      <c r="F4035"/>
      <c r="O4035"/>
      <c r="R4035"/>
      <c r="S4035"/>
      <c r="T4035"/>
      <c r="U4035"/>
    </row>
    <row r="4036" spans="6:21" x14ac:dyDescent="0.25">
      <c r="F4036"/>
      <c r="O4036"/>
      <c r="R4036"/>
      <c r="S4036"/>
      <c r="T4036"/>
      <c r="U4036"/>
    </row>
    <row r="4037" spans="6:21" x14ac:dyDescent="0.25">
      <c r="F4037"/>
      <c r="O4037"/>
      <c r="R4037"/>
      <c r="S4037"/>
      <c r="T4037"/>
      <c r="U4037"/>
    </row>
    <row r="4038" spans="6:21" x14ac:dyDescent="0.25">
      <c r="F4038"/>
      <c r="O4038"/>
      <c r="R4038"/>
      <c r="S4038"/>
      <c r="T4038"/>
      <c r="U4038"/>
    </row>
    <row r="4039" spans="6:21" x14ac:dyDescent="0.25">
      <c r="F4039"/>
      <c r="O4039"/>
      <c r="R4039"/>
      <c r="S4039"/>
      <c r="T4039"/>
      <c r="U4039"/>
    </row>
    <row r="4040" spans="6:21" x14ac:dyDescent="0.25">
      <c r="F4040"/>
      <c r="O4040"/>
      <c r="R4040"/>
      <c r="S4040"/>
      <c r="T4040"/>
      <c r="U4040"/>
    </row>
    <row r="4041" spans="6:21" x14ac:dyDescent="0.25">
      <c r="F4041"/>
      <c r="O4041"/>
      <c r="R4041"/>
      <c r="S4041"/>
      <c r="T4041"/>
      <c r="U4041"/>
    </row>
    <row r="4042" spans="6:21" x14ac:dyDescent="0.25">
      <c r="F4042"/>
      <c r="O4042"/>
      <c r="R4042"/>
      <c r="S4042"/>
      <c r="T4042"/>
      <c r="U4042"/>
    </row>
    <row r="4043" spans="6:21" x14ac:dyDescent="0.25">
      <c r="F4043"/>
      <c r="O4043"/>
      <c r="R4043"/>
      <c r="S4043"/>
      <c r="T4043"/>
      <c r="U4043"/>
    </row>
    <row r="4044" spans="6:21" x14ac:dyDescent="0.25">
      <c r="F4044"/>
      <c r="O4044"/>
      <c r="R4044"/>
      <c r="S4044"/>
      <c r="T4044"/>
      <c r="U4044"/>
    </row>
    <row r="4045" spans="6:21" x14ac:dyDescent="0.25">
      <c r="F4045"/>
      <c r="O4045"/>
      <c r="R4045"/>
      <c r="S4045"/>
      <c r="T4045"/>
      <c r="U4045"/>
    </row>
    <row r="4046" spans="6:21" x14ac:dyDescent="0.25">
      <c r="F4046"/>
      <c r="O4046"/>
      <c r="R4046"/>
      <c r="S4046"/>
      <c r="T4046"/>
      <c r="U4046"/>
    </row>
    <row r="4047" spans="6:21" x14ac:dyDescent="0.25">
      <c r="F4047"/>
      <c r="O4047"/>
      <c r="R4047"/>
      <c r="S4047"/>
      <c r="T4047"/>
      <c r="U4047"/>
    </row>
    <row r="4048" spans="6:21" x14ac:dyDescent="0.25">
      <c r="F4048"/>
      <c r="O4048"/>
      <c r="R4048"/>
      <c r="S4048"/>
      <c r="T4048"/>
      <c r="U4048"/>
    </row>
    <row r="4049" spans="6:21" x14ac:dyDescent="0.25">
      <c r="F4049"/>
      <c r="O4049"/>
      <c r="R4049"/>
      <c r="S4049"/>
      <c r="T4049"/>
      <c r="U4049"/>
    </row>
    <row r="4050" spans="6:21" x14ac:dyDescent="0.25">
      <c r="F4050"/>
      <c r="O4050"/>
      <c r="R4050"/>
      <c r="S4050"/>
      <c r="T4050"/>
      <c r="U4050"/>
    </row>
    <row r="4051" spans="6:21" x14ac:dyDescent="0.25">
      <c r="F4051"/>
      <c r="O4051"/>
      <c r="R4051"/>
      <c r="S4051"/>
      <c r="T4051"/>
      <c r="U4051"/>
    </row>
    <row r="4052" spans="6:21" x14ac:dyDescent="0.25">
      <c r="F4052"/>
      <c r="O4052"/>
      <c r="R4052"/>
      <c r="S4052"/>
      <c r="T4052"/>
      <c r="U4052"/>
    </row>
    <row r="4053" spans="6:21" x14ac:dyDescent="0.25">
      <c r="F4053"/>
      <c r="O4053"/>
      <c r="R4053"/>
      <c r="S4053"/>
      <c r="T4053"/>
      <c r="U4053"/>
    </row>
    <row r="4054" spans="6:21" x14ac:dyDescent="0.25">
      <c r="F4054"/>
      <c r="O4054"/>
      <c r="R4054"/>
      <c r="S4054"/>
      <c r="T4054"/>
      <c r="U4054"/>
    </row>
    <row r="4055" spans="6:21" x14ac:dyDescent="0.25">
      <c r="F4055"/>
      <c r="O4055"/>
      <c r="R4055"/>
      <c r="S4055"/>
      <c r="T4055"/>
      <c r="U4055"/>
    </row>
    <row r="4056" spans="6:21" x14ac:dyDescent="0.25">
      <c r="F4056"/>
      <c r="O4056"/>
      <c r="R4056"/>
      <c r="S4056"/>
      <c r="T4056"/>
      <c r="U4056"/>
    </row>
    <row r="4057" spans="6:21" x14ac:dyDescent="0.25">
      <c r="F4057"/>
      <c r="O4057"/>
      <c r="R4057"/>
      <c r="S4057"/>
      <c r="T4057"/>
      <c r="U4057"/>
    </row>
    <row r="4058" spans="6:21" x14ac:dyDescent="0.25">
      <c r="F4058"/>
      <c r="O4058"/>
      <c r="R4058"/>
      <c r="S4058"/>
      <c r="T4058"/>
      <c r="U4058"/>
    </row>
    <row r="4059" spans="6:21" x14ac:dyDescent="0.25">
      <c r="F4059"/>
      <c r="O4059"/>
      <c r="R4059"/>
      <c r="S4059"/>
      <c r="T4059"/>
      <c r="U4059"/>
    </row>
    <row r="4060" spans="6:21" x14ac:dyDescent="0.25">
      <c r="F4060"/>
      <c r="O4060"/>
      <c r="R4060"/>
      <c r="S4060"/>
      <c r="T4060"/>
      <c r="U4060"/>
    </row>
    <row r="4061" spans="6:21" x14ac:dyDescent="0.25">
      <c r="F4061"/>
      <c r="O4061"/>
      <c r="R4061"/>
      <c r="S4061"/>
      <c r="T4061"/>
      <c r="U4061"/>
    </row>
    <row r="4062" spans="6:21" x14ac:dyDescent="0.25">
      <c r="F4062"/>
      <c r="O4062"/>
      <c r="R4062"/>
      <c r="S4062"/>
      <c r="T4062"/>
      <c r="U4062"/>
    </row>
    <row r="4063" spans="6:21" x14ac:dyDescent="0.25">
      <c r="F4063"/>
      <c r="O4063"/>
      <c r="R4063"/>
      <c r="S4063"/>
      <c r="T4063"/>
      <c r="U4063"/>
    </row>
    <row r="4064" spans="6:21" x14ac:dyDescent="0.25">
      <c r="F4064"/>
      <c r="O4064"/>
      <c r="R4064"/>
      <c r="S4064"/>
      <c r="T4064"/>
      <c r="U4064"/>
    </row>
    <row r="4065" spans="6:21" x14ac:dyDescent="0.25">
      <c r="F4065"/>
      <c r="O4065"/>
      <c r="R4065"/>
      <c r="S4065"/>
      <c r="T4065"/>
      <c r="U4065"/>
    </row>
    <row r="4066" spans="6:21" x14ac:dyDescent="0.25">
      <c r="F4066"/>
      <c r="O4066"/>
      <c r="R4066"/>
      <c r="S4066"/>
      <c r="T4066"/>
      <c r="U4066"/>
    </row>
    <row r="4067" spans="6:21" x14ac:dyDescent="0.25">
      <c r="F4067"/>
      <c r="O4067"/>
      <c r="R4067"/>
      <c r="S4067"/>
      <c r="T4067"/>
      <c r="U4067"/>
    </row>
    <row r="4068" spans="6:21" x14ac:dyDescent="0.25">
      <c r="F4068"/>
      <c r="O4068"/>
      <c r="R4068"/>
      <c r="S4068"/>
      <c r="T4068"/>
      <c r="U4068"/>
    </row>
    <row r="4069" spans="6:21" x14ac:dyDescent="0.25">
      <c r="F4069"/>
      <c r="O4069"/>
      <c r="R4069"/>
      <c r="S4069"/>
      <c r="T4069"/>
      <c r="U4069"/>
    </row>
    <row r="4070" spans="6:21" x14ac:dyDescent="0.25">
      <c r="F4070"/>
      <c r="O4070"/>
      <c r="R4070"/>
      <c r="S4070"/>
      <c r="T4070"/>
      <c r="U4070"/>
    </row>
    <row r="4071" spans="6:21" x14ac:dyDescent="0.25">
      <c r="F4071"/>
      <c r="O4071"/>
      <c r="R4071"/>
      <c r="S4071"/>
      <c r="T4071"/>
      <c r="U4071"/>
    </row>
    <row r="4072" spans="6:21" x14ac:dyDescent="0.25">
      <c r="F4072"/>
      <c r="O4072"/>
      <c r="R4072"/>
      <c r="S4072"/>
      <c r="T4072"/>
      <c r="U4072"/>
    </row>
    <row r="4073" spans="6:21" x14ac:dyDescent="0.25">
      <c r="F4073"/>
      <c r="O4073"/>
      <c r="R4073"/>
      <c r="S4073"/>
      <c r="T4073"/>
      <c r="U4073"/>
    </row>
    <row r="4074" spans="6:21" x14ac:dyDescent="0.25">
      <c r="F4074"/>
      <c r="O4074"/>
      <c r="R4074"/>
      <c r="S4074"/>
      <c r="T4074"/>
      <c r="U4074"/>
    </row>
    <row r="4075" spans="6:21" x14ac:dyDescent="0.25">
      <c r="F4075"/>
      <c r="O4075"/>
      <c r="R4075"/>
      <c r="S4075"/>
      <c r="T4075"/>
      <c r="U4075"/>
    </row>
    <row r="4076" spans="6:21" x14ac:dyDescent="0.25">
      <c r="F4076"/>
      <c r="O4076"/>
      <c r="R4076"/>
      <c r="S4076"/>
      <c r="T4076"/>
      <c r="U4076"/>
    </row>
    <row r="4077" spans="6:21" x14ac:dyDescent="0.25">
      <c r="F4077"/>
      <c r="O4077"/>
      <c r="R4077"/>
      <c r="S4077"/>
      <c r="T4077"/>
      <c r="U4077"/>
    </row>
    <row r="4078" spans="6:21" x14ac:dyDescent="0.25">
      <c r="F4078"/>
      <c r="O4078"/>
      <c r="R4078"/>
      <c r="S4078"/>
      <c r="T4078"/>
      <c r="U4078"/>
    </row>
    <row r="4079" spans="6:21" x14ac:dyDescent="0.25">
      <c r="F4079"/>
      <c r="O4079"/>
      <c r="R4079"/>
      <c r="S4079"/>
      <c r="T4079"/>
      <c r="U4079"/>
    </row>
    <row r="4080" spans="6:21" x14ac:dyDescent="0.25">
      <c r="F4080"/>
      <c r="O4080"/>
      <c r="R4080"/>
      <c r="S4080"/>
      <c r="T4080"/>
      <c r="U4080"/>
    </row>
    <row r="4081" spans="6:21" x14ac:dyDescent="0.25">
      <c r="F4081"/>
      <c r="O4081"/>
      <c r="R4081"/>
      <c r="S4081"/>
      <c r="T4081"/>
      <c r="U4081"/>
    </row>
    <row r="4082" spans="6:21" x14ac:dyDescent="0.25">
      <c r="F4082"/>
      <c r="O4082"/>
      <c r="R4082"/>
      <c r="S4082"/>
      <c r="T4082"/>
      <c r="U4082"/>
    </row>
    <row r="4083" spans="6:21" x14ac:dyDescent="0.25">
      <c r="F4083"/>
      <c r="O4083"/>
      <c r="R4083"/>
      <c r="S4083"/>
      <c r="T4083"/>
      <c r="U4083"/>
    </row>
    <row r="4084" spans="6:21" x14ac:dyDescent="0.25">
      <c r="F4084"/>
      <c r="O4084"/>
      <c r="R4084"/>
      <c r="S4084"/>
      <c r="T4084"/>
      <c r="U4084"/>
    </row>
    <row r="4085" spans="6:21" x14ac:dyDescent="0.25">
      <c r="F4085"/>
      <c r="O4085"/>
      <c r="R4085"/>
      <c r="S4085"/>
      <c r="T4085"/>
      <c r="U4085"/>
    </row>
    <row r="4086" spans="6:21" x14ac:dyDescent="0.25">
      <c r="F4086"/>
      <c r="O4086"/>
      <c r="R4086"/>
      <c r="S4086"/>
      <c r="T4086"/>
      <c r="U4086"/>
    </row>
    <row r="4087" spans="6:21" x14ac:dyDescent="0.25">
      <c r="F4087"/>
      <c r="O4087"/>
      <c r="R4087"/>
      <c r="S4087"/>
      <c r="T4087"/>
      <c r="U4087"/>
    </row>
    <row r="4088" spans="6:21" x14ac:dyDescent="0.25">
      <c r="F4088"/>
      <c r="O4088"/>
      <c r="R4088"/>
      <c r="S4088"/>
      <c r="T4088"/>
      <c r="U4088"/>
    </row>
    <row r="4089" spans="6:21" x14ac:dyDescent="0.25">
      <c r="F4089"/>
      <c r="O4089"/>
      <c r="R4089"/>
      <c r="S4089"/>
      <c r="T4089"/>
      <c r="U4089"/>
    </row>
    <row r="4090" spans="6:21" x14ac:dyDescent="0.25">
      <c r="F4090"/>
      <c r="O4090"/>
      <c r="R4090"/>
      <c r="S4090"/>
      <c r="T4090"/>
      <c r="U4090"/>
    </row>
    <row r="4091" spans="6:21" x14ac:dyDescent="0.25">
      <c r="F4091"/>
      <c r="O4091"/>
      <c r="R4091"/>
      <c r="S4091"/>
      <c r="T4091"/>
      <c r="U4091"/>
    </row>
    <row r="4092" spans="6:21" x14ac:dyDescent="0.25">
      <c r="F4092"/>
      <c r="O4092"/>
      <c r="R4092"/>
      <c r="S4092"/>
      <c r="T4092"/>
      <c r="U4092"/>
    </row>
    <row r="4093" spans="6:21" x14ac:dyDescent="0.25">
      <c r="F4093"/>
      <c r="O4093"/>
      <c r="R4093"/>
      <c r="S4093"/>
      <c r="T4093"/>
      <c r="U4093"/>
    </row>
    <row r="4094" spans="6:21" x14ac:dyDescent="0.25">
      <c r="F4094"/>
      <c r="O4094"/>
      <c r="R4094"/>
      <c r="S4094"/>
      <c r="T4094"/>
      <c r="U4094"/>
    </row>
    <row r="4095" spans="6:21" x14ac:dyDescent="0.25">
      <c r="F4095"/>
      <c r="O4095"/>
      <c r="R4095"/>
      <c r="S4095"/>
      <c r="T4095"/>
      <c r="U4095"/>
    </row>
    <row r="4096" spans="6:21" x14ac:dyDescent="0.25">
      <c r="F4096"/>
      <c r="O4096"/>
      <c r="R4096"/>
      <c r="S4096"/>
      <c r="T4096"/>
      <c r="U4096"/>
    </row>
    <row r="4097" spans="6:21" x14ac:dyDescent="0.25">
      <c r="F4097"/>
      <c r="O4097"/>
      <c r="R4097"/>
      <c r="S4097"/>
      <c r="T4097"/>
      <c r="U4097"/>
    </row>
    <row r="4098" spans="6:21" x14ac:dyDescent="0.25">
      <c r="F4098"/>
      <c r="O4098"/>
      <c r="R4098"/>
      <c r="S4098"/>
      <c r="T4098"/>
      <c r="U4098"/>
    </row>
    <row r="4099" spans="6:21" x14ac:dyDescent="0.25">
      <c r="F4099"/>
      <c r="O4099"/>
      <c r="R4099"/>
      <c r="S4099"/>
      <c r="T4099"/>
      <c r="U4099"/>
    </row>
    <row r="4100" spans="6:21" x14ac:dyDescent="0.25">
      <c r="F4100"/>
      <c r="O4100"/>
      <c r="R4100"/>
      <c r="S4100"/>
      <c r="T4100"/>
      <c r="U4100"/>
    </row>
    <row r="4101" spans="6:21" x14ac:dyDescent="0.25">
      <c r="F4101"/>
      <c r="O4101"/>
      <c r="R4101"/>
      <c r="S4101"/>
      <c r="T4101"/>
      <c r="U4101"/>
    </row>
    <row r="4102" spans="6:21" x14ac:dyDescent="0.25">
      <c r="F4102"/>
      <c r="O4102"/>
      <c r="R4102"/>
      <c r="S4102"/>
      <c r="T4102"/>
      <c r="U4102"/>
    </row>
    <row r="4103" spans="6:21" x14ac:dyDescent="0.25">
      <c r="F4103"/>
      <c r="O4103"/>
      <c r="R4103"/>
      <c r="S4103"/>
      <c r="T4103"/>
      <c r="U4103"/>
    </row>
    <row r="4104" spans="6:21" x14ac:dyDescent="0.25">
      <c r="F4104"/>
      <c r="O4104"/>
      <c r="R4104"/>
      <c r="S4104"/>
      <c r="T4104"/>
      <c r="U4104"/>
    </row>
    <row r="4105" spans="6:21" x14ac:dyDescent="0.25">
      <c r="F4105"/>
      <c r="O4105"/>
      <c r="R4105"/>
      <c r="S4105"/>
      <c r="T4105"/>
      <c r="U4105"/>
    </row>
    <row r="4106" spans="6:21" x14ac:dyDescent="0.25">
      <c r="F4106"/>
      <c r="O4106"/>
      <c r="R4106"/>
      <c r="S4106"/>
      <c r="T4106"/>
      <c r="U4106"/>
    </row>
    <row r="4107" spans="6:21" x14ac:dyDescent="0.25">
      <c r="F4107"/>
      <c r="O4107"/>
      <c r="R4107"/>
      <c r="S4107"/>
      <c r="T4107"/>
      <c r="U4107"/>
    </row>
    <row r="4108" spans="6:21" x14ac:dyDescent="0.25">
      <c r="F4108"/>
      <c r="O4108"/>
      <c r="R4108"/>
      <c r="S4108"/>
      <c r="T4108"/>
      <c r="U4108"/>
    </row>
    <row r="4109" spans="6:21" x14ac:dyDescent="0.25">
      <c r="F4109"/>
      <c r="O4109"/>
      <c r="R4109"/>
      <c r="S4109"/>
      <c r="T4109"/>
      <c r="U4109"/>
    </row>
    <row r="4110" spans="6:21" x14ac:dyDescent="0.25">
      <c r="F4110"/>
      <c r="O4110"/>
      <c r="R4110"/>
      <c r="S4110"/>
      <c r="T4110"/>
      <c r="U4110"/>
    </row>
    <row r="4111" spans="6:21" x14ac:dyDescent="0.25">
      <c r="F4111"/>
      <c r="O4111"/>
      <c r="R4111"/>
      <c r="S4111"/>
      <c r="T4111"/>
      <c r="U4111"/>
    </row>
    <row r="4112" spans="6:21" x14ac:dyDescent="0.25">
      <c r="F4112"/>
      <c r="O4112"/>
      <c r="R4112"/>
      <c r="S4112"/>
      <c r="T4112"/>
      <c r="U4112"/>
    </row>
    <row r="4113" spans="6:21" x14ac:dyDescent="0.25">
      <c r="F4113"/>
      <c r="O4113"/>
      <c r="R4113"/>
      <c r="S4113"/>
      <c r="T4113"/>
      <c r="U4113"/>
    </row>
    <row r="4114" spans="6:21" x14ac:dyDescent="0.25">
      <c r="F4114"/>
      <c r="O4114"/>
      <c r="R4114"/>
      <c r="S4114"/>
      <c r="T4114"/>
      <c r="U4114"/>
    </row>
    <row r="4115" spans="6:21" x14ac:dyDescent="0.25">
      <c r="F4115"/>
      <c r="O4115"/>
      <c r="R4115"/>
      <c r="S4115"/>
      <c r="T4115"/>
      <c r="U4115"/>
    </row>
    <row r="4116" spans="6:21" x14ac:dyDescent="0.25">
      <c r="F4116"/>
      <c r="O4116"/>
      <c r="R4116"/>
      <c r="S4116"/>
      <c r="T4116"/>
      <c r="U4116"/>
    </row>
    <row r="4117" spans="6:21" x14ac:dyDescent="0.25">
      <c r="F4117"/>
      <c r="O4117"/>
      <c r="R4117"/>
      <c r="S4117"/>
      <c r="T4117"/>
      <c r="U4117"/>
    </row>
    <row r="4118" spans="6:21" x14ac:dyDescent="0.25">
      <c r="F4118"/>
      <c r="O4118"/>
      <c r="R4118"/>
      <c r="S4118"/>
      <c r="T4118"/>
      <c r="U4118"/>
    </row>
    <row r="4119" spans="6:21" x14ac:dyDescent="0.25">
      <c r="F4119"/>
      <c r="O4119"/>
      <c r="R4119"/>
      <c r="S4119"/>
      <c r="T4119"/>
      <c r="U4119"/>
    </row>
    <row r="4120" spans="6:21" x14ac:dyDescent="0.25">
      <c r="F4120"/>
      <c r="O4120"/>
      <c r="R4120"/>
      <c r="S4120"/>
      <c r="T4120"/>
      <c r="U4120"/>
    </row>
    <row r="4121" spans="6:21" x14ac:dyDescent="0.25">
      <c r="F4121"/>
      <c r="O4121"/>
      <c r="R4121"/>
      <c r="S4121"/>
      <c r="T4121"/>
      <c r="U4121"/>
    </row>
    <row r="4122" spans="6:21" x14ac:dyDescent="0.25">
      <c r="F4122"/>
      <c r="O4122"/>
      <c r="R4122"/>
      <c r="S4122"/>
      <c r="T4122"/>
      <c r="U4122"/>
    </row>
    <row r="4123" spans="6:21" x14ac:dyDescent="0.25">
      <c r="F4123"/>
      <c r="O4123"/>
      <c r="R4123"/>
      <c r="S4123"/>
      <c r="T4123"/>
      <c r="U4123"/>
    </row>
    <row r="4124" spans="6:21" x14ac:dyDescent="0.25">
      <c r="F4124"/>
      <c r="O4124"/>
      <c r="R4124"/>
      <c r="S4124"/>
      <c r="T4124"/>
      <c r="U4124"/>
    </row>
    <row r="4125" spans="6:21" x14ac:dyDescent="0.25">
      <c r="F4125"/>
      <c r="O4125"/>
      <c r="R4125"/>
      <c r="S4125"/>
      <c r="T4125"/>
      <c r="U4125"/>
    </row>
    <row r="4126" spans="6:21" x14ac:dyDescent="0.25">
      <c r="F4126"/>
      <c r="O4126"/>
      <c r="R4126"/>
      <c r="S4126"/>
      <c r="T4126"/>
      <c r="U4126"/>
    </row>
    <row r="4127" spans="6:21" x14ac:dyDescent="0.25">
      <c r="F4127"/>
      <c r="O4127"/>
      <c r="R4127"/>
      <c r="S4127"/>
      <c r="T4127"/>
      <c r="U4127"/>
    </row>
    <row r="4128" spans="6:21" x14ac:dyDescent="0.25">
      <c r="F4128"/>
      <c r="O4128"/>
      <c r="R4128"/>
      <c r="S4128"/>
      <c r="T4128"/>
      <c r="U4128"/>
    </row>
    <row r="4129" spans="6:21" x14ac:dyDescent="0.25">
      <c r="F4129"/>
      <c r="O4129"/>
      <c r="R4129"/>
      <c r="S4129"/>
      <c r="T4129"/>
      <c r="U4129"/>
    </row>
    <row r="4130" spans="6:21" x14ac:dyDescent="0.25">
      <c r="F4130"/>
      <c r="O4130"/>
      <c r="R4130"/>
      <c r="S4130"/>
      <c r="T4130"/>
      <c r="U4130"/>
    </row>
    <row r="4131" spans="6:21" x14ac:dyDescent="0.25">
      <c r="F4131"/>
      <c r="O4131"/>
      <c r="R4131"/>
      <c r="S4131"/>
      <c r="T4131"/>
      <c r="U4131"/>
    </row>
    <row r="4132" spans="6:21" x14ac:dyDescent="0.25">
      <c r="F4132"/>
      <c r="O4132"/>
      <c r="R4132"/>
      <c r="S4132"/>
      <c r="T4132"/>
      <c r="U4132"/>
    </row>
    <row r="4133" spans="6:21" x14ac:dyDescent="0.25">
      <c r="F4133"/>
      <c r="O4133"/>
      <c r="R4133"/>
      <c r="S4133"/>
      <c r="T4133"/>
      <c r="U4133"/>
    </row>
    <row r="4134" spans="6:21" x14ac:dyDescent="0.25">
      <c r="F4134"/>
      <c r="O4134"/>
      <c r="R4134"/>
      <c r="S4134"/>
      <c r="T4134"/>
      <c r="U4134"/>
    </row>
    <row r="4135" spans="6:21" x14ac:dyDescent="0.25">
      <c r="F4135"/>
      <c r="O4135"/>
      <c r="R4135"/>
      <c r="S4135"/>
      <c r="T4135"/>
      <c r="U4135"/>
    </row>
    <row r="4136" spans="6:21" x14ac:dyDescent="0.25">
      <c r="F4136"/>
      <c r="O4136"/>
      <c r="R4136"/>
      <c r="S4136"/>
      <c r="T4136"/>
      <c r="U4136"/>
    </row>
    <row r="4137" spans="6:21" x14ac:dyDescent="0.25">
      <c r="F4137"/>
      <c r="O4137"/>
      <c r="R4137"/>
      <c r="S4137"/>
      <c r="T4137"/>
      <c r="U4137"/>
    </row>
    <row r="4138" spans="6:21" x14ac:dyDescent="0.25">
      <c r="F4138"/>
      <c r="O4138"/>
      <c r="R4138"/>
      <c r="S4138"/>
      <c r="T4138"/>
      <c r="U4138"/>
    </row>
    <row r="4139" spans="6:21" x14ac:dyDescent="0.25">
      <c r="F4139"/>
      <c r="O4139"/>
      <c r="R4139"/>
      <c r="S4139"/>
      <c r="T4139"/>
      <c r="U4139"/>
    </row>
    <row r="4140" spans="6:21" x14ac:dyDescent="0.25">
      <c r="F4140"/>
      <c r="O4140"/>
      <c r="R4140"/>
      <c r="S4140"/>
      <c r="T4140"/>
      <c r="U4140"/>
    </row>
    <row r="4141" spans="6:21" x14ac:dyDescent="0.25">
      <c r="F4141"/>
      <c r="O4141"/>
      <c r="R4141"/>
      <c r="S4141"/>
      <c r="T4141"/>
      <c r="U4141"/>
    </row>
    <row r="4142" spans="6:21" x14ac:dyDescent="0.25">
      <c r="F4142"/>
      <c r="O4142"/>
      <c r="R4142"/>
      <c r="S4142"/>
      <c r="T4142"/>
      <c r="U4142"/>
    </row>
    <row r="4143" spans="6:21" x14ac:dyDescent="0.25">
      <c r="F4143"/>
      <c r="O4143"/>
      <c r="R4143"/>
      <c r="S4143"/>
      <c r="T4143"/>
      <c r="U4143"/>
    </row>
    <row r="4144" spans="6:21" x14ac:dyDescent="0.25">
      <c r="F4144"/>
      <c r="O4144"/>
      <c r="R4144"/>
      <c r="S4144"/>
      <c r="T4144"/>
      <c r="U4144"/>
    </row>
    <row r="4145" spans="6:21" x14ac:dyDescent="0.25">
      <c r="F4145"/>
      <c r="O4145"/>
      <c r="R4145"/>
      <c r="S4145"/>
      <c r="T4145"/>
      <c r="U4145"/>
    </row>
    <row r="4146" spans="6:21" x14ac:dyDescent="0.25">
      <c r="F4146"/>
      <c r="O4146"/>
      <c r="R4146"/>
      <c r="S4146"/>
      <c r="T4146"/>
      <c r="U4146"/>
    </row>
    <row r="4147" spans="6:21" x14ac:dyDescent="0.25">
      <c r="F4147"/>
      <c r="O4147"/>
      <c r="R4147"/>
      <c r="S4147"/>
      <c r="T4147"/>
      <c r="U4147"/>
    </row>
    <row r="4148" spans="6:21" x14ac:dyDescent="0.25">
      <c r="F4148"/>
      <c r="O4148"/>
      <c r="R4148"/>
      <c r="S4148"/>
      <c r="T4148"/>
      <c r="U4148"/>
    </row>
    <row r="4149" spans="6:21" x14ac:dyDescent="0.25">
      <c r="F4149"/>
      <c r="O4149"/>
      <c r="R4149"/>
      <c r="S4149"/>
      <c r="T4149"/>
      <c r="U4149"/>
    </row>
    <row r="4150" spans="6:21" x14ac:dyDescent="0.25">
      <c r="F4150"/>
      <c r="O4150"/>
      <c r="R4150"/>
      <c r="S4150"/>
      <c r="T4150"/>
      <c r="U4150"/>
    </row>
    <row r="4151" spans="6:21" x14ac:dyDescent="0.25">
      <c r="F4151"/>
      <c r="O4151"/>
      <c r="R4151"/>
      <c r="S4151"/>
      <c r="T4151"/>
      <c r="U4151"/>
    </row>
    <row r="4152" spans="6:21" x14ac:dyDescent="0.25">
      <c r="F4152"/>
      <c r="O4152"/>
      <c r="R4152"/>
      <c r="S4152"/>
      <c r="T4152"/>
      <c r="U4152"/>
    </row>
    <row r="4153" spans="6:21" x14ac:dyDescent="0.25">
      <c r="F4153"/>
      <c r="O4153"/>
      <c r="R4153"/>
      <c r="S4153"/>
      <c r="T4153"/>
      <c r="U4153"/>
    </row>
    <row r="4154" spans="6:21" x14ac:dyDescent="0.25">
      <c r="F4154"/>
      <c r="O4154"/>
      <c r="R4154"/>
      <c r="S4154"/>
      <c r="T4154"/>
      <c r="U4154"/>
    </row>
    <row r="4155" spans="6:21" x14ac:dyDescent="0.25">
      <c r="F4155"/>
      <c r="O4155"/>
      <c r="R4155"/>
      <c r="S4155"/>
      <c r="T4155"/>
      <c r="U4155"/>
    </row>
    <row r="4156" spans="6:21" x14ac:dyDescent="0.25">
      <c r="F4156"/>
      <c r="O4156"/>
      <c r="R4156"/>
      <c r="S4156"/>
      <c r="T4156"/>
      <c r="U4156"/>
    </row>
    <row r="4157" spans="6:21" x14ac:dyDescent="0.25">
      <c r="F4157"/>
      <c r="O4157"/>
      <c r="R4157"/>
      <c r="S4157"/>
      <c r="T4157"/>
      <c r="U4157"/>
    </row>
    <row r="4158" spans="6:21" x14ac:dyDescent="0.25">
      <c r="F4158"/>
      <c r="O4158"/>
      <c r="R4158"/>
      <c r="S4158"/>
      <c r="T4158"/>
      <c r="U4158"/>
    </row>
    <row r="4159" spans="6:21" x14ac:dyDescent="0.25">
      <c r="F4159"/>
      <c r="O4159"/>
      <c r="R4159"/>
      <c r="S4159"/>
      <c r="T4159"/>
      <c r="U4159"/>
    </row>
    <row r="4160" spans="6:21" x14ac:dyDescent="0.25">
      <c r="F4160"/>
      <c r="O4160"/>
      <c r="R4160"/>
      <c r="S4160"/>
      <c r="T4160"/>
      <c r="U4160"/>
    </row>
    <row r="4161" spans="6:21" x14ac:dyDescent="0.25">
      <c r="F4161"/>
      <c r="O4161"/>
      <c r="R4161"/>
      <c r="S4161"/>
      <c r="T4161"/>
      <c r="U4161"/>
    </row>
    <row r="4162" spans="6:21" x14ac:dyDescent="0.25">
      <c r="F4162"/>
      <c r="O4162"/>
      <c r="R4162"/>
      <c r="S4162"/>
      <c r="T4162"/>
      <c r="U4162"/>
    </row>
    <row r="4163" spans="6:21" x14ac:dyDescent="0.25">
      <c r="F4163"/>
      <c r="O4163"/>
      <c r="R4163"/>
      <c r="S4163"/>
      <c r="T4163"/>
      <c r="U4163"/>
    </row>
    <row r="4164" spans="6:21" x14ac:dyDescent="0.25">
      <c r="F4164"/>
      <c r="O4164"/>
      <c r="R4164"/>
      <c r="S4164"/>
      <c r="T4164"/>
      <c r="U4164"/>
    </row>
    <row r="4165" spans="6:21" x14ac:dyDescent="0.25">
      <c r="F4165"/>
      <c r="O4165"/>
      <c r="R4165"/>
      <c r="S4165"/>
      <c r="T4165"/>
      <c r="U4165"/>
    </row>
    <row r="4166" spans="6:21" x14ac:dyDescent="0.25">
      <c r="F4166"/>
      <c r="O4166"/>
      <c r="R4166"/>
      <c r="S4166"/>
      <c r="T4166"/>
      <c r="U4166"/>
    </row>
    <row r="4167" spans="6:21" x14ac:dyDescent="0.25">
      <c r="F4167"/>
      <c r="O4167"/>
      <c r="R4167"/>
      <c r="S4167"/>
      <c r="T4167"/>
      <c r="U4167"/>
    </row>
    <row r="4168" spans="6:21" x14ac:dyDescent="0.25">
      <c r="F4168"/>
      <c r="O4168"/>
      <c r="R4168"/>
      <c r="S4168"/>
      <c r="T4168"/>
      <c r="U4168"/>
    </row>
    <row r="4169" spans="6:21" x14ac:dyDescent="0.25">
      <c r="F4169"/>
      <c r="O4169"/>
      <c r="R4169"/>
      <c r="S4169"/>
      <c r="T4169"/>
      <c r="U4169"/>
    </row>
    <row r="4170" spans="6:21" x14ac:dyDescent="0.25">
      <c r="F4170"/>
      <c r="O4170"/>
      <c r="R4170"/>
      <c r="S4170"/>
      <c r="T4170"/>
      <c r="U4170"/>
    </row>
    <row r="4171" spans="6:21" x14ac:dyDescent="0.25">
      <c r="F4171"/>
      <c r="O4171"/>
      <c r="R4171"/>
      <c r="S4171"/>
      <c r="T4171"/>
      <c r="U4171"/>
    </row>
    <row r="4172" spans="6:21" x14ac:dyDescent="0.25">
      <c r="F4172"/>
      <c r="O4172"/>
      <c r="R4172"/>
      <c r="S4172"/>
      <c r="T4172"/>
      <c r="U4172"/>
    </row>
    <row r="4173" spans="6:21" x14ac:dyDescent="0.25">
      <c r="F4173"/>
      <c r="O4173"/>
      <c r="R4173"/>
      <c r="S4173"/>
      <c r="T4173"/>
      <c r="U4173"/>
    </row>
    <row r="4174" spans="6:21" x14ac:dyDescent="0.25">
      <c r="F4174"/>
      <c r="O4174"/>
      <c r="R4174"/>
      <c r="S4174"/>
      <c r="T4174"/>
      <c r="U4174"/>
    </row>
    <row r="4175" spans="6:21" x14ac:dyDescent="0.25">
      <c r="F4175"/>
      <c r="O4175"/>
      <c r="R4175"/>
      <c r="S4175"/>
      <c r="T4175"/>
      <c r="U4175"/>
    </row>
    <row r="4176" spans="6:21" x14ac:dyDescent="0.25">
      <c r="F4176"/>
      <c r="O4176"/>
      <c r="R4176"/>
      <c r="S4176"/>
      <c r="T4176"/>
      <c r="U4176"/>
    </row>
    <row r="4177" spans="6:21" x14ac:dyDescent="0.25">
      <c r="F4177"/>
      <c r="O4177"/>
      <c r="R4177"/>
      <c r="S4177"/>
      <c r="T4177"/>
      <c r="U4177"/>
    </row>
    <row r="4178" spans="6:21" x14ac:dyDescent="0.25">
      <c r="F4178"/>
      <c r="O4178"/>
      <c r="R4178"/>
      <c r="S4178"/>
      <c r="T4178"/>
      <c r="U4178"/>
    </row>
    <row r="4179" spans="6:21" x14ac:dyDescent="0.25">
      <c r="F4179"/>
      <c r="O4179"/>
      <c r="R4179"/>
      <c r="S4179"/>
      <c r="T4179"/>
      <c r="U4179"/>
    </row>
    <row r="4180" spans="6:21" x14ac:dyDescent="0.25">
      <c r="F4180"/>
      <c r="O4180"/>
      <c r="R4180"/>
      <c r="S4180"/>
      <c r="T4180"/>
      <c r="U4180"/>
    </row>
    <row r="4181" spans="6:21" x14ac:dyDescent="0.25">
      <c r="F4181"/>
      <c r="O4181"/>
      <c r="R4181"/>
      <c r="S4181"/>
      <c r="T4181"/>
      <c r="U4181"/>
    </row>
    <row r="4182" spans="6:21" x14ac:dyDescent="0.25">
      <c r="F4182"/>
      <c r="O4182"/>
      <c r="R4182"/>
      <c r="S4182"/>
      <c r="T4182"/>
      <c r="U4182"/>
    </row>
    <row r="4183" spans="6:21" x14ac:dyDescent="0.25">
      <c r="F4183"/>
      <c r="O4183"/>
      <c r="R4183"/>
      <c r="S4183"/>
      <c r="T4183"/>
      <c r="U4183"/>
    </row>
    <row r="4184" spans="6:21" x14ac:dyDescent="0.25">
      <c r="F4184"/>
      <c r="O4184"/>
      <c r="R4184"/>
      <c r="S4184"/>
      <c r="T4184"/>
      <c r="U4184"/>
    </row>
    <row r="4185" spans="6:21" x14ac:dyDescent="0.25">
      <c r="F4185"/>
      <c r="O4185"/>
      <c r="R4185"/>
      <c r="S4185"/>
      <c r="T4185"/>
      <c r="U4185"/>
    </row>
    <row r="4186" spans="6:21" x14ac:dyDescent="0.25">
      <c r="F4186"/>
      <c r="O4186"/>
      <c r="R4186"/>
      <c r="S4186"/>
      <c r="T4186"/>
      <c r="U4186"/>
    </row>
    <row r="4187" spans="6:21" x14ac:dyDescent="0.25">
      <c r="F4187"/>
      <c r="O4187"/>
      <c r="R4187"/>
      <c r="S4187"/>
      <c r="T4187"/>
      <c r="U4187"/>
    </row>
    <row r="4188" spans="6:21" x14ac:dyDescent="0.25">
      <c r="F4188"/>
      <c r="O4188"/>
      <c r="R4188"/>
      <c r="S4188"/>
      <c r="T4188"/>
      <c r="U4188"/>
    </row>
    <row r="4189" spans="6:21" x14ac:dyDescent="0.25">
      <c r="F4189"/>
      <c r="O4189"/>
      <c r="R4189"/>
      <c r="S4189"/>
      <c r="T4189"/>
      <c r="U4189"/>
    </row>
    <row r="4190" spans="6:21" x14ac:dyDescent="0.25">
      <c r="F4190"/>
      <c r="O4190"/>
      <c r="R4190"/>
      <c r="S4190"/>
      <c r="T4190"/>
      <c r="U4190"/>
    </row>
    <row r="4191" spans="6:21" x14ac:dyDescent="0.25">
      <c r="F4191"/>
      <c r="O4191"/>
      <c r="R4191"/>
      <c r="S4191"/>
      <c r="T4191"/>
      <c r="U4191"/>
    </row>
    <row r="4192" spans="6:21" x14ac:dyDescent="0.25">
      <c r="F4192"/>
      <c r="O4192"/>
      <c r="R4192"/>
      <c r="S4192"/>
      <c r="T4192"/>
      <c r="U4192"/>
    </row>
    <row r="4193" spans="6:21" x14ac:dyDescent="0.25">
      <c r="F4193"/>
      <c r="O4193"/>
      <c r="R4193"/>
      <c r="S4193"/>
      <c r="T4193"/>
      <c r="U4193"/>
    </row>
    <row r="4194" spans="6:21" x14ac:dyDescent="0.25">
      <c r="F4194"/>
      <c r="O4194"/>
      <c r="R4194"/>
      <c r="S4194"/>
      <c r="T4194"/>
      <c r="U4194"/>
    </row>
    <row r="4195" spans="6:21" x14ac:dyDescent="0.25">
      <c r="F4195"/>
      <c r="O4195"/>
      <c r="R4195"/>
      <c r="S4195"/>
      <c r="T4195"/>
      <c r="U4195"/>
    </row>
    <row r="4196" spans="6:21" x14ac:dyDescent="0.25">
      <c r="F4196"/>
      <c r="O4196"/>
      <c r="R4196"/>
      <c r="S4196"/>
      <c r="T4196"/>
      <c r="U4196"/>
    </row>
    <row r="4197" spans="6:21" x14ac:dyDescent="0.25">
      <c r="F4197"/>
      <c r="O4197"/>
      <c r="R4197"/>
      <c r="S4197"/>
      <c r="T4197"/>
      <c r="U4197"/>
    </row>
    <row r="4198" spans="6:21" x14ac:dyDescent="0.25">
      <c r="F4198"/>
      <c r="O4198"/>
      <c r="R4198"/>
      <c r="S4198"/>
      <c r="T4198"/>
      <c r="U4198"/>
    </row>
    <row r="4199" spans="6:21" x14ac:dyDescent="0.25">
      <c r="F4199"/>
      <c r="O4199"/>
      <c r="R4199"/>
      <c r="S4199"/>
      <c r="T4199"/>
      <c r="U4199"/>
    </row>
    <row r="4200" spans="6:21" x14ac:dyDescent="0.25">
      <c r="F4200"/>
      <c r="O4200"/>
      <c r="R4200"/>
      <c r="S4200"/>
      <c r="T4200"/>
      <c r="U4200"/>
    </row>
    <row r="4201" spans="6:21" x14ac:dyDescent="0.25">
      <c r="F4201"/>
      <c r="O4201"/>
      <c r="R4201"/>
      <c r="S4201"/>
      <c r="T4201"/>
      <c r="U4201"/>
    </row>
    <row r="4202" spans="6:21" x14ac:dyDescent="0.25">
      <c r="F4202"/>
      <c r="O4202"/>
      <c r="R4202"/>
      <c r="S4202"/>
      <c r="T4202"/>
      <c r="U4202"/>
    </row>
    <row r="4203" spans="6:21" x14ac:dyDescent="0.25">
      <c r="F4203"/>
      <c r="O4203"/>
      <c r="R4203"/>
      <c r="S4203"/>
      <c r="T4203"/>
      <c r="U4203"/>
    </row>
    <row r="4204" spans="6:21" x14ac:dyDescent="0.25">
      <c r="F4204"/>
      <c r="O4204"/>
      <c r="R4204"/>
      <c r="S4204"/>
      <c r="T4204"/>
      <c r="U4204"/>
    </row>
    <row r="4205" spans="6:21" x14ac:dyDescent="0.25">
      <c r="F4205"/>
      <c r="O4205"/>
      <c r="R4205"/>
      <c r="S4205"/>
      <c r="T4205"/>
      <c r="U4205"/>
    </row>
    <row r="4206" spans="6:21" x14ac:dyDescent="0.25">
      <c r="F4206"/>
      <c r="O4206"/>
      <c r="R4206"/>
      <c r="S4206"/>
      <c r="T4206"/>
      <c r="U4206"/>
    </row>
    <row r="4207" spans="6:21" x14ac:dyDescent="0.25">
      <c r="F4207"/>
      <c r="O4207"/>
      <c r="R4207"/>
      <c r="S4207"/>
      <c r="T4207"/>
      <c r="U4207"/>
    </row>
    <row r="4208" spans="6:21" x14ac:dyDescent="0.25">
      <c r="F4208"/>
      <c r="O4208"/>
      <c r="R4208"/>
      <c r="S4208"/>
      <c r="T4208"/>
      <c r="U4208"/>
    </row>
    <row r="4209" spans="6:21" x14ac:dyDescent="0.25">
      <c r="F4209"/>
      <c r="O4209"/>
      <c r="R4209"/>
      <c r="S4209"/>
      <c r="T4209"/>
      <c r="U4209"/>
    </row>
    <row r="4210" spans="6:21" x14ac:dyDescent="0.25">
      <c r="F4210"/>
      <c r="O4210"/>
      <c r="R4210"/>
      <c r="S4210"/>
      <c r="T4210"/>
      <c r="U4210"/>
    </row>
    <row r="4211" spans="6:21" x14ac:dyDescent="0.25">
      <c r="F4211"/>
      <c r="O4211"/>
      <c r="R4211"/>
      <c r="S4211"/>
      <c r="T4211"/>
      <c r="U4211"/>
    </row>
    <row r="4212" spans="6:21" x14ac:dyDescent="0.25">
      <c r="F4212"/>
      <c r="O4212"/>
      <c r="R4212"/>
      <c r="S4212"/>
      <c r="T4212"/>
      <c r="U4212"/>
    </row>
    <row r="4213" spans="6:21" x14ac:dyDescent="0.25">
      <c r="F4213"/>
      <c r="O4213"/>
      <c r="R4213"/>
      <c r="S4213"/>
      <c r="T4213"/>
      <c r="U4213"/>
    </row>
    <row r="4214" spans="6:21" x14ac:dyDescent="0.25">
      <c r="F4214"/>
      <c r="O4214"/>
      <c r="R4214"/>
      <c r="S4214"/>
      <c r="T4214"/>
      <c r="U4214"/>
    </row>
    <row r="4215" spans="6:21" x14ac:dyDescent="0.25">
      <c r="F4215"/>
      <c r="O4215"/>
      <c r="R4215"/>
      <c r="S4215"/>
      <c r="T4215"/>
      <c r="U4215"/>
    </row>
    <row r="4216" spans="6:21" x14ac:dyDescent="0.25">
      <c r="F4216"/>
      <c r="O4216"/>
      <c r="R4216"/>
      <c r="S4216"/>
      <c r="T4216"/>
      <c r="U4216"/>
    </row>
    <row r="4217" spans="6:21" x14ac:dyDescent="0.25">
      <c r="F4217"/>
      <c r="O4217"/>
      <c r="R4217"/>
      <c r="S4217"/>
      <c r="T4217"/>
      <c r="U4217"/>
    </row>
    <row r="4218" spans="6:21" x14ac:dyDescent="0.25">
      <c r="F4218"/>
      <c r="O4218"/>
      <c r="R4218"/>
      <c r="S4218"/>
      <c r="T4218"/>
      <c r="U4218"/>
    </row>
    <row r="4219" spans="6:21" x14ac:dyDescent="0.25">
      <c r="F4219"/>
      <c r="O4219"/>
      <c r="R4219"/>
      <c r="S4219"/>
      <c r="T4219"/>
      <c r="U4219"/>
    </row>
    <row r="4220" spans="6:21" x14ac:dyDescent="0.25">
      <c r="F4220"/>
      <c r="O4220"/>
      <c r="R4220"/>
      <c r="S4220"/>
      <c r="T4220"/>
      <c r="U4220"/>
    </row>
    <row r="4221" spans="6:21" x14ac:dyDescent="0.25">
      <c r="F4221"/>
      <c r="O4221"/>
      <c r="R4221"/>
      <c r="S4221"/>
      <c r="T4221"/>
      <c r="U4221"/>
    </row>
    <row r="4222" spans="6:21" x14ac:dyDescent="0.25">
      <c r="F4222"/>
      <c r="O4222"/>
      <c r="R4222"/>
      <c r="S4222"/>
      <c r="T4222"/>
      <c r="U4222"/>
    </row>
    <row r="4223" spans="6:21" x14ac:dyDescent="0.25">
      <c r="F4223"/>
      <c r="O4223"/>
      <c r="R4223"/>
      <c r="S4223"/>
      <c r="T4223"/>
      <c r="U4223"/>
    </row>
    <row r="4224" spans="6:21" x14ac:dyDescent="0.25">
      <c r="F4224"/>
      <c r="O4224"/>
      <c r="R4224"/>
      <c r="S4224"/>
      <c r="T4224"/>
      <c r="U4224"/>
    </row>
    <row r="4225" spans="6:21" x14ac:dyDescent="0.25">
      <c r="F4225"/>
      <c r="O4225"/>
      <c r="R4225"/>
      <c r="S4225"/>
      <c r="T4225"/>
      <c r="U4225"/>
    </row>
    <row r="4226" spans="6:21" x14ac:dyDescent="0.25">
      <c r="F4226"/>
      <c r="O4226"/>
      <c r="R4226"/>
      <c r="S4226"/>
      <c r="T4226"/>
      <c r="U4226"/>
    </row>
    <row r="4227" spans="6:21" x14ac:dyDescent="0.25">
      <c r="F4227"/>
      <c r="O4227"/>
      <c r="R4227"/>
      <c r="S4227"/>
      <c r="T4227"/>
      <c r="U4227"/>
    </row>
    <row r="4228" spans="6:21" x14ac:dyDescent="0.25">
      <c r="F4228"/>
      <c r="O4228"/>
      <c r="R4228"/>
      <c r="S4228"/>
      <c r="T4228"/>
      <c r="U4228"/>
    </row>
    <row r="4229" spans="6:21" x14ac:dyDescent="0.25">
      <c r="F4229"/>
      <c r="O4229"/>
      <c r="R4229"/>
      <c r="S4229"/>
      <c r="T4229"/>
      <c r="U4229"/>
    </row>
    <row r="4230" spans="6:21" x14ac:dyDescent="0.25">
      <c r="F4230"/>
      <c r="O4230"/>
      <c r="R4230"/>
      <c r="S4230"/>
      <c r="T4230"/>
      <c r="U4230"/>
    </row>
    <row r="4231" spans="6:21" x14ac:dyDescent="0.25">
      <c r="F4231"/>
      <c r="O4231"/>
      <c r="R4231"/>
      <c r="S4231"/>
      <c r="T4231"/>
      <c r="U4231"/>
    </row>
    <row r="4232" spans="6:21" x14ac:dyDescent="0.25">
      <c r="F4232"/>
      <c r="O4232"/>
      <c r="R4232"/>
      <c r="S4232"/>
      <c r="T4232"/>
      <c r="U4232"/>
    </row>
    <row r="4233" spans="6:21" x14ac:dyDescent="0.25">
      <c r="F4233"/>
      <c r="O4233"/>
      <c r="R4233"/>
      <c r="S4233"/>
      <c r="T4233"/>
      <c r="U4233"/>
    </row>
    <row r="4234" spans="6:21" x14ac:dyDescent="0.25">
      <c r="F4234"/>
      <c r="O4234"/>
      <c r="R4234"/>
      <c r="S4234"/>
      <c r="T4234"/>
      <c r="U4234"/>
    </row>
    <row r="4235" spans="6:21" x14ac:dyDescent="0.25">
      <c r="F4235"/>
      <c r="O4235"/>
      <c r="R4235"/>
      <c r="S4235"/>
      <c r="T4235"/>
      <c r="U4235"/>
    </row>
    <row r="4236" spans="6:21" x14ac:dyDescent="0.25">
      <c r="F4236"/>
      <c r="O4236"/>
      <c r="R4236"/>
      <c r="S4236"/>
      <c r="T4236"/>
      <c r="U4236"/>
    </row>
    <row r="4237" spans="6:21" x14ac:dyDescent="0.25">
      <c r="F4237"/>
      <c r="O4237"/>
      <c r="R4237"/>
      <c r="S4237"/>
      <c r="T4237"/>
      <c r="U4237"/>
    </row>
    <row r="4238" spans="6:21" x14ac:dyDescent="0.25">
      <c r="F4238"/>
      <c r="O4238"/>
      <c r="R4238"/>
      <c r="S4238"/>
      <c r="T4238"/>
      <c r="U4238"/>
    </row>
    <row r="4239" spans="6:21" x14ac:dyDescent="0.25">
      <c r="F4239"/>
      <c r="O4239"/>
      <c r="R4239"/>
      <c r="S4239"/>
      <c r="T4239"/>
      <c r="U4239"/>
    </row>
    <row r="4240" spans="6:21" x14ac:dyDescent="0.25">
      <c r="F4240"/>
      <c r="O4240"/>
      <c r="R4240"/>
      <c r="S4240"/>
      <c r="T4240"/>
      <c r="U4240"/>
    </row>
    <row r="4241" spans="6:21" x14ac:dyDescent="0.25">
      <c r="F4241"/>
      <c r="O4241"/>
      <c r="R4241"/>
      <c r="S4241"/>
      <c r="T4241"/>
      <c r="U4241"/>
    </row>
    <row r="4242" spans="6:21" x14ac:dyDescent="0.25">
      <c r="F4242"/>
      <c r="O4242"/>
      <c r="R4242"/>
      <c r="S4242"/>
      <c r="T4242"/>
      <c r="U4242"/>
    </row>
    <row r="4243" spans="6:21" x14ac:dyDescent="0.25">
      <c r="F4243"/>
      <c r="O4243"/>
      <c r="R4243"/>
      <c r="S4243"/>
      <c r="T4243"/>
      <c r="U4243"/>
    </row>
    <row r="4244" spans="6:21" x14ac:dyDescent="0.25">
      <c r="F4244"/>
      <c r="O4244"/>
      <c r="R4244"/>
      <c r="S4244"/>
      <c r="T4244"/>
      <c r="U4244"/>
    </row>
    <row r="4245" spans="6:21" x14ac:dyDescent="0.25">
      <c r="F4245"/>
      <c r="O4245"/>
      <c r="R4245"/>
      <c r="S4245"/>
      <c r="T4245"/>
      <c r="U4245"/>
    </row>
    <row r="4246" spans="6:21" x14ac:dyDescent="0.25">
      <c r="F4246"/>
      <c r="O4246"/>
      <c r="R4246"/>
      <c r="S4246"/>
      <c r="T4246"/>
      <c r="U4246"/>
    </row>
    <row r="4247" spans="6:21" x14ac:dyDescent="0.25">
      <c r="F4247"/>
      <c r="O4247"/>
      <c r="R4247"/>
      <c r="S4247"/>
      <c r="T4247"/>
      <c r="U4247"/>
    </row>
    <row r="4248" spans="6:21" x14ac:dyDescent="0.25">
      <c r="F4248"/>
      <c r="O4248"/>
      <c r="R4248"/>
      <c r="S4248"/>
      <c r="T4248"/>
      <c r="U4248"/>
    </row>
    <row r="4249" spans="6:21" x14ac:dyDescent="0.25">
      <c r="F4249"/>
      <c r="O4249"/>
      <c r="R4249"/>
      <c r="S4249"/>
      <c r="T4249"/>
      <c r="U4249"/>
    </row>
    <row r="4250" spans="6:21" x14ac:dyDescent="0.25">
      <c r="F4250"/>
      <c r="O4250"/>
      <c r="R4250"/>
      <c r="S4250"/>
      <c r="T4250"/>
      <c r="U4250"/>
    </row>
    <row r="4251" spans="6:21" x14ac:dyDescent="0.25">
      <c r="F4251"/>
      <c r="O4251"/>
      <c r="R4251"/>
      <c r="S4251"/>
      <c r="T4251"/>
      <c r="U4251"/>
    </row>
    <row r="4252" spans="6:21" x14ac:dyDescent="0.25">
      <c r="F4252"/>
      <c r="O4252"/>
      <c r="R4252"/>
      <c r="S4252"/>
      <c r="T4252"/>
      <c r="U4252"/>
    </row>
    <row r="4253" spans="6:21" x14ac:dyDescent="0.25">
      <c r="F4253"/>
      <c r="O4253"/>
      <c r="R4253"/>
      <c r="S4253"/>
      <c r="T4253"/>
      <c r="U4253"/>
    </row>
    <row r="4254" spans="6:21" x14ac:dyDescent="0.25">
      <c r="F4254"/>
      <c r="O4254"/>
      <c r="R4254"/>
      <c r="S4254"/>
      <c r="T4254"/>
      <c r="U4254"/>
    </row>
    <row r="4255" spans="6:21" x14ac:dyDescent="0.25">
      <c r="F4255"/>
      <c r="O4255"/>
      <c r="R4255"/>
      <c r="S4255"/>
      <c r="T4255"/>
      <c r="U4255"/>
    </row>
    <row r="4256" spans="6:21" x14ac:dyDescent="0.25">
      <c r="F4256"/>
      <c r="O4256"/>
      <c r="R4256"/>
      <c r="S4256"/>
      <c r="T4256"/>
      <c r="U4256"/>
    </row>
    <row r="4257" spans="6:21" x14ac:dyDescent="0.25">
      <c r="F4257"/>
      <c r="O4257"/>
      <c r="R4257"/>
      <c r="S4257"/>
      <c r="T4257"/>
      <c r="U4257"/>
    </row>
    <row r="4258" spans="6:21" x14ac:dyDescent="0.25">
      <c r="F4258"/>
      <c r="O4258"/>
      <c r="R4258"/>
      <c r="S4258"/>
      <c r="T4258"/>
      <c r="U4258"/>
    </row>
    <row r="4259" spans="6:21" x14ac:dyDescent="0.25">
      <c r="F4259"/>
      <c r="O4259"/>
      <c r="R4259"/>
      <c r="S4259"/>
      <c r="T4259"/>
      <c r="U4259"/>
    </row>
    <row r="4260" spans="6:21" x14ac:dyDescent="0.25">
      <c r="F4260"/>
      <c r="O4260"/>
      <c r="R4260"/>
      <c r="S4260"/>
      <c r="T4260"/>
      <c r="U4260"/>
    </row>
    <row r="4261" spans="6:21" x14ac:dyDescent="0.25">
      <c r="F4261"/>
      <c r="O4261"/>
      <c r="R4261"/>
      <c r="S4261"/>
      <c r="T4261"/>
      <c r="U4261"/>
    </row>
    <row r="4262" spans="6:21" x14ac:dyDescent="0.25">
      <c r="F4262"/>
      <c r="O4262"/>
      <c r="R4262"/>
      <c r="S4262"/>
      <c r="T4262"/>
      <c r="U4262"/>
    </row>
    <row r="4263" spans="6:21" x14ac:dyDescent="0.25">
      <c r="F4263"/>
      <c r="O4263"/>
      <c r="R4263"/>
      <c r="S4263"/>
      <c r="T4263"/>
      <c r="U4263"/>
    </row>
    <row r="4264" spans="6:21" x14ac:dyDescent="0.25">
      <c r="F4264"/>
      <c r="O4264"/>
      <c r="R4264"/>
      <c r="S4264"/>
      <c r="T4264"/>
      <c r="U4264"/>
    </row>
    <row r="4265" spans="6:21" x14ac:dyDescent="0.25">
      <c r="F4265"/>
      <c r="O4265"/>
      <c r="R4265"/>
      <c r="S4265"/>
      <c r="T4265"/>
      <c r="U4265"/>
    </row>
    <row r="4266" spans="6:21" x14ac:dyDescent="0.25">
      <c r="F4266"/>
      <c r="O4266"/>
      <c r="R4266"/>
      <c r="S4266"/>
      <c r="T4266"/>
      <c r="U4266"/>
    </row>
    <row r="4267" spans="6:21" x14ac:dyDescent="0.25">
      <c r="F4267"/>
      <c r="O4267"/>
      <c r="R4267"/>
      <c r="S4267"/>
      <c r="T4267"/>
      <c r="U4267"/>
    </row>
    <row r="4268" spans="6:21" x14ac:dyDescent="0.25">
      <c r="F4268"/>
      <c r="O4268"/>
      <c r="R4268"/>
      <c r="S4268"/>
      <c r="T4268"/>
      <c r="U4268"/>
    </row>
    <row r="4269" spans="6:21" x14ac:dyDescent="0.25">
      <c r="F4269"/>
      <c r="O4269"/>
      <c r="R4269"/>
      <c r="S4269"/>
      <c r="T4269"/>
      <c r="U4269"/>
    </row>
    <row r="4270" spans="6:21" x14ac:dyDescent="0.25">
      <c r="F4270"/>
      <c r="O4270"/>
      <c r="R4270"/>
      <c r="S4270"/>
      <c r="T4270"/>
      <c r="U4270"/>
    </row>
    <row r="4271" spans="6:21" x14ac:dyDescent="0.25">
      <c r="F4271"/>
      <c r="O4271"/>
      <c r="R4271"/>
      <c r="S4271"/>
      <c r="T4271"/>
      <c r="U4271"/>
    </row>
    <row r="4272" spans="6:21" x14ac:dyDescent="0.25">
      <c r="F4272"/>
      <c r="O4272"/>
      <c r="R4272"/>
      <c r="S4272"/>
      <c r="T4272"/>
      <c r="U4272"/>
    </row>
    <row r="4273" spans="6:21" x14ac:dyDescent="0.25">
      <c r="F4273"/>
      <c r="O4273"/>
      <c r="R4273"/>
      <c r="S4273"/>
      <c r="T4273"/>
      <c r="U4273"/>
    </row>
    <row r="4274" spans="6:21" x14ac:dyDescent="0.25">
      <c r="F4274"/>
      <c r="O4274"/>
      <c r="R4274"/>
      <c r="S4274"/>
      <c r="T4274"/>
      <c r="U4274"/>
    </row>
    <row r="4275" spans="6:21" x14ac:dyDescent="0.25">
      <c r="F4275"/>
      <c r="O4275"/>
      <c r="R4275"/>
      <c r="S4275"/>
      <c r="T4275"/>
      <c r="U4275"/>
    </row>
    <row r="4276" spans="6:21" x14ac:dyDescent="0.25">
      <c r="F4276"/>
      <c r="O4276"/>
      <c r="R4276"/>
      <c r="S4276"/>
      <c r="T4276"/>
      <c r="U4276"/>
    </row>
    <row r="4277" spans="6:21" x14ac:dyDescent="0.25">
      <c r="F4277"/>
      <c r="O4277"/>
      <c r="R4277"/>
      <c r="S4277"/>
      <c r="T4277"/>
      <c r="U4277"/>
    </row>
    <row r="4278" spans="6:21" x14ac:dyDescent="0.25">
      <c r="F4278"/>
      <c r="O4278"/>
      <c r="R4278"/>
      <c r="S4278"/>
      <c r="T4278"/>
      <c r="U4278"/>
    </row>
    <row r="4279" spans="6:21" x14ac:dyDescent="0.25">
      <c r="F4279"/>
      <c r="O4279"/>
      <c r="R4279"/>
      <c r="S4279"/>
      <c r="T4279"/>
      <c r="U4279"/>
    </row>
    <row r="4280" spans="6:21" x14ac:dyDescent="0.25">
      <c r="F4280"/>
      <c r="O4280"/>
      <c r="R4280"/>
      <c r="S4280"/>
      <c r="T4280"/>
      <c r="U4280"/>
    </row>
    <row r="4281" spans="6:21" x14ac:dyDescent="0.25">
      <c r="F4281"/>
      <c r="O4281"/>
      <c r="R4281"/>
      <c r="S4281"/>
      <c r="T4281"/>
      <c r="U4281"/>
    </row>
    <row r="4282" spans="6:21" x14ac:dyDescent="0.25">
      <c r="F4282"/>
      <c r="O4282"/>
      <c r="R4282"/>
      <c r="S4282"/>
      <c r="T4282"/>
      <c r="U4282"/>
    </row>
    <row r="4283" spans="6:21" x14ac:dyDescent="0.25">
      <c r="F4283"/>
      <c r="O4283"/>
      <c r="R4283"/>
      <c r="S4283"/>
      <c r="T4283"/>
      <c r="U4283"/>
    </row>
    <row r="4284" spans="6:21" x14ac:dyDescent="0.25">
      <c r="F4284"/>
      <c r="O4284"/>
      <c r="R4284"/>
      <c r="S4284"/>
      <c r="T4284"/>
      <c r="U4284"/>
    </row>
    <row r="4285" spans="6:21" x14ac:dyDescent="0.25">
      <c r="F4285"/>
      <c r="O4285"/>
      <c r="R4285"/>
      <c r="S4285"/>
      <c r="T4285"/>
      <c r="U4285"/>
    </row>
    <row r="4286" spans="6:21" x14ac:dyDescent="0.25">
      <c r="F4286"/>
      <c r="O4286"/>
      <c r="R4286"/>
      <c r="S4286"/>
      <c r="T4286"/>
      <c r="U4286"/>
    </row>
    <row r="4287" spans="6:21" x14ac:dyDescent="0.25">
      <c r="F4287"/>
      <c r="O4287"/>
      <c r="R4287"/>
      <c r="S4287"/>
      <c r="T4287"/>
      <c r="U4287"/>
    </row>
    <row r="4288" spans="6:21" x14ac:dyDescent="0.25">
      <c r="F4288"/>
      <c r="O4288"/>
      <c r="R4288"/>
      <c r="S4288"/>
      <c r="T4288"/>
      <c r="U4288"/>
    </row>
    <row r="4289" spans="6:21" x14ac:dyDescent="0.25">
      <c r="F4289"/>
      <c r="O4289"/>
      <c r="R4289"/>
      <c r="S4289"/>
      <c r="T4289"/>
      <c r="U4289"/>
    </row>
    <row r="4290" spans="6:21" x14ac:dyDescent="0.25">
      <c r="F4290"/>
      <c r="O4290"/>
      <c r="R4290"/>
      <c r="S4290"/>
      <c r="T4290"/>
      <c r="U4290"/>
    </row>
    <row r="4291" spans="6:21" x14ac:dyDescent="0.25">
      <c r="F4291"/>
      <c r="O4291"/>
      <c r="R4291"/>
      <c r="S4291"/>
      <c r="T4291"/>
      <c r="U4291"/>
    </row>
    <row r="4292" spans="6:21" x14ac:dyDescent="0.25">
      <c r="F4292"/>
      <c r="O4292"/>
      <c r="R4292"/>
      <c r="S4292"/>
      <c r="T4292"/>
      <c r="U4292"/>
    </row>
    <row r="4293" spans="6:21" x14ac:dyDescent="0.25">
      <c r="F4293"/>
      <c r="O4293"/>
      <c r="R4293"/>
      <c r="S4293"/>
      <c r="T4293"/>
      <c r="U4293"/>
    </row>
    <row r="4294" spans="6:21" x14ac:dyDescent="0.25">
      <c r="F4294"/>
      <c r="O4294"/>
      <c r="R4294"/>
      <c r="S4294"/>
      <c r="T4294"/>
      <c r="U4294"/>
    </row>
    <row r="4295" spans="6:21" x14ac:dyDescent="0.25">
      <c r="F4295"/>
      <c r="O4295"/>
      <c r="R4295"/>
      <c r="S4295"/>
      <c r="T4295"/>
      <c r="U4295"/>
    </row>
    <row r="4296" spans="6:21" x14ac:dyDescent="0.25">
      <c r="F4296"/>
      <c r="O4296"/>
      <c r="R4296"/>
      <c r="S4296"/>
      <c r="T4296"/>
      <c r="U4296"/>
    </row>
    <row r="4297" spans="6:21" x14ac:dyDescent="0.25">
      <c r="F4297"/>
      <c r="O4297"/>
      <c r="R4297"/>
      <c r="S4297"/>
      <c r="T4297"/>
      <c r="U4297"/>
    </row>
    <row r="4298" spans="6:21" x14ac:dyDescent="0.25">
      <c r="F4298"/>
      <c r="O4298"/>
      <c r="R4298"/>
      <c r="S4298"/>
      <c r="T4298"/>
      <c r="U4298"/>
    </row>
    <row r="4299" spans="6:21" x14ac:dyDescent="0.25">
      <c r="F4299"/>
      <c r="O4299"/>
      <c r="R4299"/>
      <c r="S4299"/>
      <c r="T4299"/>
      <c r="U4299"/>
    </row>
    <row r="4300" spans="6:21" x14ac:dyDescent="0.25">
      <c r="F4300"/>
      <c r="O4300"/>
      <c r="R4300"/>
      <c r="S4300"/>
      <c r="T4300"/>
      <c r="U4300"/>
    </row>
    <row r="4301" spans="6:21" x14ac:dyDescent="0.25">
      <c r="F4301"/>
      <c r="O4301"/>
      <c r="R4301"/>
      <c r="S4301"/>
      <c r="T4301"/>
      <c r="U4301"/>
    </row>
    <row r="4302" spans="6:21" x14ac:dyDescent="0.25">
      <c r="F4302"/>
      <c r="O4302"/>
      <c r="R4302"/>
      <c r="S4302"/>
      <c r="T4302"/>
      <c r="U4302"/>
    </row>
    <row r="4303" spans="6:21" x14ac:dyDescent="0.25">
      <c r="F4303"/>
      <c r="O4303"/>
      <c r="R4303"/>
      <c r="S4303"/>
      <c r="T4303"/>
      <c r="U4303"/>
    </row>
    <row r="4304" spans="6:21" x14ac:dyDescent="0.25">
      <c r="F4304"/>
      <c r="O4304"/>
      <c r="R4304"/>
      <c r="S4304"/>
      <c r="T4304"/>
      <c r="U4304"/>
    </row>
    <row r="4305" spans="6:21" x14ac:dyDescent="0.25">
      <c r="F4305"/>
      <c r="O4305"/>
      <c r="R4305"/>
      <c r="S4305"/>
      <c r="T4305"/>
      <c r="U4305"/>
    </row>
    <row r="4306" spans="6:21" x14ac:dyDescent="0.25">
      <c r="F4306"/>
      <c r="O4306"/>
      <c r="R4306"/>
      <c r="S4306"/>
      <c r="T4306"/>
      <c r="U4306"/>
    </row>
    <row r="4307" spans="6:21" x14ac:dyDescent="0.25">
      <c r="F4307"/>
      <c r="O4307"/>
      <c r="R4307"/>
      <c r="S4307"/>
      <c r="T4307"/>
      <c r="U4307"/>
    </row>
    <row r="4308" spans="6:21" x14ac:dyDescent="0.25">
      <c r="F4308"/>
      <c r="O4308"/>
      <c r="R4308"/>
      <c r="S4308"/>
      <c r="T4308"/>
      <c r="U4308"/>
    </row>
    <row r="4309" spans="6:21" x14ac:dyDescent="0.25">
      <c r="F4309"/>
      <c r="O4309"/>
      <c r="R4309"/>
      <c r="S4309"/>
      <c r="T4309"/>
      <c r="U4309"/>
    </row>
    <row r="4310" spans="6:21" x14ac:dyDescent="0.25">
      <c r="F4310"/>
      <c r="O4310"/>
      <c r="R4310"/>
      <c r="S4310"/>
      <c r="T4310"/>
      <c r="U4310"/>
    </row>
    <row r="4311" spans="6:21" x14ac:dyDescent="0.25">
      <c r="F4311"/>
      <c r="O4311"/>
      <c r="R4311"/>
      <c r="S4311"/>
      <c r="T4311"/>
      <c r="U4311"/>
    </row>
    <row r="4312" spans="6:21" x14ac:dyDescent="0.25">
      <c r="F4312"/>
      <c r="O4312"/>
      <c r="R4312"/>
      <c r="S4312"/>
      <c r="T4312"/>
      <c r="U4312"/>
    </row>
    <row r="4313" spans="6:21" x14ac:dyDescent="0.25">
      <c r="F4313"/>
      <c r="O4313"/>
      <c r="R4313"/>
      <c r="S4313"/>
      <c r="T4313"/>
      <c r="U4313"/>
    </row>
    <row r="4314" spans="6:21" x14ac:dyDescent="0.25">
      <c r="F4314"/>
      <c r="O4314"/>
      <c r="R4314"/>
      <c r="S4314"/>
      <c r="T4314"/>
      <c r="U4314"/>
    </row>
    <row r="4315" spans="6:21" x14ac:dyDescent="0.25">
      <c r="F4315"/>
      <c r="O4315"/>
      <c r="R4315"/>
      <c r="S4315"/>
      <c r="T4315"/>
      <c r="U4315"/>
    </row>
    <row r="4316" spans="6:21" x14ac:dyDescent="0.25">
      <c r="F4316"/>
      <c r="O4316"/>
      <c r="R4316"/>
      <c r="S4316"/>
      <c r="T4316"/>
      <c r="U4316"/>
    </row>
    <row r="4317" spans="6:21" x14ac:dyDescent="0.25">
      <c r="F4317"/>
      <c r="O4317"/>
      <c r="R4317"/>
      <c r="S4317"/>
      <c r="T4317"/>
      <c r="U4317"/>
    </row>
    <row r="4318" spans="6:21" x14ac:dyDescent="0.25">
      <c r="F4318"/>
      <c r="O4318"/>
      <c r="R4318"/>
      <c r="S4318"/>
      <c r="T4318"/>
      <c r="U4318"/>
    </row>
    <row r="4319" spans="6:21" x14ac:dyDescent="0.25">
      <c r="F4319"/>
      <c r="O4319"/>
      <c r="R4319"/>
      <c r="S4319"/>
      <c r="T4319"/>
      <c r="U4319"/>
    </row>
    <row r="4320" spans="6:21" x14ac:dyDescent="0.25">
      <c r="F4320"/>
      <c r="O4320"/>
      <c r="R4320"/>
      <c r="S4320"/>
      <c r="T4320"/>
      <c r="U4320"/>
    </row>
    <row r="4321" spans="6:21" x14ac:dyDescent="0.25">
      <c r="F4321"/>
      <c r="O4321"/>
      <c r="R4321"/>
      <c r="S4321"/>
      <c r="T4321"/>
      <c r="U4321"/>
    </row>
    <row r="4322" spans="6:21" x14ac:dyDescent="0.25">
      <c r="F4322"/>
      <c r="O4322"/>
      <c r="R4322"/>
      <c r="S4322"/>
      <c r="T4322"/>
      <c r="U4322"/>
    </row>
    <row r="4323" spans="6:21" x14ac:dyDescent="0.25">
      <c r="F4323"/>
      <c r="O4323"/>
      <c r="R4323"/>
      <c r="S4323"/>
      <c r="T4323"/>
      <c r="U4323"/>
    </row>
    <row r="4324" spans="6:21" x14ac:dyDescent="0.25">
      <c r="F4324"/>
      <c r="O4324"/>
      <c r="R4324"/>
      <c r="S4324"/>
      <c r="T4324"/>
      <c r="U4324"/>
    </row>
    <row r="4325" spans="6:21" x14ac:dyDescent="0.25">
      <c r="F4325"/>
      <c r="O4325"/>
      <c r="R4325"/>
      <c r="S4325"/>
      <c r="T4325"/>
      <c r="U4325"/>
    </row>
    <row r="4326" spans="6:21" x14ac:dyDescent="0.25">
      <c r="F4326"/>
      <c r="O4326"/>
      <c r="R4326"/>
      <c r="S4326"/>
      <c r="T4326"/>
      <c r="U4326"/>
    </row>
    <row r="4327" spans="6:21" x14ac:dyDescent="0.25">
      <c r="F4327"/>
      <c r="O4327"/>
      <c r="R4327"/>
      <c r="S4327"/>
      <c r="T4327"/>
      <c r="U4327"/>
    </row>
    <row r="4328" spans="6:21" x14ac:dyDescent="0.25">
      <c r="F4328"/>
      <c r="O4328"/>
      <c r="R4328"/>
      <c r="S4328"/>
      <c r="T4328"/>
      <c r="U4328"/>
    </row>
    <row r="4329" spans="6:21" x14ac:dyDescent="0.25">
      <c r="F4329"/>
      <c r="O4329"/>
      <c r="R4329"/>
      <c r="S4329"/>
      <c r="T4329"/>
      <c r="U4329"/>
    </row>
    <row r="4330" spans="6:21" x14ac:dyDescent="0.25">
      <c r="F4330"/>
      <c r="O4330"/>
      <c r="R4330"/>
      <c r="S4330"/>
      <c r="T4330"/>
      <c r="U4330"/>
    </row>
    <row r="4331" spans="6:21" x14ac:dyDescent="0.25">
      <c r="F4331"/>
      <c r="O4331"/>
      <c r="R4331"/>
      <c r="S4331"/>
      <c r="T4331"/>
      <c r="U4331"/>
    </row>
    <row r="4332" spans="6:21" x14ac:dyDescent="0.25">
      <c r="F4332"/>
      <c r="O4332"/>
      <c r="R4332"/>
      <c r="S4332"/>
      <c r="T4332"/>
      <c r="U4332"/>
    </row>
    <row r="4333" spans="6:21" x14ac:dyDescent="0.25">
      <c r="F4333"/>
      <c r="O4333"/>
      <c r="R4333"/>
      <c r="S4333"/>
      <c r="T4333"/>
      <c r="U4333"/>
    </row>
    <row r="4334" spans="6:21" x14ac:dyDescent="0.25">
      <c r="F4334"/>
      <c r="O4334"/>
      <c r="R4334"/>
      <c r="S4334"/>
      <c r="T4334"/>
      <c r="U4334"/>
    </row>
    <row r="4335" spans="6:21" x14ac:dyDescent="0.25">
      <c r="F4335"/>
      <c r="O4335"/>
      <c r="R4335"/>
      <c r="S4335"/>
      <c r="T4335"/>
      <c r="U4335"/>
    </row>
    <row r="4336" spans="6:21" x14ac:dyDescent="0.25">
      <c r="F4336"/>
      <c r="O4336"/>
      <c r="R4336"/>
      <c r="S4336"/>
      <c r="T4336"/>
      <c r="U4336"/>
    </row>
    <row r="4337" spans="6:21" x14ac:dyDescent="0.25">
      <c r="F4337"/>
      <c r="O4337"/>
      <c r="R4337"/>
      <c r="S4337"/>
      <c r="T4337"/>
      <c r="U4337"/>
    </row>
    <row r="4338" spans="6:21" x14ac:dyDescent="0.25">
      <c r="F4338"/>
      <c r="O4338"/>
      <c r="R4338"/>
      <c r="S4338"/>
      <c r="T4338"/>
      <c r="U4338"/>
    </row>
    <row r="4339" spans="6:21" x14ac:dyDescent="0.25">
      <c r="F4339"/>
      <c r="O4339"/>
      <c r="R4339"/>
      <c r="S4339"/>
      <c r="T4339"/>
      <c r="U4339"/>
    </row>
    <row r="4340" spans="6:21" x14ac:dyDescent="0.25">
      <c r="F4340"/>
      <c r="O4340"/>
      <c r="R4340"/>
      <c r="S4340"/>
      <c r="T4340"/>
      <c r="U4340"/>
    </row>
    <row r="4341" spans="6:21" x14ac:dyDescent="0.25">
      <c r="F4341"/>
      <c r="O4341"/>
      <c r="R4341"/>
      <c r="S4341"/>
      <c r="T4341"/>
      <c r="U4341"/>
    </row>
    <row r="4342" spans="6:21" x14ac:dyDescent="0.25">
      <c r="F4342"/>
      <c r="O4342"/>
      <c r="R4342"/>
      <c r="S4342"/>
      <c r="T4342"/>
      <c r="U4342"/>
    </row>
    <row r="4343" spans="6:21" x14ac:dyDescent="0.25">
      <c r="F4343"/>
      <c r="O4343"/>
      <c r="R4343"/>
      <c r="S4343"/>
      <c r="T4343"/>
      <c r="U4343"/>
    </row>
    <row r="4344" spans="6:21" x14ac:dyDescent="0.25">
      <c r="F4344"/>
      <c r="O4344"/>
      <c r="R4344"/>
      <c r="S4344"/>
      <c r="T4344"/>
      <c r="U4344"/>
    </row>
    <row r="4345" spans="6:21" x14ac:dyDescent="0.25">
      <c r="F4345"/>
      <c r="O4345"/>
      <c r="R4345"/>
      <c r="S4345"/>
      <c r="T4345"/>
      <c r="U4345"/>
    </row>
    <row r="4346" spans="6:21" x14ac:dyDescent="0.25">
      <c r="F4346"/>
      <c r="O4346"/>
      <c r="R4346"/>
      <c r="S4346"/>
      <c r="T4346"/>
      <c r="U4346"/>
    </row>
    <row r="4347" spans="6:21" x14ac:dyDescent="0.25">
      <c r="F4347"/>
      <c r="O4347"/>
      <c r="R4347"/>
      <c r="S4347"/>
      <c r="T4347"/>
      <c r="U4347"/>
    </row>
    <row r="4348" spans="6:21" x14ac:dyDescent="0.25">
      <c r="F4348"/>
      <c r="O4348"/>
      <c r="R4348"/>
      <c r="S4348"/>
      <c r="T4348"/>
      <c r="U4348"/>
    </row>
    <row r="4349" spans="6:21" x14ac:dyDescent="0.25">
      <c r="F4349"/>
      <c r="O4349"/>
      <c r="R4349"/>
      <c r="S4349"/>
      <c r="T4349"/>
      <c r="U4349"/>
    </row>
    <row r="4350" spans="6:21" x14ac:dyDescent="0.25">
      <c r="F4350"/>
      <c r="O4350"/>
      <c r="R4350"/>
      <c r="S4350"/>
      <c r="T4350"/>
      <c r="U4350"/>
    </row>
    <row r="4351" spans="6:21" x14ac:dyDescent="0.25">
      <c r="F4351"/>
      <c r="O4351"/>
      <c r="R4351"/>
      <c r="S4351"/>
      <c r="T4351"/>
      <c r="U4351"/>
    </row>
    <row r="4352" spans="6:21" x14ac:dyDescent="0.25">
      <c r="F4352"/>
      <c r="O4352"/>
      <c r="R4352"/>
      <c r="S4352"/>
      <c r="T4352"/>
      <c r="U4352"/>
    </row>
    <row r="4353" spans="6:21" x14ac:dyDescent="0.25">
      <c r="F4353"/>
      <c r="O4353"/>
      <c r="R4353"/>
      <c r="S4353"/>
      <c r="T4353"/>
      <c r="U4353"/>
    </row>
    <row r="4354" spans="6:21" x14ac:dyDescent="0.25">
      <c r="F4354"/>
      <c r="O4354"/>
      <c r="R4354"/>
      <c r="S4354"/>
      <c r="T4354"/>
      <c r="U4354"/>
    </row>
    <row r="4355" spans="6:21" x14ac:dyDescent="0.25">
      <c r="F4355"/>
      <c r="O4355"/>
      <c r="R4355"/>
      <c r="S4355"/>
      <c r="T4355"/>
      <c r="U4355"/>
    </row>
    <row r="4356" spans="6:21" x14ac:dyDescent="0.25">
      <c r="F4356"/>
      <c r="O4356"/>
      <c r="R4356"/>
      <c r="S4356"/>
      <c r="T4356"/>
      <c r="U4356"/>
    </row>
    <row r="4357" spans="6:21" x14ac:dyDescent="0.25">
      <c r="F4357"/>
      <c r="O4357"/>
      <c r="R4357"/>
      <c r="S4357"/>
      <c r="T4357"/>
      <c r="U4357"/>
    </row>
    <row r="4358" spans="6:21" x14ac:dyDescent="0.25">
      <c r="F4358"/>
      <c r="O4358"/>
      <c r="R4358"/>
      <c r="S4358"/>
      <c r="T4358"/>
      <c r="U4358"/>
    </row>
    <row r="4359" spans="6:21" x14ac:dyDescent="0.25">
      <c r="F4359"/>
      <c r="O4359"/>
      <c r="R4359"/>
      <c r="S4359"/>
      <c r="T4359"/>
      <c r="U4359"/>
    </row>
    <row r="4360" spans="6:21" x14ac:dyDescent="0.25">
      <c r="F4360"/>
      <c r="O4360"/>
      <c r="R4360"/>
      <c r="S4360"/>
      <c r="T4360"/>
      <c r="U4360"/>
    </row>
    <row r="4361" spans="6:21" x14ac:dyDescent="0.25">
      <c r="F4361"/>
      <c r="O4361"/>
      <c r="R4361"/>
      <c r="S4361"/>
      <c r="T4361"/>
      <c r="U4361"/>
    </row>
    <row r="4362" spans="6:21" x14ac:dyDescent="0.25">
      <c r="F4362"/>
      <c r="O4362"/>
      <c r="R4362"/>
      <c r="S4362"/>
      <c r="T4362"/>
      <c r="U4362"/>
    </row>
    <row r="4363" spans="6:21" x14ac:dyDescent="0.25">
      <c r="F4363"/>
      <c r="O4363"/>
      <c r="R4363"/>
      <c r="S4363"/>
      <c r="T4363"/>
      <c r="U4363"/>
    </row>
    <row r="4364" spans="6:21" x14ac:dyDescent="0.25">
      <c r="F4364"/>
      <c r="O4364"/>
      <c r="R4364"/>
      <c r="S4364"/>
      <c r="T4364"/>
      <c r="U4364"/>
    </row>
    <row r="4365" spans="6:21" x14ac:dyDescent="0.25">
      <c r="F4365"/>
      <c r="O4365"/>
      <c r="R4365"/>
      <c r="S4365"/>
      <c r="T4365"/>
      <c r="U4365"/>
    </row>
    <row r="4366" spans="6:21" x14ac:dyDescent="0.25">
      <c r="F4366"/>
      <c r="O4366"/>
      <c r="R4366"/>
      <c r="S4366"/>
      <c r="T4366"/>
      <c r="U4366"/>
    </row>
    <row r="4367" spans="6:21" x14ac:dyDescent="0.25">
      <c r="F4367"/>
      <c r="O4367"/>
      <c r="R4367"/>
      <c r="S4367"/>
      <c r="T4367"/>
      <c r="U4367"/>
    </row>
    <row r="4368" spans="6:21" x14ac:dyDescent="0.25">
      <c r="F4368"/>
      <c r="O4368"/>
      <c r="R4368"/>
      <c r="S4368"/>
      <c r="T4368"/>
      <c r="U4368"/>
    </row>
    <row r="4369" spans="6:21" x14ac:dyDescent="0.25">
      <c r="F4369"/>
      <c r="O4369"/>
      <c r="R4369"/>
      <c r="S4369"/>
      <c r="T4369"/>
      <c r="U4369"/>
    </row>
    <row r="4370" spans="6:21" x14ac:dyDescent="0.25">
      <c r="F4370"/>
      <c r="O4370"/>
      <c r="R4370"/>
      <c r="S4370"/>
      <c r="T4370"/>
      <c r="U4370"/>
    </row>
    <row r="4371" spans="6:21" x14ac:dyDescent="0.25">
      <c r="F4371"/>
      <c r="O4371"/>
      <c r="R4371"/>
      <c r="S4371"/>
      <c r="T4371"/>
      <c r="U4371"/>
    </row>
    <row r="4372" spans="6:21" x14ac:dyDescent="0.25">
      <c r="F4372"/>
      <c r="O4372"/>
      <c r="R4372"/>
      <c r="S4372"/>
      <c r="T4372"/>
      <c r="U4372"/>
    </row>
    <row r="4373" spans="6:21" x14ac:dyDescent="0.25">
      <c r="F4373"/>
      <c r="O4373"/>
      <c r="R4373"/>
      <c r="S4373"/>
      <c r="T4373"/>
      <c r="U4373"/>
    </row>
    <row r="4374" spans="6:21" x14ac:dyDescent="0.25">
      <c r="F4374"/>
      <c r="O4374"/>
      <c r="R4374"/>
      <c r="S4374"/>
      <c r="T4374"/>
      <c r="U4374"/>
    </row>
    <row r="4375" spans="6:21" x14ac:dyDescent="0.25">
      <c r="F4375"/>
      <c r="O4375"/>
      <c r="R4375"/>
      <c r="S4375"/>
      <c r="T4375"/>
      <c r="U4375"/>
    </row>
    <row r="4376" spans="6:21" x14ac:dyDescent="0.25">
      <c r="F4376"/>
      <c r="O4376"/>
      <c r="R4376"/>
      <c r="S4376"/>
      <c r="T4376"/>
      <c r="U4376"/>
    </row>
    <row r="4377" spans="6:21" x14ac:dyDescent="0.25">
      <c r="F4377"/>
      <c r="O4377"/>
      <c r="R4377"/>
      <c r="S4377"/>
      <c r="T4377"/>
      <c r="U4377"/>
    </row>
    <row r="4378" spans="6:21" x14ac:dyDescent="0.25">
      <c r="F4378"/>
      <c r="O4378"/>
      <c r="R4378"/>
      <c r="S4378"/>
      <c r="T4378"/>
      <c r="U4378"/>
    </row>
    <row r="4379" spans="6:21" x14ac:dyDescent="0.25">
      <c r="F4379"/>
      <c r="O4379"/>
      <c r="R4379"/>
      <c r="S4379"/>
      <c r="T4379"/>
      <c r="U4379"/>
    </row>
    <row r="4380" spans="6:21" x14ac:dyDescent="0.25">
      <c r="F4380"/>
      <c r="O4380"/>
      <c r="R4380"/>
      <c r="S4380"/>
      <c r="T4380"/>
      <c r="U4380"/>
    </row>
    <row r="4381" spans="6:21" x14ac:dyDescent="0.25">
      <c r="F4381"/>
      <c r="O4381"/>
      <c r="R4381"/>
      <c r="S4381"/>
      <c r="T4381"/>
      <c r="U4381"/>
    </row>
    <row r="4382" spans="6:21" x14ac:dyDescent="0.25">
      <c r="F4382"/>
      <c r="O4382"/>
      <c r="R4382"/>
      <c r="S4382"/>
      <c r="T4382"/>
      <c r="U4382"/>
    </row>
    <row r="4383" spans="6:21" x14ac:dyDescent="0.25">
      <c r="F4383"/>
      <c r="O4383"/>
      <c r="R4383"/>
      <c r="S4383"/>
      <c r="T4383"/>
      <c r="U4383"/>
    </row>
    <row r="4384" spans="6:21" x14ac:dyDescent="0.25">
      <c r="F4384"/>
      <c r="O4384"/>
      <c r="R4384"/>
      <c r="S4384"/>
      <c r="T4384"/>
      <c r="U4384"/>
    </row>
    <row r="4385" spans="6:21" x14ac:dyDescent="0.25">
      <c r="F4385"/>
      <c r="O4385"/>
      <c r="R4385"/>
      <c r="S4385"/>
      <c r="T4385"/>
      <c r="U4385"/>
    </row>
    <row r="4386" spans="6:21" x14ac:dyDescent="0.25">
      <c r="F4386"/>
      <c r="O4386"/>
      <c r="R4386"/>
      <c r="S4386"/>
      <c r="T4386"/>
      <c r="U4386"/>
    </row>
    <row r="4387" spans="6:21" x14ac:dyDescent="0.25">
      <c r="F4387"/>
      <c r="O4387"/>
      <c r="R4387"/>
      <c r="S4387"/>
      <c r="T4387"/>
      <c r="U4387"/>
    </row>
    <row r="4388" spans="6:21" x14ac:dyDescent="0.25">
      <c r="F4388"/>
      <c r="O4388"/>
      <c r="R4388"/>
      <c r="S4388"/>
      <c r="T4388"/>
      <c r="U4388"/>
    </row>
    <row r="4389" spans="6:21" x14ac:dyDescent="0.25">
      <c r="F4389"/>
      <c r="O4389"/>
      <c r="R4389"/>
      <c r="S4389"/>
      <c r="T4389"/>
      <c r="U4389"/>
    </row>
    <row r="4390" spans="6:21" x14ac:dyDescent="0.25">
      <c r="F4390"/>
      <c r="O4390"/>
      <c r="R4390"/>
      <c r="S4390"/>
      <c r="T4390"/>
      <c r="U4390"/>
    </row>
    <row r="4391" spans="6:21" x14ac:dyDescent="0.25">
      <c r="F4391"/>
      <c r="O4391"/>
      <c r="R4391"/>
      <c r="S4391"/>
      <c r="T4391"/>
      <c r="U4391"/>
    </row>
    <row r="4392" spans="6:21" x14ac:dyDescent="0.25">
      <c r="F4392"/>
      <c r="O4392"/>
      <c r="R4392"/>
      <c r="S4392"/>
      <c r="T4392"/>
      <c r="U4392"/>
    </row>
    <row r="4393" spans="6:21" x14ac:dyDescent="0.25">
      <c r="F4393"/>
      <c r="O4393"/>
      <c r="R4393"/>
      <c r="S4393"/>
      <c r="T4393"/>
      <c r="U4393"/>
    </row>
    <row r="4394" spans="6:21" x14ac:dyDescent="0.25">
      <c r="F4394"/>
      <c r="O4394"/>
      <c r="R4394"/>
      <c r="S4394"/>
      <c r="T4394"/>
      <c r="U4394"/>
    </row>
    <row r="4395" spans="6:21" x14ac:dyDescent="0.25">
      <c r="F4395"/>
      <c r="O4395"/>
      <c r="R4395"/>
      <c r="S4395"/>
      <c r="T4395"/>
      <c r="U4395"/>
    </row>
    <row r="4396" spans="6:21" x14ac:dyDescent="0.25">
      <c r="F4396"/>
      <c r="O4396"/>
      <c r="R4396"/>
      <c r="S4396"/>
      <c r="T4396"/>
      <c r="U4396"/>
    </row>
    <row r="4397" spans="6:21" x14ac:dyDescent="0.25">
      <c r="F4397"/>
      <c r="O4397"/>
      <c r="R4397"/>
      <c r="S4397"/>
      <c r="T4397"/>
      <c r="U4397"/>
    </row>
    <row r="4398" spans="6:21" x14ac:dyDescent="0.25">
      <c r="F4398"/>
      <c r="O4398"/>
      <c r="R4398"/>
      <c r="S4398"/>
      <c r="T4398"/>
      <c r="U4398"/>
    </row>
    <row r="4399" spans="6:21" x14ac:dyDescent="0.25">
      <c r="F4399"/>
      <c r="O4399"/>
      <c r="R4399"/>
      <c r="S4399"/>
      <c r="T4399"/>
      <c r="U4399"/>
    </row>
    <row r="4400" spans="6:21" x14ac:dyDescent="0.25">
      <c r="F4400"/>
      <c r="O4400"/>
      <c r="R4400"/>
      <c r="S4400"/>
      <c r="T4400"/>
      <c r="U4400"/>
    </row>
    <row r="4401" spans="6:21" x14ac:dyDescent="0.25">
      <c r="F4401"/>
      <c r="O4401"/>
      <c r="R4401"/>
      <c r="S4401"/>
      <c r="T4401"/>
      <c r="U4401"/>
    </row>
    <row r="4402" spans="6:21" x14ac:dyDescent="0.25">
      <c r="F4402"/>
      <c r="O4402"/>
      <c r="R4402"/>
      <c r="S4402"/>
      <c r="T4402"/>
      <c r="U4402"/>
    </row>
    <row r="4403" spans="6:21" x14ac:dyDescent="0.25">
      <c r="F4403"/>
      <c r="O4403"/>
      <c r="R4403"/>
      <c r="S4403"/>
      <c r="T4403"/>
      <c r="U4403"/>
    </row>
    <row r="4404" spans="6:21" x14ac:dyDescent="0.25">
      <c r="F4404"/>
      <c r="O4404"/>
      <c r="R4404"/>
      <c r="S4404"/>
      <c r="T4404"/>
      <c r="U4404"/>
    </row>
    <row r="4405" spans="6:21" x14ac:dyDescent="0.25">
      <c r="F4405"/>
      <c r="O4405"/>
      <c r="R4405"/>
      <c r="S4405"/>
      <c r="T4405"/>
      <c r="U4405"/>
    </row>
    <row r="4406" spans="6:21" x14ac:dyDescent="0.25">
      <c r="F4406"/>
      <c r="O4406"/>
      <c r="R4406"/>
      <c r="S4406"/>
      <c r="T4406"/>
      <c r="U4406"/>
    </row>
    <row r="4407" spans="6:21" x14ac:dyDescent="0.25">
      <c r="F4407"/>
      <c r="O4407"/>
      <c r="R4407"/>
      <c r="S4407"/>
      <c r="T4407"/>
      <c r="U4407"/>
    </row>
    <row r="4408" spans="6:21" x14ac:dyDescent="0.25">
      <c r="F4408"/>
      <c r="O4408"/>
      <c r="R4408"/>
      <c r="S4408"/>
      <c r="T4408"/>
      <c r="U4408"/>
    </row>
    <row r="4409" spans="6:21" x14ac:dyDescent="0.25">
      <c r="F4409"/>
      <c r="O4409"/>
      <c r="R4409"/>
      <c r="S4409"/>
      <c r="T4409"/>
      <c r="U4409"/>
    </row>
    <row r="4410" spans="6:21" x14ac:dyDescent="0.25">
      <c r="F4410"/>
      <c r="O4410"/>
      <c r="R4410"/>
      <c r="S4410"/>
      <c r="T4410"/>
      <c r="U4410"/>
    </row>
    <row r="4411" spans="6:21" x14ac:dyDescent="0.25">
      <c r="F4411"/>
      <c r="O4411"/>
      <c r="R4411"/>
      <c r="S4411"/>
      <c r="T4411"/>
      <c r="U4411"/>
    </row>
    <row r="4412" spans="6:21" x14ac:dyDescent="0.25">
      <c r="F4412"/>
      <c r="O4412"/>
      <c r="R4412"/>
      <c r="S4412"/>
      <c r="T4412"/>
      <c r="U4412"/>
    </row>
    <row r="4413" spans="6:21" x14ac:dyDescent="0.25">
      <c r="F4413"/>
      <c r="O4413"/>
      <c r="R4413"/>
      <c r="S4413"/>
      <c r="T4413"/>
      <c r="U4413"/>
    </row>
    <row r="4414" spans="6:21" x14ac:dyDescent="0.25">
      <c r="F4414"/>
      <c r="O4414"/>
      <c r="R4414"/>
      <c r="S4414"/>
      <c r="T4414"/>
      <c r="U4414"/>
    </row>
    <row r="4415" spans="6:21" x14ac:dyDescent="0.25">
      <c r="F4415"/>
      <c r="O4415"/>
      <c r="R4415"/>
      <c r="S4415"/>
      <c r="T4415"/>
      <c r="U4415"/>
    </row>
    <row r="4416" spans="6:21" x14ac:dyDescent="0.25">
      <c r="F4416"/>
      <c r="O4416"/>
      <c r="R4416"/>
      <c r="S4416"/>
      <c r="T4416"/>
      <c r="U4416"/>
    </row>
    <row r="4417" spans="6:21" x14ac:dyDescent="0.25">
      <c r="F4417"/>
      <c r="O4417"/>
      <c r="R4417"/>
      <c r="S4417"/>
      <c r="T4417"/>
      <c r="U4417"/>
    </row>
    <row r="4418" spans="6:21" x14ac:dyDescent="0.25">
      <c r="F4418"/>
      <c r="O4418"/>
      <c r="R4418"/>
      <c r="S4418"/>
      <c r="T4418"/>
      <c r="U4418"/>
    </row>
    <row r="4419" spans="6:21" x14ac:dyDescent="0.25">
      <c r="F4419"/>
      <c r="O4419"/>
      <c r="R4419"/>
      <c r="S4419"/>
      <c r="T4419"/>
      <c r="U4419"/>
    </row>
    <row r="4420" spans="6:21" x14ac:dyDescent="0.25">
      <c r="F4420"/>
      <c r="O4420"/>
      <c r="R4420"/>
      <c r="S4420"/>
      <c r="T4420"/>
      <c r="U4420"/>
    </row>
    <row r="4421" spans="6:21" x14ac:dyDescent="0.25">
      <c r="F4421"/>
      <c r="O4421"/>
      <c r="R4421"/>
      <c r="S4421"/>
      <c r="T4421"/>
      <c r="U4421"/>
    </row>
    <row r="4422" spans="6:21" x14ac:dyDescent="0.25">
      <c r="F4422"/>
      <c r="O4422"/>
      <c r="R4422"/>
      <c r="S4422"/>
      <c r="T4422"/>
      <c r="U4422"/>
    </row>
    <row r="4423" spans="6:21" x14ac:dyDescent="0.25">
      <c r="F4423"/>
      <c r="O4423"/>
      <c r="R4423"/>
      <c r="S4423"/>
      <c r="T4423"/>
      <c r="U4423"/>
    </row>
    <row r="4424" spans="6:21" x14ac:dyDescent="0.25">
      <c r="F4424"/>
      <c r="O4424"/>
      <c r="R4424"/>
      <c r="S4424"/>
      <c r="T4424"/>
      <c r="U4424"/>
    </row>
    <row r="4425" spans="6:21" x14ac:dyDescent="0.25">
      <c r="F4425"/>
      <c r="O4425"/>
      <c r="R4425"/>
      <c r="S4425"/>
      <c r="T4425"/>
      <c r="U4425"/>
    </row>
    <row r="4426" spans="6:21" x14ac:dyDescent="0.25">
      <c r="F4426"/>
      <c r="O4426"/>
      <c r="R4426"/>
      <c r="S4426"/>
      <c r="T4426"/>
      <c r="U4426"/>
    </row>
    <row r="4427" spans="6:21" x14ac:dyDescent="0.25">
      <c r="F4427"/>
      <c r="O4427"/>
      <c r="R4427"/>
      <c r="S4427"/>
      <c r="T4427"/>
      <c r="U4427"/>
    </row>
    <row r="4428" spans="6:21" x14ac:dyDescent="0.25">
      <c r="F4428"/>
      <c r="O4428"/>
      <c r="R4428"/>
      <c r="S4428"/>
      <c r="T4428"/>
      <c r="U4428"/>
    </row>
    <row r="4429" spans="6:21" x14ac:dyDescent="0.25">
      <c r="F4429"/>
      <c r="O4429"/>
      <c r="R4429"/>
      <c r="S4429"/>
      <c r="T4429"/>
      <c r="U4429"/>
    </row>
    <row r="4430" spans="6:21" x14ac:dyDescent="0.25">
      <c r="F4430"/>
      <c r="O4430"/>
      <c r="R4430"/>
      <c r="S4430"/>
      <c r="T4430"/>
      <c r="U4430"/>
    </row>
    <row r="4431" spans="6:21" x14ac:dyDescent="0.25">
      <c r="F4431"/>
      <c r="O4431"/>
      <c r="R4431"/>
      <c r="S4431"/>
      <c r="T4431"/>
      <c r="U4431"/>
    </row>
    <row r="4432" spans="6:21" x14ac:dyDescent="0.25">
      <c r="F4432"/>
      <c r="O4432"/>
      <c r="R4432"/>
      <c r="S4432"/>
      <c r="T4432"/>
      <c r="U4432"/>
    </row>
    <row r="4433" spans="6:21" x14ac:dyDescent="0.25">
      <c r="F4433"/>
      <c r="O4433"/>
      <c r="R4433"/>
      <c r="S4433"/>
      <c r="T4433"/>
      <c r="U4433"/>
    </row>
    <row r="4434" spans="6:21" x14ac:dyDescent="0.25">
      <c r="F4434"/>
      <c r="O4434"/>
      <c r="R4434"/>
      <c r="S4434"/>
      <c r="T4434"/>
      <c r="U4434"/>
    </row>
    <row r="4435" spans="6:21" x14ac:dyDescent="0.25">
      <c r="F4435"/>
      <c r="O4435"/>
      <c r="R4435"/>
      <c r="S4435"/>
      <c r="T4435"/>
      <c r="U4435"/>
    </row>
    <row r="4436" spans="6:21" x14ac:dyDescent="0.25">
      <c r="F4436"/>
      <c r="O4436"/>
      <c r="R4436"/>
      <c r="S4436"/>
      <c r="T4436"/>
      <c r="U4436"/>
    </row>
    <row r="4437" spans="6:21" x14ac:dyDescent="0.25">
      <c r="F4437"/>
      <c r="O4437"/>
      <c r="R4437"/>
      <c r="S4437"/>
      <c r="T4437"/>
      <c r="U4437"/>
    </row>
    <row r="4438" spans="6:21" x14ac:dyDescent="0.25">
      <c r="F4438"/>
      <c r="O4438"/>
      <c r="R4438"/>
      <c r="S4438"/>
      <c r="T4438"/>
      <c r="U4438"/>
    </row>
    <row r="4439" spans="6:21" x14ac:dyDescent="0.25">
      <c r="F4439"/>
      <c r="O4439"/>
      <c r="R4439"/>
      <c r="S4439"/>
      <c r="T4439"/>
      <c r="U4439"/>
    </row>
    <row r="4440" spans="6:21" x14ac:dyDescent="0.25">
      <c r="F4440"/>
      <c r="O4440"/>
      <c r="R4440"/>
      <c r="S4440"/>
      <c r="T4440"/>
      <c r="U4440"/>
    </row>
    <row r="4441" spans="6:21" x14ac:dyDescent="0.25">
      <c r="F4441"/>
      <c r="O4441"/>
      <c r="R4441"/>
      <c r="S4441"/>
      <c r="T4441"/>
      <c r="U4441"/>
    </row>
    <row r="4442" spans="6:21" x14ac:dyDescent="0.25">
      <c r="F4442"/>
      <c r="O4442"/>
      <c r="R4442"/>
      <c r="S4442"/>
      <c r="T4442"/>
      <c r="U4442"/>
    </row>
    <row r="4443" spans="6:21" x14ac:dyDescent="0.25">
      <c r="F4443"/>
      <c r="O4443"/>
      <c r="R4443"/>
      <c r="S4443"/>
      <c r="T4443"/>
      <c r="U4443"/>
    </row>
    <row r="4444" spans="6:21" x14ac:dyDescent="0.25">
      <c r="F4444"/>
      <c r="O4444"/>
      <c r="R4444"/>
      <c r="S4444"/>
      <c r="T4444"/>
      <c r="U4444"/>
    </row>
    <row r="4445" spans="6:21" x14ac:dyDescent="0.25">
      <c r="F4445"/>
      <c r="O4445"/>
      <c r="R4445"/>
      <c r="S4445"/>
      <c r="T4445"/>
      <c r="U4445"/>
    </row>
    <row r="4446" spans="6:21" x14ac:dyDescent="0.25">
      <c r="F4446"/>
      <c r="O4446"/>
      <c r="R4446"/>
      <c r="S4446"/>
      <c r="T4446"/>
      <c r="U4446"/>
    </row>
    <row r="4447" spans="6:21" x14ac:dyDescent="0.25">
      <c r="F4447"/>
      <c r="O4447"/>
      <c r="R4447"/>
      <c r="S4447"/>
      <c r="T4447"/>
      <c r="U4447"/>
    </row>
    <row r="4448" spans="6:21" x14ac:dyDescent="0.25">
      <c r="F4448"/>
      <c r="O4448"/>
      <c r="R4448"/>
      <c r="S4448"/>
      <c r="T4448"/>
      <c r="U4448"/>
    </row>
    <row r="4449" spans="6:21" x14ac:dyDescent="0.25">
      <c r="F4449"/>
      <c r="O4449"/>
      <c r="R4449"/>
      <c r="S4449"/>
      <c r="T4449"/>
      <c r="U4449"/>
    </row>
    <row r="4450" spans="6:21" x14ac:dyDescent="0.25">
      <c r="F4450"/>
      <c r="O4450"/>
      <c r="R4450"/>
      <c r="S4450"/>
      <c r="T4450"/>
      <c r="U4450"/>
    </row>
    <row r="4451" spans="6:21" x14ac:dyDescent="0.25">
      <c r="F4451"/>
      <c r="O4451"/>
      <c r="R4451"/>
      <c r="S4451"/>
      <c r="T4451"/>
      <c r="U4451"/>
    </row>
    <row r="4452" spans="6:21" x14ac:dyDescent="0.25">
      <c r="F4452"/>
      <c r="O4452"/>
      <c r="R4452"/>
      <c r="S4452"/>
      <c r="T4452"/>
      <c r="U4452"/>
    </row>
    <row r="4453" spans="6:21" x14ac:dyDescent="0.25">
      <c r="F4453"/>
      <c r="O4453"/>
      <c r="R4453"/>
      <c r="S4453"/>
      <c r="T4453"/>
      <c r="U4453"/>
    </row>
    <row r="4454" spans="6:21" x14ac:dyDescent="0.25">
      <c r="F4454"/>
      <c r="O4454"/>
      <c r="R4454"/>
      <c r="S4454"/>
      <c r="T4454"/>
      <c r="U4454"/>
    </row>
    <row r="4455" spans="6:21" x14ac:dyDescent="0.25">
      <c r="F4455"/>
      <c r="O4455"/>
      <c r="R4455"/>
      <c r="S4455"/>
      <c r="T4455"/>
      <c r="U4455"/>
    </row>
    <row r="4456" spans="6:21" x14ac:dyDescent="0.25">
      <c r="F4456"/>
      <c r="O4456"/>
      <c r="R4456"/>
      <c r="S4456"/>
      <c r="T4456"/>
      <c r="U4456"/>
    </row>
    <row r="4457" spans="6:21" x14ac:dyDescent="0.25">
      <c r="F4457"/>
      <c r="O4457"/>
      <c r="R4457"/>
      <c r="S4457"/>
      <c r="T4457"/>
      <c r="U4457"/>
    </row>
    <row r="4458" spans="6:21" x14ac:dyDescent="0.25">
      <c r="F4458"/>
      <c r="O4458"/>
      <c r="R4458"/>
      <c r="S4458"/>
      <c r="T4458"/>
      <c r="U4458"/>
    </row>
    <row r="4459" spans="6:21" x14ac:dyDescent="0.25">
      <c r="F4459"/>
      <c r="O4459"/>
      <c r="R4459"/>
      <c r="S4459"/>
      <c r="T4459"/>
      <c r="U4459"/>
    </row>
    <row r="4460" spans="6:21" x14ac:dyDescent="0.25">
      <c r="F4460"/>
      <c r="O4460"/>
      <c r="R4460"/>
      <c r="S4460"/>
      <c r="T4460"/>
      <c r="U4460"/>
    </row>
    <row r="4461" spans="6:21" x14ac:dyDescent="0.25">
      <c r="F4461"/>
      <c r="O4461"/>
      <c r="R4461"/>
      <c r="S4461"/>
      <c r="T4461"/>
      <c r="U4461"/>
    </row>
    <row r="4462" spans="6:21" x14ac:dyDescent="0.25">
      <c r="F4462"/>
      <c r="O4462"/>
      <c r="R4462"/>
      <c r="S4462"/>
      <c r="T4462"/>
      <c r="U4462"/>
    </row>
    <row r="4463" spans="6:21" x14ac:dyDescent="0.25">
      <c r="F4463"/>
      <c r="O4463"/>
      <c r="R4463"/>
      <c r="S4463"/>
      <c r="T4463"/>
      <c r="U4463"/>
    </row>
    <row r="4464" spans="6:21" x14ac:dyDescent="0.25">
      <c r="F4464"/>
      <c r="O4464"/>
      <c r="R4464"/>
      <c r="S4464"/>
      <c r="T4464"/>
      <c r="U4464"/>
    </row>
    <row r="4465" spans="6:21" x14ac:dyDescent="0.25">
      <c r="F4465"/>
      <c r="O4465"/>
      <c r="R4465"/>
      <c r="S4465"/>
      <c r="T4465"/>
      <c r="U4465"/>
    </row>
    <row r="4466" spans="6:21" x14ac:dyDescent="0.25">
      <c r="F4466"/>
      <c r="O4466"/>
      <c r="R4466"/>
      <c r="S4466"/>
      <c r="T4466"/>
      <c r="U4466"/>
    </row>
    <row r="4467" spans="6:21" x14ac:dyDescent="0.25">
      <c r="F4467"/>
      <c r="O4467"/>
      <c r="R4467"/>
      <c r="S4467"/>
      <c r="T4467"/>
      <c r="U4467"/>
    </row>
    <row r="4468" spans="6:21" x14ac:dyDescent="0.25">
      <c r="F4468"/>
      <c r="O4468"/>
      <c r="R4468"/>
      <c r="S4468"/>
      <c r="T4468"/>
      <c r="U4468"/>
    </row>
    <row r="4469" spans="6:21" x14ac:dyDescent="0.25">
      <c r="F4469"/>
      <c r="O4469"/>
      <c r="R4469"/>
      <c r="S4469"/>
      <c r="T4469"/>
      <c r="U4469"/>
    </row>
    <row r="4470" spans="6:21" x14ac:dyDescent="0.25">
      <c r="F4470"/>
      <c r="O4470"/>
      <c r="R4470"/>
      <c r="S4470"/>
      <c r="T4470"/>
      <c r="U4470"/>
    </row>
    <row r="4471" spans="6:21" x14ac:dyDescent="0.25">
      <c r="F4471"/>
      <c r="O4471"/>
      <c r="R4471"/>
      <c r="S4471"/>
      <c r="T4471"/>
      <c r="U4471"/>
    </row>
    <row r="4472" spans="6:21" x14ac:dyDescent="0.25">
      <c r="F4472"/>
      <c r="O4472"/>
      <c r="R4472"/>
      <c r="S4472"/>
      <c r="T4472"/>
      <c r="U4472"/>
    </row>
    <row r="4473" spans="6:21" x14ac:dyDescent="0.25">
      <c r="F4473"/>
      <c r="O4473"/>
      <c r="R4473"/>
      <c r="S4473"/>
      <c r="T4473"/>
      <c r="U4473"/>
    </row>
    <row r="4474" spans="6:21" x14ac:dyDescent="0.25">
      <c r="F4474"/>
      <c r="O4474"/>
      <c r="R4474"/>
      <c r="S4474"/>
      <c r="T4474"/>
      <c r="U4474"/>
    </row>
    <row r="4475" spans="6:21" x14ac:dyDescent="0.25">
      <c r="F4475"/>
      <c r="O4475"/>
      <c r="R4475"/>
      <c r="S4475"/>
      <c r="T4475"/>
      <c r="U4475"/>
    </row>
    <row r="4476" spans="6:21" x14ac:dyDescent="0.25">
      <c r="F4476"/>
      <c r="O4476"/>
      <c r="R4476"/>
      <c r="S4476"/>
      <c r="T4476"/>
      <c r="U4476"/>
    </row>
    <row r="4477" spans="6:21" x14ac:dyDescent="0.25">
      <c r="F4477"/>
      <c r="O4477"/>
      <c r="R4477"/>
      <c r="S4477"/>
      <c r="T4477"/>
      <c r="U4477"/>
    </row>
    <row r="4478" spans="6:21" x14ac:dyDescent="0.25">
      <c r="F4478"/>
      <c r="O4478"/>
      <c r="R4478"/>
      <c r="S4478"/>
      <c r="T4478"/>
      <c r="U4478"/>
    </row>
    <row r="4479" spans="6:21" x14ac:dyDescent="0.25">
      <c r="F4479"/>
      <c r="O4479"/>
      <c r="R4479"/>
      <c r="S4479"/>
      <c r="T4479"/>
      <c r="U4479"/>
    </row>
    <row r="4480" spans="6:21" x14ac:dyDescent="0.25">
      <c r="F4480"/>
      <c r="O4480"/>
      <c r="R4480"/>
      <c r="S4480"/>
      <c r="T4480"/>
      <c r="U4480"/>
    </row>
    <row r="4481" spans="6:21" x14ac:dyDescent="0.25">
      <c r="F4481"/>
      <c r="O4481"/>
      <c r="R4481"/>
      <c r="S4481"/>
      <c r="T4481"/>
      <c r="U4481"/>
    </row>
    <row r="4482" spans="6:21" x14ac:dyDescent="0.25">
      <c r="F4482"/>
      <c r="O4482"/>
      <c r="R4482"/>
      <c r="S4482"/>
      <c r="T4482"/>
      <c r="U4482"/>
    </row>
    <row r="4483" spans="6:21" x14ac:dyDescent="0.25">
      <c r="F4483"/>
      <c r="O4483"/>
      <c r="R4483"/>
      <c r="S4483"/>
      <c r="T4483"/>
      <c r="U4483"/>
    </row>
    <row r="4484" spans="6:21" x14ac:dyDescent="0.25">
      <c r="F4484"/>
      <c r="O4484"/>
      <c r="R4484"/>
      <c r="S4484"/>
      <c r="T4484"/>
      <c r="U4484"/>
    </row>
    <row r="4485" spans="6:21" x14ac:dyDescent="0.25">
      <c r="F4485"/>
      <c r="O4485"/>
      <c r="R4485"/>
      <c r="S4485"/>
      <c r="T4485"/>
      <c r="U4485"/>
    </row>
    <row r="4486" spans="6:21" x14ac:dyDescent="0.25">
      <c r="F4486"/>
      <c r="O4486"/>
      <c r="R4486"/>
      <c r="S4486"/>
      <c r="T4486"/>
      <c r="U4486"/>
    </row>
    <row r="4487" spans="6:21" x14ac:dyDescent="0.25">
      <c r="F4487"/>
      <c r="O4487"/>
      <c r="R4487"/>
      <c r="S4487"/>
      <c r="T4487"/>
      <c r="U4487"/>
    </row>
    <row r="4488" spans="6:21" x14ac:dyDescent="0.25">
      <c r="F4488"/>
      <c r="O4488"/>
      <c r="R4488"/>
      <c r="S4488"/>
      <c r="T4488"/>
      <c r="U4488"/>
    </row>
    <row r="4489" spans="6:21" x14ac:dyDescent="0.25">
      <c r="F4489"/>
      <c r="O4489"/>
      <c r="R4489"/>
      <c r="S4489"/>
      <c r="T4489"/>
      <c r="U4489"/>
    </row>
    <row r="4490" spans="6:21" x14ac:dyDescent="0.25">
      <c r="F4490"/>
      <c r="O4490"/>
      <c r="R4490"/>
      <c r="S4490"/>
      <c r="T4490"/>
      <c r="U4490"/>
    </row>
    <row r="4491" spans="6:21" x14ac:dyDescent="0.25">
      <c r="F4491"/>
      <c r="O4491"/>
      <c r="R4491"/>
      <c r="S4491"/>
      <c r="T4491"/>
      <c r="U4491"/>
    </row>
    <row r="4492" spans="6:21" x14ac:dyDescent="0.25">
      <c r="F4492"/>
      <c r="O4492"/>
      <c r="R4492"/>
      <c r="S4492"/>
      <c r="T4492"/>
      <c r="U4492"/>
    </row>
    <row r="4493" spans="6:21" x14ac:dyDescent="0.25">
      <c r="F4493"/>
      <c r="O4493"/>
      <c r="R4493"/>
      <c r="S4493"/>
      <c r="T4493"/>
      <c r="U4493"/>
    </row>
    <row r="4494" spans="6:21" x14ac:dyDescent="0.25">
      <c r="F4494"/>
      <c r="O4494"/>
      <c r="R4494"/>
      <c r="S4494"/>
      <c r="T4494"/>
      <c r="U4494"/>
    </row>
    <row r="4495" spans="6:21" x14ac:dyDescent="0.25">
      <c r="F4495"/>
      <c r="O4495"/>
      <c r="R4495"/>
      <c r="S4495"/>
      <c r="T4495"/>
      <c r="U4495"/>
    </row>
    <row r="4496" spans="6:21" x14ac:dyDescent="0.25">
      <c r="F4496"/>
      <c r="O4496"/>
      <c r="R4496"/>
      <c r="S4496"/>
      <c r="T4496"/>
      <c r="U4496"/>
    </row>
    <row r="4497" spans="6:21" x14ac:dyDescent="0.25">
      <c r="F4497"/>
      <c r="O4497"/>
      <c r="R4497"/>
      <c r="S4497"/>
      <c r="T4497"/>
      <c r="U4497"/>
    </row>
    <row r="4498" spans="6:21" x14ac:dyDescent="0.25">
      <c r="F4498"/>
      <c r="O4498"/>
      <c r="R4498"/>
      <c r="S4498"/>
      <c r="T4498"/>
      <c r="U4498"/>
    </row>
    <row r="4499" spans="6:21" x14ac:dyDescent="0.25">
      <c r="F4499"/>
      <c r="O4499"/>
      <c r="R4499"/>
      <c r="S4499"/>
      <c r="T4499"/>
      <c r="U4499"/>
    </row>
    <row r="4500" spans="6:21" x14ac:dyDescent="0.25">
      <c r="F4500"/>
      <c r="O4500"/>
      <c r="R4500"/>
      <c r="S4500"/>
      <c r="T4500"/>
      <c r="U4500"/>
    </row>
    <row r="4501" spans="6:21" x14ac:dyDescent="0.25">
      <c r="F4501"/>
      <c r="O4501"/>
      <c r="R4501"/>
      <c r="S4501"/>
      <c r="T4501"/>
      <c r="U4501"/>
    </row>
    <row r="4502" spans="6:21" x14ac:dyDescent="0.25">
      <c r="F4502"/>
      <c r="O4502"/>
      <c r="R4502"/>
      <c r="S4502"/>
      <c r="T4502"/>
      <c r="U4502"/>
    </row>
    <row r="4503" spans="6:21" x14ac:dyDescent="0.25">
      <c r="F4503"/>
      <c r="O4503"/>
      <c r="R4503"/>
      <c r="S4503"/>
      <c r="T4503"/>
      <c r="U4503"/>
    </row>
    <row r="4504" spans="6:21" x14ac:dyDescent="0.25">
      <c r="F4504"/>
      <c r="O4504"/>
      <c r="R4504"/>
      <c r="S4504"/>
      <c r="T4504"/>
      <c r="U4504"/>
    </row>
    <row r="4505" spans="6:21" x14ac:dyDescent="0.25">
      <c r="F4505"/>
      <c r="O4505"/>
      <c r="R4505"/>
      <c r="S4505"/>
      <c r="T4505"/>
      <c r="U4505"/>
    </row>
    <row r="4506" spans="6:21" x14ac:dyDescent="0.25">
      <c r="F4506"/>
      <c r="O4506"/>
      <c r="R4506"/>
      <c r="S4506"/>
      <c r="T4506"/>
      <c r="U4506"/>
    </row>
    <row r="4507" spans="6:21" x14ac:dyDescent="0.25">
      <c r="F4507"/>
      <c r="O4507"/>
      <c r="R4507"/>
      <c r="S4507"/>
      <c r="T4507"/>
      <c r="U4507"/>
    </row>
    <row r="4508" spans="6:21" x14ac:dyDescent="0.25">
      <c r="F4508"/>
      <c r="O4508"/>
      <c r="R4508"/>
      <c r="S4508"/>
      <c r="T4508"/>
      <c r="U4508"/>
    </row>
    <row r="4509" spans="6:21" x14ac:dyDescent="0.25">
      <c r="F4509"/>
      <c r="O4509"/>
      <c r="R4509"/>
      <c r="S4509"/>
      <c r="T4509"/>
      <c r="U4509"/>
    </row>
    <row r="4510" spans="6:21" x14ac:dyDescent="0.25">
      <c r="F4510"/>
      <c r="O4510"/>
      <c r="R4510"/>
      <c r="S4510"/>
      <c r="T4510"/>
      <c r="U4510"/>
    </row>
    <row r="4511" spans="6:21" x14ac:dyDescent="0.25">
      <c r="F4511"/>
      <c r="O4511"/>
      <c r="R4511"/>
      <c r="S4511"/>
      <c r="T4511"/>
      <c r="U4511"/>
    </row>
    <row r="4512" spans="6:21" x14ac:dyDescent="0.25">
      <c r="F4512"/>
      <c r="O4512"/>
      <c r="R4512"/>
      <c r="S4512"/>
      <c r="T4512"/>
      <c r="U4512"/>
    </row>
    <row r="4513" spans="6:21" x14ac:dyDescent="0.25">
      <c r="F4513"/>
      <c r="O4513"/>
      <c r="R4513"/>
      <c r="S4513"/>
      <c r="T4513"/>
      <c r="U4513"/>
    </row>
    <row r="4514" spans="6:21" x14ac:dyDescent="0.25">
      <c r="F4514"/>
      <c r="O4514"/>
      <c r="R4514"/>
      <c r="S4514"/>
      <c r="T4514"/>
      <c r="U4514"/>
    </row>
    <row r="4515" spans="6:21" x14ac:dyDescent="0.25">
      <c r="F4515"/>
      <c r="O4515"/>
      <c r="R4515"/>
      <c r="S4515"/>
      <c r="T4515"/>
      <c r="U4515"/>
    </row>
    <row r="4516" spans="6:21" x14ac:dyDescent="0.25">
      <c r="F4516"/>
      <c r="O4516"/>
      <c r="R4516"/>
      <c r="S4516"/>
      <c r="T4516"/>
      <c r="U4516"/>
    </row>
    <row r="4517" spans="6:21" x14ac:dyDescent="0.25">
      <c r="F4517"/>
      <c r="O4517"/>
      <c r="R4517"/>
      <c r="S4517"/>
      <c r="T4517"/>
      <c r="U4517"/>
    </row>
    <row r="4518" spans="6:21" x14ac:dyDescent="0.25">
      <c r="F4518"/>
      <c r="O4518"/>
      <c r="R4518"/>
      <c r="S4518"/>
      <c r="T4518"/>
      <c r="U4518"/>
    </row>
    <row r="4519" spans="6:21" x14ac:dyDescent="0.25">
      <c r="F4519"/>
      <c r="O4519"/>
      <c r="R4519"/>
      <c r="S4519"/>
      <c r="T4519"/>
      <c r="U4519"/>
    </row>
    <row r="4520" spans="6:21" x14ac:dyDescent="0.25">
      <c r="F4520"/>
      <c r="O4520"/>
      <c r="R4520"/>
      <c r="S4520"/>
      <c r="T4520"/>
      <c r="U4520"/>
    </row>
    <row r="4521" spans="6:21" x14ac:dyDescent="0.25">
      <c r="F4521"/>
      <c r="O4521"/>
      <c r="R4521"/>
      <c r="S4521"/>
      <c r="T4521"/>
      <c r="U4521"/>
    </row>
    <row r="4522" spans="6:21" x14ac:dyDescent="0.25">
      <c r="F4522"/>
      <c r="O4522"/>
      <c r="R4522"/>
      <c r="S4522"/>
      <c r="T4522"/>
      <c r="U4522"/>
    </row>
    <row r="4523" spans="6:21" x14ac:dyDescent="0.25">
      <c r="F4523"/>
      <c r="O4523"/>
      <c r="R4523"/>
      <c r="S4523"/>
      <c r="T4523"/>
      <c r="U4523"/>
    </row>
    <row r="4524" spans="6:21" x14ac:dyDescent="0.25">
      <c r="F4524"/>
      <c r="O4524"/>
      <c r="R4524"/>
      <c r="S4524"/>
      <c r="T4524"/>
      <c r="U4524"/>
    </row>
    <row r="4525" spans="6:21" x14ac:dyDescent="0.25">
      <c r="F4525"/>
      <c r="O4525"/>
      <c r="R4525"/>
      <c r="S4525"/>
      <c r="T4525"/>
      <c r="U4525"/>
    </row>
    <row r="4526" spans="6:21" x14ac:dyDescent="0.25">
      <c r="F4526"/>
      <c r="O4526"/>
      <c r="R4526"/>
      <c r="S4526"/>
      <c r="T4526"/>
      <c r="U4526"/>
    </row>
    <row r="4527" spans="6:21" x14ac:dyDescent="0.25">
      <c r="F4527"/>
      <c r="O4527"/>
      <c r="R4527"/>
      <c r="S4527"/>
      <c r="T4527"/>
      <c r="U4527"/>
    </row>
    <row r="4528" spans="6:21" x14ac:dyDescent="0.25">
      <c r="F4528"/>
      <c r="O4528"/>
      <c r="R4528"/>
      <c r="S4528"/>
      <c r="T4528"/>
      <c r="U4528"/>
    </row>
    <row r="4529" spans="6:21" x14ac:dyDescent="0.25">
      <c r="F4529"/>
      <c r="O4529"/>
      <c r="R4529"/>
      <c r="S4529"/>
      <c r="T4529"/>
      <c r="U4529"/>
    </row>
    <row r="4530" spans="6:21" x14ac:dyDescent="0.25">
      <c r="F4530"/>
      <c r="O4530"/>
      <c r="R4530"/>
      <c r="S4530"/>
      <c r="T4530"/>
      <c r="U4530"/>
    </row>
    <row r="4531" spans="6:21" x14ac:dyDescent="0.25">
      <c r="F4531"/>
      <c r="O4531"/>
      <c r="R4531"/>
      <c r="S4531"/>
      <c r="T4531"/>
      <c r="U4531"/>
    </row>
    <row r="4532" spans="6:21" x14ac:dyDescent="0.25">
      <c r="F4532"/>
      <c r="O4532"/>
      <c r="R4532"/>
      <c r="S4532"/>
      <c r="T4532"/>
      <c r="U4532"/>
    </row>
    <row r="4533" spans="6:21" x14ac:dyDescent="0.25">
      <c r="F4533"/>
      <c r="O4533"/>
      <c r="R4533"/>
      <c r="S4533"/>
      <c r="T4533"/>
      <c r="U4533"/>
    </row>
    <row r="4534" spans="6:21" x14ac:dyDescent="0.25">
      <c r="F4534"/>
      <c r="O4534"/>
      <c r="R4534"/>
      <c r="S4534"/>
      <c r="T4534"/>
      <c r="U4534"/>
    </row>
    <row r="4535" spans="6:21" x14ac:dyDescent="0.25">
      <c r="F4535"/>
      <c r="O4535"/>
      <c r="R4535"/>
      <c r="S4535"/>
      <c r="T4535"/>
      <c r="U4535"/>
    </row>
    <row r="4536" spans="6:21" x14ac:dyDescent="0.25">
      <c r="F4536"/>
      <c r="O4536"/>
      <c r="R4536"/>
      <c r="S4536"/>
      <c r="T4536"/>
      <c r="U4536"/>
    </row>
    <row r="4537" spans="6:21" x14ac:dyDescent="0.25">
      <c r="F4537"/>
      <c r="O4537"/>
      <c r="R4537"/>
      <c r="S4537"/>
      <c r="T4537"/>
      <c r="U4537"/>
    </row>
    <row r="4538" spans="6:21" x14ac:dyDescent="0.25">
      <c r="F4538"/>
      <c r="O4538"/>
      <c r="R4538"/>
      <c r="S4538"/>
      <c r="T4538"/>
      <c r="U4538"/>
    </row>
    <row r="4539" spans="6:21" x14ac:dyDescent="0.25">
      <c r="F4539"/>
      <c r="O4539"/>
      <c r="R4539"/>
      <c r="S4539"/>
      <c r="T4539"/>
      <c r="U4539"/>
    </row>
    <row r="4540" spans="6:21" x14ac:dyDescent="0.25">
      <c r="F4540"/>
      <c r="O4540"/>
      <c r="R4540"/>
      <c r="S4540"/>
      <c r="T4540"/>
      <c r="U4540"/>
    </row>
    <row r="4541" spans="6:21" x14ac:dyDescent="0.25">
      <c r="F4541"/>
      <c r="O4541"/>
      <c r="R4541"/>
      <c r="S4541"/>
      <c r="T4541"/>
      <c r="U4541"/>
    </row>
    <row r="4542" spans="6:21" x14ac:dyDescent="0.25">
      <c r="F4542"/>
      <c r="O4542"/>
      <c r="R4542"/>
      <c r="S4542"/>
      <c r="T4542"/>
      <c r="U4542"/>
    </row>
    <row r="4543" spans="6:21" x14ac:dyDescent="0.25">
      <c r="F4543"/>
      <c r="O4543"/>
      <c r="R4543"/>
      <c r="S4543"/>
      <c r="T4543"/>
      <c r="U4543"/>
    </row>
    <row r="4544" spans="6:21" x14ac:dyDescent="0.25">
      <c r="F4544"/>
      <c r="O4544"/>
      <c r="R4544"/>
      <c r="S4544"/>
      <c r="T4544"/>
      <c r="U4544"/>
    </row>
    <row r="4545" spans="6:21" x14ac:dyDescent="0.25">
      <c r="F4545"/>
      <c r="O4545"/>
      <c r="R4545"/>
      <c r="S4545"/>
      <c r="T4545"/>
      <c r="U4545"/>
    </row>
    <row r="4546" spans="6:21" x14ac:dyDescent="0.25">
      <c r="F4546"/>
      <c r="O4546"/>
      <c r="R4546"/>
      <c r="S4546"/>
      <c r="T4546"/>
      <c r="U4546"/>
    </row>
    <row r="4547" spans="6:21" x14ac:dyDescent="0.25">
      <c r="F4547"/>
      <c r="O4547"/>
      <c r="R4547"/>
      <c r="S4547"/>
      <c r="T4547"/>
      <c r="U4547"/>
    </row>
    <row r="4548" spans="6:21" x14ac:dyDescent="0.25">
      <c r="F4548"/>
      <c r="O4548"/>
      <c r="R4548"/>
      <c r="S4548"/>
      <c r="T4548"/>
      <c r="U4548"/>
    </row>
    <row r="4549" spans="6:21" x14ac:dyDescent="0.25">
      <c r="F4549"/>
      <c r="O4549"/>
      <c r="R4549"/>
      <c r="S4549"/>
      <c r="T4549"/>
      <c r="U4549"/>
    </row>
    <row r="4550" spans="6:21" x14ac:dyDescent="0.25">
      <c r="F4550"/>
      <c r="O4550"/>
      <c r="R4550"/>
      <c r="S4550"/>
      <c r="T4550"/>
      <c r="U4550"/>
    </row>
    <row r="4551" spans="6:21" x14ac:dyDescent="0.25">
      <c r="F4551"/>
      <c r="O4551"/>
      <c r="R4551"/>
      <c r="S4551"/>
      <c r="T4551"/>
      <c r="U4551"/>
    </row>
    <row r="4552" spans="6:21" x14ac:dyDescent="0.25">
      <c r="F4552"/>
      <c r="O4552"/>
      <c r="R4552"/>
      <c r="S4552"/>
      <c r="T4552"/>
      <c r="U4552"/>
    </row>
    <row r="4553" spans="6:21" x14ac:dyDescent="0.25">
      <c r="F4553"/>
      <c r="O4553"/>
      <c r="R4553"/>
      <c r="S4553"/>
      <c r="T4553"/>
      <c r="U4553"/>
    </row>
    <row r="4554" spans="6:21" x14ac:dyDescent="0.25">
      <c r="F4554"/>
      <c r="O4554"/>
      <c r="R4554"/>
      <c r="S4554"/>
      <c r="T4554"/>
      <c r="U4554"/>
    </row>
    <row r="4555" spans="6:21" x14ac:dyDescent="0.25">
      <c r="F4555"/>
      <c r="O4555"/>
      <c r="R4555"/>
      <c r="S4555"/>
      <c r="T4555"/>
      <c r="U4555"/>
    </row>
    <row r="4556" spans="6:21" x14ac:dyDescent="0.25">
      <c r="F4556"/>
      <c r="O4556"/>
      <c r="R4556"/>
      <c r="S4556"/>
      <c r="T4556"/>
      <c r="U4556"/>
    </row>
    <row r="4557" spans="6:21" x14ac:dyDescent="0.25">
      <c r="F4557"/>
      <c r="O4557"/>
      <c r="R4557"/>
      <c r="S4557"/>
      <c r="T4557"/>
      <c r="U4557"/>
    </row>
    <row r="4558" spans="6:21" x14ac:dyDescent="0.25">
      <c r="F4558"/>
      <c r="O4558"/>
      <c r="R4558"/>
      <c r="S4558"/>
      <c r="T4558"/>
      <c r="U4558"/>
    </row>
    <row r="4559" spans="6:21" x14ac:dyDescent="0.25">
      <c r="F4559"/>
      <c r="O4559"/>
      <c r="R4559"/>
      <c r="S4559"/>
      <c r="T4559"/>
      <c r="U4559"/>
    </row>
    <row r="4560" spans="6:21" x14ac:dyDescent="0.25">
      <c r="F4560"/>
      <c r="O4560"/>
      <c r="R4560"/>
      <c r="S4560"/>
      <c r="T4560"/>
      <c r="U4560"/>
    </row>
    <row r="4561" spans="6:21" x14ac:dyDescent="0.25">
      <c r="F4561"/>
      <c r="O4561"/>
      <c r="R4561"/>
      <c r="S4561"/>
      <c r="T4561"/>
      <c r="U4561"/>
    </row>
    <row r="4562" spans="6:21" x14ac:dyDescent="0.25">
      <c r="F4562"/>
      <c r="O4562"/>
      <c r="R4562"/>
      <c r="S4562"/>
      <c r="T4562"/>
      <c r="U4562"/>
    </row>
    <row r="4563" spans="6:21" x14ac:dyDescent="0.25">
      <c r="F4563"/>
      <c r="O4563"/>
      <c r="R4563"/>
      <c r="S4563"/>
      <c r="T4563"/>
      <c r="U4563"/>
    </row>
    <row r="4564" spans="6:21" x14ac:dyDescent="0.25">
      <c r="F4564"/>
      <c r="O4564"/>
      <c r="R4564"/>
      <c r="S4564"/>
      <c r="T4564"/>
      <c r="U4564"/>
    </row>
    <row r="4565" spans="6:21" x14ac:dyDescent="0.25">
      <c r="F4565"/>
      <c r="O4565"/>
      <c r="R4565"/>
      <c r="S4565"/>
      <c r="T4565"/>
      <c r="U4565"/>
    </row>
    <row r="4566" spans="6:21" x14ac:dyDescent="0.25">
      <c r="F4566"/>
      <c r="O4566"/>
      <c r="R4566"/>
      <c r="S4566"/>
      <c r="T4566"/>
      <c r="U4566"/>
    </row>
    <row r="4567" spans="6:21" x14ac:dyDescent="0.25">
      <c r="F4567"/>
      <c r="O4567"/>
      <c r="R4567"/>
      <c r="S4567"/>
      <c r="T4567"/>
      <c r="U4567"/>
    </row>
    <row r="4568" spans="6:21" x14ac:dyDescent="0.25">
      <c r="F4568"/>
      <c r="O4568"/>
      <c r="R4568"/>
      <c r="S4568"/>
      <c r="T4568"/>
      <c r="U4568"/>
    </row>
    <row r="4569" spans="6:21" x14ac:dyDescent="0.25">
      <c r="F4569"/>
      <c r="O4569"/>
      <c r="R4569"/>
      <c r="S4569"/>
      <c r="T4569"/>
      <c r="U4569"/>
    </row>
    <row r="4570" spans="6:21" x14ac:dyDescent="0.25">
      <c r="F4570"/>
      <c r="O4570"/>
      <c r="R4570"/>
      <c r="S4570"/>
      <c r="T4570"/>
      <c r="U4570"/>
    </row>
    <row r="4571" spans="6:21" x14ac:dyDescent="0.25">
      <c r="F4571"/>
      <c r="O4571"/>
      <c r="R4571"/>
      <c r="S4571"/>
      <c r="T4571"/>
      <c r="U4571"/>
    </row>
    <row r="4572" spans="6:21" x14ac:dyDescent="0.25">
      <c r="F4572"/>
      <c r="O4572"/>
      <c r="R4572"/>
      <c r="S4572"/>
      <c r="T4572"/>
      <c r="U4572"/>
    </row>
    <row r="4573" spans="6:21" x14ac:dyDescent="0.25">
      <c r="F4573"/>
      <c r="O4573"/>
      <c r="R4573"/>
      <c r="S4573"/>
      <c r="T4573"/>
      <c r="U4573"/>
    </row>
    <row r="4574" spans="6:21" x14ac:dyDescent="0.25">
      <c r="F4574"/>
      <c r="O4574"/>
      <c r="R4574"/>
      <c r="S4574"/>
      <c r="T4574"/>
      <c r="U4574"/>
    </row>
    <row r="4575" spans="6:21" x14ac:dyDescent="0.25">
      <c r="F4575"/>
      <c r="O4575"/>
      <c r="R4575"/>
      <c r="S4575"/>
      <c r="T4575"/>
      <c r="U4575"/>
    </row>
    <row r="4576" spans="6:21" x14ac:dyDescent="0.25">
      <c r="F4576"/>
      <c r="O4576"/>
      <c r="R4576"/>
      <c r="S4576"/>
      <c r="T4576"/>
      <c r="U4576"/>
    </row>
    <row r="4577" spans="6:21" x14ac:dyDescent="0.25">
      <c r="F4577"/>
      <c r="O4577"/>
      <c r="R4577"/>
      <c r="S4577"/>
      <c r="T4577"/>
      <c r="U4577"/>
    </row>
    <row r="4578" spans="6:21" x14ac:dyDescent="0.25">
      <c r="F4578"/>
      <c r="O4578"/>
      <c r="R4578"/>
      <c r="S4578"/>
      <c r="T4578"/>
      <c r="U4578"/>
    </row>
    <row r="4579" spans="6:21" x14ac:dyDescent="0.25">
      <c r="F4579"/>
      <c r="O4579"/>
      <c r="R4579"/>
      <c r="S4579"/>
      <c r="T4579"/>
      <c r="U4579"/>
    </row>
    <row r="4580" spans="6:21" x14ac:dyDescent="0.25">
      <c r="F4580"/>
      <c r="O4580"/>
      <c r="R4580"/>
      <c r="S4580"/>
      <c r="T4580"/>
      <c r="U4580"/>
    </row>
    <row r="4581" spans="6:21" x14ac:dyDescent="0.25">
      <c r="F4581"/>
      <c r="O4581"/>
      <c r="R4581"/>
      <c r="S4581"/>
      <c r="T4581"/>
      <c r="U4581"/>
    </row>
    <row r="4582" spans="6:21" x14ac:dyDescent="0.25">
      <c r="F4582"/>
      <c r="O4582"/>
      <c r="R4582"/>
      <c r="S4582"/>
      <c r="T4582"/>
      <c r="U4582"/>
    </row>
    <row r="4583" spans="6:21" x14ac:dyDescent="0.25">
      <c r="F4583"/>
      <c r="O4583"/>
      <c r="R4583"/>
      <c r="S4583"/>
      <c r="T4583"/>
      <c r="U4583"/>
    </row>
    <row r="4584" spans="6:21" x14ac:dyDescent="0.25">
      <c r="F4584"/>
      <c r="O4584"/>
      <c r="R4584"/>
      <c r="S4584"/>
      <c r="T4584"/>
      <c r="U4584"/>
    </row>
    <row r="4585" spans="6:21" x14ac:dyDescent="0.25">
      <c r="F4585"/>
      <c r="O4585"/>
      <c r="R4585"/>
      <c r="S4585"/>
      <c r="T4585"/>
      <c r="U4585"/>
    </row>
    <row r="4586" spans="6:21" x14ac:dyDescent="0.25">
      <c r="F4586"/>
      <c r="O4586"/>
      <c r="R4586"/>
      <c r="S4586"/>
      <c r="T4586"/>
      <c r="U4586"/>
    </row>
    <row r="4587" spans="6:21" x14ac:dyDescent="0.25">
      <c r="F4587"/>
      <c r="O4587"/>
      <c r="R4587"/>
      <c r="S4587"/>
      <c r="T4587"/>
      <c r="U4587"/>
    </row>
    <row r="4588" spans="6:21" x14ac:dyDescent="0.25">
      <c r="F4588"/>
      <c r="O4588"/>
      <c r="R4588"/>
      <c r="S4588"/>
      <c r="T4588"/>
      <c r="U4588"/>
    </row>
    <row r="4589" spans="6:21" x14ac:dyDescent="0.25">
      <c r="F4589"/>
      <c r="O4589"/>
      <c r="R4589"/>
      <c r="S4589"/>
      <c r="T4589"/>
      <c r="U4589"/>
    </row>
    <row r="4590" spans="6:21" x14ac:dyDescent="0.25">
      <c r="F4590"/>
      <c r="O4590"/>
      <c r="R4590"/>
      <c r="S4590"/>
      <c r="T4590"/>
      <c r="U4590"/>
    </row>
    <row r="4591" spans="6:21" x14ac:dyDescent="0.25">
      <c r="F4591"/>
      <c r="O4591"/>
      <c r="R4591"/>
      <c r="S4591"/>
      <c r="T4591"/>
      <c r="U4591"/>
    </row>
    <row r="4592" spans="6:21" x14ac:dyDescent="0.25">
      <c r="F4592"/>
      <c r="O4592"/>
      <c r="R4592"/>
      <c r="S4592"/>
      <c r="T4592"/>
      <c r="U4592"/>
    </row>
    <row r="4593" spans="6:21" x14ac:dyDescent="0.25">
      <c r="F4593"/>
      <c r="O4593"/>
      <c r="R4593"/>
      <c r="S4593"/>
      <c r="T4593"/>
      <c r="U4593"/>
    </row>
    <row r="4594" spans="6:21" x14ac:dyDescent="0.25">
      <c r="F4594"/>
      <c r="O4594"/>
      <c r="R4594"/>
      <c r="S4594"/>
      <c r="T4594"/>
      <c r="U4594"/>
    </row>
    <row r="4595" spans="6:21" x14ac:dyDescent="0.25">
      <c r="F4595"/>
      <c r="O4595"/>
      <c r="R4595"/>
      <c r="S4595"/>
      <c r="T4595"/>
      <c r="U4595"/>
    </row>
    <row r="4596" spans="6:21" x14ac:dyDescent="0.25">
      <c r="F4596"/>
      <c r="O4596"/>
      <c r="R4596"/>
      <c r="S4596"/>
      <c r="T4596"/>
      <c r="U4596"/>
    </row>
    <row r="4597" spans="6:21" x14ac:dyDescent="0.25">
      <c r="F4597"/>
      <c r="O4597"/>
      <c r="R4597"/>
      <c r="S4597"/>
      <c r="T4597"/>
      <c r="U4597"/>
    </row>
    <row r="4598" spans="6:21" x14ac:dyDescent="0.25">
      <c r="F4598"/>
      <c r="O4598"/>
      <c r="R4598"/>
      <c r="S4598"/>
      <c r="T4598"/>
      <c r="U4598"/>
    </row>
    <row r="4599" spans="6:21" x14ac:dyDescent="0.25">
      <c r="F4599"/>
      <c r="O4599"/>
      <c r="R4599"/>
      <c r="S4599"/>
      <c r="T4599"/>
      <c r="U4599"/>
    </row>
    <row r="4600" spans="6:21" x14ac:dyDescent="0.25">
      <c r="F4600"/>
      <c r="O4600"/>
      <c r="R4600"/>
      <c r="S4600"/>
      <c r="T4600"/>
      <c r="U4600"/>
    </row>
    <row r="4601" spans="6:21" x14ac:dyDescent="0.25">
      <c r="F4601"/>
      <c r="O4601"/>
      <c r="R4601"/>
      <c r="S4601"/>
      <c r="T4601"/>
      <c r="U4601"/>
    </row>
    <row r="4602" spans="6:21" x14ac:dyDescent="0.25">
      <c r="F4602"/>
      <c r="O4602"/>
      <c r="R4602"/>
      <c r="S4602"/>
      <c r="T4602"/>
      <c r="U4602"/>
    </row>
    <row r="4603" spans="6:21" x14ac:dyDescent="0.25">
      <c r="F4603"/>
      <c r="O4603"/>
      <c r="R4603"/>
      <c r="S4603"/>
      <c r="T4603"/>
      <c r="U4603"/>
    </row>
    <row r="4604" spans="6:21" x14ac:dyDescent="0.25">
      <c r="F4604"/>
      <c r="O4604"/>
      <c r="R4604"/>
      <c r="S4604"/>
      <c r="T4604"/>
      <c r="U4604"/>
    </row>
    <row r="4605" spans="6:21" x14ac:dyDescent="0.25">
      <c r="F4605"/>
      <c r="O4605"/>
      <c r="R4605"/>
      <c r="S4605"/>
      <c r="T4605"/>
      <c r="U4605"/>
    </row>
    <row r="4606" spans="6:21" x14ac:dyDescent="0.25">
      <c r="F4606"/>
      <c r="O4606"/>
      <c r="R4606"/>
      <c r="S4606"/>
      <c r="T4606"/>
      <c r="U4606"/>
    </row>
    <row r="4607" spans="6:21" x14ac:dyDescent="0.25">
      <c r="F4607"/>
      <c r="O4607"/>
      <c r="R4607"/>
      <c r="S4607"/>
      <c r="T4607"/>
      <c r="U4607"/>
    </row>
    <row r="4608" spans="6:21" x14ac:dyDescent="0.25">
      <c r="F4608"/>
      <c r="O4608"/>
      <c r="R4608"/>
      <c r="S4608"/>
      <c r="T4608"/>
      <c r="U4608"/>
    </row>
    <row r="4609" spans="6:21" x14ac:dyDescent="0.25">
      <c r="F4609"/>
      <c r="O4609"/>
      <c r="R4609"/>
      <c r="S4609"/>
      <c r="T4609"/>
      <c r="U4609"/>
    </row>
    <row r="4610" spans="6:21" x14ac:dyDescent="0.25">
      <c r="F4610"/>
      <c r="O4610"/>
      <c r="R4610"/>
      <c r="S4610"/>
      <c r="T4610"/>
      <c r="U4610"/>
    </row>
    <row r="4611" spans="6:21" x14ac:dyDescent="0.25">
      <c r="F4611"/>
      <c r="O4611"/>
      <c r="R4611"/>
      <c r="S4611"/>
      <c r="T4611"/>
      <c r="U4611"/>
    </row>
    <row r="4612" spans="6:21" x14ac:dyDescent="0.25">
      <c r="F4612"/>
      <c r="O4612"/>
      <c r="R4612"/>
      <c r="S4612"/>
      <c r="T4612"/>
      <c r="U4612"/>
    </row>
    <row r="4613" spans="6:21" x14ac:dyDescent="0.25">
      <c r="F4613"/>
      <c r="O4613"/>
      <c r="R4613"/>
      <c r="S4613"/>
      <c r="T4613"/>
      <c r="U4613"/>
    </row>
    <row r="4614" spans="6:21" x14ac:dyDescent="0.25">
      <c r="F4614"/>
      <c r="O4614"/>
      <c r="R4614"/>
      <c r="S4614"/>
      <c r="T4614"/>
      <c r="U4614"/>
    </row>
    <row r="4615" spans="6:21" x14ac:dyDescent="0.25">
      <c r="F4615"/>
      <c r="O4615"/>
      <c r="R4615"/>
      <c r="S4615"/>
      <c r="T4615"/>
      <c r="U4615"/>
    </row>
    <row r="4616" spans="6:21" x14ac:dyDescent="0.25">
      <c r="F4616"/>
      <c r="O4616"/>
      <c r="R4616"/>
      <c r="S4616"/>
      <c r="T4616"/>
      <c r="U4616"/>
    </row>
    <row r="4617" spans="6:21" x14ac:dyDescent="0.25">
      <c r="F4617"/>
      <c r="O4617"/>
      <c r="R4617"/>
      <c r="S4617"/>
      <c r="T4617"/>
      <c r="U4617"/>
    </row>
    <row r="4618" spans="6:21" x14ac:dyDescent="0.25">
      <c r="F4618"/>
      <c r="O4618"/>
      <c r="R4618"/>
      <c r="S4618"/>
      <c r="T4618"/>
      <c r="U4618"/>
    </row>
    <row r="4619" spans="6:21" x14ac:dyDescent="0.25">
      <c r="F4619"/>
      <c r="O4619"/>
      <c r="R4619"/>
      <c r="S4619"/>
      <c r="T4619"/>
      <c r="U4619"/>
    </row>
    <row r="4620" spans="6:21" x14ac:dyDescent="0.25">
      <c r="F4620"/>
      <c r="O4620"/>
      <c r="R4620"/>
      <c r="S4620"/>
      <c r="T4620"/>
      <c r="U4620"/>
    </row>
    <row r="4621" spans="6:21" x14ac:dyDescent="0.25">
      <c r="F4621"/>
      <c r="O4621"/>
      <c r="R4621"/>
      <c r="S4621"/>
      <c r="T4621"/>
      <c r="U4621"/>
    </row>
    <row r="4622" spans="6:21" x14ac:dyDescent="0.25">
      <c r="F4622"/>
      <c r="O4622"/>
      <c r="R4622"/>
      <c r="S4622"/>
      <c r="T4622"/>
      <c r="U4622"/>
    </row>
    <row r="4623" spans="6:21" x14ac:dyDescent="0.25">
      <c r="F4623"/>
      <c r="O4623"/>
      <c r="R4623"/>
      <c r="S4623"/>
      <c r="T4623"/>
      <c r="U4623"/>
    </row>
    <row r="4624" spans="6:21" x14ac:dyDescent="0.25">
      <c r="F4624"/>
      <c r="O4624"/>
      <c r="R4624"/>
      <c r="S4624"/>
      <c r="T4624"/>
      <c r="U4624"/>
    </row>
    <row r="4625" spans="6:21" x14ac:dyDescent="0.25">
      <c r="F4625"/>
      <c r="O4625"/>
      <c r="R4625"/>
      <c r="S4625"/>
      <c r="T4625"/>
      <c r="U4625"/>
    </row>
    <row r="4626" spans="6:21" x14ac:dyDescent="0.25">
      <c r="F4626"/>
      <c r="O4626"/>
      <c r="R4626"/>
      <c r="S4626"/>
      <c r="T4626"/>
      <c r="U4626"/>
    </row>
    <row r="4627" spans="6:21" x14ac:dyDescent="0.25">
      <c r="F4627"/>
      <c r="O4627"/>
      <c r="R4627"/>
      <c r="S4627"/>
      <c r="T4627"/>
      <c r="U4627"/>
    </row>
    <row r="4628" spans="6:21" x14ac:dyDescent="0.25">
      <c r="F4628"/>
      <c r="O4628"/>
      <c r="R4628"/>
      <c r="S4628"/>
      <c r="T4628"/>
      <c r="U4628"/>
    </row>
    <row r="4629" spans="6:21" x14ac:dyDescent="0.25">
      <c r="F4629"/>
      <c r="O4629"/>
      <c r="R4629"/>
      <c r="S4629"/>
      <c r="T4629"/>
      <c r="U4629"/>
    </row>
    <row r="4630" spans="6:21" x14ac:dyDescent="0.25">
      <c r="F4630"/>
      <c r="O4630"/>
      <c r="R4630"/>
      <c r="S4630"/>
      <c r="T4630"/>
      <c r="U4630"/>
    </row>
    <row r="4631" spans="6:21" x14ac:dyDescent="0.25">
      <c r="F4631"/>
      <c r="O4631"/>
      <c r="R4631"/>
      <c r="S4631"/>
      <c r="T4631"/>
      <c r="U4631"/>
    </row>
    <row r="4632" spans="6:21" x14ac:dyDescent="0.25">
      <c r="F4632"/>
      <c r="O4632"/>
      <c r="R4632"/>
      <c r="S4632"/>
      <c r="T4632"/>
      <c r="U4632"/>
    </row>
    <row r="4633" spans="6:21" x14ac:dyDescent="0.25">
      <c r="F4633"/>
      <c r="O4633"/>
      <c r="R4633"/>
      <c r="S4633"/>
      <c r="T4633"/>
      <c r="U4633"/>
    </row>
    <row r="4634" spans="6:21" x14ac:dyDescent="0.25">
      <c r="F4634"/>
      <c r="O4634"/>
      <c r="R4634"/>
      <c r="S4634"/>
      <c r="T4634"/>
      <c r="U4634"/>
    </row>
    <row r="4635" spans="6:21" x14ac:dyDescent="0.25">
      <c r="F4635"/>
      <c r="O4635"/>
      <c r="R4635"/>
      <c r="S4635"/>
      <c r="T4635"/>
      <c r="U4635"/>
    </row>
    <row r="4636" spans="6:21" x14ac:dyDescent="0.25">
      <c r="F4636"/>
      <c r="O4636"/>
      <c r="R4636"/>
      <c r="S4636"/>
      <c r="T4636"/>
      <c r="U4636"/>
    </row>
    <row r="4637" spans="6:21" x14ac:dyDescent="0.25">
      <c r="F4637"/>
      <c r="O4637"/>
      <c r="R4637"/>
      <c r="S4637"/>
      <c r="T4637"/>
      <c r="U4637"/>
    </row>
    <row r="4638" spans="6:21" x14ac:dyDescent="0.25">
      <c r="F4638"/>
      <c r="O4638"/>
      <c r="R4638"/>
      <c r="S4638"/>
      <c r="T4638"/>
      <c r="U4638"/>
    </row>
    <row r="4639" spans="6:21" x14ac:dyDescent="0.25">
      <c r="F4639"/>
      <c r="O4639"/>
      <c r="R4639"/>
      <c r="S4639"/>
      <c r="T4639"/>
      <c r="U4639"/>
    </row>
    <row r="4640" spans="6:21" x14ac:dyDescent="0.25">
      <c r="F4640"/>
      <c r="O4640"/>
      <c r="R4640"/>
      <c r="S4640"/>
      <c r="T4640"/>
      <c r="U4640"/>
    </row>
    <row r="4641" spans="6:21" x14ac:dyDescent="0.25">
      <c r="F4641"/>
      <c r="O4641"/>
      <c r="R4641"/>
      <c r="S4641"/>
      <c r="T4641"/>
      <c r="U4641"/>
    </row>
    <row r="4642" spans="6:21" x14ac:dyDescent="0.25">
      <c r="F4642"/>
      <c r="O4642"/>
      <c r="R4642"/>
      <c r="S4642"/>
      <c r="T4642"/>
      <c r="U4642"/>
    </row>
    <row r="4643" spans="6:21" x14ac:dyDescent="0.25">
      <c r="F4643"/>
      <c r="O4643"/>
      <c r="R4643"/>
      <c r="S4643"/>
      <c r="T4643"/>
      <c r="U4643"/>
    </row>
    <row r="4644" spans="6:21" x14ac:dyDescent="0.25">
      <c r="F4644"/>
      <c r="O4644"/>
      <c r="R4644"/>
      <c r="S4644"/>
      <c r="T4644"/>
      <c r="U4644"/>
    </row>
    <row r="4645" spans="6:21" x14ac:dyDescent="0.25">
      <c r="F4645"/>
      <c r="O4645"/>
      <c r="R4645"/>
      <c r="S4645"/>
      <c r="T4645"/>
      <c r="U4645"/>
    </row>
    <row r="4646" spans="6:21" x14ac:dyDescent="0.25">
      <c r="F4646"/>
      <c r="O4646"/>
      <c r="R4646"/>
      <c r="S4646"/>
      <c r="T4646"/>
      <c r="U4646"/>
    </row>
    <row r="4647" spans="6:21" x14ac:dyDescent="0.25">
      <c r="F4647"/>
      <c r="O4647"/>
      <c r="R4647"/>
      <c r="S4647"/>
      <c r="T4647"/>
      <c r="U4647"/>
    </row>
    <row r="4648" spans="6:21" x14ac:dyDescent="0.25">
      <c r="F4648"/>
      <c r="O4648"/>
      <c r="R4648"/>
      <c r="S4648"/>
      <c r="T4648"/>
      <c r="U4648"/>
    </row>
    <row r="4649" spans="6:21" x14ac:dyDescent="0.25">
      <c r="F4649"/>
      <c r="O4649"/>
      <c r="R4649"/>
      <c r="S4649"/>
      <c r="T4649"/>
      <c r="U4649"/>
    </row>
    <row r="4650" spans="6:21" x14ac:dyDescent="0.25">
      <c r="F4650"/>
      <c r="O4650"/>
      <c r="R4650"/>
      <c r="S4650"/>
      <c r="T4650"/>
      <c r="U4650"/>
    </row>
    <row r="4651" spans="6:21" x14ac:dyDescent="0.25">
      <c r="F4651"/>
      <c r="O4651"/>
      <c r="R4651"/>
      <c r="S4651"/>
      <c r="T4651"/>
      <c r="U4651"/>
    </row>
    <row r="4652" spans="6:21" x14ac:dyDescent="0.25">
      <c r="F4652"/>
      <c r="O4652"/>
      <c r="R4652"/>
      <c r="S4652"/>
      <c r="T4652"/>
      <c r="U4652"/>
    </row>
    <row r="4653" spans="6:21" x14ac:dyDescent="0.25">
      <c r="F4653"/>
      <c r="O4653"/>
      <c r="R4653"/>
      <c r="S4653"/>
      <c r="T4653"/>
      <c r="U4653"/>
    </row>
    <row r="4654" spans="6:21" x14ac:dyDescent="0.25">
      <c r="F4654"/>
      <c r="O4654"/>
      <c r="R4654"/>
      <c r="S4654"/>
      <c r="T4654"/>
      <c r="U4654"/>
    </row>
    <row r="4655" spans="6:21" x14ac:dyDescent="0.25">
      <c r="F4655"/>
      <c r="O4655"/>
      <c r="R4655"/>
      <c r="S4655"/>
      <c r="T4655"/>
      <c r="U4655"/>
    </row>
    <row r="4656" spans="6:21" x14ac:dyDescent="0.25">
      <c r="F4656"/>
      <c r="O4656"/>
      <c r="R4656"/>
      <c r="S4656"/>
      <c r="T4656"/>
      <c r="U4656"/>
    </row>
    <row r="4657" spans="6:21" x14ac:dyDescent="0.25">
      <c r="F4657"/>
      <c r="O4657"/>
      <c r="R4657"/>
      <c r="S4657"/>
      <c r="T4657"/>
      <c r="U4657"/>
    </row>
    <row r="4658" spans="6:21" x14ac:dyDescent="0.25">
      <c r="F4658"/>
      <c r="O4658"/>
      <c r="R4658"/>
      <c r="S4658"/>
      <c r="T4658"/>
      <c r="U4658"/>
    </row>
    <row r="4659" spans="6:21" x14ac:dyDescent="0.25">
      <c r="F4659"/>
      <c r="O4659"/>
      <c r="R4659"/>
      <c r="S4659"/>
      <c r="T4659"/>
      <c r="U4659"/>
    </row>
    <row r="4660" spans="6:21" x14ac:dyDescent="0.25">
      <c r="F4660"/>
      <c r="O4660"/>
      <c r="R4660"/>
      <c r="S4660"/>
      <c r="T4660"/>
      <c r="U4660"/>
    </row>
    <row r="4661" spans="6:21" x14ac:dyDescent="0.25">
      <c r="F4661"/>
      <c r="O4661"/>
      <c r="R4661"/>
      <c r="S4661"/>
      <c r="T4661"/>
      <c r="U4661"/>
    </row>
    <row r="4662" spans="6:21" x14ac:dyDescent="0.25">
      <c r="F4662"/>
      <c r="O4662"/>
      <c r="R4662"/>
      <c r="S4662"/>
      <c r="T4662"/>
      <c r="U4662"/>
    </row>
    <row r="4663" spans="6:21" x14ac:dyDescent="0.25">
      <c r="F4663"/>
      <c r="O4663"/>
      <c r="R4663"/>
      <c r="S4663"/>
      <c r="T4663"/>
      <c r="U4663"/>
    </row>
    <row r="4664" spans="6:21" x14ac:dyDescent="0.25">
      <c r="F4664"/>
      <c r="O4664"/>
      <c r="R4664"/>
      <c r="S4664"/>
      <c r="T4664"/>
      <c r="U4664"/>
    </row>
    <row r="4665" spans="6:21" x14ac:dyDescent="0.25">
      <c r="F4665"/>
      <c r="O4665"/>
      <c r="R4665"/>
      <c r="S4665"/>
      <c r="T4665"/>
      <c r="U4665"/>
    </row>
    <row r="4666" spans="6:21" x14ac:dyDescent="0.25">
      <c r="F4666"/>
      <c r="O4666"/>
      <c r="R4666"/>
      <c r="S4666"/>
      <c r="T4666"/>
      <c r="U4666"/>
    </row>
    <row r="4667" spans="6:21" x14ac:dyDescent="0.25">
      <c r="F4667"/>
      <c r="O4667"/>
      <c r="R4667"/>
      <c r="S4667"/>
      <c r="T4667"/>
      <c r="U4667"/>
    </row>
    <row r="4668" spans="6:21" x14ac:dyDescent="0.25">
      <c r="F4668"/>
      <c r="O4668"/>
      <c r="R4668"/>
      <c r="S4668"/>
      <c r="T4668"/>
      <c r="U4668"/>
    </row>
    <row r="4669" spans="6:21" x14ac:dyDescent="0.25">
      <c r="F4669"/>
      <c r="O4669"/>
      <c r="R4669"/>
      <c r="S4669"/>
      <c r="T4669"/>
      <c r="U4669"/>
    </row>
    <row r="4670" spans="6:21" x14ac:dyDescent="0.25">
      <c r="F4670"/>
      <c r="O4670"/>
      <c r="R4670"/>
      <c r="S4670"/>
      <c r="T4670"/>
      <c r="U4670"/>
    </row>
    <row r="4671" spans="6:21" x14ac:dyDescent="0.25">
      <c r="F4671"/>
      <c r="O4671"/>
      <c r="R4671"/>
      <c r="S4671"/>
      <c r="T4671"/>
      <c r="U4671"/>
    </row>
    <row r="4672" spans="6:21" x14ac:dyDescent="0.25">
      <c r="F4672"/>
      <c r="O4672"/>
      <c r="R4672"/>
      <c r="S4672"/>
      <c r="T4672"/>
      <c r="U4672"/>
    </row>
    <row r="4673" spans="6:21" x14ac:dyDescent="0.25">
      <c r="F4673"/>
      <c r="O4673"/>
      <c r="R4673"/>
      <c r="S4673"/>
      <c r="T4673"/>
      <c r="U4673"/>
    </row>
    <row r="4674" spans="6:21" x14ac:dyDescent="0.25">
      <c r="F4674"/>
      <c r="O4674"/>
      <c r="R4674"/>
      <c r="S4674"/>
      <c r="T4674"/>
      <c r="U4674"/>
    </row>
    <row r="4675" spans="6:21" x14ac:dyDescent="0.25">
      <c r="F4675"/>
      <c r="O4675"/>
      <c r="R4675"/>
      <c r="S4675"/>
      <c r="T4675"/>
      <c r="U4675"/>
    </row>
    <row r="4676" spans="6:21" x14ac:dyDescent="0.25">
      <c r="F4676"/>
      <c r="O4676"/>
      <c r="R4676"/>
      <c r="S4676"/>
      <c r="T4676"/>
      <c r="U4676"/>
    </row>
    <row r="4677" spans="6:21" x14ac:dyDescent="0.25">
      <c r="F4677"/>
      <c r="O4677"/>
      <c r="R4677"/>
      <c r="S4677"/>
      <c r="T4677"/>
      <c r="U4677"/>
    </row>
    <row r="4678" spans="6:21" x14ac:dyDescent="0.25">
      <c r="F4678"/>
      <c r="O4678"/>
      <c r="R4678"/>
      <c r="S4678"/>
      <c r="T4678"/>
      <c r="U4678"/>
    </row>
    <row r="4679" spans="6:21" x14ac:dyDescent="0.25">
      <c r="F4679"/>
      <c r="O4679"/>
      <c r="R4679"/>
      <c r="S4679"/>
      <c r="T4679"/>
      <c r="U4679"/>
    </row>
    <row r="4680" spans="6:21" x14ac:dyDescent="0.25">
      <c r="F4680"/>
      <c r="O4680"/>
      <c r="R4680"/>
      <c r="S4680"/>
      <c r="T4680"/>
      <c r="U4680"/>
    </row>
    <row r="4681" spans="6:21" x14ac:dyDescent="0.25">
      <c r="F4681"/>
      <c r="O4681"/>
      <c r="R4681"/>
      <c r="S4681"/>
      <c r="T4681"/>
      <c r="U4681"/>
    </row>
    <row r="4682" spans="6:21" x14ac:dyDescent="0.25">
      <c r="F4682"/>
      <c r="O4682"/>
      <c r="R4682"/>
      <c r="S4682"/>
      <c r="T4682"/>
      <c r="U4682"/>
    </row>
    <row r="4683" spans="6:21" x14ac:dyDescent="0.25">
      <c r="F4683"/>
      <c r="O4683"/>
      <c r="R4683"/>
      <c r="S4683"/>
      <c r="T4683"/>
      <c r="U4683"/>
    </row>
    <row r="4684" spans="6:21" x14ac:dyDescent="0.25">
      <c r="F4684"/>
      <c r="O4684"/>
      <c r="R4684"/>
      <c r="S4684"/>
      <c r="T4684"/>
      <c r="U4684"/>
    </row>
    <row r="4685" spans="6:21" x14ac:dyDescent="0.25">
      <c r="F4685"/>
      <c r="O4685"/>
      <c r="R4685"/>
      <c r="S4685"/>
      <c r="T4685"/>
      <c r="U4685"/>
    </row>
    <row r="4686" spans="6:21" x14ac:dyDescent="0.25">
      <c r="F4686"/>
      <c r="O4686"/>
      <c r="R4686"/>
      <c r="S4686"/>
      <c r="T4686"/>
      <c r="U4686"/>
    </row>
    <row r="4687" spans="6:21" x14ac:dyDescent="0.25">
      <c r="F4687"/>
      <c r="O4687"/>
      <c r="R4687"/>
      <c r="S4687"/>
      <c r="T4687"/>
      <c r="U4687"/>
    </row>
    <row r="4688" spans="6:21" x14ac:dyDescent="0.25">
      <c r="F4688"/>
      <c r="O4688"/>
      <c r="R4688"/>
      <c r="S4688"/>
      <c r="T4688"/>
      <c r="U4688"/>
    </row>
    <row r="4689" spans="6:21" x14ac:dyDescent="0.25">
      <c r="F4689"/>
      <c r="O4689"/>
      <c r="R4689"/>
      <c r="S4689"/>
      <c r="T4689"/>
      <c r="U4689"/>
    </row>
    <row r="4690" spans="6:21" x14ac:dyDescent="0.25">
      <c r="F4690"/>
      <c r="O4690"/>
      <c r="R4690"/>
      <c r="S4690"/>
      <c r="T4690"/>
      <c r="U4690"/>
    </row>
    <row r="4691" spans="6:21" x14ac:dyDescent="0.25">
      <c r="F4691"/>
      <c r="O4691"/>
      <c r="R4691"/>
      <c r="S4691"/>
      <c r="T4691"/>
      <c r="U4691"/>
    </row>
    <row r="4692" spans="6:21" x14ac:dyDescent="0.25">
      <c r="F4692"/>
      <c r="O4692"/>
      <c r="R4692"/>
      <c r="S4692"/>
      <c r="T4692"/>
      <c r="U4692"/>
    </row>
    <row r="4693" spans="6:21" x14ac:dyDescent="0.25">
      <c r="F4693"/>
      <c r="O4693"/>
      <c r="R4693"/>
      <c r="S4693"/>
      <c r="T4693"/>
      <c r="U4693"/>
    </row>
    <row r="4694" spans="6:21" x14ac:dyDescent="0.25">
      <c r="F4694"/>
      <c r="O4694"/>
      <c r="R4694"/>
      <c r="S4694"/>
      <c r="T4694"/>
      <c r="U4694"/>
    </row>
    <row r="4695" spans="6:21" x14ac:dyDescent="0.25">
      <c r="F4695"/>
      <c r="O4695"/>
      <c r="R4695"/>
      <c r="S4695"/>
      <c r="T4695"/>
      <c r="U4695"/>
    </row>
    <row r="4696" spans="6:21" x14ac:dyDescent="0.25">
      <c r="F4696"/>
      <c r="O4696"/>
      <c r="R4696"/>
      <c r="S4696"/>
      <c r="T4696"/>
      <c r="U4696"/>
    </row>
    <row r="4697" spans="6:21" x14ac:dyDescent="0.25">
      <c r="F4697"/>
      <c r="O4697"/>
      <c r="R4697"/>
      <c r="S4697"/>
      <c r="T4697"/>
      <c r="U4697"/>
    </row>
    <row r="4698" spans="6:21" x14ac:dyDescent="0.25">
      <c r="F4698"/>
      <c r="O4698"/>
      <c r="R4698"/>
      <c r="S4698"/>
      <c r="T4698"/>
      <c r="U4698"/>
    </row>
    <row r="4699" spans="6:21" x14ac:dyDescent="0.25">
      <c r="F4699"/>
      <c r="O4699"/>
      <c r="R4699"/>
      <c r="S4699"/>
      <c r="T4699"/>
      <c r="U4699"/>
    </row>
    <row r="4700" spans="6:21" x14ac:dyDescent="0.25">
      <c r="F4700"/>
      <c r="O4700"/>
      <c r="R4700"/>
      <c r="S4700"/>
      <c r="T4700"/>
      <c r="U4700"/>
    </row>
    <row r="4701" spans="6:21" x14ac:dyDescent="0.25">
      <c r="F4701"/>
      <c r="O4701"/>
      <c r="R4701"/>
      <c r="S4701"/>
      <c r="T4701"/>
      <c r="U4701"/>
    </row>
    <row r="4702" spans="6:21" x14ac:dyDescent="0.25">
      <c r="F4702"/>
      <c r="O4702"/>
      <c r="R4702"/>
      <c r="S4702"/>
      <c r="T4702"/>
      <c r="U4702"/>
    </row>
    <row r="4703" spans="6:21" x14ac:dyDescent="0.25">
      <c r="F4703"/>
      <c r="O4703"/>
      <c r="R4703"/>
      <c r="S4703"/>
      <c r="T4703"/>
      <c r="U4703"/>
    </row>
    <row r="4704" spans="6:21" x14ac:dyDescent="0.25">
      <c r="F4704"/>
      <c r="O4704"/>
      <c r="R4704"/>
      <c r="S4704"/>
      <c r="T4704"/>
      <c r="U4704"/>
    </row>
    <row r="4705" spans="6:21" x14ac:dyDescent="0.25">
      <c r="F4705"/>
      <c r="O4705"/>
      <c r="R4705"/>
      <c r="S4705"/>
      <c r="T4705"/>
      <c r="U4705"/>
    </row>
    <row r="4706" spans="6:21" x14ac:dyDescent="0.25">
      <c r="F4706"/>
      <c r="O4706"/>
      <c r="R4706"/>
      <c r="S4706"/>
      <c r="T4706"/>
      <c r="U4706"/>
    </row>
    <row r="4707" spans="6:21" x14ac:dyDescent="0.25">
      <c r="F4707"/>
      <c r="O4707"/>
      <c r="R4707"/>
      <c r="S4707"/>
      <c r="T4707"/>
      <c r="U4707"/>
    </row>
    <row r="4708" spans="6:21" x14ac:dyDescent="0.25">
      <c r="F4708"/>
      <c r="O4708"/>
      <c r="R4708"/>
      <c r="S4708"/>
      <c r="T4708"/>
      <c r="U4708"/>
    </row>
    <row r="4709" spans="6:21" x14ac:dyDescent="0.25">
      <c r="F4709"/>
      <c r="O4709"/>
      <c r="R4709"/>
      <c r="S4709"/>
      <c r="T4709"/>
      <c r="U4709"/>
    </row>
    <row r="4710" spans="6:21" x14ac:dyDescent="0.25">
      <c r="F4710"/>
      <c r="O4710"/>
      <c r="R4710"/>
      <c r="S4710"/>
      <c r="T4710"/>
      <c r="U4710"/>
    </row>
    <row r="4711" spans="6:21" x14ac:dyDescent="0.25">
      <c r="F4711"/>
      <c r="O4711"/>
      <c r="R4711"/>
      <c r="S4711"/>
      <c r="T4711"/>
      <c r="U4711"/>
    </row>
    <row r="4712" spans="6:21" x14ac:dyDescent="0.25">
      <c r="F4712"/>
      <c r="O4712"/>
      <c r="R4712"/>
      <c r="S4712"/>
      <c r="T4712"/>
      <c r="U4712"/>
    </row>
    <row r="4713" spans="6:21" x14ac:dyDescent="0.25">
      <c r="F4713"/>
      <c r="O4713"/>
      <c r="R4713"/>
      <c r="S4713"/>
      <c r="T4713"/>
      <c r="U4713"/>
    </row>
    <row r="4714" spans="6:21" x14ac:dyDescent="0.25">
      <c r="F4714"/>
      <c r="O4714"/>
      <c r="R4714"/>
      <c r="S4714"/>
      <c r="T4714"/>
      <c r="U4714"/>
    </row>
    <row r="4715" spans="6:21" x14ac:dyDescent="0.25">
      <c r="F4715"/>
      <c r="O4715"/>
      <c r="R4715"/>
      <c r="S4715"/>
      <c r="T4715"/>
      <c r="U4715"/>
    </row>
    <row r="4716" spans="6:21" x14ac:dyDescent="0.25">
      <c r="F4716"/>
      <c r="O4716"/>
      <c r="R4716"/>
      <c r="S4716"/>
      <c r="T4716"/>
      <c r="U4716"/>
    </row>
    <row r="4717" spans="6:21" x14ac:dyDescent="0.25">
      <c r="F4717"/>
      <c r="O4717"/>
      <c r="R4717"/>
      <c r="S4717"/>
      <c r="T4717"/>
      <c r="U4717"/>
    </row>
    <row r="4718" spans="6:21" x14ac:dyDescent="0.25">
      <c r="F4718"/>
      <c r="O4718"/>
      <c r="R4718"/>
      <c r="S4718"/>
      <c r="T4718"/>
      <c r="U4718"/>
    </row>
    <row r="4719" spans="6:21" x14ac:dyDescent="0.25">
      <c r="F4719"/>
      <c r="O4719"/>
      <c r="R4719"/>
      <c r="S4719"/>
      <c r="T4719"/>
      <c r="U4719"/>
    </row>
    <row r="4720" spans="6:21" x14ac:dyDescent="0.25">
      <c r="F4720"/>
      <c r="O4720"/>
      <c r="R4720"/>
      <c r="S4720"/>
      <c r="T4720"/>
      <c r="U4720"/>
    </row>
    <row r="4721" spans="6:21" x14ac:dyDescent="0.25">
      <c r="F4721"/>
      <c r="O4721"/>
      <c r="R4721"/>
      <c r="S4721"/>
      <c r="T4721"/>
      <c r="U4721"/>
    </row>
    <row r="4722" spans="6:21" x14ac:dyDescent="0.25">
      <c r="F4722"/>
      <c r="O4722"/>
      <c r="R4722"/>
      <c r="S4722"/>
      <c r="T4722"/>
      <c r="U4722"/>
    </row>
    <row r="4723" spans="6:21" x14ac:dyDescent="0.25">
      <c r="F4723"/>
      <c r="O4723"/>
      <c r="R4723"/>
      <c r="S4723"/>
      <c r="T4723"/>
      <c r="U4723"/>
    </row>
    <row r="4724" spans="6:21" x14ac:dyDescent="0.25">
      <c r="F4724"/>
      <c r="O4724"/>
      <c r="R4724"/>
      <c r="S4724"/>
      <c r="T4724"/>
      <c r="U4724"/>
    </row>
    <row r="4725" spans="6:21" x14ac:dyDescent="0.25">
      <c r="F4725"/>
      <c r="O4725"/>
      <c r="R4725"/>
      <c r="S4725"/>
      <c r="T4725"/>
      <c r="U4725"/>
    </row>
    <row r="4726" spans="6:21" x14ac:dyDescent="0.25">
      <c r="F4726"/>
      <c r="O4726"/>
      <c r="R4726"/>
      <c r="S4726"/>
      <c r="T4726"/>
      <c r="U4726"/>
    </row>
    <row r="4727" spans="6:21" x14ac:dyDescent="0.25">
      <c r="F4727"/>
      <c r="O4727"/>
      <c r="R4727"/>
      <c r="S4727"/>
      <c r="T4727"/>
      <c r="U4727"/>
    </row>
    <row r="4728" spans="6:21" x14ac:dyDescent="0.25">
      <c r="F4728"/>
      <c r="O4728"/>
      <c r="R4728"/>
      <c r="S4728"/>
      <c r="T4728"/>
      <c r="U4728"/>
    </row>
    <row r="4729" spans="6:21" x14ac:dyDescent="0.25">
      <c r="F4729"/>
      <c r="O4729"/>
      <c r="R4729"/>
      <c r="S4729"/>
      <c r="T4729"/>
      <c r="U4729"/>
    </row>
    <row r="4730" spans="6:21" x14ac:dyDescent="0.25">
      <c r="F4730"/>
      <c r="O4730"/>
      <c r="R4730"/>
      <c r="S4730"/>
      <c r="T4730"/>
      <c r="U4730"/>
    </row>
    <row r="4731" spans="6:21" x14ac:dyDescent="0.25">
      <c r="F4731"/>
      <c r="O4731"/>
      <c r="R4731"/>
      <c r="S4731"/>
      <c r="T4731"/>
      <c r="U4731"/>
    </row>
    <row r="4732" spans="6:21" x14ac:dyDescent="0.25">
      <c r="F4732"/>
      <c r="O4732"/>
      <c r="R4732"/>
      <c r="S4732"/>
      <c r="T4732"/>
      <c r="U4732"/>
    </row>
    <row r="4733" spans="6:21" x14ac:dyDescent="0.25">
      <c r="F4733"/>
      <c r="O4733"/>
      <c r="R4733"/>
      <c r="S4733"/>
      <c r="T4733"/>
      <c r="U4733"/>
    </row>
    <row r="4734" spans="6:21" x14ac:dyDescent="0.25">
      <c r="F4734"/>
      <c r="O4734"/>
      <c r="R4734"/>
      <c r="S4734"/>
      <c r="T4734"/>
      <c r="U4734"/>
    </row>
    <row r="4735" spans="6:21" x14ac:dyDescent="0.25">
      <c r="F4735"/>
      <c r="O4735"/>
      <c r="R4735"/>
      <c r="S4735"/>
      <c r="T4735"/>
      <c r="U4735"/>
    </row>
    <row r="4736" spans="6:21" x14ac:dyDescent="0.25">
      <c r="F4736"/>
      <c r="O4736"/>
      <c r="R4736"/>
      <c r="S4736"/>
      <c r="T4736"/>
      <c r="U4736"/>
    </row>
    <row r="4737" spans="6:21" x14ac:dyDescent="0.25">
      <c r="F4737"/>
      <c r="O4737"/>
      <c r="R4737"/>
      <c r="S4737"/>
      <c r="T4737"/>
      <c r="U4737"/>
    </row>
    <row r="4738" spans="6:21" x14ac:dyDescent="0.25">
      <c r="F4738"/>
      <c r="O4738"/>
      <c r="R4738"/>
      <c r="S4738"/>
      <c r="T4738"/>
      <c r="U4738"/>
    </row>
    <row r="4739" spans="6:21" x14ac:dyDescent="0.25">
      <c r="F4739"/>
      <c r="O4739"/>
      <c r="R4739"/>
      <c r="S4739"/>
      <c r="T4739"/>
      <c r="U4739"/>
    </row>
    <row r="4740" spans="6:21" x14ac:dyDescent="0.25">
      <c r="F4740"/>
      <c r="O4740"/>
      <c r="R4740"/>
      <c r="S4740"/>
      <c r="T4740"/>
      <c r="U4740"/>
    </row>
    <row r="4741" spans="6:21" x14ac:dyDescent="0.25">
      <c r="F4741"/>
      <c r="O4741"/>
      <c r="R4741"/>
      <c r="S4741"/>
      <c r="T4741"/>
      <c r="U4741"/>
    </row>
    <row r="4742" spans="6:21" x14ac:dyDescent="0.25">
      <c r="F4742"/>
      <c r="O4742"/>
      <c r="R4742"/>
      <c r="S4742"/>
      <c r="T4742"/>
      <c r="U4742"/>
    </row>
    <row r="4743" spans="6:21" x14ac:dyDescent="0.25">
      <c r="F4743"/>
      <c r="O4743"/>
      <c r="R4743"/>
      <c r="S4743"/>
      <c r="T4743"/>
      <c r="U4743"/>
    </row>
    <row r="4744" spans="6:21" x14ac:dyDescent="0.25">
      <c r="F4744"/>
      <c r="O4744"/>
      <c r="R4744"/>
      <c r="S4744"/>
      <c r="T4744"/>
      <c r="U4744"/>
    </row>
    <row r="4745" spans="6:21" x14ac:dyDescent="0.25">
      <c r="F4745"/>
      <c r="O4745"/>
      <c r="R4745"/>
      <c r="S4745"/>
      <c r="T4745"/>
      <c r="U4745"/>
    </row>
    <row r="4746" spans="6:21" x14ac:dyDescent="0.25">
      <c r="F4746"/>
      <c r="O4746"/>
      <c r="R4746"/>
      <c r="S4746"/>
      <c r="T4746"/>
      <c r="U4746"/>
    </row>
    <row r="4747" spans="6:21" x14ac:dyDescent="0.25">
      <c r="F4747"/>
      <c r="O4747"/>
      <c r="R4747"/>
      <c r="S4747"/>
      <c r="T4747"/>
      <c r="U4747"/>
    </row>
    <row r="4748" spans="6:21" x14ac:dyDescent="0.25">
      <c r="F4748"/>
      <c r="O4748"/>
      <c r="R4748"/>
      <c r="S4748"/>
      <c r="T4748"/>
      <c r="U4748"/>
    </row>
    <row r="4749" spans="6:21" x14ac:dyDescent="0.25">
      <c r="F4749"/>
      <c r="O4749"/>
      <c r="R4749"/>
      <c r="S4749"/>
      <c r="T4749"/>
      <c r="U4749"/>
    </row>
    <row r="4750" spans="6:21" x14ac:dyDescent="0.25">
      <c r="F4750"/>
      <c r="O4750"/>
      <c r="R4750"/>
      <c r="S4750"/>
      <c r="T4750"/>
      <c r="U4750"/>
    </row>
    <row r="4751" spans="6:21" x14ac:dyDescent="0.25">
      <c r="F4751"/>
      <c r="O4751"/>
      <c r="R4751"/>
      <c r="S4751"/>
      <c r="T4751"/>
      <c r="U4751"/>
    </row>
    <row r="4752" spans="6:21" x14ac:dyDescent="0.25">
      <c r="F4752"/>
      <c r="O4752"/>
      <c r="R4752"/>
      <c r="S4752"/>
      <c r="T4752"/>
      <c r="U4752"/>
    </row>
    <row r="4753" spans="6:21" x14ac:dyDescent="0.25">
      <c r="F4753"/>
      <c r="O4753"/>
      <c r="R4753"/>
      <c r="S4753"/>
      <c r="T4753"/>
      <c r="U4753"/>
    </row>
    <row r="4754" spans="6:21" x14ac:dyDescent="0.25">
      <c r="F4754"/>
      <c r="O4754"/>
      <c r="R4754"/>
      <c r="S4754"/>
      <c r="T4754"/>
      <c r="U4754"/>
    </row>
    <row r="4755" spans="6:21" x14ac:dyDescent="0.25">
      <c r="F4755"/>
      <c r="O4755"/>
      <c r="R4755"/>
      <c r="S4755"/>
      <c r="T4755"/>
      <c r="U4755"/>
    </row>
    <row r="4756" spans="6:21" x14ac:dyDescent="0.25">
      <c r="F4756"/>
      <c r="O4756"/>
      <c r="R4756"/>
      <c r="S4756"/>
      <c r="T4756"/>
      <c r="U4756"/>
    </row>
    <row r="4757" spans="6:21" x14ac:dyDescent="0.25">
      <c r="F4757"/>
      <c r="O4757"/>
      <c r="R4757"/>
      <c r="S4757"/>
      <c r="T4757"/>
      <c r="U4757"/>
    </row>
    <row r="4758" spans="6:21" x14ac:dyDescent="0.25">
      <c r="F4758"/>
      <c r="O4758"/>
      <c r="R4758"/>
      <c r="S4758"/>
      <c r="T4758"/>
      <c r="U4758"/>
    </row>
    <row r="4759" spans="6:21" x14ac:dyDescent="0.25">
      <c r="F4759"/>
      <c r="O4759"/>
      <c r="R4759"/>
      <c r="S4759"/>
      <c r="T4759"/>
      <c r="U4759"/>
    </row>
    <row r="4760" spans="6:21" x14ac:dyDescent="0.25">
      <c r="F4760"/>
      <c r="O4760"/>
      <c r="R4760"/>
      <c r="S4760"/>
      <c r="T4760"/>
      <c r="U4760"/>
    </row>
    <row r="4761" spans="6:21" x14ac:dyDescent="0.25">
      <c r="F4761"/>
      <c r="O4761"/>
      <c r="R4761"/>
      <c r="S4761"/>
      <c r="T4761"/>
      <c r="U4761"/>
    </row>
    <row r="4762" spans="6:21" x14ac:dyDescent="0.25">
      <c r="F4762"/>
      <c r="O4762"/>
      <c r="R4762"/>
      <c r="S4762"/>
      <c r="T4762"/>
      <c r="U4762"/>
    </row>
    <row r="4763" spans="6:21" x14ac:dyDescent="0.25">
      <c r="F4763"/>
      <c r="O4763"/>
      <c r="R4763"/>
      <c r="S4763"/>
      <c r="T4763"/>
      <c r="U4763"/>
    </row>
    <row r="4764" spans="6:21" x14ac:dyDescent="0.25">
      <c r="F4764"/>
      <c r="O4764"/>
      <c r="R4764"/>
      <c r="S4764"/>
      <c r="T4764"/>
      <c r="U4764"/>
    </row>
    <row r="4765" spans="6:21" x14ac:dyDescent="0.25">
      <c r="F4765"/>
      <c r="O4765"/>
      <c r="R4765"/>
      <c r="S4765"/>
      <c r="T4765"/>
      <c r="U4765"/>
    </row>
    <row r="4766" spans="6:21" x14ac:dyDescent="0.25">
      <c r="F4766"/>
      <c r="O4766"/>
      <c r="R4766"/>
      <c r="S4766"/>
      <c r="T4766"/>
      <c r="U4766"/>
    </row>
    <row r="4767" spans="6:21" x14ac:dyDescent="0.25">
      <c r="F4767"/>
      <c r="O4767"/>
      <c r="R4767"/>
      <c r="S4767"/>
      <c r="T4767"/>
      <c r="U4767"/>
    </row>
    <row r="4768" spans="6:21" x14ac:dyDescent="0.25">
      <c r="F4768"/>
      <c r="O4768"/>
      <c r="R4768"/>
      <c r="S4768"/>
      <c r="T4768"/>
      <c r="U4768"/>
    </row>
    <row r="4769" spans="6:21" x14ac:dyDescent="0.25">
      <c r="F4769"/>
      <c r="O4769"/>
      <c r="R4769"/>
      <c r="S4769"/>
      <c r="T4769"/>
      <c r="U4769"/>
    </row>
    <row r="4770" spans="6:21" x14ac:dyDescent="0.25">
      <c r="F4770"/>
      <c r="O4770"/>
      <c r="R4770"/>
      <c r="S4770"/>
      <c r="T4770"/>
      <c r="U4770"/>
    </row>
    <row r="4771" spans="6:21" x14ac:dyDescent="0.25">
      <c r="F4771"/>
      <c r="O4771"/>
      <c r="R4771"/>
      <c r="S4771"/>
      <c r="T4771"/>
      <c r="U4771"/>
    </row>
    <row r="4772" spans="6:21" x14ac:dyDescent="0.25">
      <c r="F4772"/>
      <c r="O4772"/>
      <c r="R4772"/>
      <c r="S4772"/>
      <c r="T4772"/>
      <c r="U4772"/>
    </row>
    <row r="4773" spans="6:21" x14ac:dyDescent="0.25">
      <c r="F4773"/>
      <c r="O4773"/>
      <c r="R4773"/>
      <c r="S4773"/>
      <c r="T4773"/>
      <c r="U4773"/>
    </row>
    <row r="4774" spans="6:21" x14ac:dyDescent="0.25">
      <c r="F4774"/>
      <c r="O4774"/>
      <c r="R4774"/>
      <c r="S4774"/>
      <c r="T4774"/>
      <c r="U4774"/>
    </row>
    <row r="4775" spans="6:21" x14ac:dyDescent="0.25">
      <c r="F4775"/>
      <c r="O4775"/>
      <c r="R4775"/>
      <c r="S4775"/>
      <c r="T4775"/>
      <c r="U4775"/>
    </row>
    <row r="4776" spans="6:21" x14ac:dyDescent="0.25">
      <c r="F4776"/>
      <c r="O4776"/>
      <c r="R4776"/>
      <c r="S4776"/>
      <c r="T4776"/>
      <c r="U4776"/>
    </row>
    <row r="4777" spans="6:21" x14ac:dyDescent="0.25">
      <c r="F4777"/>
      <c r="O4777"/>
      <c r="R4777"/>
      <c r="S4777"/>
      <c r="T4777"/>
      <c r="U4777"/>
    </row>
    <row r="4778" spans="6:21" x14ac:dyDescent="0.25">
      <c r="F4778"/>
      <c r="O4778"/>
      <c r="R4778"/>
      <c r="S4778"/>
      <c r="T4778"/>
      <c r="U4778"/>
    </row>
    <row r="4779" spans="6:21" x14ac:dyDescent="0.25">
      <c r="F4779"/>
      <c r="O4779"/>
      <c r="R4779"/>
      <c r="S4779"/>
      <c r="T4779"/>
      <c r="U4779"/>
    </row>
    <row r="4780" spans="6:21" x14ac:dyDescent="0.25">
      <c r="F4780"/>
      <c r="O4780"/>
      <c r="R4780"/>
      <c r="S4780"/>
      <c r="T4780"/>
      <c r="U4780"/>
    </row>
    <row r="4781" spans="6:21" x14ac:dyDescent="0.25">
      <c r="F4781"/>
      <c r="O4781"/>
      <c r="R4781"/>
      <c r="S4781"/>
      <c r="T4781"/>
      <c r="U4781"/>
    </row>
    <row r="4782" spans="6:21" x14ac:dyDescent="0.25">
      <c r="F4782"/>
      <c r="O4782"/>
      <c r="R4782"/>
      <c r="S4782"/>
      <c r="T4782"/>
      <c r="U4782"/>
    </row>
    <row r="4783" spans="6:21" x14ac:dyDescent="0.25">
      <c r="F4783"/>
      <c r="O4783"/>
      <c r="R4783"/>
      <c r="S4783"/>
      <c r="T4783"/>
      <c r="U4783"/>
    </row>
    <row r="4784" spans="6:21" x14ac:dyDescent="0.25">
      <c r="F4784"/>
      <c r="O4784"/>
      <c r="R4784"/>
      <c r="S4784"/>
      <c r="T4784"/>
      <c r="U4784"/>
    </row>
    <row r="4785" spans="6:21" x14ac:dyDescent="0.25">
      <c r="F4785"/>
      <c r="O4785"/>
      <c r="R4785"/>
      <c r="S4785"/>
      <c r="T4785"/>
      <c r="U4785"/>
    </row>
    <row r="4786" spans="6:21" x14ac:dyDescent="0.25">
      <c r="F4786"/>
      <c r="O4786"/>
      <c r="R4786"/>
      <c r="S4786"/>
      <c r="T4786"/>
      <c r="U4786"/>
    </row>
    <row r="4787" spans="6:21" x14ac:dyDescent="0.25">
      <c r="F4787"/>
      <c r="O4787"/>
      <c r="R4787"/>
      <c r="S4787"/>
      <c r="T4787"/>
      <c r="U4787"/>
    </row>
    <row r="4788" spans="6:21" x14ac:dyDescent="0.25">
      <c r="F4788"/>
      <c r="O4788"/>
      <c r="R4788"/>
      <c r="S4788"/>
      <c r="T4788"/>
      <c r="U4788"/>
    </row>
    <row r="4789" spans="6:21" x14ac:dyDescent="0.25">
      <c r="F4789"/>
      <c r="O4789"/>
      <c r="R4789"/>
      <c r="S4789"/>
      <c r="T4789"/>
      <c r="U4789"/>
    </row>
    <row r="4790" spans="6:21" x14ac:dyDescent="0.25">
      <c r="F4790"/>
      <c r="O4790"/>
      <c r="R4790"/>
      <c r="S4790"/>
      <c r="T4790"/>
      <c r="U4790"/>
    </row>
    <row r="4791" spans="6:21" x14ac:dyDescent="0.25">
      <c r="F4791"/>
      <c r="O4791"/>
      <c r="R4791"/>
      <c r="S4791"/>
      <c r="T4791"/>
      <c r="U4791"/>
    </row>
    <row r="4792" spans="6:21" x14ac:dyDescent="0.25">
      <c r="F4792"/>
      <c r="O4792"/>
      <c r="R4792"/>
      <c r="S4792"/>
      <c r="T4792"/>
      <c r="U4792"/>
    </row>
    <row r="4793" spans="6:21" x14ac:dyDescent="0.25">
      <c r="F4793"/>
      <c r="O4793"/>
      <c r="R4793"/>
      <c r="S4793"/>
      <c r="T4793"/>
      <c r="U4793"/>
    </row>
    <row r="4794" spans="6:21" x14ac:dyDescent="0.25">
      <c r="F4794"/>
      <c r="O4794"/>
      <c r="R4794"/>
      <c r="S4794"/>
      <c r="T4794"/>
      <c r="U4794"/>
    </row>
    <row r="4795" spans="6:21" x14ac:dyDescent="0.25">
      <c r="F4795"/>
      <c r="O4795"/>
      <c r="R4795"/>
      <c r="S4795"/>
      <c r="T4795"/>
      <c r="U4795"/>
    </row>
    <row r="4796" spans="6:21" x14ac:dyDescent="0.25">
      <c r="F4796"/>
      <c r="O4796"/>
      <c r="R4796"/>
      <c r="S4796"/>
      <c r="T4796"/>
      <c r="U4796"/>
    </row>
    <row r="4797" spans="6:21" x14ac:dyDescent="0.25">
      <c r="F4797"/>
      <c r="O4797"/>
      <c r="R4797"/>
      <c r="S4797"/>
      <c r="T4797"/>
      <c r="U4797"/>
    </row>
    <row r="4798" spans="6:21" x14ac:dyDescent="0.25">
      <c r="F4798"/>
      <c r="O4798"/>
      <c r="R4798"/>
      <c r="S4798"/>
      <c r="T4798"/>
      <c r="U4798"/>
    </row>
    <row r="4799" spans="6:21" x14ac:dyDescent="0.25">
      <c r="F4799"/>
      <c r="O4799"/>
      <c r="R4799"/>
      <c r="S4799"/>
      <c r="T4799"/>
      <c r="U4799"/>
    </row>
    <row r="4800" spans="6:21" x14ac:dyDescent="0.25">
      <c r="F4800"/>
      <c r="O4800"/>
      <c r="R4800"/>
      <c r="S4800"/>
      <c r="T4800"/>
      <c r="U4800"/>
    </row>
    <row r="4801" spans="6:21" x14ac:dyDescent="0.25">
      <c r="F4801"/>
      <c r="O4801"/>
      <c r="R4801"/>
      <c r="S4801"/>
      <c r="T4801"/>
      <c r="U4801"/>
    </row>
    <row r="4802" spans="6:21" x14ac:dyDescent="0.25">
      <c r="F4802"/>
      <c r="O4802"/>
      <c r="R4802"/>
      <c r="S4802"/>
      <c r="T4802"/>
      <c r="U4802"/>
    </row>
    <row r="4803" spans="6:21" x14ac:dyDescent="0.25">
      <c r="F4803"/>
      <c r="O4803"/>
      <c r="R4803"/>
      <c r="S4803"/>
      <c r="T4803"/>
      <c r="U4803"/>
    </row>
    <row r="4804" spans="6:21" x14ac:dyDescent="0.25">
      <c r="F4804"/>
      <c r="O4804"/>
      <c r="R4804"/>
      <c r="S4804"/>
      <c r="T4804"/>
      <c r="U4804"/>
    </row>
    <row r="4805" spans="6:21" x14ac:dyDescent="0.25">
      <c r="F4805"/>
      <c r="O4805"/>
      <c r="R4805"/>
      <c r="S4805"/>
      <c r="T4805"/>
      <c r="U4805"/>
    </row>
    <row r="4806" spans="6:21" x14ac:dyDescent="0.25">
      <c r="F4806"/>
      <c r="O4806"/>
      <c r="R4806"/>
      <c r="S4806"/>
      <c r="T4806"/>
      <c r="U4806"/>
    </row>
    <row r="4807" spans="6:21" x14ac:dyDescent="0.25">
      <c r="F4807"/>
      <c r="O4807"/>
      <c r="R4807"/>
      <c r="S4807"/>
      <c r="T4807"/>
      <c r="U4807"/>
    </row>
    <row r="4808" spans="6:21" x14ac:dyDescent="0.25">
      <c r="F4808"/>
      <c r="O4808"/>
      <c r="R4808"/>
      <c r="S4808"/>
      <c r="T4808"/>
      <c r="U4808"/>
    </row>
    <row r="4809" spans="6:21" x14ac:dyDescent="0.25">
      <c r="F4809"/>
      <c r="O4809"/>
      <c r="R4809"/>
      <c r="S4809"/>
      <c r="T4809"/>
      <c r="U4809"/>
    </row>
    <row r="4810" spans="6:21" x14ac:dyDescent="0.25">
      <c r="F4810"/>
      <c r="O4810"/>
      <c r="R4810"/>
      <c r="S4810"/>
      <c r="T4810"/>
      <c r="U4810"/>
    </row>
    <row r="4811" spans="6:21" x14ac:dyDescent="0.25">
      <c r="F4811"/>
      <c r="O4811"/>
      <c r="R4811"/>
      <c r="S4811"/>
      <c r="T4811"/>
      <c r="U4811"/>
    </row>
    <row r="4812" spans="6:21" x14ac:dyDescent="0.25">
      <c r="F4812"/>
      <c r="O4812"/>
      <c r="R4812"/>
      <c r="S4812"/>
      <c r="T4812"/>
      <c r="U4812"/>
    </row>
    <row r="4813" spans="6:21" x14ac:dyDescent="0.25">
      <c r="F4813"/>
      <c r="O4813"/>
      <c r="R4813"/>
      <c r="S4813"/>
      <c r="T4813"/>
      <c r="U4813"/>
    </row>
    <row r="4814" spans="6:21" x14ac:dyDescent="0.25">
      <c r="F4814"/>
      <c r="O4814"/>
      <c r="R4814"/>
      <c r="S4814"/>
      <c r="T4814"/>
      <c r="U4814"/>
    </row>
    <row r="4815" spans="6:21" x14ac:dyDescent="0.25">
      <c r="F4815"/>
      <c r="O4815"/>
      <c r="R4815"/>
      <c r="S4815"/>
      <c r="T4815"/>
      <c r="U4815"/>
    </row>
    <row r="4816" spans="6:21" x14ac:dyDescent="0.25">
      <c r="F4816"/>
      <c r="O4816"/>
      <c r="R4816"/>
      <c r="S4816"/>
      <c r="T4816"/>
      <c r="U4816"/>
    </row>
    <row r="4817" spans="6:21" x14ac:dyDescent="0.25">
      <c r="F4817"/>
      <c r="O4817"/>
      <c r="R4817"/>
      <c r="S4817"/>
      <c r="T4817"/>
      <c r="U4817"/>
    </row>
    <row r="4818" spans="6:21" x14ac:dyDescent="0.25">
      <c r="F4818"/>
      <c r="O4818"/>
      <c r="R4818"/>
      <c r="S4818"/>
      <c r="T4818"/>
      <c r="U4818"/>
    </row>
    <row r="4819" spans="6:21" x14ac:dyDescent="0.25">
      <c r="F4819"/>
      <c r="O4819"/>
      <c r="R4819"/>
      <c r="S4819"/>
      <c r="T4819"/>
      <c r="U4819"/>
    </row>
    <row r="4820" spans="6:21" x14ac:dyDescent="0.25">
      <c r="F4820"/>
      <c r="O4820"/>
      <c r="R4820"/>
      <c r="S4820"/>
      <c r="T4820"/>
      <c r="U4820"/>
    </row>
    <row r="4821" spans="6:21" x14ac:dyDescent="0.25">
      <c r="F4821"/>
      <c r="O4821"/>
      <c r="R4821"/>
      <c r="S4821"/>
      <c r="T4821"/>
      <c r="U4821"/>
    </row>
    <row r="4822" spans="6:21" x14ac:dyDescent="0.25">
      <c r="F4822"/>
      <c r="O4822"/>
      <c r="R4822"/>
      <c r="S4822"/>
      <c r="T4822"/>
      <c r="U4822"/>
    </row>
    <row r="4823" spans="6:21" x14ac:dyDescent="0.25">
      <c r="F4823"/>
      <c r="O4823"/>
      <c r="R4823"/>
      <c r="S4823"/>
      <c r="T4823"/>
      <c r="U4823"/>
    </row>
    <row r="4824" spans="6:21" x14ac:dyDescent="0.25">
      <c r="F4824"/>
      <c r="O4824"/>
      <c r="R4824"/>
      <c r="S4824"/>
      <c r="T4824"/>
      <c r="U4824"/>
    </row>
    <row r="4825" spans="6:21" x14ac:dyDescent="0.25">
      <c r="F4825"/>
      <c r="O4825"/>
      <c r="R4825"/>
      <c r="S4825"/>
      <c r="T4825"/>
      <c r="U4825"/>
    </row>
    <row r="4826" spans="6:21" x14ac:dyDescent="0.25">
      <c r="F4826"/>
      <c r="O4826"/>
      <c r="R4826"/>
      <c r="S4826"/>
      <c r="T4826"/>
      <c r="U4826"/>
    </row>
    <row r="4827" spans="6:21" x14ac:dyDescent="0.25">
      <c r="F4827"/>
      <c r="O4827"/>
      <c r="R4827"/>
      <c r="S4827"/>
      <c r="T4827"/>
      <c r="U4827"/>
    </row>
    <row r="4828" spans="6:21" x14ac:dyDescent="0.25">
      <c r="F4828"/>
      <c r="O4828"/>
      <c r="R4828"/>
      <c r="S4828"/>
      <c r="T4828"/>
      <c r="U4828"/>
    </row>
    <row r="4829" spans="6:21" x14ac:dyDescent="0.25">
      <c r="F4829"/>
      <c r="O4829"/>
      <c r="R4829"/>
      <c r="S4829"/>
      <c r="T4829"/>
      <c r="U4829"/>
    </row>
    <row r="4830" spans="6:21" x14ac:dyDescent="0.25">
      <c r="F4830"/>
      <c r="O4830"/>
      <c r="R4830"/>
      <c r="S4830"/>
      <c r="T4830"/>
      <c r="U4830"/>
    </row>
    <row r="4831" spans="6:21" x14ac:dyDescent="0.25">
      <c r="F4831"/>
      <c r="O4831"/>
      <c r="R4831"/>
      <c r="S4831"/>
      <c r="T4831"/>
      <c r="U4831"/>
    </row>
    <row r="4832" spans="6:21" x14ac:dyDescent="0.25">
      <c r="F4832"/>
      <c r="O4832"/>
      <c r="R4832"/>
      <c r="S4832"/>
      <c r="T4832"/>
      <c r="U4832"/>
    </row>
    <row r="4833" spans="6:21" x14ac:dyDescent="0.25">
      <c r="F4833"/>
      <c r="O4833"/>
      <c r="R4833"/>
      <c r="S4833"/>
      <c r="T4833"/>
      <c r="U4833"/>
    </row>
    <row r="4834" spans="6:21" x14ac:dyDescent="0.25">
      <c r="F4834"/>
      <c r="O4834"/>
      <c r="R4834"/>
      <c r="S4834"/>
      <c r="T4834"/>
      <c r="U4834"/>
    </row>
    <row r="4835" spans="6:21" x14ac:dyDescent="0.25">
      <c r="F4835"/>
      <c r="O4835"/>
      <c r="R4835"/>
      <c r="S4835"/>
      <c r="T4835"/>
      <c r="U4835"/>
    </row>
    <row r="4836" spans="6:21" x14ac:dyDescent="0.25">
      <c r="F4836"/>
      <c r="O4836"/>
      <c r="R4836"/>
      <c r="S4836"/>
      <c r="T4836"/>
      <c r="U4836"/>
    </row>
    <row r="4837" spans="6:21" x14ac:dyDescent="0.25">
      <c r="F4837"/>
      <c r="O4837"/>
      <c r="R4837"/>
      <c r="S4837"/>
      <c r="T4837"/>
      <c r="U4837"/>
    </row>
    <row r="4838" spans="6:21" x14ac:dyDescent="0.25">
      <c r="F4838"/>
      <c r="O4838"/>
      <c r="R4838"/>
      <c r="S4838"/>
      <c r="T4838"/>
      <c r="U4838"/>
    </row>
    <row r="4839" spans="6:21" x14ac:dyDescent="0.25">
      <c r="F4839"/>
      <c r="O4839"/>
      <c r="R4839"/>
      <c r="S4839"/>
      <c r="T4839"/>
      <c r="U4839"/>
    </row>
    <row r="4840" spans="6:21" x14ac:dyDescent="0.25">
      <c r="F4840"/>
      <c r="O4840"/>
      <c r="R4840"/>
      <c r="S4840"/>
      <c r="T4840"/>
      <c r="U4840"/>
    </row>
    <row r="4841" spans="6:21" x14ac:dyDescent="0.25">
      <c r="F4841"/>
      <c r="O4841"/>
      <c r="R4841"/>
      <c r="S4841"/>
      <c r="T4841"/>
      <c r="U4841"/>
    </row>
    <row r="4842" spans="6:21" x14ac:dyDescent="0.25">
      <c r="F4842"/>
      <c r="O4842"/>
      <c r="R4842"/>
      <c r="S4842"/>
      <c r="T4842"/>
      <c r="U4842"/>
    </row>
    <row r="4843" spans="6:21" x14ac:dyDescent="0.25">
      <c r="F4843"/>
      <c r="O4843"/>
      <c r="R4843"/>
      <c r="S4843"/>
      <c r="T4843"/>
      <c r="U4843"/>
    </row>
    <row r="4844" spans="6:21" x14ac:dyDescent="0.25">
      <c r="F4844"/>
      <c r="O4844"/>
      <c r="R4844"/>
      <c r="S4844"/>
      <c r="T4844"/>
      <c r="U4844"/>
    </row>
    <row r="4845" spans="6:21" x14ac:dyDescent="0.25">
      <c r="F4845"/>
      <c r="O4845"/>
      <c r="R4845"/>
      <c r="S4845"/>
      <c r="T4845"/>
      <c r="U4845"/>
    </row>
    <row r="4846" spans="6:21" x14ac:dyDescent="0.25">
      <c r="F4846"/>
      <c r="O4846"/>
      <c r="R4846"/>
      <c r="S4846"/>
      <c r="T4846"/>
      <c r="U4846"/>
    </row>
    <row r="4847" spans="6:21" x14ac:dyDescent="0.25">
      <c r="F4847"/>
      <c r="O4847"/>
      <c r="R4847"/>
      <c r="S4847"/>
      <c r="T4847"/>
      <c r="U4847"/>
    </row>
    <row r="4848" spans="6:21" x14ac:dyDescent="0.25">
      <c r="F4848"/>
      <c r="O4848"/>
      <c r="R4848"/>
      <c r="S4848"/>
      <c r="T4848"/>
      <c r="U4848"/>
    </row>
    <row r="4849" spans="6:21" x14ac:dyDescent="0.25">
      <c r="F4849"/>
      <c r="O4849"/>
      <c r="R4849"/>
      <c r="S4849"/>
      <c r="T4849"/>
      <c r="U4849"/>
    </row>
    <row r="4850" spans="6:21" x14ac:dyDescent="0.25">
      <c r="F4850"/>
      <c r="O4850"/>
      <c r="R4850"/>
      <c r="S4850"/>
      <c r="T4850"/>
      <c r="U4850"/>
    </row>
    <row r="4851" spans="6:21" x14ac:dyDescent="0.25">
      <c r="F4851"/>
      <c r="O4851"/>
      <c r="R4851"/>
      <c r="S4851"/>
      <c r="T4851"/>
      <c r="U4851"/>
    </row>
    <row r="4852" spans="6:21" x14ac:dyDescent="0.25">
      <c r="F4852"/>
      <c r="O4852"/>
      <c r="R4852"/>
      <c r="S4852"/>
      <c r="T4852"/>
      <c r="U4852"/>
    </row>
    <row r="4853" spans="6:21" x14ac:dyDescent="0.25">
      <c r="F4853"/>
      <c r="O4853"/>
      <c r="R4853"/>
      <c r="S4853"/>
      <c r="T4853"/>
      <c r="U4853"/>
    </row>
    <row r="4854" spans="6:21" x14ac:dyDescent="0.25">
      <c r="F4854"/>
      <c r="O4854"/>
      <c r="R4854"/>
      <c r="S4854"/>
      <c r="T4854"/>
      <c r="U4854"/>
    </row>
    <row r="4855" spans="6:21" x14ac:dyDescent="0.25">
      <c r="F4855"/>
      <c r="O4855"/>
      <c r="R4855"/>
      <c r="S4855"/>
      <c r="T4855"/>
      <c r="U4855"/>
    </row>
    <row r="4856" spans="6:21" x14ac:dyDescent="0.25">
      <c r="F4856"/>
      <c r="O4856"/>
      <c r="R4856"/>
      <c r="S4856"/>
      <c r="T4856"/>
      <c r="U4856"/>
    </row>
    <row r="4857" spans="6:21" x14ac:dyDescent="0.25">
      <c r="F4857"/>
      <c r="O4857"/>
      <c r="R4857"/>
      <c r="S4857"/>
      <c r="T4857"/>
      <c r="U4857"/>
    </row>
    <row r="4858" spans="6:21" x14ac:dyDescent="0.25">
      <c r="F4858"/>
      <c r="O4858"/>
      <c r="R4858"/>
      <c r="S4858"/>
      <c r="T4858"/>
      <c r="U4858"/>
    </row>
    <row r="4859" spans="6:21" x14ac:dyDescent="0.25">
      <c r="F4859"/>
      <c r="O4859"/>
      <c r="R4859"/>
      <c r="S4859"/>
      <c r="T4859"/>
      <c r="U4859"/>
    </row>
    <row r="4860" spans="6:21" x14ac:dyDescent="0.25">
      <c r="F4860"/>
      <c r="O4860"/>
      <c r="R4860"/>
      <c r="S4860"/>
      <c r="T4860"/>
      <c r="U4860"/>
    </row>
    <row r="4861" spans="6:21" x14ac:dyDescent="0.25">
      <c r="F4861"/>
      <c r="O4861"/>
      <c r="R4861"/>
      <c r="S4861"/>
      <c r="T4861"/>
      <c r="U4861"/>
    </row>
    <row r="4862" spans="6:21" x14ac:dyDescent="0.25">
      <c r="F4862"/>
      <c r="O4862"/>
      <c r="R4862"/>
      <c r="S4862"/>
      <c r="T4862"/>
      <c r="U4862"/>
    </row>
    <row r="4863" spans="6:21" x14ac:dyDescent="0.25">
      <c r="F4863"/>
      <c r="O4863"/>
      <c r="R4863"/>
      <c r="S4863"/>
      <c r="T4863"/>
      <c r="U4863"/>
    </row>
    <row r="4864" spans="6:21" x14ac:dyDescent="0.25">
      <c r="F4864"/>
      <c r="O4864"/>
      <c r="R4864"/>
      <c r="S4864"/>
      <c r="T4864"/>
      <c r="U4864"/>
    </row>
    <row r="4865" spans="6:21" x14ac:dyDescent="0.25">
      <c r="F4865"/>
      <c r="O4865"/>
      <c r="R4865"/>
      <c r="S4865"/>
      <c r="T4865"/>
      <c r="U4865"/>
    </row>
    <row r="4866" spans="6:21" x14ac:dyDescent="0.25">
      <c r="F4866"/>
      <c r="O4866"/>
      <c r="R4866"/>
      <c r="S4866"/>
      <c r="T4866"/>
      <c r="U4866"/>
    </row>
    <row r="4867" spans="6:21" x14ac:dyDescent="0.25">
      <c r="F4867"/>
      <c r="O4867"/>
      <c r="R4867"/>
      <c r="S4867"/>
      <c r="T4867"/>
      <c r="U4867"/>
    </row>
    <row r="4868" spans="6:21" x14ac:dyDescent="0.25">
      <c r="F4868"/>
      <c r="O4868"/>
      <c r="R4868"/>
      <c r="S4868"/>
      <c r="T4868"/>
      <c r="U4868"/>
    </row>
    <row r="4869" spans="6:21" x14ac:dyDescent="0.25">
      <c r="F4869"/>
      <c r="O4869"/>
      <c r="R4869"/>
      <c r="S4869"/>
      <c r="T4869"/>
      <c r="U4869"/>
    </row>
    <row r="4870" spans="6:21" x14ac:dyDescent="0.25">
      <c r="F4870"/>
      <c r="O4870"/>
      <c r="R4870"/>
      <c r="S4870"/>
      <c r="T4870"/>
      <c r="U4870"/>
    </row>
    <row r="4871" spans="6:21" x14ac:dyDescent="0.25">
      <c r="F4871"/>
      <c r="O4871"/>
      <c r="R4871"/>
      <c r="S4871"/>
      <c r="T4871"/>
      <c r="U4871"/>
    </row>
    <row r="4872" spans="6:21" x14ac:dyDescent="0.25">
      <c r="F4872"/>
      <c r="O4872"/>
      <c r="R4872"/>
      <c r="S4872"/>
      <c r="T4872"/>
      <c r="U4872"/>
    </row>
    <row r="4873" spans="6:21" x14ac:dyDescent="0.25">
      <c r="F4873"/>
      <c r="O4873"/>
      <c r="R4873"/>
      <c r="S4873"/>
      <c r="T4873"/>
      <c r="U4873"/>
    </row>
    <row r="4874" spans="6:21" x14ac:dyDescent="0.25">
      <c r="F4874"/>
      <c r="O4874"/>
      <c r="R4874"/>
      <c r="S4874"/>
      <c r="T4874"/>
      <c r="U4874"/>
    </row>
    <row r="4875" spans="6:21" x14ac:dyDescent="0.25">
      <c r="F4875"/>
      <c r="O4875"/>
      <c r="R4875"/>
      <c r="S4875"/>
      <c r="T4875"/>
      <c r="U4875"/>
    </row>
    <row r="4876" spans="6:21" x14ac:dyDescent="0.25">
      <c r="F4876"/>
      <c r="O4876"/>
      <c r="R4876"/>
      <c r="S4876"/>
      <c r="T4876"/>
      <c r="U4876"/>
    </row>
    <row r="4877" spans="6:21" x14ac:dyDescent="0.25">
      <c r="F4877"/>
      <c r="O4877"/>
      <c r="R4877"/>
      <c r="S4877"/>
      <c r="T4877"/>
      <c r="U4877"/>
    </row>
    <row r="4878" spans="6:21" x14ac:dyDescent="0.25">
      <c r="F4878"/>
      <c r="O4878"/>
      <c r="R4878"/>
      <c r="S4878"/>
      <c r="T4878"/>
      <c r="U4878"/>
    </row>
    <row r="4879" spans="6:21" x14ac:dyDescent="0.25">
      <c r="F4879"/>
      <c r="O4879"/>
      <c r="R4879"/>
      <c r="S4879"/>
      <c r="T4879"/>
      <c r="U4879"/>
    </row>
    <row r="4880" spans="6:21" x14ac:dyDescent="0.25">
      <c r="F4880"/>
      <c r="O4880"/>
      <c r="R4880"/>
      <c r="S4880"/>
      <c r="T4880"/>
      <c r="U4880"/>
    </row>
    <row r="4881" spans="6:21" x14ac:dyDescent="0.25">
      <c r="F4881"/>
      <c r="O4881"/>
      <c r="R4881"/>
      <c r="S4881"/>
      <c r="T4881"/>
      <c r="U4881"/>
    </row>
    <row r="4882" spans="6:21" x14ac:dyDescent="0.25">
      <c r="F4882"/>
      <c r="O4882"/>
      <c r="R4882"/>
      <c r="S4882"/>
      <c r="T4882"/>
      <c r="U4882"/>
    </row>
    <row r="4883" spans="6:21" x14ac:dyDescent="0.25">
      <c r="F4883"/>
      <c r="O4883"/>
      <c r="R4883"/>
      <c r="S4883"/>
      <c r="T4883"/>
      <c r="U4883"/>
    </row>
    <row r="4884" spans="6:21" x14ac:dyDescent="0.25">
      <c r="F4884"/>
      <c r="O4884"/>
      <c r="R4884"/>
      <c r="S4884"/>
      <c r="T4884"/>
      <c r="U4884"/>
    </row>
    <row r="4885" spans="6:21" x14ac:dyDescent="0.25">
      <c r="F4885"/>
      <c r="O4885"/>
      <c r="R4885"/>
      <c r="S4885"/>
      <c r="T4885"/>
      <c r="U4885"/>
    </row>
    <row r="4886" spans="6:21" x14ac:dyDescent="0.25">
      <c r="F4886"/>
      <c r="O4886"/>
      <c r="R4886"/>
      <c r="S4886"/>
      <c r="T4886"/>
      <c r="U4886"/>
    </row>
    <row r="4887" spans="6:21" x14ac:dyDescent="0.25">
      <c r="F4887"/>
      <c r="O4887"/>
      <c r="R4887"/>
      <c r="S4887"/>
      <c r="T4887"/>
      <c r="U4887"/>
    </row>
    <row r="4888" spans="6:21" x14ac:dyDescent="0.25">
      <c r="F4888"/>
      <c r="O4888"/>
      <c r="R4888"/>
      <c r="S4888"/>
      <c r="T4888"/>
      <c r="U4888"/>
    </row>
    <row r="4889" spans="6:21" x14ac:dyDescent="0.25">
      <c r="F4889"/>
      <c r="O4889"/>
      <c r="R4889"/>
      <c r="S4889"/>
      <c r="T4889"/>
      <c r="U4889"/>
    </row>
    <row r="4890" spans="6:21" x14ac:dyDescent="0.25">
      <c r="F4890"/>
      <c r="O4890"/>
      <c r="R4890"/>
      <c r="S4890"/>
      <c r="T4890"/>
      <c r="U4890"/>
    </row>
    <row r="4891" spans="6:21" x14ac:dyDescent="0.25">
      <c r="F4891"/>
      <c r="O4891"/>
      <c r="R4891"/>
      <c r="S4891"/>
      <c r="T4891"/>
      <c r="U4891"/>
    </row>
    <row r="4892" spans="6:21" x14ac:dyDescent="0.25">
      <c r="F4892"/>
      <c r="O4892"/>
      <c r="R4892"/>
      <c r="S4892"/>
      <c r="T4892"/>
      <c r="U4892"/>
    </row>
    <row r="4893" spans="6:21" x14ac:dyDescent="0.25">
      <c r="F4893"/>
      <c r="O4893"/>
      <c r="R4893"/>
      <c r="S4893"/>
      <c r="T4893"/>
      <c r="U4893"/>
    </row>
    <row r="4894" spans="6:21" x14ac:dyDescent="0.25">
      <c r="F4894"/>
      <c r="O4894"/>
      <c r="R4894"/>
      <c r="S4894"/>
      <c r="T4894"/>
      <c r="U4894"/>
    </row>
    <row r="4895" spans="6:21" x14ac:dyDescent="0.25">
      <c r="F4895"/>
      <c r="O4895"/>
      <c r="R4895"/>
      <c r="S4895"/>
      <c r="T4895"/>
      <c r="U4895"/>
    </row>
    <row r="4896" spans="6:21" x14ac:dyDescent="0.25">
      <c r="F4896"/>
      <c r="O4896"/>
      <c r="R4896"/>
      <c r="S4896"/>
      <c r="T4896"/>
      <c r="U4896"/>
    </row>
    <row r="4897" spans="6:21" x14ac:dyDescent="0.25">
      <c r="F4897"/>
      <c r="O4897"/>
      <c r="R4897"/>
      <c r="S4897"/>
      <c r="T4897"/>
      <c r="U4897"/>
    </row>
    <row r="4898" spans="6:21" x14ac:dyDescent="0.25">
      <c r="F4898"/>
      <c r="O4898"/>
      <c r="R4898"/>
      <c r="S4898"/>
      <c r="T4898"/>
      <c r="U4898"/>
    </row>
    <row r="4899" spans="6:21" x14ac:dyDescent="0.25">
      <c r="F4899"/>
      <c r="O4899"/>
      <c r="R4899"/>
      <c r="S4899"/>
      <c r="T4899"/>
      <c r="U4899"/>
    </row>
    <row r="4900" spans="6:21" x14ac:dyDescent="0.25">
      <c r="F4900"/>
      <c r="O4900"/>
      <c r="R4900"/>
      <c r="S4900"/>
      <c r="T4900"/>
      <c r="U4900"/>
    </row>
    <row r="4901" spans="6:21" x14ac:dyDescent="0.25">
      <c r="F4901"/>
      <c r="O4901"/>
      <c r="R4901"/>
      <c r="S4901"/>
      <c r="T4901"/>
      <c r="U4901"/>
    </row>
    <row r="4902" spans="6:21" x14ac:dyDescent="0.25">
      <c r="F4902"/>
      <c r="O4902"/>
      <c r="R4902"/>
      <c r="S4902"/>
      <c r="T4902"/>
      <c r="U4902"/>
    </row>
    <row r="4903" spans="6:21" x14ac:dyDescent="0.25">
      <c r="F4903"/>
      <c r="O4903"/>
      <c r="R4903"/>
      <c r="S4903"/>
      <c r="T4903"/>
      <c r="U4903"/>
    </row>
    <row r="4904" spans="6:21" x14ac:dyDescent="0.25">
      <c r="F4904"/>
      <c r="O4904"/>
      <c r="R4904"/>
      <c r="S4904"/>
      <c r="T4904"/>
      <c r="U4904"/>
    </row>
    <row r="4905" spans="6:21" x14ac:dyDescent="0.25">
      <c r="F4905"/>
      <c r="O4905"/>
      <c r="R4905"/>
      <c r="S4905"/>
      <c r="T4905"/>
      <c r="U4905"/>
    </row>
    <row r="4906" spans="6:21" x14ac:dyDescent="0.25">
      <c r="F4906"/>
      <c r="O4906"/>
      <c r="R4906"/>
      <c r="S4906"/>
      <c r="T4906"/>
      <c r="U4906"/>
    </row>
    <row r="4907" spans="6:21" x14ac:dyDescent="0.25">
      <c r="F4907"/>
      <c r="O4907"/>
      <c r="R4907"/>
      <c r="S4907"/>
      <c r="T4907"/>
      <c r="U4907"/>
    </row>
    <row r="4908" spans="6:21" x14ac:dyDescent="0.25">
      <c r="F4908"/>
      <c r="O4908"/>
      <c r="R4908"/>
      <c r="S4908"/>
      <c r="T4908"/>
      <c r="U4908"/>
    </row>
    <row r="4909" spans="6:21" x14ac:dyDescent="0.25">
      <c r="F4909"/>
      <c r="O4909"/>
      <c r="R4909"/>
      <c r="S4909"/>
      <c r="T4909"/>
      <c r="U4909"/>
    </row>
    <row r="4910" spans="6:21" x14ac:dyDescent="0.25">
      <c r="F4910"/>
      <c r="O4910"/>
      <c r="R4910"/>
      <c r="S4910"/>
      <c r="T4910"/>
      <c r="U4910"/>
    </row>
    <row r="4911" spans="6:21" x14ac:dyDescent="0.25">
      <c r="F4911"/>
      <c r="O4911"/>
      <c r="R4911"/>
      <c r="S4911"/>
      <c r="T4911"/>
      <c r="U4911"/>
    </row>
    <row r="4912" spans="6:21" x14ac:dyDescent="0.25">
      <c r="F4912"/>
      <c r="O4912"/>
      <c r="R4912"/>
      <c r="S4912"/>
      <c r="T4912"/>
      <c r="U4912"/>
    </row>
    <row r="4913" spans="6:21" x14ac:dyDescent="0.25">
      <c r="F4913"/>
      <c r="O4913"/>
      <c r="R4913"/>
      <c r="S4913"/>
      <c r="T4913"/>
      <c r="U4913"/>
    </row>
    <row r="4914" spans="6:21" x14ac:dyDescent="0.25">
      <c r="F4914"/>
      <c r="O4914"/>
      <c r="R4914"/>
      <c r="S4914"/>
      <c r="T4914"/>
      <c r="U4914"/>
    </row>
    <row r="4915" spans="6:21" x14ac:dyDescent="0.25">
      <c r="F4915"/>
      <c r="O4915"/>
      <c r="R4915"/>
      <c r="S4915"/>
      <c r="T4915"/>
      <c r="U4915"/>
    </row>
    <row r="4916" spans="6:21" x14ac:dyDescent="0.25">
      <c r="F4916"/>
      <c r="O4916"/>
      <c r="R4916"/>
      <c r="S4916"/>
      <c r="T4916"/>
      <c r="U4916"/>
    </row>
    <row r="4917" spans="6:21" x14ac:dyDescent="0.25">
      <c r="F4917"/>
      <c r="O4917"/>
      <c r="R4917"/>
      <c r="S4917"/>
      <c r="T4917"/>
      <c r="U4917"/>
    </row>
    <row r="4918" spans="6:21" x14ac:dyDescent="0.25">
      <c r="F4918"/>
      <c r="O4918"/>
      <c r="R4918"/>
      <c r="S4918"/>
      <c r="T4918"/>
      <c r="U4918"/>
    </row>
    <row r="4919" spans="6:21" x14ac:dyDescent="0.25">
      <c r="F4919"/>
      <c r="O4919"/>
      <c r="R4919"/>
      <c r="S4919"/>
      <c r="T4919"/>
      <c r="U4919"/>
    </row>
    <row r="4920" spans="6:21" x14ac:dyDescent="0.25">
      <c r="F4920"/>
      <c r="O4920"/>
      <c r="R4920"/>
      <c r="S4920"/>
      <c r="T4920"/>
      <c r="U4920"/>
    </row>
    <row r="4921" spans="6:21" x14ac:dyDescent="0.25">
      <c r="F4921"/>
      <c r="O4921"/>
      <c r="R4921"/>
      <c r="S4921"/>
      <c r="T4921"/>
      <c r="U4921"/>
    </row>
    <row r="4922" spans="6:21" x14ac:dyDescent="0.25">
      <c r="F4922"/>
      <c r="O4922"/>
      <c r="R4922"/>
      <c r="S4922"/>
      <c r="T4922"/>
      <c r="U4922"/>
    </row>
    <row r="4923" spans="6:21" x14ac:dyDescent="0.25">
      <c r="F4923"/>
      <c r="O4923"/>
      <c r="R4923"/>
      <c r="S4923"/>
      <c r="T4923"/>
      <c r="U4923"/>
    </row>
    <row r="4924" spans="6:21" x14ac:dyDescent="0.25">
      <c r="F4924"/>
      <c r="O4924"/>
      <c r="R4924"/>
      <c r="S4924"/>
      <c r="T4924"/>
      <c r="U4924"/>
    </row>
    <row r="4925" spans="6:21" x14ac:dyDescent="0.25">
      <c r="F4925"/>
      <c r="O4925"/>
      <c r="R4925"/>
      <c r="S4925"/>
      <c r="T4925"/>
      <c r="U4925"/>
    </row>
    <row r="4926" spans="6:21" x14ac:dyDescent="0.25">
      <c r="F4926"/>
      <c r="O4926"/>
      <c r="R4926"/>
      <c r="S4926"/>
      <c r="T4926"/>
      <c r="U4926"/>
    </row>
    <row r="4927" spans="6:21" x14ac:dyDescent="0.25">
      <c r="F4927"/>
      <c r="O4927"/>
      <c r="R4927"/>
      <c r="S4927"/>
      <c r="T4927"/>
      <c r="U4927"/>
    </row>
    <row r="4928" spans="6:21" x14ac:dyDescent="0.25">
      <c r="F4928"/>
      <c r="O4928"/>
      <c r="R4928"/>
      <c r="S4928"/>
      <c r="T4928"/>
      <c r="U4928"/>
    </row>
    <row r="4929" spans="6:21" x14ac:dyDescent="0.25">
      <c r="F4929"/>
      <c r="O4929"/>
      <c r="R4929"/>
      <c r="S4929"/>
      <c r="T4929"/>
      <c r="U4929"/>
    </row>
    <row r="4930" spans="6:21" x14ac:dyDescent="0.25">
      <c r="F4930"/>
      <c r="O4930"/>
      <c r="R4930"/>
      <c r="S4930"/>
      <c r="T4930"/>
      <c r="U4930"/>
    </row>
    <row r="4931" spans="6:21" x14ac:dyDescent="0.25">
      <c r="F4931"/>
      <c r="O4931"/>
      <c r="R4931"/>
      <c r="S4931"/>
      <c r="T4931"/>
      <c r="U4931"/>
    </row>
    <row r="4932" spans="6:21" x14ac:dyDescent="0.25">
      <c r="F4932"/>
      <c r="O4932"/>
      <c r="R4932"/>
      <c r="S4932"/>
      <c r="T4932"/>
      <c r="U4932"/>
    </row>
    <row r="4933" spans="6:21" x14ac:dyDescent="0.25">
      <c r="F4933"/>
      <c r="O4933"/>
      <c r="R4933"/>
      <c r="S4933"/>
      <c r="T4933"/>
      <c r="U4933"/>
    </row>
    <row r="4934" spans="6:21" x14ac:dyDescent="0.25">
      <c r="F4934"/>
      <c r="O4934"/>
      <c r="R4934"/>
      <c r="S4934"/>
      <c r="T4934"/>
      <c r="U4934"/>
    </row>
    <row r="4935" spans="6:21" x14ac:dyDescent="0.25">
      <c r="F4935"/>
      <c r="O4935"/>
      <c r="R4935"/>
      <c r="S4935"/>
      <c r="T4935"/>
      <c r="U4935"/>
    </row>
    <row r="4936" spans="6:21" x14ac:dyDescent="0.25">
      <c r="F4936"/>
      <c r="O4936"/>
      <c r="R4936"/>
      <c r="S4936"/>
      <c r="T4936"/>
      <c r="U4936"/>
    </row>
    <row r="4937" spans="6:21" x14ac:dyDescent="0.25">
      <c r="F4937"/>
      <c r="O4937"/>
      <c r="R4937"/>
      <c r="S4937"/>
      <c r="T4937"/>
      <c r="U4937"/>
    </row>
    <row r="4938" spans="6:21" x14ac:dyDescent="0.25">
      <c r="F4938"/>
      <c r="O4938"/>
      <c r="R4938"/>
      <c r="S4938"/>
      <c r="T4938"/>
      <c r="U4938"/>
    </row>
    <row r="4939" spans="6:21" x14ac:dyDescent="0.25">
      <c r="F4939"/>
      <c r="O4939"/>
      <c r="R4939"/>
      <c r="S4939"/>
      <c r="T4939"/>
      <c r="U4939"/>
    </row>
    <row r="4940" spans="6:21" x14ac:dyDescent="0.25">
      <c r="F4940"/>
      <c r="O4940"/>
      <c r="R4940"/>
      <c r="S4940"/>
      <c r="T4940"/>
      <c r="U4940"/>
    </row>
    <row r="4941" spans="6:21" x14ac:dyDescent="0.25">
      <c r="F4941"/>
      <c r="O4941"/>
      <c r="R4941"/>
      <c r="S4941"/>
      <c r="T4941"/>
      <c r="U4941"/>
    </row>
    <row r="4942" spans="6:21" x14ac:dyDescent="0.25">
      <c r="F4942"/>
      <c r="O4942"/>
      <c r="R4942"/>
      <c r="S4942"/>
      <c r="T4942"/>
      <c r="U4942"/>
    </row>
    <row r="4943" spans="6:21" x14ac:dyDescent="0.25">
      <c r="F4943"/>
      <c r="O4943"/>
      <c r="R4943"/>
      <c r="S4943"/>
      <c r="T4943"/>
      <c r="U4943"/>
    </row>
    <row r="4944" spans="6:21" x14ac:dyDescent="0.25">
      <c r="F4944"/>
      <c r="O4944"/>
      <c r="R4944"/>
      <c r="S4944"/>
      <c r="T4944"/>
      <c r="U4944"/>
    </row>
    <row r="4945" spans="6:21" x14ac:dyDescent="0.25">
      <c r="F4945"/>
      <c r="O4945"/>
      <c r="R4945"/>
      <c r="S4945"/>
      <c r="T4945"/>
      <c r="U4945"/>
    </row>
    <row r="4946" spans="6:21" x14ac:dyDescent="0.25">
      <c r="F4946"/>
      <c r="O4946"/>
      <c r="R4946"/>
      <c r="S4946"/>
      <c r="T4946"/>
      <c r="U4946"/>
    </row>
    <row r="4947" spans="6:21" x14ac:dyDescent="0.25">
      <c r="F4947"/>
      <c r="O4947"/>
      <c r="R4947"/>
      <c r="S4947"/>
      <c r="T4947"/>
      <c r="U4947"/>
    </row>
    <row r="4948" spans="6:21" x14ac:dyDescent="0.25">
      <c r="F4948"/>
      <c r="O4948"/>
      <c r="R4948"/>
      <c r="S4948"/>
      <c r="T4948"/>
      <c r="U4948"/>
    </row>
    <row r="4949" spans="6:21" x14ac:dyDescent="0.25">
      <c r="F4949"/>
      <c r="O4949"/>
      <c r="R4949"/>
      <c r="S4949"/>
      <c r="T4949"/>
      <c r="U4949"/>
    </row>
    <row r="4950" spans="6:21" x14ac:dyDescent="0.25">
      <c r="F4950"/>
      <c r="O4950"/>
      <c r="R4950"/>
      <c r="S4950"/>
      <c r="T4950"/>
      <c r="U4950"/>
    </row>
    <row r="4951" spans="6:21" x14ac:dyDescent="0.25">
      <c r="F4951"/>
      <c r="O4951"/>
      <c r="R4951"/>
      <c r="S4951"/>
      <c r="T4951"/>
      <c r="U4951"/>
    </row>
    <row r="4952" spans="6:21" x14ac:dyDescent="0.25">
      <c r="F4952"/>
      <c r="O4952"/>
      <c r="R4952"/>
      <c r="S4952"/>
      <c r="T4952"/>
      <c r="U4952"/>
    </row>
    <row r="4953" spans="6:21" x14ac:dyDescent="0.25">
      <c r="F4953"/>
      <c r="O4953"/>
      <c r="R4953"/>
      <c r="S4953"/>
      <c r="T4953"/>
      <c r="U4953"/>
    </row>
    <row r="4954" spans="6:21" x14ac:dyDescent="0.25">
      <c r="F4954"/>
      <c r="O4954"/>
      <c r="R4954"/>
      <c r="S4954"/>
      <c r="T4954"/>
      <c r="U4954"/>
    </row>
    <row r="4955" spans="6:21" x14ac:dyDescent="0.25">
      <c r="F4955"/>
      <c r="O4955"/>
      <c r="R4955"/>
      <c r="S4955"/>
      <c r="T4955"/>
      <c r="U4955"/>
    </row>
    <row r="4956" spans="6:21" x14ac:dyDescent="0.25">
      <c r="F4956"/>
      <c r="O4956"/>
      <c r="R4956"/>
      <c r="S4956"/>
      <c r="T4956"/>
      <c r="U4956"/>
    </row>
    <row r="4957" spans="6:21" x14ac:dyDescent="0.25">
      <c r="F4957"/>
      <c r="O4957"/>
      <c r="R4957"/>
      <c r="S4957"/>
      <c r="T4957"/>
      <c r="U4957"/>
    </row>
    <row r="4958" spans="6:21" x14ac:dyDescent="0.25">
      <c r="F4958"/>
      <c r="O4958"/>
      <c r="R4958"/>
      <c r="S4958"/>
      <c r="T4958"/>
      <c r="U4958"/>
    </row>
    <row r="4959" spans="6:21" x14ac:dyDescent="0.25">
      <c r="F4959"/>
      <c r="O4959"/>
      <c r="R4959"/>
      <c r="S4959"/>
      <c r="T4959"/>
      <c r="U4959"/>
    </row>
    <row r="4960" spans="6:21" x14ac:dyDescent="0.25">
      <c r="F4960"/>
      <c r="O4960"/>
      <c r="R4960"/>
      <c r="S4960"/>
      <c r="T4960"/>
      <c r="U4960"/>
    </row>
    <row r="4961" spans="6:21" x14ac:dyDescent="0.25">
      <c r="F4961"/>
      <c r="O4961"/>
      <c r="R4961"/>
      <c r="S4961"/>
      <c r="T4961"/>
      <c r="U4961"/>
    </row>
    <row r="4962" spans="6:21" x14ac:dyDescent="0.25">
      <c r="F4962"/>
      <c r="O4962"/>
      <c r="R4962"/>
      <c r="S4962"/>
      <c r="T4962"/>
      <c r="U4962"/>
    </row>
    <row r="4963" spans="6:21" x14ac:dyDescent="0.25">
      <c r="F4963"/>
      <c r="O4963"/>
      <c r="R4963"/>
      <c r="S4963"/>
      <c r="T4963"/>
      <c r="U4963"/>
    </row>
    <row r="4964" spans="6:21" x14ac:dyDescent="0.25">
      <c r="F4964"/>
      <c r="O4964"/>
      <c r="R4964"/>
      <c r="S4964"/>
      <c r="T4964"/>
      <c r="U4964"/>
    </row>
    <row r="4965" spans="6:21" x14ac:dyDescent="0.25">
      <c r="F4965"/>
      <c r="O4965"/>
      <c r="R4965"/>
      <c r="S4965"/>
      <c r="T4965"/>
      <c r="U4965"/>
    </row>
    <row r="4966" spans="6:21" x14ac:dyDescent="0.25">
      <c r="F4966"/>
      <c r="O4966"/>
      <c r="R4966"/>
      <c r="S4966"/>
      <c r="T4966"/>
      <c r="U4966"/>
    </row>
    <row r="4967" spans="6:21" x14ac:dyDescent="0.25">
      <c r="F4967"/>
      <c r="O4967"/>
      <c r="R4967"/>
      <c r="S4967"/>
      <c r="T4967"/>
      <c r="U4967"/>
    </row>
    <row r="4968" spans="6:21" x14ac:dyDescent="0.25">
      <c r="F4968"/>
      <c r="O4968"/>
      <c r="R4968"/>
      <c r="S4968"/>
      <c r="T4968"/>
      <c r="U4968"/>
    </row>
    <row r="4969" spans="6:21" x14ac:dyDescent="0.25">
      <c r="F4969"/>
      <c r="O4969"/>
      <c r="R4969"/>
      <c r="S4969"/>
      <c r="T4969"/>
      <c r="U4969"/>
    </row>
    <row r="4970" spans="6:21" x14ac:dyDescent="0.25">
      <c r="F4970"/>
      <c r="O4970"/>
      <c r="R4970"/>
      <c r="S4970"/>
      <c r="T4970"/>
      <c r="U4970"/>
    </row>
    <row r="4971" spans="6:21" x14ac:dyDescent="0.25">
      <c r="F4971"/>
      <c r="O4971"/>
      <c r="R4971"/>
      <c r="S4971"/>
      <c r="T4971"/>
      <c r="U4971"/>
    </row>
    <row r="4972" spans="6:21" x14ac:dyDescent="0.25">
      <c r="F4972"/>
      <c r="O4972"/>
      <c r="R4972"/>
      <c r="S4972"/>
      <c r="T4972"/>
      <c r="U4972"/>
    </row>
    <row r="4973" spans="6:21" x14ac:dyDescent="0.25">
      <c r="F4973"/>
      <c r="O4973"/>
      <c r="R4973"/>
      <c r="S4973"/>
      <c r="T4973"/>
      <c r="U4973"/>
    </row>
    <row r="4974" spans="6:21" x14ac:dyDescent="0.25">
      <c r="F4974"/>
      <c r="O4974"/>
      <c r="R4974"/>
      <c r="S4974"/>
      <c r="T4974"/>
      <c r="U4974"/>
    </row>
    <row r="4975" spans="6:21" x14ac:dyDescent="0.25">
      <c r="F4975"/>
      <c r="O4975"/>
      <c r="R4975"/>
      <c r="S4975"/>
      <c r="T4975"/>
      <c r="U4975"/>
    </row>
    <row r="4976" spans="6:21" x14ac:dyDescent="0.25">
      <c r="F4976"/>
      <c r="O4976"/>
      <c r="R4976"/>
      <c r="S4976"/>
      <c r="T4976"/>
      <c r="U4976"/>
    </row>
    <row r="4977" spans="6:21" x14ac:dyDescent="0.25">
      <c r="F4977"/>
      <c r="O4977"/>
      <c r="R4977"/>
      <c r="S4977"/>
      <c r="T4977"/>
      <c r="U4977"/>
    </row>
    <row r="4978" spans="6:21" x14ac:dyDescent="0.25">
      <c r="F4978"/>
      <c r="O4978"/>
      <c r="R4978"/>
      <c r="S4978"/>
      <c r="T4978"/>
      <c r="U4978"/>
    </row>
    <row r="4979" spans="6:21" x14ac:dyDescent="0.25">
      <c r="F4979"/>
      <c r="O4979"/>
      <c r="R4979"/>
      <c r="S4979"/>
      <c r="T4979"/>
      <c r="U4979"/>
    </row>
    <row r="4980" spans="6:21" x14ac:dyDescent="0.25">
      <c r="F4980"/>
      <c r="O4980"/>
      <c r="R4980"/>
      <c r="S4980"/>
      <c r="T4980"/>
      <c r="U4980"/>
    </row>
    <row r="4981" spans="6:21" x14ac:dyDescent="0.25">
      <c r="F4981"/>
      <c r="O4981"/>
      <c r="R4981"/>
      <c r="S4981"/>
      <c r="T4981"/>
      <c r="U4981"/>
    </row>
    <row r="4982" spans="6:21" x14ac:dyDescent="0.25">
      <c r="F4982"/>
      <c r="O4982"/>
      <c r="R4982"/>
      <c r="S4982"/>
      <c r="T4982"/>
      <c r="U4982"/>
    </row>
    <row r="4983" spans="6:21" x14ac:dyDescent="0.25">
      <c r="F4983"/>
      <c r="O4983"/>
      <c r="R4983"/>
      <c r="S4983"/>
      <c r="T4983"/>
      <c r="U4983"/>
    </row>
    <row r="4984" spans="6:21" x14ac:dyDescent="0.25">
      <c r="F4984"/>
      <c r="O4984"/>
      <c r="R4984"/>
      <c r="S4984"/>
      <c r="T4984"/>
      <c r="U4984"/>
    </row>
    <row r="4985" spans="6:21" x14ac:dyDescent="0.25">
      <c r="F4985"/>
      <c r="O4985"/>
      <c r="R4985"/>
      <c r="S4985"/>
      <c r="T4985"/>
      <c r="U4985"/>
    </row>
    <row r="4986" spans="6:21" x14ac:dyDescent="0.25">
      <c r="F4986"/>
      <c r="O4986"/>
      <c r="R4986"/>
      <c r="S4986"/>
      <c r="T4986"/>
      <c r="U4986"/>
    </row>
    <row r="4987" spans="6:21" x14ac:dyDescent="0.25">
      <c r="F4987"/>
      <c r="O4987"/>
      <c r="R4987"/>
      <c r="S4987"/>
      <c r="T4987"/>
      <c r="U4987"/>
    </row>
    <row r="4988" spans="6:21" x14ac:dyDescent="0.25">
      <c r="F4988"/>
      <c r="O4988"/>
      <c r="R4988"/>
      <c r="S4988"/>
      <c r="T4988"/>
      <c r="U4988"/>
    </row>
    <row r="4989" spans="6:21" x14ac:dyDescent="0.25">
      <c r="F4989"/>
      <c r="O4989"/>
      <c r="R4989"/>
      <c r="S4989"/>
      <c r="T4989"/>
      <c r="U4989"/>
    </row>
    <row r="4990" spans="6:21" x14ac:dyDescent="0.25">
      <c r="F4990"/>
      <c r="O4990"/>
      <c r="R4990"/>
      <c r="S4990"/>
      <c r="T4990"/>
      <c r="U4990"/>
    </row>
    <row r="4991" spans="6:21" x14ac:dyDescent="0.25">
      <c r="F4991"/>
      <c r="O4991"/>
      <c r="R4991"/>
      <c r="S4991"/>
      <c r="T4991"/>
      <c r="U4991"/>
    </row>
    <row r="4992" spans="6:21" x14ac:dyDescent="0.25">
      <c r="F4992"/>
      <c r="O4992"/>
      <c r="R4992"/>
      <c r="S4992"/>
      <c r="T4992"/>
      <c r="U4992"/>
    </row>
    <row r="4993" spans="6:21" x14ac:dyDescent="0.25">
      <c r="F4993"/>
      <c r="O4993"/>
      <c r="R4993"/>
      <c r="S4993"/>
      <c r="T4993"/>
      <c r="U4993"/>
    </row>
    <row r="4994" spans="6:21" x14ac:dyDescent="0.25">
      <c r="F4994"/>
      <c r="O4994"/>
      <c r="R4994"/>
      <c r="S4994"/>
      <c r="T4994"/>
      <c r="U4994"/>
    </row>
    <row r="4995" spans="6:21" x14ac:dyDescent="0.25">
      <c r="F4995"/>
      <c r="O4995"/>
      <c r="R4995"/>
      <c r="S4995"/>
      <c r="T4995"/>
      <c r="U4995"/>
    </row>
    <row r="4996" spans="6:21" x14ac:dyDescent="0.25">
      <c r="F4996"/>
      <c r="O4996"/>
      <c r="R4996"/>
      <c r="S4996"/>
      <c r="T4996"/>
      <c r="U4996"/>
    </row>
    <row r="4997" spans="6:21" x14ac:dyDescent="0.25">
      <c r="F4997"/>
      <c r="O4997"/>
      <c r="R4997"/>
      <c r="S4997"/>
      <c r="T4997"/>
      <c r="U4997"/>
    </row>
    <row r="4998" spans="6:21" x14ac:dyDescent="0.25">
      <c r="F4998"/>
      <c r="O4998"/>
      <c r="R4998"/>
      <c r="S4998"/>
      <c r="T4998"/>
      <c r="U4998"/>
    </row>
    <row r="4999" spans="6:21" x14ac:dyDescent="0.25">
      <c r="F4999"/>
      <c r="O4999"/>
      <c r="R4999"/>
      <c r="S4999"/>
      <c r="T4999"/>
      <c r="U4999"/>
    </row>
    <row r="5000" spans="6:21" x14ac:dyDescent="0.25">
      <c r="F5000"/>
      <c r="O5000"/>
      <c r="R5000"/>
      <c r="S5000"/>
      <c r="T5000"/>
      <c r="U5000"/>
    </row>
    <row r="5001" spans="6:21" x14ac:dyDescent="0.25">
      <c r="F5001"/>
      <c r="O5001"/>
      <c r="R5001"/>
      <c r="S5001"/>
      <c r="T5001"/>
      <c r="U5001"/>
    </row>
    <row r="5002" spans="6:21" x14ac:dyDescent="0.25">
      <c r="F5002"/>
      <c r="O5002"/>
      <c r="R5002"/>
      <c r="S5002"/>
      <c r="T5002"/>
      <c r="U5002"/>
    </row>
    <row r="5003" spans="6:21" x14ac:dyDescent="0.25">
      <c r="F5003"/>
      <c r="O5003"/>
      <c r="R5003"/>
      <c r="S5003"/>
      <c r="T5003"/>
      <c r="U5003"/>
    </row>
    <row r="5004" spans="6:21" x14ac:dyDescent="0.25">
      <c r="F5004"/>
      <c r="O5004"/>
      <c r="R5004"/>
      <c r="S5004"/>
      <c r="T5004"/>
      <c r="U5004"/>
    </row>
    <row r="5005" spans="6:21" x14ac:dyDescent="0.25">
      <c r="F5005"/>
      <c r="O5005"/>
      <c r="R5005"/>
      <c r="S5005"/>
      <c r="T5005"/>
      <c r="U5005"/>
    </row>
    <row r="5006" spans="6:21" x14ac:dyDescent="0.25">
      <c r="F5006"/>
      <c r="O5006"/>
      <c r="R5006"/>
      <c r="S5006"/>
      <c r="T5006"/>
      <c r="U5006"/>
    </row>
    <row r="5007" spans="6:21" x14ac:dyDescent="0.25">
      <c r="F5007"/>
      <c r="O5007"/>
      <c r="R5007"/>
      <c r="S5007"/>
      <c r="T5007"/>
      <c r="U5007"/>
    </row>
    <row r="5008" spans="6:21" x14ac:dyDescent="0.25">
      <c r="F5008"/>
      <c r="O5008"/>
      <c r="R5008"/>
      <c r="S5008"/>
      <c r="T5008"/>
      <c r="U5008"/>
    </row>
    <row r="5009" spans="6:21" x14ac:dyDescent="0.25">
      <c r="F5009"/>
      <c r="O5009"/>
      <c r="R5009"/>
      <c r="S5009"/>
      <c r="T5009"/>
      <c r="U5009"/>
    </row>
    <row r="5010" spans="6:21" x14ac:dyDescent="0.25">
      <c r="F5010"/>
      <c r="O5010"/>
      <c r="R5010"/>
      <c r="S5010"/>
      <c r="T5010"/>
      <c r="U5010"/>
    </row>
    <row r="5011" spans="6:21" x14ac:dyDescent="0.25">
      <c r="F5011"/>
      <c r="O5011"/>
      <c r="R5011"/>
      <c r="S5011"/>
      <c r="T5011"/>
      <c r="U5011"/>
    </row>
    <row r="5012" spans="6:21" x14ac:dyDescent="0.25">
      <c r="F5012"/>
      <c r="O5012"/>
      <c r="R5012"/>
      <c r="S5012"/>
      <c r="T5012"/>
      <c r="U5012"/>
    </row>
    <row r="5013" spans="6:21" x14ac:dyDescent="0.25">
      <c r="F5013"/>
      <c r="O5013"/>
      <c r="R5013"/>
      <c r="S5013"/>
      <c r="T5013"/>
      <c r="U5013"/>
    </row>
    <row r="5014" spans="6:21" x14ac:dyDescent="0.25">
      <c r="F5014"/>
      <c r="O5014"/>
      <c r="R5014"/>
      <c r="S5014"/>
      <c r="T5014"/>
      <c r="U5014"/>
    </row>
    <row r="5015" spans="6:21" x14ac:dyDescent="0.25">
      <c r="F5015"/>
      <c r="O5015"/>
      <c r="R5015"/>
      <c r="S5015"/>
      <c r="T5015"/>
      <c r="U5015"/>
    </row>
    <row r="5016" spans="6:21" x14ac:dyDescent="0.25">
      <c r="F5016"/>
      <c r="O5016"/>
      <c r="R5016"/>
      <c r="S5016"/>
      <c r="T5016"/>
      <c r="U5016"/>
    </row>
    <row r="5017" spans="6:21" x14ac:dyDescent="0.25">
      <c r="F5017"/>
      <c r="O5017"/>
      <c r="R5017"/>
      <c r="S5017"/>
      <c r="T5017"/>
      <c r="U5017"/>
    </row>
    <row r="5018" spans="6:21" x14ac:dyDescent="0.25">
      <c r="F5018"/>
      <c r="O5018"/>
      <c r="R5018"/>
      <c r="S5018"/>
      <c r="T5018"/>
      <c r="U5018"/>
    </row>
    <row r="5019" spans="6:21" x14ac:dyDescent="0.25">
      <c r="F5019"/>
      <c r="O5019"/>
      <c r="R5019"/>
      <c r="S5019"/>
      <c r="T5019"/>
      <c r="U5019"/>
    </row>
    <row r="5020" spans="6:21" x14ac:dyDescent="0.25">
      <c r="F5020"/>
      <c r="O5020"/>
      <c r="R5020"/>
      <c r="S5020"/>
      <c r="T5020"/>
      <c r="U5020"/>
    </row>
    <row r="5021" spans="6:21" x14ac:dyDescent="0.25">
      <c r="F5021"/>
      <c r="O5021"/>
      <c r="R5021"/>
      <c r="S5021"/>
      <c r="T5021"/>
      <c r="U5021"/>
    </row>
    <row r="5022" spans="6:21" x14ac:dyDescent="0.25">
      <c r="F5022"/>
      <c r="O5022"/>
      <c r="R5022"/>
      <c r="S5022"/>
      <c r="T5022"/>
      <c r="U5022"/>
    </row>
    <row r="5023" spans="6:21" x14ac:dyDescent="0.25">
      <c r="F5023"/>
      <c r="O5023"/>
      <c r="R5023"/>
      <c r="S5023"/>
      <c r="T5023"/>
      <c r="U5023"/>
    </row>
    <row r="5024" spans="6:21" x14ac:dyDescent="0.25">
      <c r="F5024"/>
      <c r="O5024"/>
      <c r="R5024"/>
      <c r="S5024"/>
      <c r="T5024"/>
      <c r="U5024"/>
    </row>
    <row r="5025" spans="6:21" x14ac:dyDescent="0.25">
      <c r="F5025"/>
      <c r="O5025"/>
      <c r="R5025"/>
      <c r="S5025"/>
      <c r="T5025"/>
      <c r="U5025"/>
    </row>
    <row r="5026" spans="6:21" x14ac:dyDescent="0.25">
      <c r="F5026"/>
      <c r="O5026"/>
      <c r="R5026"/>
      <c r="S5026"/>
      <c r="T5026"/>
      <c r="U5026"/>
    </row>
    <row r="5027" spans="6:21" x14ac:dyDescent="0.25">
      <c r="F5027"/>
      <c r="O5027"/>
      <c r="R5027"/>
      <c r="S5027"/>
      <c r="T5027"/>
      <c r="U5027"/>
    </row>
    <row r="5028" spans="6:21" x14ac:dyDescent="0.25">
      <c r="F5028"/>
      <c r="O5028"/>
      <c r="R5028"/>
      <c r="S5028"/>
      <c r="T5028"/>
      <c r="U5028"/>
    </row>
    <row r="5029" spans="6:21" x14ac:dyDescent="0.25">
      <c r="F5029"/>
      <c r="O5029"/>
      <c r="R5029"/>
      <c r="S5029"/>
      <c r="T5029"/>
      <c r="U5029"/>
    </row>
    <row r="5030" spans="6:21" x14ac:dyDescent="0.25">
      <c r="F5030"/>
      <c r="O5030"/>
      <c r="R5030"/>
      <c r="S5030"/>
      <c r="T5030"/>
      <c r="U5030"/>
    </row>
    <row r="5031" spans="6:21" x14ac:dyDescent="0.25">
      <c r="F5031"/>
      <c r="O5031"/>
      <c r="R5031"/>
      <c r="S5031"/>
      <c r="T5031"/>
      <c r="U5031"/>
    </row>
    <row r="5032" spans="6:21" x14ac:dyDescent="0.25">
      <c r="F5032"/>
      <c r="O5032"/>
      <c r="R5032"/>
      <c r="S5032"/>
      <c r="T5032"/>
      <c r="U5032"/>
    </row>
    <row r="5033" spans="6:21" x14ac:dyDescent="0.25">
      <c r="F5033"/>
      <c r="O5033"/>
      <c r="R5033"/>
      <c r="S5033"/>
      <c r="T5033"/>
      <c r="U5033"/>
    </row>
    <row r="5034" spans="6:21" x14ac:dyDescent="0.25">
      <c r="F5034"/>
      <c r="O5034"/>
      <c r="R5034"/>
      <c r="S5034"/>
      <c r="T5034"/>
      <c r="U5034"/>
    </row>
    <row r="5035" spans="6:21" x14ac:dyDescent="0.25">
      <c r="F5035"/>
      <c r="O5035"/>
      <c r="R5035"/>
      <c r="S5035"/>
      <c r="T5035"/>
      <c r="U5035"/>
    </row>
    <row r="5036" spans="6:21" x14ac:dyDescent="0.25">
      <c r="F5036"/>
      <c r="O5036"/>
      <c r="R5036"/>
      <c r="S5036"/>
      <c r="T5036"/>
      <c r="U5036"/>
    </row>
    <row r="5037" spans="6:21" x14ac:dyDescent="0.25">
      <c r="F5037"/>
      <c r="O5037"/>
      <c r="R5037"/>
      <c r="S5037"/>
      <c r="T5037"/>
      <c r="U5037"/>
    </row>
    <row r="5038" spans="6:21" x14ac:dyDescent="0.25">
      <c r="F5038"/>
      <c r="O5038"/>
      <c r="R5038"/>
      <c r="S5038"/>
      <c r="T5038"/>
      <c r="U5038"/>
    </row>
    <row r="5039" spans="6:21" x14ac:dyDescent="0.25">
      <c r="F5039"/>
      <c r="O5039"/>
      <c r="R5039"/>
      <c r="S5039"/>
      <c r="T5039"/>
      <c r="U5039"/>
    </row>
    <row r="5040" spans="6:21" x14ac:dyDescent="0.25">
      <c r="F5040"/>
      <c r="O5040"/>
      <c r="R5040"/>
      <c r="S5040"/>
      <c r="T5040"/>
      <c r="U5040"/>
    </row>
    <row r="5041" spans="6:21" x14ac:dyDescent="0.25">
      <c r="F5041"/>
      <c r="O5041"/>
      <c r="R5041"/>
      <c r="S5041"/>
      <c r="T5041"/>
      <c r="U5041"/>
    </row>
    <row r="5042" spans="6:21" x14ac:dyDescent="0.25">
      <c r="F5042"/>
      <c r="O5042"/>
      <c r="R5042"/>
      <c r="S5042"/>
      <c r="T5042"/>
      <c r="U5042"/>
    </row>
    <row r="5043" spans="6:21" x14ac:dyDescent="0.25">
      <c r="F5043"/>
      <c r="O5043"/>
      <c r="R5043"/>
      <c r="S5043"/>
      <c r="T5043"/>
      <c r="U5043"/>
    </row>
    <row r="5044" spans="6:21" x14ac:dyDescent="0.25">
      <c r="F5044"/>
      <c r="O5044"/>
      <c r="R5044"/>
      <c r="S5044"/>
      <c r="T5044"/>
      <c r="U5044"/>
    </row>
    <row r="5045" spans="6:21" x14ac:dyDescent="0.25">
      <c r="F5045"/>
      <c r="O5045"/>
      <c r="R5045"/>
      <c r="S5045"/>
      <c r="T5045"/>
      <c r="U5045"/>
    </row>
    <row r="5046" spans="6:21" x14ac:dyDescent="0.25">
      <c r="F5046"/>
      <c r="O5046"/>
      <c r="R5046"/>
      <c r="S5046"/>
      <c r="T5046"/>
      <c r="U5046"/>
    </row>
    <row r="5047" spans="6:21" x14ac:dyDescent="0.25">
      <c r="F5047"/>
      <c r="O5047"/>
      <c r="R5047"/>
      <c r="S5047"/>
      <c r="T5047"/>
      <c r="U5047"/>
    </row>
    <row r="5048" spans="6:21" x14ac:dyDescent="0.25">
      <c r="F5048"/>
      <c r="O5048"/>
      <c r="R5048"/>
      <c r="S5048"/>
      <c r="T5048"/>
      <c r="U5048"/>
    </row>
    <row r="5049" spans="6:21" x14ac:dyDescent="0.25">
      <c r="F5049"/>
      <c r="O5049"/>
      <c r="R5049"/>
      <c r="S5049"/>
      <c r="T5049"/>
      <c r="U5049"/>
    </row>
    <row r="5050" spans="6:21" x14ac:dyDescent="0.25">
      <c r="F5050"/>
      <c r="O5050"/>
      <c r="R5050"/>
      <c r="S5050"/>
      <c r="T5050"/>
      <c r="U5050"/>
    </row>
    <row r="5051" spans="6:21" x14ac:dyDescent="0.25">
      <c r="F5051"/>
      <c r="O5051"/>
      <c r="R5051"/>
      <c r="S5051"/>
      <c r="T5051"/>
      <c r="U5051"/>
    </row>
    <row r="5052" spans="6:21" x14ac:dyDescent="0.25">
      <c r="F5052"/>
      <c r="O5052"/>
      <c r="R5052"/>
      <c r="S5052"/>
      <c r="T5052"/>
      <c r="U5052"/>
    </row>
    <row r="5053" spans="6:21" x14ac:dyDescent="0.25">
      <c r="F5053"/>
      <c r="O5053"/>
      <c r="R5053"/>
      <c r="S5053"/>
      <c r="T5053"/>
      <c r="U5053"/>
    </row>
    <row r="5054" spans="6:21" x14ac:dyDescent="0.25">
      <c r="F5054"/>
      <c r="O5054"/>
      <c r="R5054"/>
      <c r="S5054"/>
      <c r="T5054"/>
      <c r="U5054"/>
    </row>
    <row r="5055" spans="6:21" x14ac:dyDescent="0.25">
      <c r="F5055"/>
      <c r="O5055"/>
      <c r="R5055"/>
      <c r="S5055"/>
      <c r="T5055"/>
      <c r="U5055"/>
    </row>
    <row r="5056" spans="6:21" x14ac:dyDescent="0.25">
      <c r="F5056"/>
      <c r="O5056"/>
      <c r="R5056"/>
      <c r="S5056"/>
      <c r="T5056"/>
      <c r="U5056"/>
    </row>
    <row r="5057" spans="6:21" x14ac:dyDescent="0.25">
      <c r="F5057"/>
      <c r="O5057"/>
      <c r="R5057"/>
      <c r="S5057"/>
      <c r="T5057"/>
      <c r="U5057"/>
    </row>
    <row r="5058" spans="6:21" x14ac:dyDescent="0.25">
      <c r="F5058"/>
      <c r="O5058"/>
      <c r="R5058"/>
      <c r="S5058"/>
      <c r="T5058"/>
      <c r="U5058"/>
    </row>
    <row r="5059" spans="6:21" x14ac:dyDescent="0.25">
      <c r="F5059"/>
      <c r="O5059"/>
      <c r="R5059"/>
      <c r="S5059"/>
      <c r="T5059"/>
      <c r="U5059"/>
    </row>
    <row r="5060" spans="6:21" x14ac:dyDescent="0.25">
      <c r="F5060"/>
      <c r="O5060"/>
      <c r="R5060"/>
      <c r="S5060"/>
      <c r="T5060"/>
      <c r="U5060"/>
    </row>
    <row r="5061" spans="6:21" x14ac:dyDescent="0.25">
      <c r="F5061"/>
      <c r="O5061"/>
      <c r="R5061"/>
      <c r="S5061"/>
      <c r="T5061"/>
      <c r="U5061"/>
    </row>
    <row r="5062" spans="6:21" x14ac:dyDescent="0.25">
      <c r="F5062"/>
      <c r="O5062"/>
      <c r="R5062"/>
      <c r="S5062"/>
      <c r="T5062"/>
      <c r="U5062"/>
    </row>
    <row r="5063" spans="6:21" x14ac:dyDescent="0.25">
      <c r="F5063"/>
      <c r="O5063"/>
      <c r="R5063"/>
      <c r="S5063"/>
      <c r="T5063"/>
      <c r="U5063"/>
    </row>
    <row r="5064" spans="6:21" x14ac:dyDescent="0.25">
      <c r="F5064"/>
      <c r="O5064"/>
      <c r="R5064"/>
      <c r="S5064"/>
      <c r="T5064"/>
      <c r="U5064"/>
    </row>
    <row r="5065" spans="6:21" x14ac:dyDescent="0.25">
      <c r="F5065"/>
      <c r="O5065"/>
      <c r="R5065"/>
      <c r="S5065"/>
      <c r="T5065"/>
      <c r="U5065"/>
    </row>
    <row r="5066" spans="6:21" x14ac:dyDescent="0.25">
      <c r="F5066"/>
      <c r="O5066"/>
      <c r="R5066"/>
      <c r="S5066"/>
      <c r="T5066"/>
      <c r="U5066"/>
    </row>
    <row r="5067" spans="6:21" x14ac:dyDescent="0.25">
      <c r="F5067"/>
      <c r="O5067"/>
      <c r="R5067"/>
      <c r="S5067"/>
      <c r="T5067"/>
      <c r="U5067"/>
    </row>
    <row r="5068" spans="6:21" x14ac:dyDescent="0.25">
      <c r="F5068"/>
      <c r="O5068"/>
      <c r="R5068"/>
      <c r="S5068"/>
      <c r="T5068"/>
      <c r="U5068"/>
    </row>
    <row r="5069" spans="6:21" x14ac:dyDescent="0.25">
      <c r="F5069"/>
      <c r="O5069"/>
      <c r="R5069"/>
      <c r="S5069"/>
      <c r="T5069"/>
      <c r="U5069"/>
    </row>
    <row r="5070" spans="6:21" x14ac:dyDescent="0.25">
      <c r="F5070"/>
      <c r="O5070"/>
      <c r="R5070"/>
      <c r="S5070"/>
      <c r="T5070"/>
      <c r="U5070"/>
    </row>
    <row r="5071" spans="6:21" x14ac:dyDescent="0.25">
      <c r="F5071"/>
      <c r="O5071"/>
      <c r="R5071"/>
      <c r="S5071"/>
      <c r="T5071"/>
      <c r="U5071"/>
    </row>
    <row r="5072" spans="6:21" x14ac:dyDescent="0.25">
      <c r="F5072"/>
      <c r="O5072"/>
      <c r="R5072"/>
      <c r="S5072"/>
      <c r="T5072"/>
      <c r="U5072"/>
    </row>
    <row r="5073" spans="6:21" x14ac:dyDescent="0.25">
      <c r="F5073"/>
      <c r="O5073"/>
      <c r="R5073"/>
      <c r="S5073"/>
      <c r="T5073"/>
      <c r="U5073"/>
    </row>
    <row r="5074" spans="6:21" x14ac:dyDescent="0.25">
      <c r="F5074"/>
      <c r="O5074"/>
      <c r="R5074"/>
      <c r="S5074"/>
      <c r="T5074"/>
      <c r="U5074"/>
    </row>
    <row r="5075" spans="6:21" x14ac:dyDescent="0.25">
      <c r="F5075"/>
      <c r="O5075"/>
      <c r="R5075"/>
      <c r="S5075"/>
      <c r="T5075"/>
      <c r="U5075"/>
    </row>
    <row r="5076" spans="6:21" x14ac:dyDescent="0.25">
      <c r="F5076"/>
      <c r="O5076"/>
      <c r="R5076"/>
      <c r="S5076"/>
      <c r="T5076"/>
      <c r="U5076"/>
    </row>
    <row r="5077" spans="6:21" x14ac:dyDescent="0.25">
      <c r="F5077"/>
      <c r="O5077"/>
      <c r="R5077"/>
      <c r="S5077"/>
      <c r="T5077"/>
      <c r="U5077"/>
    </row>
    <row r="5078" spans="6:21" x14ac:dyDescent="0.25">
      <c r="F5078"/>
      <c r="O5078"/>
      <c r="R5078"/>
      <c r="S5078"/>
      <c r="T5078"/>
      <c r="U5078"/>
    </row>
    <row r="5079" spans="6:21" x14ac:dyDescent="0.25">
      <c r="F5079"/>
      <c r="O5079"/>
      <c r="R5079"/>
      <c r="S5079"/>
      <c r="T5079"/>
      <c r="U5079"/>
    </row>
    <row r="5080" spans="6:21" x14ac:dyDescent="0.25">
      <c r="F5080"/>
      <c r="O5080"/>
      <c r="R5080"/>
      <c r="S5080"/>
      <c r="T5080"/>
      <c r="U5080"/>
    </row>
    <row r="5081" spans="6:21" x14ac:dyDescent="0.25">
      <c r="F5081"/>
      <c r="O5081"/>
      <c r="R5081"/>
      <c r="S5081"/>
      <c r="T5081"/>
      <c r="U5081"/>
    </row>
    <row r="5082" spans="6:21" x14ac:dyDescent="0.25">
      <c r="F5082"/>
      <c r="O5082"/>
      <c r="R5082"/>
      <c r="S5082"/>
      <c r="T5082"/>
      <c r="U5082"/>
    </row>
    <row r="5083" spans="6:21" x14ac:dyDescent="0.25">
      <c r="F5083"/>
      <c r="O5083"/>
      <c r="R5083"/>
      <c r="S5083"/>
      <c r="T5083"/>
      <c r="U5083"/>
    </row>
    <row r="5084" spans="6:21" x14ac:dyDescent="0.25">
      <c r="F5084"/>
      <c r="O5084"/>
      <c r="R5084"/>
      <c r="S5084"/>
      <c r="T5084"/>
      <c r="U5084"/>
    </row>
    <row r="5085" spans="6:21" x14ac:dyDescent="0.25">
      <c r="F5085"/>
      <c r="O5085"/>
      <c r="R5085"/>
      <c r="S5085"/>
      <c r="T5085"/>
      <c r="U5085"/>
    </row>
    <row r="5086" spans="6:21" x14ac:dyDescent="0.25">
      <c r="F5086"/>
      <c r="O5086"/>
      <c r="R5086"/>
      <c r="S5086"/>
      <c r="T5086"/>
      <c r="U5086"/>
    </row>
    <row r="5087" spans="6:21" x14ac:dyDescent="0.25">
      <c r="F5087"/>
      <c r="O5087"/>
      <c r="R5087"/>
      <c r="S5087"/>
      <c r="T5087"/>
      <c r="U5087"/>
    </row>
    <row r="5088" spans="6:21" x14ac:dyDescent="0.25">
      <c r="F5088"/>
      <c r="O5088"/>
      <c r="R5088"/>
      <c r="S5088"/>
      <c r="T5088"/>
      <c r="U5088"/>
    </row>
    <row r="5089" spans="6:21" x14ac:dyDescent="0.25">
      <c r="F5089"/>
      <c r="O5089"/>
      <c r="R5089"/>
      <c r="S5089"/>
      <c r="T5089"/>
      <c r="U5089"/>
    </row>
    <row r="5090" spans="6:21" x14ac:dyDescent="0.25">
      <c r="F5090"/>
      <c r="O5090"/>
      <c r="R5090"/>
      <c r="S5090"/>
      <c r="T5090"/>
      <c r="U5090"/>
    </row>
    <row r="5091" spans="6:21" x14ac:dyDescent="0.25">
      <c r="F5091"/>
      <c r="O5091"/>
      <c r="R5091"/>
      <c r="S5091"/>
      <c r="T5091"/>
      <c r="U5091"/>
    </row>
    <row r="5092" spans="6:21" x14ac:dyDescent="0.25">
      <c r="F5092"/>
      <c r="O5092"/>
      <c r="R5092"/>
      <c r="S5092"/>
      <c r="T5092"/>
      <c r="U5092"/>
    </row>
    <row r="5093" spans="6:21" x14ac:dyDescent="0.25">
      <c r="F5093"/>
      <c r="O5093"/>
      <c r="R5093"/>
      <c r="S5093"/>
      <c r="T5093"/>
      <c r="U5093"/>
    </row>
    <row r="5094" spans="6:21" x14ac:dyDescent="0.25">
      <c r="F5094"/>
      <c r="O5094"/>
      <c r="R5094"/>
      <c r="S5094"/>
      <c r="T5094"/>
      <c r="U5094"/>
    </row>
    <row r="5095" spans="6:21" x14ac:dyDescent="0.25">
      <c r="F5095"/>
      <c r="O5095"/>
      <c r="R5095"/>
      <c r="S5095"/>
      <c r="T5095"/>
      <c r="U5095"/>
    </row>
    <row r="5096" spans="6:21" x14ac:dyDescent="0.25">
      <c r="F5096"/>
      <c r="O5096"/>
      <c r="R5096"/>
      <c r="S5096"/>
      <c r="T5096"/>
      <c r="U5096"/>
    </row>
    <row r="5097" spans="6:21" x14ac:dyDescent="0.25">
      <c r="F5097"/>
      <c r="O5097"/>
      <c r="R5097"/>
      <c r="S5097"/>
      <c r="T5097"/>
      <c r="U5097"/>
    </row>
    <row r="5098" spans="6:21" x14ac:dyDescent="0.25">
      <c r="F5098"/>
      <c r="O5098"/>
      <c r="R5098"/>
      <c r="S5098"/>
      <c r="T5098"/>
      <c r="U5098"/>
    </row>
    <row r="5099" spans="6:21" x14ac:dyDescent="0.25">
      <c r="F5099"/>
      <c r="O5099"/>
      <c r="R5099"/>
      <c r="S5099"/>
      <c r="T5099"/>
      <c r="U5099"/>
    </row>
    <row r="5100" spans="6:21" x14ac:dyDescent="0.25">
      <c r="F5100"/>
      <c r="O5100"/>
      <c r="R5100"/>
      <c r="S5100"/>
      <c r="T5100"/>
      <c r="U5100"/>
    </row>
    <row r="5101" spans="6:21" x14ac:dyDescent="0.25">
      <c r="F5101"/>
      <c r="O5101"/>
      <c r="R5101"/>
      <c r="S5101"/>
      <c r="T5101"/>
      <c r="U5101"/>
    </row>
    <row r="5102" spans="6:21" x14ac:dyDescent="0.25">
      <c r="F5102"/>
      <c r="O5102"/>
      <c r="R5102"/>
      <c r="S5102"/>
      <c r="T5102"/>
      <c r="U5102"/>
    </row>
    <row r="5103" spans="6:21" x14ac:dyDescent="0.25">
      <c r="F5103"/>
      <c r="O5103"/>
      <c r="R5103"/>
      <c r="S5103"/>
      <c r="T5103"/>
      <c r="U5103"/>
    </row>
    <row r="5104" spans="6:21" x14ac:dyDescent="0.25">
      <c r="F5104"/>
      <c r="O5104"/>
      <c r="R5104"/>
      <c r="S5104"/>
      <c r="T5104"/>
      <c r="U5104"/>
    </row>
    <row r="5105" spans="6:21" x14ac:dyDescent="0.25">
      <c r="F5105"/>
      <c r="O5105"/>
      <c r="R5105"/>
      <c r="S5105"/>
      <c r="T5105"/>
      <c r="U5105"/>
    </row>
    <row r="5106" spans="6:21" x14ac:dyDescent="0.25">
      <c r="F5106"/>
      <c r="O5106"/>
      <c r="R5106"/>
      <c r="S5106"/>
      <c r="T5106"/>
      <c r="U5106"/>
    </row>
    <row r="5107" spans="6:21" x14ac:dyDescent="0.25">
      <c r="F5107"/>
      <c r="O5107"/>
      <c r="R5107"/>
      <c r="S5107"/>
      <c r="T5107"/>
      <c r="U5107"/>
    </row>
    <row r="5108" spans="6:21" x14ac:dyDescent="0.25">
      <c r="F5108"/>
      <c r="O5108"/>
      <c r="R5108"/>
      <c r="S5108"/>
      <c r="T5108"/>
      <c r="U5108"/>
    </row>
    <row r="5109" spans="6:21" x14ac:dyDescent="0.25">
      <c r="F5109"/>
      <c r="O5109"/>
      <c r="R5109"/>
      <c r="S5109"/>
      <c r="T5109"/>
      <c r="U5109"/>
    </row>
    <row r="5110" spans="6:21" x14ac:dyDescent="0.25">
      <c r="F5110"/>
      <c r="O5110"/>
      <c r="R5110"/>
      <c r="S5110"/>
      <c r="T5110"/>
      <c r="U5110"/>
    </row>
    <row r="5111" spans="6:21" x14ac:dyDescent="0.25">
      <c r="F5111"/>
      <c r="O5111"/>
      <c r="R5111"/>
      <c r="S5111"/>
      <c r="T5111"/>
      <c r="U5111"/>
    </row>
    <row r="5112" spans="6:21" x14ac:dyDescent="0.25">
      <c r="F5112"/>
      <c r="O5112"/>
      <c r="R5112"/>
      <c r="S5112"/>
      <c r="T5112"/>
      <c r="U5112"/>
    </row>
    <row r="5113" spans="6:21" x14ac:dyDescent="0.25">
      <c r="F5113"/>
      <c r="O5113"/>
      <c r="R5113"/>
      <c r="S5113"/>
      <c r="T5113"/>
      <c r="U5113"/>
    </row>
    <row r="5114" spans="6:21" x14ac:dyDescent="0.25">
      <c r="F5114"/>
      <c r="O5114"/>
      <c r="R5114"/>
      <c r="S5114"/>
      <c r="T5114"/>
      <c r="U5114"/>
    </row>
    <row r="5115" spans="6:21" x14ac:dyDescent="0.25">
      <c r="F5115"/>
      <c r="O5115"/>
      <c r="R5115"/>
      <c r="S5115"/>
      <c r="T5115"/>
      <c r="U5115"/>
    </row>
    <row r="5116" spans="6:21" x14ac:dyDescent="0.25">
      <c r="F5116"/>
      <c r="O5116"/>
      <c r="R5116"/>
      <c r="S5116"/>
      <c r="T5116"/>
      <c r="U5116"/>
    </row>
    <row r="5117" spans="6:21" x14ac:dyDescent="0.25">
      <c r="F5117"/>
      <c r="O5117"/>
      <c r="R5117"/>
      <c r="S5117"/>
      <c r="T5117"/>
      <c r="U5117"/>
    </row>
    <row r="5118" spans="6:21" x14ac:dyDescent="0.25">
      <c r="F5118"/>
      <c r="O5118"/>
      <c r="R5118"/>
      <c r="S5118"/>
      <c r="T5118"/>
      <c r="U5118"/>
    </row>
    <row r="5119" spans="6:21" x14ac:dyDescent="0.25">
      <c r="F5119"/>
      <c r="O5119"/>
      <c r="R5119"/>
      <c r="S5119"/>
      <c r="T5119"/>
      <c r="U5119"/>
    </row>
    <row r="5120" spans="6:21" x14ac:dyDescent="0.25">
      <c r="F5120"/>
      <c r="O5120"/>
      <c r="R5120"/>
      <c r="S5120"/>
      <c r="T5120"/>
      <c r="U5120"/>
    </row>
    <row r="5121" spans="6:21" x14ac:dyDescent="0.25">
      <c r="F5121"/>
      <c r="O5121"/>
      <c r="R5121"/>
      <c r="S5121"/>
      <c r="T5121"/>
      <c r="U5121"/>
    </row>
    <row r="5122" spans="6:21" x14ac:dyDescent="0.25">
      <c r="F5122"/>
      <c r="O5122"/>
      <c r="R5122"/>
      <c r="S5122"/>
      <c r="T5122"/>
      <c r="U5122"/>
    </row>
    <row r="5123" spans="6:21" x14ac:dyDescent="0.25">
      <c r="F5123"/>
      <c r="O5123"/>
      <c r="R5123"/>
      <c r="S5123"/>
      <c r="T5123"/>
      <c r="U5123"/>
    </row>
    <row r="5124" spans="6:21" x14ac:dyDescent="0.25">
      <c r="F5124"/>
      <c r="O5124"/>
      <c r="R5124"/>
      <c r="S5124"/>
      <c r="T5124"/>
      <c r="U5124"/>
    </row>
    <row r="5125" spans="6:21" x14ac:dyDescent="0.25">
      <c r="F5125"/>
      <c r="O5125"/>
      <c r="R5125"/>
      <c r="S5125"/>
      <c r="T5125"/>
      <c r="U5125"/>
    </row>
    <row r="5126" spans="6:21" x14ac:dyDescent="0.25">
      <c r="F5126"/>
      <c r="O5126"/>
      <c r="R5126"/>
      <c r="S5126"/>
      <c r="T5126"/>
      <c r="U5126"/>
    </row>
    <row r="5127" spans="6:21" x14ac:dyDescent="0.25">
      <c r="F5127"/>
      <c r="O5127"/>
      <c r="R5127"/>
      <c r="S5127"/>
      <c r="T5127"/>
      <c r="U5127"/>
    </row>
    <row r="5128" spans="6:21" x14ac:dyDescent="0.25">
      <c r="F5128"/>
      <c r="O5128"/>
      <c r="R5128"/>
      <c r="S5128"/>
      <c r="T5128"/>
      <c r="U5128"/>
    </row>
    <row r="5129" spans="6:21" x14ac:dyDescent="0.25">
      <c r="F5129"/>
      <c r="O5129"/>
      <c r="R5129"/>
      <c r="S5129"/>
      <c r="T5129"/>
      <c r="U5129"/>
    </row>
    <row r="5130" spans="6:21" x14ac:dyDescent="0.25">
      <c r="F5130"/>
      <c r="O5130"/>
      <c r="R5130"/>
      <c r="S5130"/>
      <c r="T5130"/>
      <c r="U5130"/>
    </row>
    <row r="5131" spans="6:21" x14ac:dyDescent="0.25">
      <c r="F5131"/>
      <c r="O5131"/>
      <c r="R5131"/>
      <c r="S5131"/>
      <c r="T5131"/>
      <c r="U5131"/>
    </row>
    <row r="5132" spans="6:21" x14ac:dyDescent="0.25">
      <c r="F5132"/>
      <c r="O5132"/>
      <c r="R5132"/>
      <c r="S5132"/>
      <c r="T5132"/>
      <c r="U5132"/>
    </row>
    <row r="5133" spans="6:21" x14ac:dyDescent="0.25">
      <c r="F5133"/>
      <c r="O5133"/>
      <c r="R5133"/>
      <c r="S5133"/>
      <c r="T5133"/>
      <c r="U5133"/>
    </row>
    <row r="5134" spans="6:21" x14ac:dyDescent="0.25">
      <c r="F5134"/>
      <c r="O5134"/>
      <c r="R5134"/>
      <c r="S5134"/>
      <c r="T5134"/>
      <c r="U5134"/>
    </row>
    <row r="5135" spans="6:21" x14ac:dyDescent="0.25">
      <c r="F5135"/>
      <c r="O5135"/>
      <c r="R5135"/>
      <c r="S5135"/>
      <c r="T5135"/>
      <c r="U5135"/>
    </row>
    <row r="5136" spans="6:21" x14ac:dyDescent="0.25">
      <c r="F5136"/>
      <c r="O5136"/>
      <c r="R5136"/>
      <c r="S5136"/>
      <c r="T5136"/>
      <c r="U5136"/>
    </row>
    <row r="5137" spans="6:21" x14ac:dyDescent="0.25">
      <c r="F5137"/>
      <c r="O5137"/>
      <c r="R5137"/>
      <c r="S5137"/>
      <c r="T5137"/>
      <c r="U5137"/>
    </row>
    <row r="5138" spans="6:21" x14ac:dyDescent="0.25">
      <c r="F5138"/>
      <c r="O5138"/>
      <c r="R5138"/>
      <c r="S5138"/>
      <c r="T5138"/>
      <c r="U5138"/>
    </row>
    <row r="5139" spans="6:21" x14ac:dyDescent="0.25">
      <c r="F5139"/>
      <c r="O5139"/>
      <c r="R5139"/>
      <c r="S5139"/>
      <c r="T5139"/>
      <c r="U5139"/>
    </row>
    <row r="5140" spans="6:21" x14ac:dyDescent="0.25">
      <c r="F5140"/>
      <c r="O5140"/>
      <c r="R5140"/>
      <c r="S5140"/>
      <c r="T5140"/>
      <c r="U5140"/>
    </row>
    <row r="5141" spans="6:21" x14ac:dyDescent="0.25">
      <c r="F5141"/>
      <c r="O5141"/>
      <c r="R5141"/>
      <c r="S5141"/>
      <c r="T5141"/>
      <c r="U5141"/>
    </row>
    <row r="5142" spans="6:21" x14ac:dyDescent="0.25">
      <c r="F5142"/>
      <c r="O5142"/>
      <c r="R5142"/>
      <c r="S5142"/>
      <c r="T5142"/>
      <c r="U5142"/>
    </row>
    <row r="5143" spans="6:21" x14ac:dyDescent="0.25">
      <c r="F5143"/>
      <c r="O5143"/>
      <c r="R5143"/>
      <c r="S5143"/>
      <c r="T5143"/>
      <c r="U5143"/>
    </row>
    <row r="5144" spans="6:21" x14ac:dyDescent="0.25">
      <c r="F5144"/>
      <c r="O5144"/>
      <c r="R5144"/>
      <c r="S5144"/>
      <c r="T5144"/>
      <c r="U5144"/>
    </row>
    <row r="5145" spans="6:21" x14ac:dyDescent="0.25">
      <c r="F5145"/>
      <c r="O5145"/>
      <c r="R5145"/>
      <c r="S5145"/>
      <c r="T5145"/>
      <c r="U5145"/>
    </row>
    <row r="5146" spans="6:21" x14ac:dyDescent="0.25">
      <c r="F5146"/>
      <c r="O5146"/>
      <c r="R5146"/>
      <c r="S5146"/>
      <c r="T5146"/>
      <c r="U5146"/>
    </row>
    <row r="5147" spans="6:21" x14ac:dyDescent="0.25">
      <c r="F5147"/>
      <c r="O5147"/>
      <c r="R5147"/>
      <c r="S5147"/>
      <c r="T5147"/>
      <c r="U5147"/>
    </row>
    <row r="5148" spans="6:21" x14ac:dyDescent="0.25">
      <c r="F5148"/>
      <c r="O5148"/>
      <c r="R5148"/>
      <c r="S5148"/>
      <c r="T5148"/>
      <c r="U5148"/>
    </row>
    <row r="5149" spans="6:21" x14ac:dyDescent="0.25">
      <c r="F5149"/>
      <c r="O5149"/>
      <c r="R5149"/>
      <c r="S5149"/>
      <c r="T5149"/>
      <c r="U5149"/>
    </row>
    <row r="5150" spans="6:21" x14ac:dyDescent="0.25">
      <c r="F5150"/>
      <c r="O5150"/>
      <c r="R5150"/>
      <c r="S5150"/>
      <c r="T5150"/>
      <c r="U5150"/>
    </row>
    <row r="5151" spans="6:21" x14ac:dyDescent="0.25">
      <c r="F5151"/>
      <c r="O5151"/>
      <c r="R5151"/>
      <c r="S5151"/>
      <c r="T5151"/>
      <c r="U5151"/>
    </row>
    <row r="5152" spans="6:21" x14ac:dyDescent="0.25">
      <c r="F5152"/>
      <c r="O5152"/>
      <c r="R5152"/>
      <c r="S5152"/>
      <c r="T5152"/>
      <c r="U5152"/>
    </row>
    <row r="5153" spans="6:21" x14ac:dyDescent="0.25">
      <c r="F5153"/>
      <c r="O5153"/>
      <c r="R5153"/>
      <c r="S5153"/>
      <c r="T5153"/>
      <c r="U5153"/>
    </row>
    <row r="5154" spans="6:21" x14ac:dyDescent="0.25">
      <c r="F5154"/>
      <c r="O5154"/>
      <c r="R5154"/>
      <c r="S5154"/>
      <c r="T5154"/>
      <c r="U5154"/>
    </row>
    <row r="5155" spans="6:21" x14ac:dyDescent="0.25">
      <c r="F5155"/>
      <c r="O5155"/>
      <c r="R5155"/>
      <c r="S5155"/>
      <c r="T5155"/>
      <c r="U5155"/>
    </row>
    <row r="5156" spans="6:21" x14ac:dyDescent="0.25">
      <c r="F5156"/>
      <c r="O5156"/>
      <c r="R5156"/>
      <c r="S5156"/>
      <c r="T5156"/>
      <c r="U5156"/>
    </row>
    <row r="5157" spans="6:21" x14ac:dyDescent="0.25">
      <c r="F5157"/>
      <c r="O5157"/>
      <c r="R5157"/>
      <c r="S5157"/>
      <c r="T5157"/>
      <c r="U5157"/>
    </row>
    <row r="5158" spans="6:21" x14ac:dyDescent="0.25">
      <c r="F5158"/>
      <c r="O5158"/>
      <c r="R5158"/>
      <c r="S5158"/>
      <c r="T5158"/>
      <c r="U5158"/>
    </row>
    <row r="5159" spans="6:21" x14ac:dyDescent="0.25">
      <c r="F5159"/>
      <c r="O5159"/>
      <c r="R5159"/>
      <c r="S5159"/>
      <c r="T5159"/>
      <c r="U5159"/>
    </row>
    <row r="5160" spans="6:21" x14ac:dyDescent="0.25">
      <c r="F5160"/>
      <c r="O5160"/>
      <c r="R5160"/>
      <c r="S5160"/>
      <c r="T5160"/>
      <c r="U5160"/>
    </row>
    <row r="5161" spans="6:21" x14ac:dyDescent="0.25">
      <c r="F5161"/>
      <c r="O5161"/>
      <c r="R5161"/>
      <c r="S5161"/>
      <c r="T5161"/>
      <c r="U5161"/>
    </row>
    <row r="5162" spans="6:21" x14ac:dyDescent="0.25">
      <c r="F5162"/>
      <c r="O5162"/>
      <c r="R5162"/>
      <c r="S5162"/>
      <c r="T5162"/>
      <c r="U5162"/>
    </row>
    <row r="5163" spans="6:21" x14ac:dyDescent="0.25">
      <c r="F5163"/>
      <c r="O5163"/>
      <c r="R5163"/>
      <c r="S5163"/>
      <c r="T5163"/>
      <c r="U5163"/>
    </row>
    <row r="5164" spans="6:21" x14ac:dyDescent="0.25">
      <c r="F5164"/>
      <c r="O5164"/>
      <c r="R5164"/>
      <c r="S5164"/>
      <c r="T5164"/>
      <c r="U5164"/>
    </row>
    <row r="5165" spans="6:21" x14ac:dyDescent="0.25">
      <c r="F5165"/>
      <c r="O5165"/>
      <c r="R5165"/>
      <c r="S5165"/>
      <c r="T5165"/>
      <c r="U5165"/>
    </row>
    <row r="5166" spans="6:21" x14ac:dyDescent="0.25">
      <c r="F5166"/>
      <c r="O5166"/>
      <c r="R5166"/>
      <c r="S5166"/>
      <c r="T5166"/>
      <c r="U5166"/>
    </row>
    <row r="5167" spans="6:21" x14ac:dyDescent="0.25">
      <c r="F5167"/>
      <c r="O5167"/>
      <c r="R5167"/>
      <c r="S5167"/>
      <c r="T5167"/>
      <c r="U5167"/>
    </row>
    <row r="5168" spans="6:21" x14ac:dyDescent="0.25">
      <c r="F5168"/>
      <c r="O5168"/>
      <c r="R5168"/>
      <c r="S5168"/>
      <c r="T5168"/>
      <c r="U5168"/>
    </row>
    <row r="5169" spans="6:21" x14ac:dyDescent="0.25">
      <c r="F5169"/>
      <c r="O5169"/>
      <c r="R5169"/>
      <c r="S5169"/>
      <c r="T5169"/>
      <c r="U5169"/>
    </row>
    <row r="5170" spans="6:21" x14ac:dyDescent="0.25">
      <c r="F5170"/>
      <c r="O5170"/>
      <c r="R5170"/>
      <c r="S5170"/>
      <c r="T5170"/>
      <c r="U5170"/>
    </row>
    <row r="5171" spans="6:21" x14ac:dyDescent="0.25">
      <c r="F5171"/>
      <c r="O5171"/>
      <c r="R5171"/>
      <c r="S5171"/>
      <c r="T5171"/>
      <c r="U5171"/>
    </row>
    <row r="5172" spans="6:21" x14ac:dyDescent="0.25">
      <c r="F5172"/>
      <c r="O5172"/>
      <c r="R5172"/>
      <c r="S5172"/>
      <c r="T5172"/>
      <c r="U5172"/>
    </row>
    <row r="5173" spans="6:21" x14ac:dyDescent="0.25">
      <c r="F5173"/>
      <c r="O5173"/>
      <c r="R5173"/>
      <c r="S5173"/>
      <c r="T5173"/>
      <c r="U5173"/>
    </row>
    <row r="5174" spans="6:21" x14ac:dyDescent="0.25">
      <c r="F5174"/>
      <c r="O5174"/>
      <c r="R5174"/>
      <c r="S5174"/>
      <c r="T5174"/>
      <c r="U5174"/>
    </row>
    <row r="5175" spans="6:21" x14ac:dyDescent="0.25">
      <c r="F5175"/>
      <c r="O5175"/>
      <c r="R5175"/>
      <c r="S5175"/>
      <c r="T5175"/>
      <c r="U5175"/>
    </row>
    <row r="5176" spans="6:21" x14ac:dyDescent="0.25">
      <c r="F5176"/>
      <c r="O5176"/>
      <c r="R5176"/>
      <c r="S5176"/>
      <c r="T5176"/>
      <c r="U5176"/>
    </row>
    <row r="5177" spans="6:21" x14ac:dyDescent="0.25">
      <c r="F5177"/>
      <c r="O5177"/>
      <c r="R5177"/>
      <c r="S5177"/>
      <c r="T5177"/>
      <c r="U5177"/>
    </row>
    <row r="5178" spans="6:21" x14ac:dyDescent="0.25">
      <c r="F5178"/>
      <c r="O5178"/>
      <c r="R5178"/>
      <c r="S5178"/>
      <c r="T5178"/>
      <c r="U5178"/>
    </row>
    <row r="5179" spans="6:21" x14ac:dyDescent="0.25">
      <c r="F5179"/>
      <c r="O5179"/>
      <c r="R5179"/>
      <c r="S5179"/>
      <c r="T5179"/>
      <c r="U5179"/>
    </row>
    <row r="5180" spans="6:21" x14ac:dyDescent="0.25">
      <c r="F5180"/>
      <c r="O5180"/>
      <c r="R5180"/>
      <c r="S5180"/>
      <c r="T5180"/>
      <c r="U5180"/>
    </row>
    <row r="5181" spans="6:21" x14ac:dyDescent="0.25">
      <c r="F5181"/>
      <c r="O5181"/>
      <c r="R5181"/>
      <c r="S5181"/>
      <c r="T5181"/>
      <c r="U5181"/>
    </row>
    <row r="5182" spans="6:21" x14ac:dyDescent="0.25">
      <c r="F5182"/>
      <c r="O5182"/>
      <c r="R5182"/>
      <c r="S5182"/>
      <c r="T5182"/>
      <c r="U5182"/>
    </row>
    <row r="5183" spans="6:21" x14ac:dyDescent="0.25">
      <c r="F5183"/>
      <c r="O5183"/>
      <c r="R5183"/>
      <c r="S5183"/>
      <c r="T5183"/>
      <c r="U5183"/>
    </row>
    <row r="5184" spans="6:21" x14ac:dyDescent="0.25">
      <c r="F5184"/>
      <c r="O5184"/>
      <c r="R5184"/>
      <c r="S5184"/>
      <c r="T5184"/>
      <c r="U5184"/>
    </row>
    <row r="5185" spans="6:21" x14ac:dyDescent="0.25">
      <c r="F5185"/>
      <c r="O5185"/>
      <c r="R5185"/>
      <c r="S5185"/>
      <c r="T5185"/>
      <c r="U5185"/>
    </row>
    <row r="5186" spans="6:21" x14ac:dyDescent="0.25">
      <c r="F5186"/>
      <c r="O5186"/>
      <c r="R5186"/>
      <c r="S5186"/>
      <c r="T5186"/>
      <c r="U5186"/>
    </row>
    <row r="5187" spans="6:21" x14ac:dyDescent="0.25">
      <c r="F5187"/>
      <c r="O5187"/>
      <c r="R5187"/>
      <c r="S5187"/>
      <c r="T5187"/>
      <c r="U5187"/>
    </row>
    <row r="5188" spans="6:21" x14ac:dyDescent="0.25">
      <c r="F5188"/>
      <c r="O5188"/>
      <c r="R5188"/>
      <c r="S5188"/>
      <c r="T5188"/>
      <c r="U5188"/>
    </row>
    <row r="5189" spans="6:21" x14ac:dyDescent="0.25">
      <c r="F5189"/>
      <c r="O5189"/>
      <c r="R5189"/>
      <c r="S5189"/>
      <c r="T5189"/>
      <c r="U5189"/>
    </row>
    <row r="5190" spans="6:21" x14ac:dyDescent="0.25">
      <c r="F5190"/>
      <c r="O5190"/>
      <c r="R5190"/>
      <c r="S5190"/>
      <c r="T5190"/>
      <c r="U5190"/>
    </row>
    <row r="5191" spans="6:21" x14ac:dyDescent="0.25">
      <c r="F5191"/>
      <c r="O5191"/>
      <c r="R5191"/>
      <c r="S5191"/>
      <c r="T5191"/>
      <c r="U5191"/>
    </row>
    <row r="5192" spans="6:21" x14ac:dyDescent="0.25">
      <c r="F5192"/>
      <c r="O5192"/>
      <c r="R5192"/>
      <c r="S5192"/>
      <c r="T5192"/>
      <c r="U5192"/>
    </row>
    <row r="5193" spans="6:21" x14ac:dyDescent="0.25">
      <c r="F5193"/>
      <c r="O5193"/>
      <c r="R5193"/>
      <c r="S5193"/>
      <c r="T5193"/>
      <c r="U5193"/>
    </row>
    <row r="5194" spans="6:21" x14ac:dyDescent="0.25">
      <c r="F5194"/>
      <c r="O5194"/>
      <c r="R5194"/>
      <c r="S5194"/>
      <c r="T5194"/>
      <c r="U5194"/>
    </row>
    <row r="5195" spans="6:21" x14ac:dyDescent="0.25">
      <c r="F5195"/>
      <c r="O5195"/>
      <c r="R5195"/>
      <c r="S5195"/>
      <c r="T5195"/>
      <c r="U5195"/>
    </row>
    <row r="5196" spans="6:21" x14ac:dyDescent="0.25">
      <c r="F5196"/>
      <c r="O5196"/>
      <c r="R5196"/>
      <c r="S5196"/>
      <c r="T5196"/>
      <c r="U5196"/>
    </row>
    <row r="5197" spans="6:21" x14ac:dyDescent="0.25">
      <c r="F5197"/>
      <c r="O5197"/>
      <c r="R5197"/>
      <c r="S5197"/>
      <c r="T5197"/>
      <c r="U5197"/>
    </row>
    <row r="5198" spans="6:21" x14ac:dyDescent="0.25">
      <c r="F5198"/>
      <c r="O5198"/>
      <c r="R5198"/>
      <c r="S5198"/>
      <c r="T5198"/>
      <c r="U5198"/>
    </row>
    <row r="5199" spans="6:21" x14ac:dyDescent="0.25">
      <c r="F5199"/>
      <c r="O5199"/>
      <c r="R5199"/>
      <c r="S5199"/>
      <c r="T5199"/>
      <c r="U5199"/>
    </row>
    <row r="5200" spans="6:21" x14ac:dyDescent="0.25">
      <c r="F5200"/>
      <c r="O5200"/>
      <c r="R5200"/>
      <c r="S5200"/>
      <c r="T5200"/>
      <c r="U5200"/>
    </row>
    <row r="5201" spans="6:21" x14ac:dyDescent="0.25">
      <c r="F5201"/>
      <c r="O5201"/>
      <c r="R5201"/>
      <c r="S5201"/>
      <c r="T5201"/>
      <c r="U5201"/>
    </row>
    <row r="5202" spans="6:21" x14ac:dyDescent="0.25">
      <c r="F5202"/>
      <c r="O5202"/>
      <c r="R5202"/>
      <c r="S5202"/>
      <c r="T5202"/>
      <c r="U5202"/>
    </row>
    <row r="5203" spans="6:21" x14ac:dyDescent="0.25">
      <c r="F5203"/>
      <c r="O5203"/>
      <c r="R5203"/>
      <c r="S5203"/>
      <c r="T5203"/>
      <c r="U5203"/>
    </row>
    <row r="5204" spans="6:21" x14ac:dyDescent="0.25">
      <c r="F5204"/>
      <c r="O5204"/>
      <c r="R5204"/>
      <c r="S5204"/>
      <c r="T5204"/>
      <c r="U5204"/>
    </row>
    <row r="5205" spans="6:21" x14ac:dyDescent="0.25">
      <c r="F5205"/>
      <c r="O5205"/>
      <c r="R5205"/>
      <c r="S5205"/>
      <c r="T5205"/>
      <c r="U5205"/>
    </row>
    <row r="5206" spans="6:21" x14ac:dyDescent="0.25">
      <c r="F5206"/>
      <c r="O5206"/>
      <c r="R5206"/>
      <c r="S5206"/>
      <c r="T5206"/>
      <c r="U5206"/>
    </row>
    <row r="5207" spans="6:21" x14ac:dyDescent="0.25">
      <c r="F5207"/>
      <c r="O5207"/>
      <c r="R5207"/>
      <c r="S5207"/>
      <c r="T5207"/>
      <c r="U5207"/>
    </row>
    <row r="5208" spans="6:21" x14ac:dyDescent="0.25">
      <c r="F5208"/>
      <c r="O5208"/>
      <c r="R5208"/>
      <c r="S5208"/>
      <c r="T5208"/>
      <c r="U5208"/>
    </row>
    <row r="5209" spans="6:21" x14ac:dyDescent="0.25">
      <c r="F5209"/>
      <c r="O5209"/>
      <c r="R5209"/>
      <c r="S5209"/>
      <c r="T5209"/>
      <c r="U5209"/>
    </row>
    <row r="5210" spans="6:21" x14ac:dyDescent="0.25">
      <c r="F5210"/>
      <c r="O5210"/>
      <c r="R5210"/>
      <c r="S5210"/>
      <c r="T5210"/>
      <c r="U5210"/>
    </row>
    <row r="5211" spans="6:21" x14ac:dyDescent="0.25">
      <c r="F5211"/>
      <c r="O5211"/>
      <c r="R5211"/>
      <c r="S5211"/>
      <c r="T5211"/>
      <c r="U5211"/>
    </row>
    <row r="5212" spans="6:21" x14ac:dyDescent="0.25">
      <c r="F5212"/>
      <c r="O5212"/>
      <c r="R5212"/>
      <c r="S5212"/>
      <c r="T5212"/>
      <c r="U5212"/>
    </row>
    <row r="5213" spans="6:21" x14ac:dyDescent="0.25">
      <c r="F5213"/>
      <c r="O5213"/>
      <c r="R5213"/>
      <c r="S5213"/>
      <c r="T5213"/>
      <c r="U5213"/>
    </row>
    <row r="5214" spans="6:21" x14ac:dyDescent="0.25">
      <c r="F5214"/>
      <c r="O5214"/>
      <c r="R5214"/>
      <c r="S5214"/>
      <c r="T5214"/>
      <c r="U5214"/>
    </row>
    <row r="5215" spans="6:21" x14ac:dyDescent="0.25">
      <c r="F5215"/>
      <c r="O5215"/>
      <c r="R5215"/>
      <c r="S5215"/>
      <c r="T5215"/>
      <c r="U5215"/>
    </row>
    <row r="5216" spans="6:21" x14ac:dyDescent="0.25">
      <c r="F5216"/>
      <c r="O5216"/>
      <c r="R5216"/>
      <c r="S5216"/>
      <c r="T5216"/>
      <c r="U5216"/>
    </row>
    <row r="5217" spans="6:21" x14ac:dyDescent="0.25">
      <c r="F5217"/>
      <c r="O5217"/>
      <c r="R5217"/>
      <c r="S5217"/>
      <c r="T5217"/>
      <c r="U5217"/>
    </row>
    <row r="5218" spans="6:21" x14ac:dyDescent="0.25">
      <c r="F5218"/>
      <c r="O5218"/>
      <c r="R5218"/>
      <c r="S5218"/>
      <c r="T5218"/>
      <c r="U5218"/>
    </row>
    <row r="5219" spans="6:21" x14ac:dyDescent="0.25">
      <c r="F5219"/>
      <c r="O5219"/>
      <c r="R5219"/>
      <c r="S5219"/>
      <c r="T5219"/>
      <c r="U5219"/>
    </row>
    <row r="5220" spans="6:21" x14ac:dyDescent="0.25">
      <c r="F5220"/>
      <c r="O5220"/>
      <c r="R5220"/>
      <c r="S5220"/>
      <c r="T5220"/>
      <c r="U5220"/>
    </row>
    <row r="5221" spans="6:21" x14ac:dyDescent="0.25">
      <c r="F5221"/>
      <c r="O5221"/>
      <c r="R5221"/>
      <c r="S5221"/>
      <c r="T5221"/>
      <c r="U5221"/>
    </row>
    <row r="5222" spans="6:21" x14ac:dyDescent="0.25">
      <c r="F5222"/>
      <c r="O5222"/>
      <c r="R5222"/>
      <c r="S5222"/>
      <c r="T5222"/>
      <c r="U5222"/>
    </row>
    <row r="5223" spans="6:21" x14ac:dyDescent="0.25">
      <c r="F5223"/>
      <c r="O5223"/>
      <c r="R5223"/>
      <c r="S5223"/>
      <c r="T5223"/>
      <c r="U5223"/>
    </row>
    <row r="5224" spans="6:21" x14ac:dyDescent="0.25">
      <c r="F5224"/>
      <c r="O5224"/>
      <c r="R5224"/>
      <c r="S5224"/>
      <c r="T5224"/>
      <c r="U5224"/>
    </row>
    <row r="5225" spans="6:21" x14ac:dyDescent="0.25">
      <c r="F5225"/>
      <c r="O5225"/>
      <c r="R5225"/>
      <c r="S5225"/>
      <c r="T5225"/>
      <c r="U5225"/>
    </row>
    <row r="5226" spans="6:21" x14ac:dyDescent="0.25">
      <c r="F5226"/>
      <c r="O5226"/>
      <c r="R5226"/>
      <c r="S5226"/>
      <c r="T5226"/>
      <c r="U5226"/>
    </row>
    <row r="5227" spans="6:21" x14ac:dyDescent="0.25">
      <c r="F5227"/>
      <c r="O5227"/>
      <c r="R5227"/>
      <c r="S5227"/>
      <c r="T5227"/>
      <c r="U5227"/>
    </row>
    <row r="5228" spans="6:21" x14ac:dyDescent="0.25">
      <c r="F5228"/>
      <c r="O5228"/>
      <c r="R5228"/>
      <c r="S5228"/>
      <c r="T5228"/>
      <c r="U5228"/>
    </row>
    <row r="5229" spans="6:21" x14ac:dyDescent="0.25">
      <c r="F5229"/>
      <c r="O5229"/>
      <c r="R5229"/>
      <c r="S5229"/>
      <c r="T5229"/>
      <c r="U5229"/>
    </row>
    <row r="5230" spans="6:21" x14ac:dyDescent="0.25">
      <c r="F5230"/>
      <c r="O5230"/>
      <c r="R5230"/>
      <c r="S5230"/>
      <c r="T5230"/>
      <c r="U5230"/>
    </row>
    <row r="5231" spans="6:21" x14ac:dyDescent="0.25">
      <c r="F5231"/>
      <c r="O5231"/>
      <c r="R5231"/>
      <c r="S5231"/>
      <c r="T5231"/>
      <c r="U5231"/>
    </row>
    <row r="5232" spans="6:21" x14ac:dyDescent="0.25">
      <c r="F5232"/>
      <c r="O5232"/>
      <c r="R5232"/>
      <c r="S5232"/>
      <c r="T5232"/>
      <c r="U5232"/>
    </row>
    <row r="5233" spans="6:21" x14ac:dyDescent="0.25">
      <c r="F5233"/>
      <c r="O5233"/>
      <c r="R5233"/>
      <c r="S5233"/>
      <c r="T5233"/>
      <c r="U5233"/>
    </row>
    <row r="5234" spans="6:21" x14ac:dyDescent="0.25">
      <c r="F5234"/>
      <c r="O5234"/>
      <c r="R5234"/>
      <c r="S5234"/>
      <c r="T5234"/>
      <c r="U5234"/>
    </row>
    <row r="5235" spans="6:21" x14ac:dyDescent="0.25">
      <c r="F5235"/>
      <c r="O5235"/>
      <c r="R5235"/>
      <c r="S5235"/>
      <c r="T5235"/>
      <c r="U5235"/>
    </row>
    <row r="5236" spans="6:21" x14ac:dyDescent="0.25">
      <c r="F5236"/>
      <c r="O5236"/>
      <c r="R5236"/>
      <c r="S5236"/>
      <c r="T5236"/>
      <c r="U5236"/>
    </row>
    <row r="5237" spans="6:21" x14ac:dyDescent="0.25">
      <c r="F5237"/>
      <c r="O5237"/>
      <c r="R5237"/>
      <c r="S5237"/>
      <c r="T5237"/>
      <c r="U5237"/>
    </row>
    <row r="5238" spans="6:21" x14ac:dyDescent="0.25">
      <c r="F5238"/>
      <c r="O5238"/>
      <c r="R5238"/>
      <c r="S5238"/>
      <c r="T5238"/>
      <c r="U5238"/>
    </row>
    <row r="5239" spans="6:21" x14ac:dyDescent="0.25">
      <c r="F5239"/>
      <c r="O5239"/>
      <c r="R5239"/>
      <c r="S5239"/>
      <c r="T5239"/>
      <c r="U5239"/>
    </row>
    <row r="5240" spans="6:21" x14ac:dyDescent="0.25">
      <c r="F5240"/>
      <c r="O5240"/>
      <c r="R5240"/>
      <c r="S5240"/>
      <c r="T5240"/>
      <c r="U5240"/>
    </row>
    <row r="5241" spans="6:21" x14ac:dyDescent="0.25">
      <c r="F5241"/>
      <c r="O5241"/>
      <c r="R5241"/>
      <c r="S5241"/>
      <c r="T5241"/>
      <c r="U5241"/>
    </row>
    <row r="5242" spans="6:21" x14ac:dyDescent="0.25">
      <c r="F5242"/>
      <c r="O5242"/>
      <c r="R5242"/>
      <c r="S5242"/>
      <c r="T5242"/>
      <c r="U5242"/>
    </row>
    <row r="5243" spans="6:21" x14ac:dyDescent="0.25">
      <c r="F5243"/>
      <c r="O5243"/>
      <c r="R5243"/>
      <c r="S5243"/>
      <c r="T5243"/>
      <c r="U5243"/>
    </row>
    <row r="5244" spans="6:21" x14ac:dyDescent="0.25">
      <c r="F5244"/>
      <c r="O5244"/>
      <c r="R5244"/>
      <c r="S5244"/>
      <c r="T5244"/>
      <c r="U5244"/>
    </row>
    <row r="5245" spans="6:21" x14ac:dyDescent="0.25">
      <c r="F5245"/>
      <c r="O5245"/>
      <c r="R5245"/>
      <c r="S5245"/>
      <c r="T5245"/>
      <c r="U5245"/>
    </row>
    <row r="5246" spans="6:21" x14ac:dyDescent="0.25">
      <c r="F5246"/>
      <c r="O5246"/>
      <c r="R5246"/>
      <c r="S5246"/>
      <c r="T5246"/>
      <c r="U5246"/>
    </row>
    <row r="5247" spans="6:21" x14ac:dyDescent="0.25">
      <c r="F5247"/>
      <c r="O5247"/>
      <c r="R5247"/>
      <c r="S5247"/>
      <c r="T5247"/>
      <c r="U5247"/>
    </row>
    <row r="5248" spans="6:21" x14ac:dyDescent="0.25">
      <c r="F5248"/>
      <c r="O5248"/>
      <c r="R5248"/>
      <c r="S5248"/>
      <c r="T5248"/>
      <c r="U5248"/>
    </row>
    <row r="5249" spans="6:21" x14ac:dyDescent="0.25">
      <c r="F5249"/>
      <c r="O5249"/>
      <c r="R5249"/>
      <c r="S5249"/>
      <c r="T5249"/>
      <c r="U5249"/>
    </row>
    <row r="5250" spans="6:21" x14ac:dyDescent="0.25">
      <c r="F5250"/>
      <c r="O5250"/>
      <c r="R5250"/>
      <c r="S5250"/>
      <c r="T5250"/>
      <c r="U5250"/>
    </row>
    <row r="5251" spans="6:21" x14ac:dyDescent="0.25">
      <c r="F5251"/>
      <c r="O5251"/>
      <c r="R5251"/>
      <c r="S5251"/>
      <c r="T5251"/>
      <c r="U5251"/>
    </row>
    <row r="5252" spans="6:21" x14ac:dyDescent="0.25">
      <c r="F5252"/>
      <c r="O5252"/>
      <c r="R5252"/>
      <c r="S5252"/>
      <c r="T5252"/>
      <c r="U5252"/>
    </row>
    <row r="5253" spans="6:21" x14ac:dyDescent="0.25">
      <c r="F5253"/>
      <c r="O5253"/>
      <c r="R5253"/>
      <c r="S5253"/>
      <c r="T5253"/>
      <c r="U5253"/>
    </row>
    <row r="5254" spans="6:21" x14ac:dyDescent="0.25">
      <c r="F5254"/>
      <c r="O5254"/>
      <c r="R5254"/>
      <c r="S5254"/>
      <c r="T5254"/>
      <c r="U5254"/>
    </row>
    <row r="5255" spans="6:21" x14ac:dyDescent="0.25">
      <c r="F5255"/>
      <c r="O5255"/>
      <c r="R5255"/>
      <c r="S5255"/>
      <c r="T5255"/>
      <c r="U5255"/>
    </row>
    <row r="5256" spans="6:21" x14ac:dyDescent="0.25">
      <c r="F5256"/>
      <c r="O5256"/>
      <c r="R5256"/>
      <c r="S5256"/>
      <c r="T5256"/>
      <c r="U5256"/>
    </row>
    <row r="5257" spans="6:21" x14ac:dyDescent="0.25">
      <c r="F5257"/>
      <c r="O5257"/>
      <c r="R5257"/>
      <c r="S5257"/>
      <c r="T5257"/>
      <c r="U5257"/>
    </row>
    <row r="5258" spans="6:21" x14ac:dyDescent="0.25">
      <c r="F5258"/>
      <c r="O5258"/>
      <c r="R5258"/>
      <c r="S5258"/>
      <c r="T5258"/>
      <c r="U5258"/>
    </row>
    <row r="5259" spans="6:21" x14ac:dyDescent="0.25">
      <c r="F5259"/>
      <c r="O5259"/>
      <c r="R5259"/>
      <c r="S5259"/>
      <c r="T5259"/>
      <c r="U5259"/>
    </row>
    <row r="5260" spans="6:21" x14ac:dyDescent="0.25">
      <c r="F5260"/>
      <c r="O5260"/>
      <c r="R5260"/>
      <c r="S5260"/>
      <c r="T5260"/>
      <c r="U5260"/>
    </row>
    <row r="5261" spans="6:21" x14ac:dyDescent="0.25">
      <c r="F5261"/>
      <c r="O5261"/>
      <c r="R5261"/>
      <c r="S5261"/>
      <c r="T5261"/>
      <c r="U5261"/>
    </row>
    <row r="5262" spans="6:21" x14ac:dyDescent="0.25">
      <c r="F5262"/>
      <c r="O5262"/>
      <c r="R5262"/>
      <c r="S5262"/>
      <c r="T5262"/>
      <c r="U5262"/>
    </row>
    <row r="5263" spans="6:21" x14ac:dyDescent="0.25">
      <c r="F5263"/>
      <c r="O5263"/>
      <c r="R5263"/>
      <c r="S5263"/>
      <c r="T5263"/>
      <c r="U5263"/>
    </row>
    <row r="5264" spans="6:21" x14ac:dyDescent="0.25">
      <c r="F5264"/>
      <c r="O5264"/>
      <c r="R5264"/>
      <c r="S5264"/>
      <c r="T5264"/>
      <c r="U5264"/>
    </row>
    <row r="5265" spans="6:21" x14ac:dyDescent="0.25">
      <c r="F5265"/>
      <c r="O5265"/>
      <c r="R5265"/>
      <c r="S5265"/>
      <c r="T5265"/>
      <c r="U5265"/>
    </row>
    <row r="5266" spans="6:21" x14ac:dyDescent="0.25">
      <c r="F5266"/>
      <c r="O5266"/>
      <c r="R5266"/>
      <c r="S5266"/>
      <c r="T5266"/>
      <c r="U5266"/>
    </row>
    <row r="5267" spans="6:21" x14ac:dyDescent="0.25">
      <c r="F5267"/>
      <c r="O5267"/>
      <c r="R5267"/>
      <c r="S5267"/>
      <c r="T5267"/>
      <c r="U5267"/>
    </row>
    <row r="5268" spans="6:21" x14ac:dyDescent="0.25">
      <c r="F5268"/>
      <c r="O5268"/>
      <c r="R5268"/>
      <c r="S5268"/>
      <c r="T5268"/>
      <c r="U5268"/>
    </row>
    <row r="5269" spans="6:21" x14ac:dyDescent="0.25">
      <c r="F5269"/>
      <c r="O5269"/>
      <c r="R5269"/>
      <c r="S5269"/>
      <c r="T5269"/>
      <c r="U5269"/>
    </row>
    <row r="5270" spans="6:21" x14ac:dyDescent="0.25">
      <c r="F5270"/>
      <c r="O5270"/>
      <c r="R5270"/>
      <c r="S5270"/>
      <c r="T5270"/>
      <c r="U5270"/>
    </row>
    <row r="5271" spans="6:21" x14ac:dyDescent="0.25">
      <c r="F5271"/>
      <c r="O5271"/>
      <c r="R5271"/>
      <c r="S5271"/>
      <c r="T5271"/>
      <c r="U5271"/>
    </row>
    <row r="5272" spans="6:21" x14ac:dyDescent="0.25">
      <c r="F5272"/>
      <c r="O5272"/>
      <c r="R5272"/>
      <c r="S5272"/>
      <c r="T5272"/>
      <c r="U5272"/>
    </row>
    <row r="5273" spans="6:21" x14ac:dyDescent="0.25">
      <c r="F5273"/>
      <c r="O5273"/>
      <c r="R5273"/>
      <c r="S5273"/>
      <c r="T5273"/>
      <c r="U5273"/>
    </row>
    <row r="5274" spans="6:21" x14ac:dyDescent="0.25">
      <c r="F5274"/>
      <c r="O5274"/>
      <c r="R5274"/>
      <c r="S5274"/>
      <c r="T5274"/>
      <c r="U5274"/>
    </row>
    <row r="5275" spans="6:21" x14ac:dyDescent="0.25">
      <c r="F5275"/>
      <c r="O5275"/>
      <c r="R5275"/>
      <c r="S5275"/>
      <c r="T5275"/>
      <c r="U5275"/>
    </row>
    <row r="5276" spans="6:21" x14ac:dyDescent="0.25">
      <c r="F5276"/>
      <c r="O5276"/>
      <c r="R5276"/>
      <c r="S5276"/>
      <c r="T5276"/>
      <c r="U5276"/>
    </row>
    <row r="5277" spans="6:21" x14ac:dyDescent="0.25">
      <c r="F5277"/>
      <c r="O5277"/>
      <c r="R5277"/>
      <c r="S5277"/>
      <c r="T5277"/>
      <c r="U5277"/>
    </row>
    <row r="5278" spans="6:21" x14ac:dyDescent="0.25">
      <c r="F5278"/>
      <c r="O5278"/>
      <c r="R5278"/>
      <c r="S5278"/>
      <c r="T5278"/>
      <c r="U5278"/>
    </row>
    <row r="5279" spans="6:21" x14ac:dyDescent="0.25">
      <c r="F5279"/>
      <c r="O5279"/>
      <c r="R5279"/>
      <c r="S5279"/>
      <c r="T5279"/>
      <c r="U5279"/>
    </row>
    <row r="5280" spans="6:21" x14ac:dyDescent="0.25">
      <c r="F5280"/>
      <c r="O5280"/>
      <c r="R5280"/>
      <c r="S5280"/>
      <c r="T5280"/>
      <c r="U5280"/>
    </row>
    <row r="5281" spans="6:21" x14ac:dyDescent="0.25">
      <c r="F5281"/>
      <c r="O5281"/>
      <c r="R5281"/>
      <c r="S5281"/>
      <c r="T5281"/>
      <c r="U5281"/>
    </row>
    <row r="5282" spans="6:21" x14ac:dyDescent="0.25">
      <c r="F5282"/>
      <c r="O5282"/>
      <c r="R5282"/>
      <c r="S5282"/>
      <c r="T5282"/>
      <c r="U5282"/>
    </row>
    <row r="5283" spans="6:21" x14ac:dyDescent="0.25">
      <c r="F5283"/>
      <c r="O5283"/>
      <c r="R5283"/>
      <c r="S5283"/>
      <c r="T5283"/>
      <c r="U5283"/>
    </row>
    <row r="5284" spans="6:21" x14ac:dyDescent="0.25">
      <c r="F5284"/>
      <c r="O5284"/>
      <c r="R5284"/>
      <c r="S5284"/>
      <c r="T5284"/>
      <c r="U5284"/>
    </row>
    <row r="5285" spans="6:21" x14ac:dyDescent="0.25">
      <c r="F5285"/>
      <c r="O5285"/>
      <c r="R5285"/>
      <c r="S5285"/>
      <c r="T5285"/>
      <c r="U5285"/>
    </row>
    <row r="5286" spans="6:21" x14ac:dyDescent="0.25">
      <c r="F5286"/>
      <c r="O5286"/>
      <c r="R5286"/>
      <c r="S5286"/>
      <c r="T5286"/>
      <c r="U5286"/>
    </row>
    <row r="5287" spans="6:21" x14ac:dyDescent="0.25">
      <c r="F5287"/>
      <c r="O5287"/>
      <c r="R5287"/>
      <c r="S5287"/>
      <c r="T5287"/>
      <c r="U5287"/>
    </row>
    <row r="5288" spans="6:21" x14ac:dyDescent="0.25">
      <c r="F5288"/>
      <c r="O5288"/>
      <c r="R5288"/>
      <c r="S5288"/>
      <c r="T5288"/>
      <c r="U5288"/>
    </row>
    <row r="5289" spans="6:21" x14ac:dyDescent="0.25">
      <c r="F5289"/>
      <c r="O5289"/>
      <c r="R5289"/>
      <c r="S5289"/>
      <c r="T5289"/>
      <c r="U5289"/>
    </row>
    <row r="5290" spans="6:21" x14ac:dyDescent="0.25">
      <c r="F5290"/>
      <c r="O5290"/>
      <c r="R5290"/>
      <c r="S5290"/>
      <c r="T5290"/>
      <c r="U5290"/>
    </row>
    <row r="5291" spans="6:21" x14ac:dyDescent="0.25">
      <c r="F5291"/>
      <c r="O5291"/>
      <c r="R5291"/>
      <c r="S5291"/>
      <c r="T5291"/>
      <c r="U5291"/>
    </row>
    <row r="5292" spans="6:21" x14ac:dyDescent="0.25">
      <c r="F5292"/>
      <c r="O5292"/>
      <c r="R5292"/>
      <c r="S5292"/>
      <c r="T5292"/>
      <c r="U5292"/>
    </row>
    <row r="5293" spans="6:21" x14ac:dyDescent="0.25">
      <c r="F5293"/>
      <c r="O5293"/>
      <c r="R5293"/>
      <c r="S5293"/>
      <c r="T5293"/>
      <c r="U5293"/>
    </row>
    <row r="5294" spans="6:21" x14ac:dyDescent="0.25">
      <c r="F5294"/>
      <c r="O5294"/>
      <c r="R5294"/>
      <c r="S5294"/>
      <c r="T5294"/>
      <c r="U5294"/>
    </row>
    <row r="5295" spans="6:21" x14ac:dyDescent="0.25">
      <c r="F5295"/>
      <c r="O5295"/>
      <c r="R5295"/>
      <c r="S5295"/>
      <c r="T5295"/>
      <c r="U5295"/>
    </row>
    <row r="5296" spans="6:21" x14ac:dyDescent="0.25">
      <c r="F5296"/>
      <c r="O5296"/>
      <c r="R5296"/>
      <c r="S5296"/>
      <c r="T5296"/>
      <c r="U5296"/>
    </row>
    <row r="5297" spans="6:21" x14ac:dyDescent="0.25">
      <c r="F5297"/>
      <c r="O5297"/>
      <c r="R5297"/>
      <c r="S5297"/>
      <c r="T5297"/>
      <c r="U5297"/>
    </row>
    <row r="5298" spans="6:21" x14ac:dyDescent="0.25">
      <c r="F5298"/>
      <c r="O5298"/>
      <c r="R5298"/>
      <c r="S5298"/>
      <c r="T5298"/>
      <c r="U5298"/>
    </row>
    <row r="5299" spans="6:21" x14ac:dyDescent="0.25">
      <c r="F5299"/>
      <c r="O5299"/>
      <c r="R5299"/>
      <c r="S5299"/>
      <c r="T5299"/>
      <c r="U5299"/>
    </row>
    <row r="5300" spans="6:21" x14ac:dyDescent="0.25">
      <c r="F5300"/>
      <c r="O5300"/>
      <c r="R5300"/>
      <c r="S5300"/>
      <c r="T5300"/>
      <c r="U5300"/>
    </row>
    <row r="5301" spans="6:21" x14ac:dyDescent="0.25">
      <c r="F5301"/>
      <c r="O5301"/>
      <c r="R5301"/>
      <c r="S5301"/>
      <c r="T5301"/>
      <c r="U5301"/>
    </row>
    <row r="5302" spans="6:21" x14ac:dyDescent="0.25">
      <c r="F5302"/>
      <c r="O5302"/>
      <c r="R5302"/>
      <c r="S5302"/>
      <c r="T5302"/>
      <c r="U5302"/>
    </row>
    <row r="5303" spans="6:21" x14ac:dyDescent="0.25">
      <c r="F5303"/>
      <c r="O5303"/>
      <c r="R5303"/>
      <c r="S5303"/>
      <c r="T5303"/>
      <c r="U5303"/>
    </row>
    <row r="5304" spans="6:21" x14ac:dyDescent="0.25">
      <c r="F5304"/>
      <c r="O5304"/>
      <c r="R5304"/>
      <c r="S5304"/>
      <c r="T5304"/>
      <c r="U5304"/>
    </row>
    <row r="5305" spans="6:21" x14ac:dyDescent="0.25">
      <c r="F5305"/>
      <c r="O5305"/>
      <c r="R5305"/>
      <c r="S5305"/>
      <c r="T5305"/>
      <c r="U5305"/>
    </row>
    <row r="5306" spans="6:21" x14ac:dyDescent="0.25">
      <c r="F5306"/>
      <c r="O5306"/>
      <c r="R5306"/>
      <c r="S5306"/>
      <c r="T5306"/>
      <c r="U5306"/>
    </row>
    <row r="5307" spans="6:21" x14ac:dyDescent="0.25">
      <c r="F5307"/>
      <c r="O5307"/>
      <c r="R5307"/>
      <c r="S5307"/>
      <c r="T5307"/>
      <c r="U5307"/>
    </row>
    <row r="5308" spans="6:21" x14ac:dyDescent="0.25">
      <c r="F5308"/>
      <c r="O5308"/>
      <c r="R5308"/>
      <c r="S5308"/>
      <c r="T5308"/>
      <c r="U5308"/>
    </row>
    <row r="5309" spans="6:21" x14ac:dyDescent="0.25">
      <c r="F5309"/>
      <c r="O5309"/>
      <c r="R5309"/>
      <c r="S5309"/>
      <c r="T5309"/>
      <c r="U5309"/>
    </row>
    <row r="5310" spans="6:21" x14ac:dyDescent="0.25">
      <c r="F5310"/>
      <c r="O5310"/>
      <c r="R5310"/>
      <c r="S5310"/>
      <c r="T5310"/>
      <c r="U5310"/>
    </row>
    <row r="5311" spans="6:21" x14ac:dyDescent="0.25">
      <c r="F5311"/>
      <c r="O5311"/>
      <c r="R5311"/>
      <c r="S5311"/>
      <c r="T5311"/>
      <c r="U5311"/>
    </row>
    <row r="5312" spans="6:21" x14ac:dyDescent="0.25">
      <c r="F5312"/>
      <c r="O5312"/>
      <c r="R5312"/>
      <c r="S5312"/>
      <c r="T5312"/>
      <c r="U5312"/>
    </row>
    <row r="5313" spans="6:21" x14ac:dyDescent="0.25">
      <c r="F5313"/>
      <c r="O5313"/>
      <c r="R5313"/>
      <c r="S5313"/>
      <c r="T5313"/>
      <c r="U5313"/>
    </row>
    <row r="5314" spans="6:21" x14ac:dyDescent="0.25">
      <c r="F5314"/>
      <c r="O5314"/>
      <c r="R5314"/>
      <c r="S5314"/>
      <c r="T5314"/>
      <c r="U5314"/>
    </row>
    <row r="5315" spans="6:21" x14ac:dyDescent="0.25">
      <c r="F5315"/>
      <c r="O5315"/>
      <c r="R5315"/>
      <c r="S5315"/>
      <c r="T5315"/>
      <c r="U5315"/>
    </row>
    <row r="5316" spans="6:21" x14ac:dyDescent="0.25">
      <c r="F5316"/>
      <c r="O5316"/>
      <c r="R5316"/>
      <c r="S5316"/>
      <c r="T5316"/>
      <c r="U5316"/>
    </row>
    <row r="5317" spans="6:21" x14ac:dyDescent="0.25">
      <c r="F5317"/>
      <c r="O5317"/>
      <c r="R5317"/>
      <c r="S5317"/>
      <c r="T5317"/>
      <c r="U5317"/>
    </row>
    <row r="5318" spans="6:21" x14ac:dyDescent="0.25">
      <c r="F5318"/>
      <c r="O5318"/>
      <c r="R5318"/>
      <c r="S5318"/>
      <c r="T5318"/>
      <c r="U5318"/>
    </row>
    <row r="5319" spans="6:21" x14ac:dyDescent="0.25">
      <c r="F5319"/>
      <c r="O5319"/>
      <c r="R5319"/>
      <c r="S5319"/>
      <c r="T5319"/>
      <c r="U5319"/>
    </row>
    <row r="5320" spans="6:21" x14ac:dyDescent="0.25">
      <c r="F5320"/>
      <c r="O5320"/>
      <c r="R5320"/>
      <c r="S5320"/>
      <c r="T5320"/>
      <c r="U5320"/>
    </row>
    <row r="5321" spans="6:21" x14ac:dyDescent="0.25">
      <c r="F5321"/>
      <c r="O5321"/>
      <c r="R5321"/>
      <c r="S5321"/>
      <c r="T5321"/>
      <c r="U5321"/>
    </row>
    <row r="5322" spans="6:21" x14ac:dyDescent="0.25">
      <c r="F5322"/>
      <c r="O5322"/>
      <c r="R5322"/>
      <c r="S5322"/>
      <c r="T5322"/>
      <c r="U5322"/>
    </row>
    <row r="5323" spans="6:21" x14ac:dyDescent="0.25">
      <c r="F5323"/>
      <c r="O5323"/>
      <c r="R5323"/>
      <c r="S5323"/>
      <c r="T5323"/>
      <c r="U5323"/>
    </row>
    <row r="5324" spans="6:21" x14ac:dyDescent="0.25">
      <c r="F5324"/>
      <c r="O5324"/>
      <c r="R5324"/>
      <c r="S5324"/>
      <c r="T5324"/>
      <c r="U5324"/>
    </row>
    <row r="5325" spans="6:21" x14ac:dyDescent="0.25">
      <c r="F5325"/>
      <c r="O5325"/>
      <c r="R5325"/>
      <c r="S5325"/>
      <c r="T5325"/>
      <c r="U5325"/>
    </row>
    <row r="5326" spans="6:21" x14ac:dyDescent="0.25">
      <c r="F5326"/>
      <c r="O5326"/>
      <c r="R5326"/>
      <c r="S5326"/>
      <c r="T5326"/>
      <c r="U5326"/>
    </row>
    <row r="5327" spans="6:21" x14ac:dyDescent="0.25">
      <c r="F5327"/>
      <c r="O5327"/>
      <c r="R5327"/>
      <c r="S5327"/>
      <c r="T5327"/>
      <c r="U5327"/>
    </row>
    <row r="5328" spans="6:21" x14ac:dyDescent="0.25">
      <c r="F5328"/>
      <c r="O5328"/>
      <c r="R5328"/>
      <c r="S5328"/>
      <c r="T5328"/>
      <c r="U5328"/>
    </row>
    <row r="5329" spans="6:21" x14ac:dyDescent="0.25">
      <c r="F5329"/>
      <c r="O5329"/>
      <c r="R5329"/>
      <c r="S5329"/>
      <c r="T5329"/>
      <c r="U5329"/>
    </row>
    <row r="5330" spans="6:21" x14ac:dyDescent="0.25">
      <c r="F5330"/>
      <c r="O5330"/>
      <c r="R5330"/>
      <c r="S5330"/>
      <c r="T5330"/>
      <c r="U5330"/>
    </row>
    <row r="5331" spans="6:21" x14ac:dyDescent="0.25">
      <c r="F5331"/>
      <c r="O5331"/>
      <c r="R5331"/>
      <c r="S5331"/>
      <c r="T5331"/>
      <c r="U5331"/>
    </row>
    <row r="5332" spans="6:21" x14ac:dyDescent="0.25">
      <c r="F5332"/>
      <c r="O5332"/>
      <c r="R5332"/>
      <c r="S5332"/>
      <c r="T5332"/>
      <c r="U5332"/>
    </row>
    <row r="5333" spans="6:21" x14ac:dyDescent="0.25">
      <c r="F5333"/>
      <c r="O5333"/>
      <c r="R5333"/>
      <c r="S5333"/>
      <c r="T5333"/>
      <c r="U5333"/>
    </row>
    <row r="5334" spans="6:21" x14ac:dyDescent="0.25">
      <c r="F5334"/>
      <c r="O5334"/>
      <c r="R5334"/>
      <c r="S5334"/>
      <c r="T5334"/>
      <c r="U5334"/>
    </row>
    <row r="5335" spans="6:21" x14ac:dyDescent="0.25">
      <c r="F5335"/>
      <c r="O5335"/>
      <c r="R5335"/>
      <c r="S5335"/>
      <c r="T5335"/>
      <c r="U5335"/>
    </row>
    <row r="5336" spans="6:21" x14ac:dyDescent="0.25">
      <c r="F5336"/>
      <c r="O5336"/>
      <c r="R5336"/>
      <c r="S5336"/>
      <c r="T5336"/>
      <c r="U5336"/>
    </row>
    <row r="5337" spans="6:21" x14ac:dyDescent="0.25">
      <c r="F5337"/>
      <c r="O5337"/>
      <c r="R5337"/>
      <c r="S5337"/>
      <c r="T5337"/>
      <c r="U5337"/>
    </row>
    <row r="5338" spans="6:21" x14ac:dyDescent="0.25">
      <c r="F5338"/>
      <c r="O5338"/>
      <c r="R5338"/>
      <c r="S5338"/>
      <c r="T5338"/>
      <c r="U5338"/>
    </row>
    <row r="5339" spans="6:21" x14ac:dyDescent="0.25">
      <c r="F5339"/>
      <c r="O5339"/>
      <c r="R5339"/>
      <c r="S5339"/>
      <c r="T5339"/>
      <c r="U5339"/>
    </row>
    <row r="5340" spans="6:21" x14ac:dyDescent="0.25">
      <c r="F5340"/>
      <c r="O5340"/>
      <c r="R5340"/>
      <c r="S5340"/>
      <c r="T5340"/>
      <c r="U5340"/>
    </row>
    <row r="5341" spans="6:21" x14ac:dyDescent="0.25">
      <c r="F5341"/>
      <c r="O5341"/>
      <c r="R5341"/>
      <c r="S5341"/>
      <c r="T5341"/>
      <c r="U5341"/>
    </row>
    <row r="5342" spans="6:21" x14ac:dyDescent="0.25">
      <c r="F5342"/>
      <c r="O5342"/>
      <c r="R5342"/>
      <c r="S5342"/>
      <c r="T5342"/>
      <c r="U5342"/>
    </row>
    <row r="5343" spans="6:21" x14ac:dyDescent="0.25">
      <c r="F5343"/>
      <c r="O5343"/>
      <c r="R5343"/>
      <c r="S5343"/>
      <c r="T5343"/>
      <c r="U5343"/>
    </row>
    <row r="5344" spans="6:21" x14ac:dyDescent="0.25">
      <c r="F5344"/>
      <c r="O5344"/>
      <c r="R5344"/>
      <c r="S5344"/>
      <c r="T5344"/>
      <c r="U5344"/>
    </row>
    <row r="5345" spans="6:21" x14ac:dyDescent="0.25">
      <c r="F5345"/>
      <c r="O5345"/>
      <c r="R5345"/>
      <c r="S5345"/>
      <c r="T5345"/>
      <c r="U5345"/>
    </row>
    <row r="5346" spans="6:21" x14ac:dyDescent="0.25">
      <c r="F5346"/>
      <c r="O5346"/>
      <c r="R5346"/>
      <c r="S5346"/>
      <c r="T5346"/>
      <c r="U5346"/>
    </row>
    <row r="5347" spans="6:21" x14ac:dyDescent="0.25">
      <c r="F5347"/>
      <c r="O5347"/>
      <c r="R5347"/>
      <c r="S5347"/>
      <c r="T5347"/>
      <c r="U5347"/>
    </row>
    <row r="5348" spans="6:21" x14ac:dyDescent="0.25">
      <c r="F5348"/>
      <c r="O5348"/>
      <c r="R5348"/>
      <c r="S5348"/>
      <c r="T5348"/>
      <c r="U5348"/>
    </row>
    <row r="5349" spans="6:21" x14ac:dyDescent="0.25">
      <c r="F5349"/>
      <c r="O5349"/>
      <c r="R5349"/>
      <c r="S5349"/>
      <c r="T5349"/>
      <c r="U5349"/>
    </row>
    <row r="5350" spans="6:21" x14ac:dyDescent="0.25">
      <c r="F5350"/>
      <c r="O5350"/>
      <c r="R5350"/>
      <c r="S5350"/>
      <c r="T5350"/>
      <c r="U5350"/>
    </row>
    <row r="5351" spans="6:21" x14ac:dyDescent="0.25">
      <c r="F5351"/>
      <c r="O5351"/>
      <c r="R5351"/>
      <c r="S5351"/>
      <c r="T5351"/>
      <c r="U5351"/>
    </row>
    <row r="5352" spans="6:21" x14ac:dyDescent="0.25">
      <c r="F5352"/>
      <c r="O5352"/>
      <c r="R5352"/>
      <c r="S5352"/>
      <c r="T5352"/>
      <c r="U5352"/>
    </row>
    <row r="5353" spans="6:21" x14ac:dyDescent="0.25">
      <c r="F5353"/>
      <c r="O5353"/>
      <c r="R5353"/>
      <c r="S5353"/>
      <c r="T5353"/>
      <c r="U5353"/>
    </row>
    <row r="5354" spans="6:21" x14ac:dyDescent="0.25">
      <c r="F5354"/>
      <c r="O5354"/>
      <c r="R5354"/>
      <c r="S5354"/>
      <c r="T5354"/>
      <c r="U5354"/>
    </row>
    <row r="5355" spans="6:21" x14ac:dyDescent="0.25">
      <c r="F5355"/>
      <c r="O5355"/>
      <c r="R5355"/>
      <c r="S5355"/>
      <c r="T5355"/>
      <c r="U5355"/>
    </row>
    <row r="5356" spans="6:21" x14ac:dyDescent="0.25">
      <c r="F5356"/>
      <c r="O5356"/>
      <c r="R5356"/>
      <c r="S5356"/>
      <c r="T5356"/>
      <c r="U5356"/>
    </row>
    <row r="5357" spans="6:21" x14ac:dyDescent="0.25">
      <c r="F5357"/>
      <c r="O5357"/>
      <c r="R5357"/>
      <c r="S5357"/>
      <c r="T5357"/>
      <c r="U5357"/>
    </row>
    <row r="5358" spans="6:21" x14ac:dyDescent="0.25">
      <c r="F5358"/>
      <c r="O5358"/>
      <c r="R5358"/>
      <c r="S5358"/>
      <c r="T5358"/>
      <c r="U5358"/>
    </row>
    <row r="5359" spans="6:21" x14ac:dyDescent="0.25">
      <c r="F5359"/>
      <c r="O5359"/>
      <c r="R5359"/>
      <c r="S5359"/>
      <c r="T5359"/>
      <c r="U5359"/>
    </row>
    <row r="5360" spans="6:21" x14ac:dyDescent="0.25">
      <c r="F5360"/>
      <c r="O5360"/>
      <c r="R5360"/>
      <c r="S5360"/>
      <c r="T5360"/>
      <c r="U5360"/>
    </row>
    <row r="5361" spans="6:21" x14ac:dyDescent="0.25">
      <c r="F5361"/>
      <c r="O5361"/>
      <c r="R5361"/>
      <c r="S5361"/>
      <c r="T5361"/>
      <c r="U5361"/>
    </row>
    <row r="5362" spans="6:21" x14ac:dyDescent="0.25">
      <c r="F5362"/>
      <c r="O5362"/>
      <c r="R5362"/>
      <c r="S5362"/>
      <c r="T5362"/>
      <c r="U5362"/>
    </row>
    <row r="5363" spans="6:21" x14ac:dyDescent="0.25">
      <c r="F5363"/>
      <c r="O5363"/>
      <c r="R5363"/>
      <c r="S5363"/>
      <c r="T5363"/>
      <c r="U5363"/>
    </row>
    <row r="5364" spans="6:21" x14ac:dyDescent="0.25">
      <c r="F5364"/>
      <c r="O5364"/>
      <c r="R5364"/>
      <c r="S5364"/>
      <c r="T5364"/>
      <c r="U5364"/>
    </row>
    <row r="5365" spans="6:21" x14ac:dyDescent="0.25">
      <c r="F5365"/>
      <c r="O5365"/>
      <c r="R5365"/>
      <c r="S5365"/>
      <c r="T5365"/>
      <c r="U5365"/>
    </row>
    <row r="5366" spans="6:21" x14ac:dyDescent="0.25">
      <c r="F5366"/>
      <c r="O5366"/>
      <c r="R5366"/>
      <c r="S5366"/>
      <c r="T5366"/>
      <c r="U5366"/>
    </row>
    <row r="5367" spans="6:21" x14ac:dyDescent="0.25">
      <c r="F5367"/>
      <c r="O5367"/>
      <c r="R5367"/>
      <c r="S5367"/>
      <c r="T5367"/>
      <c r="U5367"/>
    </row>
    <row r="5368" spans="6:21" x14ac:dyDescent="0.25">
      <c r="F5368"/>
      <c r="O5368"/>
      <c r="R5368"/>
      <c r="S5368"/>
      <c r="T5368"/>
      <c r="U5368"/>
    </row>
    <row r="5369" spans="6:21" x14ac:dyDescent="0.25">
      <c r="F5369"/>
      <c r="O5369"/>
      <c r="R5369"/>
      <c r="S5369"/>
      <c r="T5369"/>
      <c r="U5369"/>
    </row>
    <row r="5370" spans="6:21" x14ac:dyDescent="0.25">
      <c r="F5370"/>
      <c r="O5370"/>
      <c r="R5370"/>
      <c r="S5370"/>
      <c r="T5370"/>
      <c r="U5370"/>
    </row>
    <row r="5371" spans="6:21" x14ac:dyDescent="0.25">
      <c r="F5371"/>
      <c r="O5371"/>
      <c r="R5371"/>
      <c r="S5371"/>
      <c r="T5371"/>
      <c r="U5371"/>
    </row>
    <row r="5372" spans="6:21" x14ac:dyDescent="0.25">
      <c r="F5372"/>
      <c r="O5372"/>
      <c r="R5372"/>
      <c r="S5372"/>
      <c r="T5372"/>
      <c r="U5372"/>
    </row>
    <row r="5373" spans="6:21" x14ac:dyDescent="0.25">
      <c r="F5373"/>
      <c r="O5373"/>
      <c r="R5373"/>
      <c r="S5373"/>
      <c r="T5373"/>
      <c r="U5373"/>
    </row>
    <row r="5374" spans="6:21" x14ac:dyDescent="0.25">
      <c r="F5374"/>
      <c r="O5374"/>
      <c r="R5374"/>
      <c r="S5374"/>
      <c r="T5374"/>
      <c r="U5374"/>
    </row>
    <row r="5375" spans="6:21" x14ac:dyDescent="0.25">
      <c r="F5375"/>
      <c r="O5375"/>
      <c r="R5375"/>
      <c r="S5375"/>
      <c r="T5375"/>
      <c r="U5375"/>
    </row>
    <row r="5376" spans="6:21" x14ac:dyDescent="0.25">
      <c r="F5376"/>
      <c r="O5376"/>
      <c r="R5376"/>
      <c r="S5376"/>
      <c r="T5376"/>
      <c r="U5376"/>
    </row>
    <row r="5377" spans="6:21" x14ac:dyDescent="0.25">
      <c r="F5377"/>
      <c r="O5377"/>
      <c r="R5377"/>
      <c r="S5377"/>
      <c r="T5377"/>
      <c r="U5377"/>
    </row>
    <row r="5378" spans="6:21" x14ac:dyDescent="0.25">
      <c r="F5378"/>
      <c r="O5378"/>
      <c r="R5378"/>
      <c r="S5378"/>
      <c r="T5378"/>
      <c r="U5378"/>
    </row>
    <row r="5379" spans="6:21" x14ac:dyDescent="0.25">
      <c r="F5379"/>
      <c r="O5379"/>
      <c r="R5379"/>
      <c r="S5379"/>
      <c r="T5379"/>
      <c r="U5379"/>
    </row>
    <row r="5380" spans="6:21" x14ac:dyDescent="0.25">
      <c r="F5380"/>
      <c r="O5380"/>
      <c r="R5380"/>
      <c r="S5380"/>
      <c r="T5380"/>
      <c r="U5380"/>
    </row>
    <row r="5381" spans="6:21" x14ac:dyDescent="0.25">
      <c r="F5381"/>
      <c r="O5381"/>
      <c r="R5381"/>
      <c r="S5381"/>
      <c r="T5381"/>
      <c r="U5381"/>
    </row>
    <row r="5382" spans="6:21" x14ac:dyDescent="0.25">
      <c r="F5382"/>
      <c r="O5382"/>
      <c r="R5382"/>
      <c r="S5382"/>
      <c r="T5382"/>
      <c r="U5382"/>
    </row>
    <row r="5383" spans="6:21" x14ac:dyDescent="0.25">
      <c r="F5383"/>
      <c r="O5383"/>
      <c r="R5383"/>
      <c r="S5383"/>
      <c r="T5383"/>
      <c r="U5383"/>
    </row>
    <row r="5384" spans="6:21" x14ac:dyDescent="0.25">
      <c r="F5384"/>
      <c r="O5384"/>
      <c r="R5384"/>
      <c r="S5384"/>
      <c r="T5384"/>
      <c r="U5384"/>
    </row>
    <row r="5385" spans="6:21" x14ac:dyDescent="0.25">
      <c r="F5385"/>
      <c r="O5385"/>
      <c r="R5385"/>
      <c r="S5385"/>
      <c r="T5385"/>
      <c r="U5385"/>
    </row>
    <row r="5386" spans="6:21" x14ac:dyDescent="0.25">
      <c r="F5386"/>
      <c r="O5386"/>
      <c r="R5386"/>
      <c r="S5386"/>
      <c r="T5386"/>
      <c r="U5386"/>
    </row>
    <row r="5387" spans="6:21" x14ac:dyDescent="0.25">
      <c r="F5387"/>
      <c r="O5387"/>
      <c r="R5387"/>
      <c r="S5387"/>
      <c r="T5387"/>
      <c r="U5387"/>
    </row>
    <row r="5388" spans="6:21" x14ac:dyDescent="0.25">
      <c r="F5388"/>
      <c r="O5388"/>
      <c r="R5388"/>
      <c r="S5388"/>
      <c r="T5388"/>
      <c r="U5388"/>
    </row>
    <row r="5389" spans="6:21" x14ac:dyDescent="0.25">
      <c r="F5389"/>
      <c r="O5389"/>
      <c r="R5389"/>
      <c r="S5389"/>
      <c r="T5389"/>
      <c r="U5389"/>
    </row>
    <row r="5390" spans="6:21" x14ac:dyDescent="0.25">
      <c r="F5390"/>
      <c r="O5390"/>
      <c r="R5390"/>
      <c r="S5390"/>
      <c r="T5390"/>
      <c r="U5390"/>
    </row>
    <row r="5391" spans="6:21" x14ac:dyDescent="0.25">
      <c r="F5391"/>
      <c r="O5391"/>
      <c r="R5391"/>
      <c r="S5391"/>
      <c r="T5391"/>
      <c r="U5391"/>
    </row>
    <row r="5392" spans="6:21" x14ac:dyDescent="0.25">
      <c r="F5392"/>
      <c r="O5392"/>
      <c r="R5392"/>
      <c r="S5392"/>
      <c r="T5392"/>
      <c r="U5392"/>
    </row>
    <row r="5393" spans="6:21" x14ac:dyDescent="0.25">
      <c r="F5393"/>
      <c r="O5393"/>
      <c r="R5393"/>
      <c r="S5393"/>
      <c r="T5393"/>
      <c r="U5393"/>
    </row>
    <row r="5394" spans="6:21" x14ac:dyDescent="0.25">
      <c r="F5394"/>
      <c r="O5394"/>
      <c r="R5394"/>
      <c r="S5394"/>
      <c r="T5394"/>
      <c r="U5394"/>
    </row>
    <row r="5395" spans="6:21" x14ac:dyDescent="0.25">
      <c r="F5395"/>
      <c r="O5395"/>
      <c r="R5395"/>
      <c r="S5395"/>
      <c r="T5395"/>
      <c r="U5395"/>
    </row>
    <row r="5396" spans="6:21" x14ac:dyDescent="0.25">
      <c r="F5396"/>
      <c r="O5396"/>
      <c r="R5396"/>
      <c r="S5396"/>
      <c r="T5396"/>
      <c r="U5396"/>
    </row>
    <row r="5397" spans="6:21" x14ac:dyDescent="0.25">
      <c r="F5397"/>
      <c r="O5397"/>
      <c r="R5397"/>
      <c r="S5397"/>
      <c r="T5397"/>
      <c r="U5397"/>
    </row>
    <row r="5398" spans="6:21" x14ac:dyDescent="0.25">
      <c r="F5398"/>
      <c r="O5398"/>
      <c r="R5398"/>
      <c r="S5398"/>
      <c r="T5398"/>
      <c r="U5398"/>
    </row>
    <row r="5399" spans="6:21" x14ac:dyDescent="0.25">
      <c r="F5399"/>
      <c r="O5399"/>
      <c r="R5399"/>
      <c r="S5399"/>
      <c r="T5399"/>
      <c r="U5399"/>
    </row>
    <row r="5400" spans="6:21" x14ac:dyDescent="0.25">
      <c r="F5400"/>
      <c r="O5400"/>
      <c r="R5400"/>
      <c r="S5400"/>
      <c r="T5400"/>
      <c r="U5400"/>
    </row>
    <row r="5401" spans="6:21" x14ac:dyDescent="0.25">
      <c r="F5401"/>
      <c r="O5401"/>
      <c r="R5401"/>
      <c r="S5401"/>
      <c r="T5401"/>
      <c r="U5401"/>
    </row>
    <row r="5402" spans="6:21" x14ac:dyDescent="0.25">
      <c r="F5402"/>
      <c r="O5402"/>
      <c r="R5402"/>
      <c r="S5402"/>
      <c r="T5402"/>
      <c r="U5402"/>
    </row>
    <row r="5403" spans="6:21" x14ac:dyDescent="0.25">
      <c r="F5403"/>
      <c r="O5403"/>
      <c r="R5403"/>
      <c r="S5403"/>
      <c r="T5403"/>
      <c r="U5403"/>
    </row>
    <row r="5404" spans="6:21" x14ac:dyDescent="0.25">
      <c r="F5404"/>
      <c r="O5404"/>
      <c r="R5404"/>
      <c r="S5404"/>
      <c r="T5404"/>
      <c r="U5404"/>
    </row>
    <row r="5405" spans="6:21" x14ac:dyDescent="0.25">
      <c r="F5405"/>
      <c r="O5405"/>
      <c r="R5405"/>
      <c r="S5405"/>
      <c r="T5405"/>
      <c r="U5405"/>
    </row>
    <row r="5406" spans="6:21" x14ac:dyDescent="0.25">
      <c r="F5406"/>
      <c r="O5406"/>
      <c r="R5406"/>
      <c r="S5406"/>
      <c r="T5406"/>
      <c r="U5406"/>
    </row>
    <row r="5407" spans="6:21" x14ac:dyDescent="0.25">
      <c r="F5407"/>
      <c r="O5407"/>
      <c r="R5407"/>
      <c r="S5407"/>
      <c r="T5407"/>
      <c r="U5407"/>
    </row>
    <row r="5408" spans="6:21" x14ac:dyDescent="0.25">
      <c r="F5408"/>
      <c r="O5408"/>
      <c r="R5408"/>
      <c r="S5408"/>
      <c r="T5408"/>
      <c r="U5408"/>
    </row>
    <row r="5409" spans="6:21" x14ac:dyDescent="0.25">
      <c r="F5409"/>
      <c r="O5409"/>
      <c r="R5409"/>
      <c r="S5409"/>
      <c r="T5409"/>
      <c r="U5409"/>
    </row>
    <row r="5410" spans="6:21" x14ac:dyDescent="0.25">
      <c r="F5410"/>
      <c r="O5410"/>
      <c r="R5410"/>
      <c r="S5410"/>
      <c r="T5410"/>
      <c r="U5410"/>
    </row>
    <row r="5411" spans="6:21" x14ac:dyDescent="0.25">
      <c r="F5411"/>
      <c r="O5411"/>
      <c r="R5411"/>
      <c r="S5411"/>
      <c r="T5411"/>
      <c r="U5411"/>
    </row>
    <row r="5412" spans="6:21" x14ac:dyDescent="0.25">
      <c r="F5412"/>
      <c r="O5412"/>
      <c r="R5412"/>
      <c r="S5412"/>
      <c r="T5412"/>
      <c r="U5412"/>
    </row>
    <row r="5413" spans="6:21" x14ac:dyDescent="0.25">
      <c r="F5413"/>
      <c r="O5413"/>
      <c r="R5413"/>
      <c r="S5413"/>
      <c r="T5413"/>
      <c r="U5413"/>
    </row>
    <row r="5414" spans="6:21" x14ac:dyDescent="0.25">
      <c r="F5414"/>
      <c r="O5414"/>
      <c r="R5414"/>
      <c r="S5414"/>
      <c r="T5414"/>
      <c r="U5414"/>
    </row>
    <row r="5415" spans="6:21" x14ac:dyDescent="0.25">
      <c r="F5415"/>
      <c r="O5415"/>
      <c r="R5415"/>
      <c r="S5415"/>
      <c r="T5415"/>
      <c r="U5415"/>
    </row>
    <row r="5416" spans="6:21" x14ac:dyDescent="0.25">
      <c r="F5416"/>
      <c r="O5416"/>
      <c r="R5416"/>
      <c r="S5416"/>
      <c r="T5416"/>
      <c r="U5416"/>
    </row>
    <row r="5417" spans="6:21" x14ac:dyDescent="0.25">
      <c r="F5417"/>
      <c r="O5417"/>
      <c r="R5417"/>
      <c r="S5417"/>
      <c r="T5417"/>
      <c r="U5417"/>
    </row>
    <row r="5418" spans="6:21" x14ac:dyDescent="0.25">
      <c r="F5418"/>
      <c r="O5418"/>
      <c r="R5418"/>
      <c r="S5418"/>
      <c r="T5418"/>
      <c r="U5418"/>
    </row>
    <row r="5419" spans="6:21" x14ac:dyDescent="0.25">
      <c r="F5419"/>
      <c r="O5419"/>
      <c r="R5419"/>
      <c r="S5419"/>
      <c r="T5419"/>
      <c r="U5419"/>
    </row>
    <row r="5420" spans="6:21" x14ac:dyDescent="0.25">
      <c r="F5420"/>
      <c r="O5420"/>
      <c r="R5420"/>
      <c r="S5420"/>
      <c r="T5420"/>
      <c r="U5420"/>
    </row>
    <row r="5421" spans="6:21" x14ac:dyDescent="0.25">
      <c r="F5421"/>
      <c r="O5421"/>
      <c r="R5421"/>
      <c r="S5421"/>
      <c r="T5421"/>
      <c r="U5421"/>
    </row>
    <row r="5422" spans="6:21" x14ac:dyDescent="0.25">
      <c r="F5422"/>
      <c r="O5422"/>
      <c r="R5422"/>
      <c r="S5422"/>
      <c r="T5422"/>
      <c r="U5422"/>
    </row>
    <row r="5423" spans="6:21" x14ac:dyDescent="0.25">
      <c r="F5423"/>
      <c r="O5423"/>
      <c r="R5423"/>
      <c r="S5423"/>
      <c r="T5423"/>
      <c r="U5423"/>
    </row>
    <row r="5424" spans="6:21" x14ac:dyDescent="0.25">
      <c r="F5424"/>
      <c r="O5424"/>
      <c r="R5424"/>
      <c r="S5424"/>
      <c r="T5424"/>
      <c r="U5424"/>
    </row>
    <row r="5425" spans="6:21" x14ac:dyDescent="0.25">
      <c r="F5425"/>
      <c r="O5425"/>
      <c r="R5425"/>
      <c r="S5425"/>
      <c r="T5425"/>
      <c r="U5425"/>
    </row>
    <row r="5426" spans="6:21" x14ac:dyDescent="0.25">
      <c r="F5426"/>
      <c r="O5426"/>
      <c r="R5426"/>
      <c r="S5426"/>
      <c r="T5426"/>
      <c r="U5426"/>
    </row>
    <row r="5427" spans="6:21" x14ac:dyDescent="0.25">
      <c r="F5427"/>
      <c r="O5427"/>
      <c r="R5427"/>
      <c r="S5427"/>
      <c r="T5427"/>
      <c r="U5427"/>
    </row>
    <row r="5428" spans="6:21" x14ac:dyDescent="0.25">
      <c r="F5428"/>
      <c r="O5428"/>
      <c r="R5428"/>
      <c r="S5428"/>
      <c r="T5428"/>
      <c r="U5428"/>
    </row>
    <row r="5429" spans="6:21" x14ac:dyDescent="0.25">
      <c r="F5429"/>
      <c r="O5429"/>
      <c r="R5429"/>
      <c r="S5429"/>
      <c r="T5429"/>
      <c r="U5429"/>
    </row>
    <row r="5430" spans="6:21" x14ac:dyDescent="0.25">
      <c r="F5430"/>
      <c r="O5430"/>
      <c r="R5430"/>
      <c r="S5430"/>
      <c r="T5430"/>
      <c r="U5430"/>
    </row>
    <row r="5431" spans="6:21" x14ac:dyDescent="0.25">
      <c r="F5431"/>
      <c r="O5431"/>
      <c r="R5431"/>
      <c r="S5431"/>
      <c r="T5431"/>
      <c r="U5431"/>
    </row>
    <row r="5432" spans="6:21" x14ac:dyDescent="0.25">
      <c r="F5432"/>
      <c r="O5432"/>
      <c r="R5432"/>
      <c r="S5432"/>
      <c r="T5432"/>
      <c r="U5432"/>
    </row>
    <row r="5433" spans="6:21" x14ac:dyDescent="0.25">
      <c r="F5433"/>
      <c r="O5433"/>
      <c r="R5433"/>
      <c r="S5433"/>
      <c r="T5433"/>
      <c r="U5433"/>
    </row>
    <row r="5434" spans="6:21" x14ac:dyDescent="0.25">
      <c r="F5434"/>
      <c r="O5434"/>
      <c r="R5434"/>
      <c r="S5434"/>
      <c r="T5434"/>
      <c r="U5434"/>
    </row>
    <row r="5435" spans="6:21" x14ac:dyDescent="0.25">
      <c r="F5435"/>
      <c r="O5435"/>
      <c r="R5435"/>
      <c r="S5435"/>
      <c r="T5435"/>
      <c r="U5435"/>
    </row>
    <row r="5436" spans="6:21" x14ac:dyDescent="0.25">
      <c r="F5436"/>
      <c r="O5436"/>
      <c r="R5436"/>
      <c r="S5436"/>
      <c r="T5436"/>
      <c r="U5436"/>
    </row>
    <row r="5437" spans="6:21" x14ac:dyDescent="0.25">
      <c r="F5437"/>
      <c r="O5437"/>
      <c r="R5437"/>
      <c r="S5437"/>
      <c r="T5437"/>
      <c r="U5437"/>
    </row>
    <row r="5438" spans="6:21" x14ac:dyDescent="0.25">
      <c r="F5438"/>
      <c r="O5438"/>
      <c r="R5438"/>
      <c r="S5438"/>
      <c r="T5438"/>
      <c r="U5438"/>
    </row>
    <row r="5439" spans="6:21" x14ac:dyDescent="0.25">
      <c r="F5439"/>
      <c r="O5439"/>
      <c r="R5439"/>
      <c r="S5439"/>
      <c r="T5439"/>
      <c r="U5439"/>
    </row>
    <row r="5440" spans="6:21" x14ac:dyDescent="0.25">
      <c r="F5440"/>
      <c r="O5440"/>
      <c r="R5440"/>
      <c r="S5440"/>
      <c r="T5440"/>
      <c r="U5440"/>
    </row>
    <row r="5441" spans="6:21" x14ac:dyDescent="0.25">
      <c r="F5441"/>
      <c r="O5441"/>
      <c r="R5441"/>
      <c r="S5441"/>
      <c r="T5441"/>
      <c r="U5441"/>
    </row>
    <row r="5442" spans="6:21" x14ac:dyDescent="0.25">
      <c r="F5442"/>
      <c r="O5442"/>
      <c r="R5442"/>
      <c r="S5442"/>
      <c r="T5442"/>
      <c r="U5442"/>
    </row>
    <row r="5443" spans="6:21" x14ac:dyDescent="0.25">
      <c r="F5443"/>
      <c r="O5443"/>
      <c r="R5443"/>
      <c r="S5443"/>
      <c r="T5443"/>
      <c r="U5443"/>
    </row>
    <row r="5444" spans="6:21" x14ac:dyDescent="0.25">
      <c r="F5444"/>
      <c r="O5444"/>
      <c r="R5444"/>
      <c r="S5444"/>
      <c r="T5444"/>
      <c r="U5444"/>
    </row>
    <row r="5445" spans="6:21" x14ac:dyDescent="0.25">
      <c r="F5445"/>
      <c r="O5445"/>
      <c r="R5445"/>
      <c r="S5445"/>
      <c r="T5445"/>
      <c r="U5445"/>
    </row>
    <row r="5446" spans="6:21" x14ac:dyDescent="0.25">
      <c r="F5446"/>
      <c r="O5446"/>
      <c r="R5446"/>
      <c r="S5446"/>
      <c r="T5446"/>
      <c r="U5446"/>
    </row>
    <row r="5447" spans="6:21" x14ac:dyDescent="0.25">
      <c r="F5447"/>
      <c r="O5447"/>
      <c r="R5447"/>
      <c r="S5447"/>
      <c r="T5447"/>
      <c r="U5447"/>
    </row>
    <row r="5448" spans="6:21" x14ac:dyDescent="0.25">
      <c r="F5448"/>
      <c r="O5448"/>
      <c r="R5448"/>
      <c r="S5448"/>
      <c r="T5448"/>
      <c r="U5448"/>
    </row>
    <row r="5449" spans="6:21" x14ac:dyDescent="0.25">
      <c r="F5449"/>
      <c r="O5449"/>
      <c r="R5449"/>
      <c r="S5449"/>
      <c r="T5449"/>
      <c r="U5449"/>
    </row>
    <row r="5450" spans="6:21" x14ac:dyDescent="0.25">
      <c r="F5450"/>
      <c r="O5450"/>
      <c r="R5450"/>
      <c r="S5450"/>
      <c r="T5450"/>
      <c r="U5450"/>
    </row>
    <row r="5451" spans="6:21" x14ac:dyDescent="0.25">
      <c r="F5451"/>
      <c r="O5451"/>
      <c r="R5451"/>
      <c r="S5451"/>
      <c r="T5451"/>
      <c r="U5451"/>
    </row>
    <row r="5452" spans="6:21" x14ac:dyDescent="0.25">
      <c r="F5452"/>
      <c r="O5452"/>
      <c r="R5452"/>
      <c r="S5452"/>
      <c r="T5452"/>
      <c r="U5452"/>
    </row>
    <row r="5453" spans="6:21" x14ac:dyDescent="0.25">
      <c r="F5453"/>
      <c r="O5453"/>
      <c r="R5453"/>
      <c r="S5453"/>
      <c r="T5453"/>
      <c r="U5453"/>
    </row>
    <row r="5454" spans="6:21" x14ac:dyDescent="0.25">
      <c r="F5454"/>
      <c r="O5454"/>
      <c r="R5454"/>
      <c r="S5454"/>
      <c r="T5454"/>
      <c r="U5454"/>
    </row>
    <row r="5455" spans="6:21" x14ac:dyDescent="0.25">
      <c r="F5455"/>
      <c r="O5455"/>
      <c r="R5455"/>
      <c r="S5455"/>
      <c r="T5455"/>
      <c r="U5455"/>
    </row>
    <row r="5456" spans="6:21" x14ac:dyDescent="0.25">
      <c r="F5456"/>
      <c r="O5456"/>
      <c r="R5456"/>
      <c r="S5456"/>
      <c r="T5456"/>
      <c r="U5456"/>
    </row>
    <row r="5457" spans="6:21" x14ac:dyDescent="0.25">
      <c r="F5457"/>
      <c r="O5457"/>
      <c r="R5457"/>
      <c r="S5457"/>
      <c r="T5457"/>
      <c r="U5457"/>
    </row>
    <row r="5458" spans="6:21" x14ac:dyDescent="0.25">
      <c r="F5458"/>
      <c r="O5458"/>
      <c r="R5458"/>
      <c r="S5458"/>
      <c r="T5458"/>
      <c r="U5458"/>
    </row>
    <row r="5459" spans="6:21" x14ac:dyDescent="0.25">
      <c r="F5459"/>
      <c r="O5459"/>
      <c r="R5459"/>
      <c r="S5459"/>
      <c r="T5459"/>
      <c r="U5459"/>
    </row>
    <row r="5460" spans="6:21" x14ac:dyDescent="0.25">
      <c r="F5460"/>
      <c r="O5460"/>
      <c r="R5460"/>
      <c r="S5460"/>
      <c r="T5460"/>
      <c r="U5460"/>
    </row>
    <row r="5461" spans="6:21" x14ac:dyDescent="0.25">
      <c r="F5461"/>
      <c r="O5461"/>
      <c r="R5461"/>
      <c r="S5461"/>
      <c r="T5461"/>
      <c r="U5461"/>
    </row>
    <row r="5462" spans="6:21" x14ac:dyDescent="0.25">
      <c r="F5462"/>
      <c r="O5462"/>
      <c r="R5462"/>
      <c r="S5462"/>
      <c r="T5462"/>
      <c r="U5462"/>
    </row>
    <row r="5463" spans="6:21" x14ac:dyDescent="0.25">
      <c r="F5463"/>
      <c r="O5463"/>
      <c r="R5463"/>
      <c r="S5463"/>
      <c r="T5463"/>
      <c r="U5463"/>
    </row>
    <row r="5464" spans="6:21" x14ac:dyDescent="0.25">
      <c r="F5464"/>
      <c r="O5464"/>
      <c r="R5464"/>
      <c r="S5464"/>
      <c r="T5464"/>
      <c r="U5464"/>
    </row>
    <row r="5465" spans="6:21" x14ac:dyDescent="0.25">
      <c r="F5465"/>
      <c r="O5465"/>
      <c r="R5465"/>
      <c r="S5465"/>
      <c r="T5465"/>
      <c r="U5465"/>
    </row>
    <row r="5466" spans="6:21" x14ac:dyDescent="0.25">
      <c r="F5466"/>
      <c r="O5466"/>
      <c r="R5466"/>
      <c r="S5466"/>
      <c r="T5466"/>
      <c r="U5466"/>
    </row>
    <row r="5467" spans="6:21" x14ac:dyDescent="0.25">
      <c r="F5467"/>
      <c r="O5467"/>
      <c r="R5467"/>
      <c r="S5467"/>
      <c r="T5467"/>
      <c r="U5467"/>
    </row>
    <row r="5468" spans="6:21" x14ac:dyDescent="0.25">
      <c r="F5468"/>
      <c r="O5468"/>
      <c r="R5468"/>
      <c r="S5468"/>
      <c r="T5468"/>
      <c r="U5468"/>
    </row>
    <row r="5469" spans="6:21" x14ac:dyDescent="0.25">
      <c r="F5469"/>
      <c r="O5469"/>
      <c r="R5469"/>
      <c r="S5469"/>
      <c r="T5469"/>
      <c r="U5469"/>
    </row>
    <row r="5470" spans="6:21" x14ac:dyDescent="0.25">
      <c r="F5470"/>
      <c r="O5470"/>
      <c r="R5470"/>
      <c r="S5470"/>
      <c r="T5470"/>
      <c r="U5470"/>
    </row>
    <row r="5471" spans="6:21" x14ac:dyDescent="0.25">
      <c r="F5471"/>
      <c r="O5471"/>
      <c r="R5471"/>
      <c r="S5471"/>
      <c r="T5471"/>
      <c r="U5471"/>
    </row>
    <row r="5472" spans="6:21" x14ac:dyDescent="0.25">
      <c r="F5472"/>
      <c r="O5472"/>
      <c r="R5472"/>
      <c r="S5472"/>
      <c r="T5472"/>
      <c r="U5472"/>
    </row>
    <row r="5473" spans="6:21" x14ac:dyDescent="0.25">
      <c r="F5473"/>
      <c r="O5473"/>
      <c r="R5473"/>
      <c r="S5473"/>
      <c r="T5473"/>
      <c r="U5473"/>
    </row>
    <row r="5474" spans="6:21" x14ac:dyDescent="0.25">
      <c r="F5474"/>
      <c r="O5474"/>
      <c r="R5474"/>
      <c r="S5474"/>
      <c r="T5474"/>
      <c r="U5474"/>
    </row>
    <row r="5475" spans="6:21" x14ac:dyDescent="0.25">
      <c r="F5475"/>
      <c r="O5475"/>
      <c r="R5475"/>
      <c r="S5475"/>
      <c r="T5475"/>
      <c r="U5475"/>
    </row>
    <row r="5476" spans="6:21" x14ac:dyDescent="0.25">
      <c r="F5476"/>
      <c r="O5476"/>
      <c r="R5476"/>
      <c r="S5476"/>
      <c r="T5476"/>
      <c r="U5476"/>
    </row>
    <row r="5477" spans="6:21" x14ac:dyDescent="0.25">
      <c r="F5477"/>
      <c r="O5477"/>
      <c r="R5477"/>
      <c r="S5477"/>
      <c r="T5477"/>
      <c r="U5477"/>
    </row>
    <row r="5478" spans="6:21" x14ac:dyDescent="0.25">
      <c r="F5478"/>
      <c r="O5478"/>
      <c r="R5478"/>
      <c r="S5478"/>
      <c r="T5478"/>
      <c r="U5478"/>
    </row>
    <row r="5479" spans="6:21" x14ac:dyDescent="0.25">
      <c r="F5479"/>
      <c r="O5479"/>
      <c r="R5479"/>
      <c r="S5479"/>
      <c r="T5479"/>
      <c r="U5479"/>
    </row>
    <row r="5480" spans="6:21" x14ac:dyDescent="0.25">
      <c r="F5480"/>
      <c r="O5480"/>
      <c r="R5480"/>
      <c r="S5480"/>
      <c r="T5480"/>
      <c r="U5480"/>
    </row>
    <row r="5481" spans="6:21" x14ac:dyDescent="0.25">
      <c r="F5481"/>
      <c r="O5481"/>
      <c r="R5481"/>
      <c r="S5481"/>
      <c r="T5481"/>
      <c r="U5481"/>
    </row>
    <row r="5482" spans="6:21" x14ac:dyDescent="0.25">
      <c r="F5482"/>
      <c r="O5482"/>
      <c r="R5482"/>
      <c r="S5482"/>
      <c r="T5482"/>
      <c r="U5482"/>
    </row>
    <row r="5483" spans="6:21" x14ac:dyDescent="0.25">
      <c r="F5483"/>
      <c r="O5483"/>
      <c r="R5483"/>
      <c r="S5483"/>
      <c r="T5483"/>
      <c r="U5483"/>
    </row>
    <row r="5484" spans="6:21" x14ac:dyDescent="0.25">
      <c r="F5484"/>
      <c r="O5484"/>
      <c r="R5484"/>
      <c r="S5484"/>
      <c r="T5484"/>
      <c r="U5484"/>
    </row>
    <row r="5485" spans="6:21" x14ac:dyDescent="0.25">
      <c r="F5485"/>
      <c r="O5485"/>
      <c r="R5485"/>
      <c r="S5485"/>
      <c r="T5485"/>
      <c r="U5485"/>
    </row>
    <row r="5486" spans="6:21" x14ac:dyDescent="0.25">
      <c r="F5486"/>
      <c r="O5486"/>
      <c r="R5486"/>
      <c r="S5486"/>
      <c r="T5486"/>
      <c r="U5486"/>
    </row>
    <row r="5487" spans="6:21" x14ac:dyDescent="0.25">
      <c r="F5487"/>
      <c r="O5487"/>
      <c r="R5487"/>
      <c r="S5487"/>
      <c r="T5487"/>
      <c r="U5487"/>
    </row>
    <row r="5488" spans="6:21" x14ac:dyDescent="0.25">
      <c r="F5488"/>
      <c r="O5488"/>
      <c r="R5488"/>
      <c r="S5488"/>
      <c r="T5488"/>
      <c r="U5488"/>
    </row>
    <row r="5489" spans="6:21" x14ac:dyDescent="0.25">
      <c r="F5489"/>
      <c r="O5489"/>
      <c r="R5489"/>
      <c r="S5489"/>
      <c r="T5489"/>
      <c r="U5489"/>
    </row>
    <row r="5490" spans="6:21" x14ac:dyDescent="0.25">
      <c r="F5490"/>
      <c r="O5490"/>
      <c r="R5490"/>
      <c r="S5490"/>
      <c r="T5490"/>
      <c r="U5490"/>
    </row>
    <row r="5491" spans="6:21" x14ac:dyDescent="0.25">
      <c r="F5491"/>
      <c r="O5491"/>
      <c r="R5491"/>
      <c r="S5491"/>
      <c r="T5491"/>
      <c r="U5491"/>
    </row>
    <row r="5492" spans="6:21" x14ac:dyDescent="0.25">
      <c r="F5492"/>
      <c r="O5492"/>
      <c r="R5492"/>
      <c r="S5492"/>
      <c r="T5492"/>
      <c r="U5492"/>
    </row>
    <row r="5493" spans="6:21" x14ac:dyDescent="0.25">
      <c r="F5493"/>
      <c r="O5493"/>
      <c r="R5493"/>
      <c r="S5493"/>
      <c r="T5493"/>
      <c r="U5493"/>
    </row>
    <row r="5494" spans="6:21" x14ac:dyDescent="0.25">
      <c r="F5494"/>
      <c r="O5494"/>
      <c r="R5494"/>
      <c r="S5494"/>
      <c r="T5494"/>
      <c r="U5494"/>
    </row>
    <row r="5495" spans="6:21" x14ac:dyDescent="0.25">
      <c r="F5495"/>
      <c r="O5495"/>
      <c r="R5495"/>
      <c r="S5495"/>
      <c r="T5495"/>
      <c r="U5495"/>
    </row>
    <row r="5496" spans="6:21" x14ac:dyDescent="0.25">
      <c r="F5496"/>
      <c r="O5496"/>
      <c r="R5496"/>
      <c r="S5496"/>
      <c r="T5496"/>
      <c r="U5496"/>
    </row>
    <row r="5497" spans="6:21" x14ac:dyDescent="0.25">
      <c r="F5497"/>
      <c r="O5497"/>
      <c r="R5497"/>
      <c r="S5497"/>
      <c r="T5497"/>
      <c r="U5497"/>
    </row>
    <row r="5498" spans="6:21" x14ac:dyDescent="0.25">
      <c r="F5498"/>
      <c r="O5498"/>
      <c r="R5498"/>
      <c r="S5498"/>
      <c r="T5498"/>
      <c r="U5498"/>
    </row>
    <row r="5499" spans="6:21" x14ac:dyDescent="0.25">
      <c r="F5499"/>
      <c r="O5499"/>
      <c r="R5499"/>
      <c r="S5499"/>
      <c r="T5499"/>
      <c r="U5499"/>
    </row>
    <row r="5500" spans="6:21" x14ac:dyDescent="0.25">
      <c r="F5500"/>
      <c r="O5500"/>
      <c r="R5500"/>
      <c r="S5500"/>
      <c r="T5500"/>
      <c r="U5500"/>
    </row>
    <row r="5501" spans="6:21" x14ac:dyDescent="0.25">
      <c r="F5501"/>
      <c r="O5501"/>
      <c r="R5501"/>
      <c r="S5501"/>
      <c r="T5501"/>
      <c r="U5501"/>
    </row>
    <row r="5502" spans="6:21" x14ac:dyDescent="0.25">
      <c r="F5502"/>
      <c r="O5502"/>
      <c r="R5502"/>
      <c r="S5502"/>
      <c r="T5502"/>
      <c r="U5502"/>
    </row>
    <row r="5503" spans="6:21" x14ac:dyDescent="0.25">
      <c r="F5503"/>
      <c r="O5503"/>
      <c r="R5503"/>
      <c r="S5503"/>
      <c r="T5503"/>
      <c r="U5503"/>
    </row>
    <row r="5504" spans="6:21" x14ac:dyDescent="0.25">
      <c r="F5504"/>
      <c r="O5504"/>
      <c r="R5504"/>
      <c r="S5504"/>
      <c r="T5504"/>
      <c r="U5504"/>
    </row>
    <row r="5505" spans="6:21" x14ac:dyDescent="0.25">
      <c r="F5505"/>
      <c r="O5505"/>
      <c r="R5505"/>
      <c r="S5505"/>
      <c r="T5505"/>
      <c r="U5505"/>
    </row>
    <row r="5506" spans="6:21" x14ac:dyDescent="0.25">
      <c r="F5506"/>
      <c r="O5506"/>
      <c r="R5506"/>
      <c r="S5506"/>
      <c r="T5506"/>
      <c r="U5506"/>
    </row>
    <row r="5507" spans="6:21" x14ac:dyDescent="0.25">
      <c r="F5507"/>
      <c r="O5507"/>
      <c r="R5507"/>
      <c r="S5507"/>
      <c r="T5507"/>
      <c r="U5507"/>
    </row>
    <row r="5508" spans="6:21" x14ac:dyDescent="0.25">
      <c r="F5508"/>
      <c r="O5508"/>
      <c r="R5508"/>
      <c r="S5508"/>
      <c r="T5508"/>
      <c r="U5508"/>
    </row>
    <row r="5509" spans="6:21" x14ac:dyDescent="0.25">
      <c r="F5509"/>
      <c r="O5509"/>
      <c r="R5509"/>
      <c r="S5509"/>
      <c r="T5509"/>
      <c r="U5509"/>
    </row>
    <row r="5510" spans="6:21" x14ac:dyDescent="0.25">
      <c r="F5510"/>
      <c r="O5510"/>
      <c r="R5510"/>
      <c r="S5510"/>
      <c r="T5510"/>
      <c r="U5510"/>
    </row>
    <row r="5511" spans="6:21" x14ac:dyDescent="0.25">
      <c r="F5511"/>
      <c r="O5511"/>
      <c r="R5511"/>
      <c r="S5511"/>
      <c r="T5511"/>
      <c r="U5511"/>
    </row>
    <row r="5512" spans="6:21" x14ac:dyDescent="0.25">
      <c r="F5512"/>
      <c r="O5512"/>
      <c r="R5512"/>
      <c r="S5512"/>
      <c r="T5512"/>
      <c r="U5512"/>
    </row>
    <row r="5513" spans="6:21" x14ac:dyDescent="0.25">
      <c r="F5513"/>
      <c r="O5513"/>
      <c r="R5513"/>
      <c r="S5513"/>
      <c r="T5513"/>
      <c r="U5513"/>
    </row>
    <row r="5514" spans="6:21" x14ac:dyDescent="0.25">
      <c r="F5514"/>
      <c r="O5514"/>
      <c r="R5514"/>
      <c r="S5514"/>
      <c r="T5514"/>
      <c r="U5514"/>
    </row>
    <row r="5515" spans="6:21" x14ac:dyDescent="0.25">
      <c r="F5515"/>
      <c r="O5515"/>
      <c r="R5515"/>
      <c r="S5515"/>
      <c r="T5515"/>
      <c r="U5515"/>
    </row>
    <row r="5516" spans="6:21" x14ac:dyDescent="0.25">
      <c r="F5516"/>
      <c r="O5516"/>
      <c r="R5516"/>
      <c r="S5516"/>
      <c r="T5516"/>
      <c r="U5516"/>
    </row>
    <row r="5517" spans="6:21" x14ac:dyDescent="0.25">
      <c r="F5517"/>
      <c r="O5517"/>
      <c r="R5517"/>
      <c r="S5517"/>
      <c r="T5517"/>
      <c r="U5517"/>
    </row>
    <row r="5518" spans="6:21" x14ac:dyDescent="0.25">
      <c r="F5518"/>
      <c r="O5518"/>
      <c r="R5518"/>
      <c r="S5518"/>
      <c r="T5518"/>
      <c r="U5518"/>
    </row>
    <row r="5519" spans="6:21" x14ac:dyDescent="0.25">
      <c r="F5519"/>
      <c r="O5519"/>
      <c r="R5519"/>
      <c r="S5519"/>
      <c r="T5519"/>
      <c r="U5519"/>
    </row>
    <row r="5520" spans="6:21" x14ac:dyDescent="0.25">
      <c r="F5520"/>
      <c r="O5520"/>
      <c r="R5520"/>
      <c r="S5520"/>
      <c r="T5520"/>
      <c r="U5520"/>
    </row>
    <row r="5521" spans="6:21" x14ac:dyDescent="0.25">
      <c r="F5521"/>
      <c r="O5521"/>
      <c r="R5521"/>
      <c r="S5521"/>
      <c r="T5521"/>
      <c r="U5521"/>
    </row>
    <row r="5522" spans="6:21" x14ac:dyDescent="0.25">
      <c r="F5522"/>
      <c r="O5522"/>
      <c r="R5522"/>
      <c r="S5522"/>
      <c r="T5522"/>
      <c r="U5522"/>
    </row>
    <row r="5523" spans="6:21" x14ac:dyDescent="0.25">
      <c r="F5523"/>
      <c r="O5523"/>
      <c r="R5523"/>
      <c r="S5523"/>
      <c r="T5523"/>
      <c r="U5523"/>
    </row>
    <row r="5524" spans="6:21" x14ac:dyDescent="0.25">
      <c r="F5524"/>
      <c r="O5524"/>
      <c r="R5524"/>
      <c r="S5524"/>
      <c r="T5524"/>
      <c r="U5524"/>
    </row>
    <row r="5525" spans="6:21" x14ac:dyDescent="0.25">
      <c r="F5525"/>
      <c r="O5525"/>
      <c r="R5525"/>
      <c r="S5525"/>
      <c r="T5525"/>
      <c r="U5525"/>
    </row>
    <row r="5526" spans="6:21" x14ac:dyDescent="0.25">
      <c r="F5526"/>
      <c r="O5526"/>
      <c r="R5526"/>
      <c r="S5526"/>
      <c r="T5526"/>
      <c r="U5526"/>
    </row>
    <row r="5527" spans="6:21" x14ac:dyDescent="0.25">
      <c r="F5527"/>
      <c r="O5527"/>
      <c r="R5527"/>
      <c r="S5527"/>
      <c r="T5527"/>
      <c r="U5527"/>
    </row>
    <row r="5528" spans="6:21" x14ac:dyDescent="0.25">
      <c r="F5528"/>
      <c r="O5528"/>
      <c r="R5528"/>
      <c r="S5528"/>
      <c r="T5528"/>
      <c r="U5528"/>
    </row>
    <row r="5529" spans="6:21" x14ac:dyDescent="0.25">
      <c r="F5529"/>
      <c r="O5529"/>
      <c r="R5529"/>
      <c r="S5529"/>
      <c r="T5529"/>
      <c r="U5529"/>
    </row>
    <row r="5530" spans="6:21" x14ac:dyDescent="0.25">
      <c r="F5530"/>
      <c r="O5530"/>
      <c r="R5530"/>
      <c r="S5530"/>
      <c r="T5530"/>
      <c r="U5530"/>
    </row>
    <row r="5531" spans="6:21" x14ac:dyDescent="0.25">
      <c r="F5531"/>
      <c r="O5531"/>
      <c r="R5531"/>
      <c r="S5531"/>
      <c r="T5531"/>
      <c r="U5531"/>
    </row>
    <row r="5532" spans="6:21" x14ac:dyDescent="0.25">
      <c r="F5532"/>
      <c r="O5532"/>
      <c r="R5532"/>
      <c r="S5532"/>
      <c r="T5532"/>
      <c r="U5532"/>
    </row>
    <row r="5533" spans="6:21" x14ac:dyDescent="0.25">
      <c r="F5533"/>
      <c r="O5533"/>
      <c r="R5533"/>
      <c r="S5533"/>
      <c r="T5533"/>
      <c r="U5533"/>
    </row>
    <row r="5534" spans="6:21" x14ac:dyDescent="0.25">
      <c r="F5534"/>
      <c r="O5534"/>
      <c r="R5534"/>
      <c r="S5534"/>
      <c r="T5534"/>
      <c r="U5534"/>
    </row>
    <row r="5535" spans="6:21" x14ac:dyDescent="0.25">
      <c r="F5535"/>
      <c r="O5535"/>
      <c r="R5535"/>
      <c r="S5535"/>
      <c r="T5535"/>
      <c r="U5535"/>
    </row>
    <row r="5536" spans="6:21" x14ac:dyDescent="0.25">
      <c r="F5536"/>
      <c r="O5536"/>
      <c r="R5536"/>
      <c r="S5536"/>
      <c r="T5536"/>
      <c r="U5536"/>
    </row>
    <row r="5537" spans="6:21" x14ac:dyDescent="0.25">
      <c r="F5537"/>
      <c r="O5537"/>
      <c r="R5537"/>
      <c r="S5537"/>
      <c r="T5537"/>
      <c r="U5537"/>
    </row>
    <row r="5538" spans="6:21" x14ac:dyDescent="0.25">
      <c r="F5538"/>
      <c r="O5538"/>
      <c r="R5538"/>
      <c r="S5538"/>
      <c r="T5538"/>
      <c r="U5538"/>
    </row>
    <row r="5539" spans="6:21" x14ac:dyDescent="0.25">
      <c r="F5539"/>
      <c r="O5539"/>
      <c r="R5539"/>
      <c r="S5539"/>
      <c r="T5539"/>
      <c r="U5539"/>
    </row>
    <row r="5540" spans="6:21" x14ac:dyDescent="0.25">
      <c r="F5540"/>
      <c r="O5540"/>
      <c r="R5540"/>
      <c r="S5540"/>
      <c r="T5540"/>
      <c r="U5540"/>
    </row>
    <row r="5541" spans="6:21" x14ac:dyDescent="0.25">
      <c r="F5541"/>
      <c r="O5541"/>
      <c r="R5541"/>
      <c r="S5541"/>
      <c r="T5541"/>
      <c r="U5541"/>
    </row>
    <row r="5542" spans="6:21" x14ac:dyDescent="0.25">
      <c r="F5542"/>
      <c r="O5542"/>
      <c r="R5542"/>
      <c r="S5542"/>
      <c r="T5542"/>
      <c r="U5542"/>
    </row>
    <row r="5543" spans="6:21" x14ac:dyDescent="0.25">
      <c r="F5543"/>
      <c r="O5543"/>
      <c r="R5543"/>
      <c r="S5543"/>
      <c r="T5543"/>
      <c r="U5543"/>
    </row>
    <row r="5544" spans="6:21" x14ac:dyDescent="0.25">
      <c r="F5544"/>
      <c r="O5544"/>
      <c r="R5544"/>
      <c r="S5544"/>
      <c r="T5544"/>
      <c r="U5544"/>
    </row>
    <row r="5545" spans="6:21" x14ac:dyDescent="0.25">
      <c r="F5545"/>
      <c r="O5545"/>
      <c r="R5545"/>
      <c r="S5545"/>
      <c r="T5545"/>
      <c r="U5545"/>
    </row>
    <row r="5546" spans="6:21" x14ac:dyDescent="0.25">
      <c r="F5546"/>
      <c r="O5546"/>
      <c r="R5546"/>
      <c r="S5546"/>
      <c r="T5546"/>
      <c r="U5546"/>
    </row>
    <row r="5547" spans="6:21" x14ac:dyDescent="0.25">
      <c r="F5547"/>
      <c r="O5547"/>
      <c r="R5547"/>
      <c r="S5547"/>
      <c r="T5547"/>
      <c r="U5547"/>
    </row>
    <row r="5548" spans="6:21" x14ac:dyDescent="0.25">
      <c r="F5548"/>
      <c r="O5548"/>
      <c r="R5548"/>
      <c r="S5548"/>
      <c r="T5548"/>
      <c r="U5548"/>
    </row>
    <row r="5549" spans="6:21" x14ac:dyDescent="0.25">
      <c r="F5549"/>
      <c r="O5549"/>
      <c r="R5549"/>
      <c r="S5549"/>
      <c r="T5549"/>
      <c r="U5549"/>
    </row>
    <row r="5550" spans="6:21" x14ac:dyDescent="0.25">
      <c r="F5550"/>
      <c r="O5550"/>
      <c r="R5550"/>
      <c r="S5550"/>
      <c r="T5550"/>
      <c r="U5550"/>
    </row>
    <row r="5551" spans="6:21" x14ac:dyDescent="0.25">
      <c r="F5551"/>
      <c r="O5551"/>
      <c r="R5551"/>
      <c r="S5551"/>
      <c r="T5551"/>
      <c r="U5551"/>
    </row>
    <row r="5552" spans="6:21" x14ac:dyDescent="0.25">
      <c r="F5552"/>
      <c r="O5552"/>
      <c r="R5552"/>
      <c r="S5552"/>
      <c r="T5552"/>
      <c r="U5552"/>
    </row>
    <row r="5553" spans="6:21" x14ac:dyDescent="0.25">
      <c r="F5553"/>
      <c r="O5553"/>
      <c r="R5553"/>
      <c r="S5553"/>
      <c r="T5553"/>
      <c r="U5553"/>
    </row>
    <row r="5554" spans="6:21" x14ac:dyDescent="0.25">
      <c r="F5554"/>
      <c r="O5554"/>
      <c r="R5554"/>
      <c r="S5554"/>
      <c r="T5554"/>
      <c r="U5554"/>
    </row>
    <row r="5555" spans="6:21" x14ac:dyDescent="0.25">
      <c r="F5555"/>
      <c r="O5555"/>
      <c r="R5555"/>
      <c r="S5555"/>
      <c r="T5555"/>
      <c r="U5555"/>
    </row>
    <row r="5556" spans="6:21" x14ac:dyDescent="0.25">
      <c r="F5556"/>
      <c r="O5556"/>
      <c r="R5556"/>
      <c r="S5556"/>
      <c r="T5556"/>
      <c r="U5556"/>
    </row>
    <row r="5557" spans="6:21" x14ac:dyDescent="0.25">
      <c r="F5557"/>
      <c r="O5557"/>
      <c r="R5557"/>
      <c r="S5557"/>
      <c r="T5557"/>
      <c r="U5557"/>
    </row>
    <row r="5558" spans="6:21" x14ac:dyDescent="0.25">
      <c r="F5558"/>
      <c r="O5558"/>
      <c r="R5558"/>
      <c r="S5558"/>
      <c r="T5558"/>
      <c r="U5558"/>
    </row>
    <row r="5559" spans="6:21" x14ac:dyDescent="0.25">
      <c r="F5559"/>
      <c r="O5559"/>
      <c r="R5559"/>
      <c r="S5559"/>
      <c r="T5559"/>
      <c r="U5559"/>
    </row>
    <row r="5560" spans="6:21" x14ac:dyDescent="0.25">
      <c r="F5560"/>
      <c r="O5560"/>
      <c r="R5560"/>
      <c r="S5560"/>
      <c r="T5560"/>
      <c r="U5560"/>
    </row>
    <row r="5561" spans="6:21" x14ac:dyDescent="0.25">
      <c r="F5561"/>
      <c r="O5561"/>
      <c r="R5561"/>
      <c r="S5561"/>
      <c r="T5561"/>
      <c r="U5561"/>
    </row>
    <row r="5562" spans="6:21" x14ac:dyDescent="0.25">
      <c r="F5562"/>
      <c r="O5562"/>
      <c r="R5562"/>
      <c r="S5562"/>
      <c r="T5562"/>
      <c r="U5562"/>
    </row>
    <row r="5563" spans="6:21" x14ac:dyDescent="0.25">
      <c r="F5563"/>
      <c r="O5563"/>
      <c r="R5563"/>
      <c r="S5563"/>
      <c r="T5563"/>
      <c r="U5563"/>
    </row>
    <row r="5564" spans="6:21" x14ac:dyDescent="0.25">
      <c r="F5564"/>
      <c r="O5564"/>
      <c r="R5564"/>
      <c r="S5564"/>
      <c r="T5564"/>
      <c r="U5564"/>
    </row>
    <row r="5565" spans="6:21" x14ac:dyDescent="0.25">
      <c r="F5565"/>
      <c r="O5565"/>
      <c r="R5565"/>
      <c r="S5565"/>
      <c r="T5565"/>
      <c r="U5565"/>
    </row>
    <row r="5566" spans="6:21" x14ac:dyDescent="0.25">
      <c r="F5566"/>
      <c r="O5566"/>
      <c r="R5566"/>
      <c r="S5566"/>
      <c r="T5566"/>
      <c r="U5566"/>
    </row>
    <row r="5567" spans="6:21" x14ac:dyDescent="0.25">
      <c r="F5567"/>
      <c r="O5567"/>
      <c r="R5567"/>
      <c r="S5567"/>
      <c r="T5567"/>
      <c r="U5567"/>
    </row>
    <row r="5568" spans="6:21" x14ac:dyDescent="0.25">
      <c r="F5568"/>
      <c r="O5568"/>
      <c r="R5568"/>
      <c r="S5568"/>
      <c r="T5568"/>
      <c r="U5568"/>
    </row>
    <row r="5569" spans="6:21" x14ac:dyDescent="0.25">
      <c r="F5569"/>
      <c r="O5569"/>
      <c r="R5569"/>
      <c r="S5569"/>
      <c r="T5569"/>
      <c r="U5569"/>
    </row>
    <row r="5570" spans="6:21" x14ac:dyDescent="0.25">
      <c r="F5570"/>
      <c r="O5570"/>
      <c r="R5570"/>
      <c r="S5570"/>
      <c r="T5570"/>
      <c r="U5570"/>
    </row>
    <row r="5571" spans="6:21" x14ac:dyDescent="0.25">
      <c r="F5571"/>
      <c r="O5571"/>
      <c r="R5571"/>
      <c r="S5571"/>
      <c r="T5571"/>
      <c r="U5571"/>
    </row>
    <row r="5572" spans="6:21" x14ac:dyDescent="0.25">
      <c r="F5572"/>
      <c r="O5572"/>
      <c r="R5572"/>
      <c r="S5572"/>
      <c r="T5572"/>
      <c r="U5572"/>
    </row>
    <row r="5573" spans="6:21" x14ac:dyDescent="0.25">
      <c r="F5573"/>
      <c r="O5573"/>
      <c r="R5573"/>
      <c r="S5573"/>
      <c r="T5573"/>
      <c r="U5573"/>
    </row>
    <row r="5574" spans="6:21" x14ac:dyDescent="0.25">
      <c r="F5574"/>
      <c r="O5574"/>
      <c r="R5574"/>
      <c r="S5574"/>
      <c r="T5574"/>
      <c r="U5574"/>
    </row>
    <row r="5575" spans="6:21" x14ac:dyDescent="0.25">
      <c r="F5575"/>
      <c r="O5575"/>
      <c r="R5575"/>
      <c r="S5575"/>
      <c r="T5575"/>
      <c r="U5575"/>
    </row>
    <row r="5576" spans="6:21" x14ac:dyDescent="0.25">
      <c r="F5576"/>
      <c r="O5576"/>
      <c r="R5576"/>
      <c r="S5576"/>
      <c r="T5576"/>
      <c r="U5576"/>
    </row>
    <row r="5577" spans="6:21" x14ac:dyDescent="0.25">
      <c r="F5577"/>
      <c r="O5577"/>
      <c r="R5577"/>
      <c r="S5577"/>
      <c r="T5577"/>
      <c r="U5577"/>
    </row>
    <row r="5578" spans="6:21" x14ac:dyDescent="0.25">
      <c r="F5578"/>
      <c r="O5578"/>
      <c r="R5578"/>
      <c r="S5578"/>
      <c r="T5578"/>
      <c r="U5578"/>
    </row>
    <row r="5579" spans="6:21" x14ac:dyDescent="0.25">
      <c r="F5579"/>
      <c r="O5579"/>
      <c r="R5579"/>
      <c r="S5579"/>
      <c r="T5579"/>
      <c r="U5579"/>
    </row>
    <row r="5580" spans="6:21" x14ac:dyDescent="0.25">
      <c r="F5580"/>
      <c r="O5580"/>
      <c r="R5580"/>
      <c r="S5580"/>
      <c r="T5580"/>
      <c r="U5580"/>
    </row>
    <row r="5581" spans="6:21" x14ac:dyDescent="0.25">
      <c r="F5581"/>
      <c r="O5581"/>
      <c r="R5581"/>
      <c r="S5581"/>
      <c r="T5581"/>
      <c r="U5581"/>
    </row>
    <row r="5582" spans="6:21" x14ac:dyDescent="0.25">
      <c r="F5582"/>
      <c r="O5582"/>
      <c r="R5582"/>
      <c r="S5582"/>
      <c r="T5582"/>
      <c r="U5582"/>
    </row>
    <row r="5583" spans="6:21" x14ac:dyDescent="0.25">
      <c r="F5583"/>
      <c r="O5583"/>
      <c r="R5583"/>
      <c r="S5583"/>
      <c r="T5583"/>
      <c r="U5583"/>
    </row>
    <row r="5584" spans="6:21" x14ac:dyDescent="0.25">
      <c r="F5584"/>
      <c r="O5584"/>
      <c r="R5584"/>
      <c r="S5584"/>
      <c r="T5584"/>
      <c r="U5584"/>
    </row>
    <row r="5585" spans="6:21" x14ac:dyDescent="0.25">
      <c r="F5585"/>
      <c r="O5585"/>
      <c r="R5585"/>
      <c r="S5585"/>
      <c r="T5585"/>
      <c r="U5585"/>
    </row>
    <row r="5586" spans="6:21" x14ac:dyDescent="0.25">
      <c r="F5586"/>
      <c r="O5586"/>
      <c r="R5586"/>
      <c r="S5586"/>
      <c r="T5586"/>
      <c r="U5586"/>
    </row>
    <row r="5587" spans="6:21" x14ac:dyDescent="0.25">
      <c r="F5587"/>
      <c r="O5587"/>
      <c r="R5587"/>
      <c r="S5587"/>
      <c r="T5587"/>
      <c r="U5587"/>
    </row>
    <row r="5588" spans="6:21" x14ac:dyDescent="0.25">
      <c r="F5588"/>
      <c r="O5588"/>
      <c r="R5588"/>
      <c r="S5588"/>
      <c r="T5588"/>
      <c r="U5588"/>
    </row>
    <row r="5589" spans="6:21" x14ac:dyDescent="0.25">
      <c r="F5589"/>
      <c r="O5589"/>
      <c r="R5589"/>
      <c r="S5589"/>
      <c r="T5589"/>
      <c r="U5589"/>
    </row>
    <row r="5590" spans="6:21" x14ac:dyDescent="0.25">
      <c r="F5590"/>
      <c r="O5590"/>
      <c r="R5590"/>
      <c r="S5590"/>
      <c r="T5590"/>
      <c r="U5590"/>
    </row>
    <row r="5591" spans="6:21" x14ac:dyDescent="0.25">
      <c r="F5591"/>
      <c r="O5591"/>
      <c r="R5591"/>
      <c r="S5591"/>
      <c r="T5591"/>
      <c r="U5591"/>
    </row>
    <row r="5592" spans="6:21" x14ac:dyDescent="0.25">
      <c r="F5592"/>
      <c r="O5592"/>
      <c r="R5592"/>
      <c r="S5592"/>
      <c r="T5592"/>
      <c r="U5592"/>
    </row>
    <row r="5593" spans="6:21" x14ac:dyDescent="0.25">
      <c r="F5593"/>
      <c r="O5593"/>
      <c r="R5593"/>
      <c r="S5593"/>
      <c r="T5593"/>
      <c r="U5593"/>
    </row>
    <row r="5594" spans="6:21" x14ac:dyDescent="0.25">
      <c r="F5594"/>
      <c r="O5594"/>
      <c r="R5594"/>
      <c r="S5594"/>
      <c r="T5594"/>
      <c r="U5594"/>
    </row>
    <row r="5595" spans="6:21" x14ac:dyDescent="0.25">
      <c r="F5595"/>
      <c r="O5595"/>
      <c r="R5595"/>
      <c r="S5595"/>
      <c r="T5595"/>
      <c r="U5595"/>
    </row>
    <row r="5596" spans="6:21" x14ac:dyDescent="0.25">
      <c r="F5596"/>
      <c r="O5596"/>
      <c r="R5596"/>
      <c r="S5596"/>
      <c r="T5596"/>
      <c r="U5596"/>
    </row>
    <row r="5597" spans="6:21" x14ac:dyDescent="0.25">
      <c r="F5597"/>
      <c r="O5597"/>
      <c r="R5597"/>
      <c r="S5597"/>
      <c r="T5597"/>
      <c r="U5597"/>
    </row>
    <row r="5598" spans="6:21" x14ac:dyDescent="0.25">
      <c r="F5598"/>
      <c r="O5598"/>
      <c r="R5598"/>
      <c r="S5598"/>
      <c r="T5598"/>
      <c r="U5598"/>
    </row>
    <row r="5599" spans="6:21" x14ac:dyDescent="0.25">
      <c r="F5599"/>
      <c r="O5599"/>
      <c r="R5599"/>
      <c r="S5599"/>
      <c r="T5599"/>
      <c r="U5599"/>
    </row>
    <row r="5600" spans="6:21" x14ac:dyDescent="0.25">
      <c r="F5600"/>
      <c r="O5600"/>
      <c r="R5600"/>
      <c r="S5600"/>
      <c r="T5600"/>
      <c r="U5600"/>
    </row>
    <row r="5601" spans="6:21" x14ac:dyDescent="0.25">
      <c r="F5601"/>
      <c r="O5601"/>
      <c r="R5601"/>
      <c r="S5601"/>
      <c r="T5601"/>
      <c r="U5601"/>
    </row>
    <row r="5602" spans="6:21" x14ac:dyDescent="0.25">
      <c r="F5602"/>
      <c r="O5602"/>
      <c r="R5602"/>
      <c r="S5602"/>
      <c r="T5602"/>
      <c r="U5602"/>
    </row>
    <row r="5603" spans="6:21" x14ac:dyDescent="0.25">
      <c r="F5603"/>
      <c r="O5603"/>
      <c r="R5603"/>
      <c r="S5603"/>
      <c r="T5603"/>
      <c r="U5603"/>
    </row>
    <row r="5604" spans="6:21" x14ac:dyDescent="0.25">
      <c r="F5604"/>
      <c r="O5604"/>
      <c r="R5604"/>
      <c r="S5604"/>
      <c r="T5604"/>
      <c r="U5604"/>
    </row>
    <row r="5605" spans="6:21" x14ac:dyDescent="0.25">
      <c r="F5605"/>
      <c r="O5605"/>
      <c r="R5605"/>
      <c r="S5605"/>
      <c r="T5605"/>
      <c r="U5605"/>
    </row>
    <row r="5606" spans="6:21" x14ac:dyDescent="0.25">
      <c r="F5606"/>
      <c r="O5606"/>
      <c r="R5606"/>
      <c r="S5606"/>
      <c r="T5606"/>
      <c r="U5606"/>
    </row>
    <row r="5607" spans="6:21" x14ac:dyDescent="0.25">
      <c r="F5607"/>
      <c r="O5607"/>
      <c r="R5607"/>
      <c r="S5607"/>
      <c r="T5607"/>
      <c r="U5607"/>
    </row>
    <row r="5608" spans="6:21" x14ac:dyDescent="0.25">
      <c r="F5608"/>
      <c r="O5608"/>
      <c r="R5608"/>
      <c r="S5608"/>
      <c r="T5608"/>
      <c r="U5608"/>
    </row>
    <row r="5609" spans="6:21" x14ac:dyDescent="0.25">
      <c r="F5609"/>
      <c r="O5609"/>
      <c r="R5609"/>
      <c r="S5609"/>
      <c r="T5609"/>
      <c r="U5609"/>
    </row>
    <row r="5610" spans="6:21" x14ac:dyDescent="0.25">
      <c r="F5610"/>
      <c r="O5610"/>
      <c r="R5610"/>
      <c r="S5610"/>
      <c r="T5610"/>
      <c r="U5610"/>
    </row>
    <row r="5611" spans="6:21" x14ac:dyDescent="0.25">
      <c r="F5611"/>
      <c r="O5611"/>
      <c r="R5611"/>
      <c r="S5611"/>
      <c r="T5611"/>
      <c r="U5611"/>
    </row>
    <row r="5612" spans="6:21" x14ac:dyDescent="0.25">
      <c r="F5612"/>
      <c r="O5612"/>
      <c r="R5612"/>
      <c r="S5612"/>
      <c r="T5612"/>
      <c r="U5612"/>
    </row>
    <row r="5613" spans="6:21" x14ac:dyDescent="0.25">
      <c r="F5613"/>
      <c r="O5613"/>
      <c r="R5613"/>
      <c r="S5613"/>
      <c r="T5613"/>
      <c r="U5613"/>
    </row>
    <row r="5614" spans="6:21" x14ac:dyDescent="0.25">
      <c r="F5614"/>
      <c r="O5614"/>
      <c r="R5614"/>
      <c r="S5614"/>
      <c r="T5614"/>
      <c r="U5614"/>
    </row>
    <row r="5615" spans="6:21" x14ac:dyDescent="0.25">
      <c r="F5615"/>
      <c r="O5615"/>
      <c r="R5615"/>
      <c r="S5615"/>
      <c r="T5615"/>
      <c r="U5615"/>
    </row>
    <row r="5616" spans="6:21" x14ac:dyDescent="0.25">
      <c r="F5616"/>
      <c r="O5616"/>
      <c r="R5616"/>
      <c r="S5616"/>
      <c r="T5616"/>
      <c r="U5616"/>
    </row>
    <row r="5617" spans="6:21" x14ac:dyDescent="0.25">
      <c r="F5617"/>
      <c r="O5617"/>
      <c r="R5617"/>
      <c r="S5617"/>
      <c r="T5617"/>
      <c r="U5617"/>
    </row>
    <row r="5618" spans="6:21" x14ac:dyDescent="0.25">
      <c r="F5618"/>
      <c r="O5618"/>
      <c r="R5618"/>
      <c r="S5618"/>
      <c r="T5618"/>
      <c r="U5618"/>
    </row>
    <row r="5619" spans="6:21" x14ac:dyDescent="0.25">
      <c r="F5619"/>
      <c r="O5619"/>
      <c r="R5619"/>
      <c r="S5619"/>
      <c r="T5619"/>
      <c r="U5619"/>
    </row>
    <row r="5620" spans="6:21" x14ac:dyDescent="0.25">
      <c r="F5620"/>
      <c r="O5620"/>
      <c r="R5620"/>
      <c r="S5620"/>
      <c r="T5620"/>
      <c r="U5620"/>
    </row>
    <row r="5621" spans="6:21" x14ac:dyDescent="0.25">
      <c r="F5621"/>
      <c r="O5621"/>
      <c r="R5621"/>
      <c r="S5621"/>
      <c r="T5621"/>
      <c r="U5621"/>
    </row>
    <row r="5622" spans="6:21" x14ac:dyDescent="0.25">
      <c r="F5622"/>
      <c r="O5622"/>
      <c r="R5622"/>
      <c r="S5622"/>
      <c r="T5622"/>
      <c r="U5622"/>
    </row>
    <row r="5623" spans="6:21" x14ac:dyDescent="0.25">
      <c r="F5623"/>
      <c r="O5623"/>
      <c r="R5623"/>
      <c r="S5623"/>
      <c r="T5623"/>
      <c r="U5623"/>
    </row>
    <row r="5624" spans="6:21" x14ac:dyDescent="0.25">
      <c r="F5624"/>
      <c r="O5624"/>
      <c r="R5624"/>
      <c r="S5624"/>
      <c r="T5624"/>
      <c r="U5624"/>
    </row>
    <row r="5625" spans="6:21" x14ac:dyDescent="0.25">
      <c r="F5625"/>
      <c r="O5625"/>
      <c r="R5625"/>
      <c r="S5625"/>
      <c r="T5625"/>
      <c r="U5625"/>
    </row>
    <row r="5626" spans="6:21" x14ac:dyDescent="0.25">
      <c r="F5626"/>
      <c r="O5626"/>
      <c r="R5626"/>
      <c r="S5626"/>
      <c r="T5626"/>
      <c r="U5626"/>
    </row>
    <row r="5627" spans="6:21" x14ac:dyDescent="0.25">
      <c r="F5627"/>
      <c r="O5627"/>
      <c r="R5627"/>
      <c r="S5627"/>
      <c r="T5627"/>
      <c r="U5627"/>
    </row>
    <row r="5628" spans="6:21" x14ac:dyDescent="0.25">
      <c r="F5628"/>
      <c r="O5628"/>
      <c r="R5628"/>
      <c r="S5628"/>
      <c r="T5628"/>
      <c r="U5628"/>
    </row>
    <row r="5629" spans="6:21" x14ac:dyDescent="0.25">
      <c r="F5629"/>
      <c r="O5629"/>
      <c r="R5629"/>
      <c r="S5629"/>
      <c r="T5629"/>
      <c r="U5629"/>
    </row>
    <row r="5630" spans="6:21" x14ac:dyDescent="0.25">
      <c r="F5630"/>
      <c r="O5630"/>
      <c r="R5630"/>
      <c r="S5630"/>
      <c r="T5630"/>
      <c r="U5630"/>
    </row>
    <row r="5631" spans="6:21" x14ac:dyDescent="0.25">
      <c r="F5631"/>
      <c r="O5631"/>
      <c r="R5631"/>
      <c r="S5631"/>
      <c r="T5631"/>
      <c r="U5631"/>
    </row>
    <row r="5632" spans="6:21" x14ac:dyDescent="0.25">
      <c r="F5632"/>
      <c r="O5632"/>
      <c r="R5632"/>
      <c r="S5632"/>
      <c r="T5632"/>
      <c r="U5632"/>
    </row>
    <row r="5633" spans="6:21" x14ac:dyDescent="0.25">
      <c r="F5633"/>
      <c r="O5633"/>
      <c r="R5633"/>
      <c r="S5633"/>
      <c r="T5633"/>
      <c r="U5633"/>
    </row>
    <row r="5634" spans="6:21" x14ac:dyDescent="0.25">
      <c r="F5634"/>
      <c r="O5634"/>
      <c r="R5634"/>
      <c r="S5634"/>
      <c r="T5634"/>
      <c r="U5634"/>
    </row>
    <row r="5635" spans="6:21" x14ac:dyDescent="0.25">
      <c r="F5635"/>
      <c r="O5635"/>
      <c r="R5635"/>
      <c r="S5635"/>
      <c r="T5635"/>
      <c r="U5635"/>
    </row>
    <row r="5636" spans="6:21" x14ac:dyDescent="0.25">
      <c r="F5636"/>
      <c r="O5636"/>
      <c r="R5636"/>
      <c r="S5636"/>
      <c r="T5636"/>
      <c r="U5636"/>
    </row>
    <row r="5637" spans="6:21" x14ac:dyDescent="0.25">
      <c r="F5637"/>
      <c r="O5637"/>
      <c r="R5637"/>
      <c r="S5637"/>
      <c r="T5637"/>
      <c r="U5637"/>
    </row>
    <row r="5638" spans="6:21" x14ac:dyDescent="0.25">
      <c r="F5638"/>
      <c r="O5638"/>
      <c r="R5638"/>
      <c r="S5638"/>
      <c r="T5638"/>
      <c r="U5638"/>
    </row>
    <row r="5639" spans="6:21" x14ac:dyDescent="0.25">
      <c r="F5639"/>
      <c r="O5639"/>
      <c r="R5639"/>
      <c r="S5639"/>
      <c r="T5639"/>
      <c r="U5639"/>
    </row>
    <row r="5640" spans="6:21" x14ac:dyDescent="0.25">
      <c r="F5640"/>
      <c r="O5640"/>
      <c r="R5640"/>
      <c r="S5640"/>
      <c r="T5640"/>
      <c r="U5640"/>
    </row>
    <row r="5641" spans="6:21" x14ac:dyDescent="0.25">
      <c r="F5641"/>
      <c r="O5641"/>
      <c r="R5641"/>
      <c r="S5641"/>
      <c r="T5641"/>
      <c r="U5641"/>
    </row>
    <row r="5642" spans="6:21" x14ac:dyDescent="0.25">
      <c r="F5642"/>
      <c r="O5642"/>
      <c r="R5642"/>
      <c r="S5642"/>
      <c r="T5642"/>
      <c r="U5642"/>
    </row>
    <row r="5643" spans="6:21" x14ac:dyDescent="0.25">
      <c r="F5643"/>
      <c r="O5643"/>
      <c r="R5643"/>
      <c r="S5643"/>
      <c r="T5643"/>
      <c r="U5643"/>
    </row>
    <row r="5644" spans="6:21" x14ac:dyDescent="0.25">
      <c r="F5644"/>
      <c r="O5644"/>
      <c r="R5644"/>
      <c r="S5644"/>
      <c r="T5644"/>
      <c r="U5644"/>
    </row>
    <row r="5645" spans="6:21" x14ac:dyDescent="0.25">
      <c r="F5645"/>
      <c r="O5645"/>
      <c r="R5645"/>
      <c r="S5645"/>
      <c r="T5645"/>
      <c r="U5645"/>
    </row>
    <row r="5646" spans="6:21" x14ac:dyDescent="0.25">
      <c r="F5646"/>
      <c r="O5646"/>
      <c r="R5646"/>
      <c r="S5646"/>
      <c r="T5646"/>
      <c r="U5646"/>
    </row>
    <row r="5647" spans="6:21" x14ac:dyDescent="0.25">
      <c r="F5647"/>
      <c r="O5647"/>
      <c r="R5647"/>
      <c r="S5647"/>
      <c r="T5647"/>
      <c r="U5647"/>
    </row>
    <row r="5648" spans="6:21" x14ac:dyDescent="0.25">
      <c r="F5648"/>
      <c r="O5648"/>
      <c r="R5648"/>
      <c r="S5648"/>
      <c r="T5648"/>
      <c r="U5648"/>
    </row>
    <row r="5649" spans="6:21" x14ac:dyDescent="0.25">
      <c r="F5649"/>
      <c r="O5649"/>
      <c r="R5649"/>
      <c r="S5649"/>
      <c r="T5649"/>
      <c r="U5649"/>
    </row>
    <row r="5650" spans="6:21" x14ac:dyDescent="0.25">
      <c r="F5650"/>
      <c r="O5650"/>
      <c r="R5650"/>
      <c r="S5650"/>
      <c r="T5650"/>
      <c r="U5650"/>
    </row>
    <row r="5651" spans="6:21" x14ac:dyDescent="0.25">
      <c r="F5651"/>
      <c r="O5651"/>
      <c r="R5651"/>
      <c r="S5651"/>
      <c r="T5651"/>
      <c r="U5651"/>
    </row>
    <row r="5652" spans="6:21" x14ac:dyDescent="0.25">
      <c r="F5652"/>
      <c r="O5652"/>
      <c r="R5652"/>
      <c r="S5652"/>
      <c r="T5652"/>
      <c r="U5652"/>
    </row>
    <row r="5653" spans="6:21" x14ac:dyDescent="0.25">
      <c r="F5653"/>
      <c r="O5653"/>
      <c r="R5653"/>
      <c r="S5653"/>
      <c r="T5653"/>
      <c r="U5653"/>
    </row>
    <row r="5654" spans="6:21" x14ac:dyDescent="0.25">
      <c r="F5654"/>
      <c r="O5654"/>
      <c r="R5654"/>
      <c r="S5654"/>
      <c r="T5654"/>
      <c r="U5654"/>
    </row>
    <row r="5655" spans="6:21" x14ac:dyDescent="0.25">
      <c r="F5655"/>
      <c r="O5655"/>
      <c r="R5655"/>
      <c r="S5655"/>
      <c r="T5655"/>
      <c r="U5655"/>
    </row>
    <row r="5656" spans="6:21" x14ac:dyDescent="0.25">
      <c r="F5656"/>
      <c r="O5656"/>
      <c r="R5656"/>
      <c r="S5656"/>
      <c r="T5656"/>
      <c r="U5656"/>
    </row>
    <row r="5657" spans="6:21" x14ac:dyDescent="0.25">
      <c r="F5657"/>
      <c r="O5657"/>
      <c r="R5657"/>
      <c r="S5657"/>
      <c r="T5657"/>
      <c r="U5657"/>
    </row>
    <row r="5658" spans="6:21" x14ac:dyDescent="0.25">
      <c r="F5658"/>
      <c r="O5658"/>
      <c r="R5658"/>
      <c r="S5658"/>
      <c r="T5658"/>
      <c r="U5658"/>
    </row>
    <row r="5659" spans="6:21" x14ac:dyDescent="0.25">
      <c r="F5659"/>
      <c r="O5659"/>
      <c r="R5659"/>
      <c r="S5659"/>
      <c r="T5659"/>
      <c r="U5659"/>
    </row>
    <row r="5660" spans="6:21" x14ac:dyDescent="0.25">
      <c r="F5660"/>
      <c r="O5660"/>
      <c r="R5660"/>
      <c r="S5660"/>
      <c r="T5660"/>
      <c r="U5660"/>
    </row>
    <row r="5661" spans="6:21" x14ac:dyDescent="0.25">
      <c r="F5661"/>
      <c r="O5661"/>
      <c r="R5661"/>
      <c r="S5661"/>
      <c r="T5661"/>
      <c r="U5661"/>
    </row>
    <row r="5662" spans="6:21" x14ac:dyDescent="0.25">
      <c r="F5662"/>
      <c r="O5662"/>
      <c r="R5662"/>
      <c r="S5662"/>
      <c r="T5662"/>
      <c r="U5662"/>
    </row>
    <row r="5663" spans="6:21" x14ac:dyDescent="0.25">
      <c r="F5663"/>
      <c r="O5663"/>
      <c r="R5663"/>
      <c r="S5663"/>
      <c r="T5663"/>
      <c r="U5663"/>
    </row>
    <row r="5664" spans="6:21" x14ac:dyDescent="0.25">
      <c r="F5664"/>
      <c r="O5664"/>
      <c r="R5664"/>
      <c r="S5664"/>
      <c r="T5664"/>
      <c r="U5664"/>
    </row>
    <row r="5665" spans="6:21" x14ac:dyDescent="0.25">
      <c r="F5665"/>
      <c r="O5665"/>
      <c r="R5665"/>
      <c r="S5665"/>
      <c r="T5665"/>
      <c r="U5665"/>
    </row>
    <row r="5666" spans="6:21" x14ac:dyDescent="0.25">
      <c r="F5666"/>
      <c r="O5666"/>
      <c r="R5666"/>
      <c r="S5666"/>
      <c r="T5666"/>
      <c r="U5666"/>
    </row>
    <row r="5667" spans="6:21" x14ac:dyDescent="0.25">
      <c r="F5667"/>
      <c r="O5667"/>
      <c r="R5667"/>
      <c r="S5667"/>
      <c r="T5667"/>
      <c r="U5667"/>
    </row>
    <row r="5668" spans="6:21" x14ac:dyDescent="0.25">
      <c r="F5668"/>
      <c r="O5668"/>
      <c r="R5668"/>
      <c r="S5668"/>
      <c r="T5668"/>
      <c r="U5668"/>
    </row>
    <row r="5669" spans="6:21" x14ac:dyDescent="0.25">
      <c r="F5669"/>
      <c r="O5669"/>
      <c r="R5669"/>
      <c r="S5669"/>
      <c r="T5669"/>
      <c r="U5669"/>
    </row>
    <row r="5670" spans="6:21" x14ac:dyDescent="0.25">
      <c r="F5670"/>
      <c r="O5670"/>
      <c r="R5670"/>
      <c r="S5670"/>
      <c r="T5670"/>
      <c r="U5670"/>
    </row>
    <row r="5671" spans="6:21" x14ac:dyDescent="0.25">
      <c r="F5671"/>
      <c r="O5671"/>
      <c r="R5671"/>
      <c r="S5671"/>
      <c r="T5671"/>
      <c r="U5671"/>
    </row>
    <row r="5672" spans="6:21" x14ac:dyDescent="0.25">
      <c r="F5672"/>
      <c r="O5672"/>
      <c r="R5672"/>
      <c r="S5672"/>
      <c r="T5672"/>
      <c r="U5672"/>
    </row>
    <row r="5673" spans="6:21" x14ac:dyDescent="0.25">
      <c r="F5673"/>
      <c r="O5673"/>
      <c r="R5673"/>
      <c r="S5673"/>
      <c r="T5673"/>
      <c r="U5673"/>
    </row>
    <row r="5674" spans="6:21" x14ac:dyDescent="0.25">
      <c r="F5674"/>
      <c r="O5674"/>
      <c r="R5674"/>
      <c r="S5674"/>
      <c r="T5674"/>
      <c r="U5674"/>
    </row>
    <row r="5675" spans="6:21" x14ac:dyDescent="0.25">
      <c r="F5675"/>
      <c r="O5675"/>
      <c r="R5675"/>
      <c r="S5675"/>
      <c r="T5675"/>
      <c r="U5675"/>
    </row>
    <row r="5676" spans="6:21" x14ac:dyDescent="0.25">
      <c r="F5676"/>
      <c r="O5676"/>
      <c r="R5676"/>
      <c r="S5676"/>
      <c r="T5676"/>
      <c r="U5676"/>
    </row>
    <row r="5677" spans="6:21" x14ac:dyDescent="0.25">
      <c r="F5677"/>
      <c r="O5677"/>
      <c r="R5677"/>
      <c r="S5677"/>
      <c r="T5677"/>
      <c r="U5677"/>
    </row>
    <row r="5678" spans="6:21" x14ac:dyDescent="0.25">
      <c r="F5678"/>
      <c r="O5678"/>
      <c r="R5678"/>
      <c r="S5678"/>
      <c r="T5678"/>
      <c r="U5678"/>
    </row>
    <row r="5679" spans="6:21" x14ac:dyDescent="0.25">
      <c r="F5679"/>
      <c r="O5679"/>
      <c r="R5679"/>
      <c r="S5679"/>
      <c r="T5679"/>
      <c r="U5679"/>
    </row>
    <row r="5680" spans="6:21" x14ac:dyDescent="0.25">
      <c r="F5680"/>
      <c r="O5680"/>
      <c r="R5680"/>
      <c r="S5680"/>
      <c r="T5680"/>
      <c r="U5680"/>
    </row>
    <row r="5681" spans="6:21" x14ac:dyDescent="0.25">
      <c r="F5681"/>
      <c r="O5681"/>
      <c r="R5681"/>
      <c r="S5681"/>
      <c r="T5681"/>
      <c r="U5681"/>
    </row>
    <row r="5682" spans="6:21" x14ac:dyDescent="0.25">
      <c r="F5682"/>
      <c r="O5682"/>
      <c r="R5682"/>
      <c r="S5682"/>
      <c r="T5682"/>
      <c r="U5682"/>
    </row>
    <row r="5683" spans="6:21" x14ac:dyDescent="0.25">
      <c r="F5683"/>
      <c r="O5683"/>
      <c r="R5683"/>
      <c r="S5683"/>
      <c r="T5683"/>
      <c r="U5683"/>
    </row>
    <row r="5684" spans="6:21" x14ac:dyDescent="0.25">
      <c r="F5684"/>
      <c r="O5684"/>
      <c r="R5684"/>
      <c r="S5684"/>
      <c r="T5684"/>
      <c r="U5684"/>
    </row>
    <row r="5685" spans="6:21" x14ac:dyDescent="0.25">
      <c r="F5685"/>
      <c r="O5685"/>
      <c r="R5685"/>
      <c r="S5685"/>
      <c r="T5685"/>
      <c r="U5685"/>
    </row>
    <row r="5686" spans="6:21" x14ac:dyDescent="0.25">
      <c r="F5686"/>
      <c r="O5686"/>
      <c r="R5686"/>
      <c r="S5686"/>
      <c r="T5686"/>
      <c r="U5686"/>
    </row>
    <row r="5687" spans="6:21" x14ac:dyDescent="0.25">
      <c r="F5687"/>
      <c r="O5687"/>
      <c r="R5687"/>
      <c r="S5687"/>
      <c r="T5687"/>
      <c r="U5687"/>
    </row>
    <row r="5688" spans="6:21" x14ac:dyDescent="0.25">
      <c r="F5688"/>
      <c r="O5688"/>
      <c r="R5688"/>
      <c r="S5688"/>
      <c r="T5688"/>
      <c r="U5688"/>
    </row>
    <row r="5689" spans="6:21" x14ac:dyDescent="0.25">
      <c r="F5689"/>
      <c r="O5689"/>
      <c r="R5689"/>
      <c r="S5689"/>
      <c r="T5689"/>
      <c r="U5689"/>
    </row>
    <row r="5690" spans="6:21" x14ac:dyDescent="0.25">
      <c r="F5690"/>
      <c r="O5690"/>
      <c r="R5690"/>
      <c r="S5690"/>
      <c r="T5690"/>
      <c r="U5690"/>
    </row>
    <row r="5691" spans="6:21" x14ac:dyDescent="0.25">
      <c r="F5691"/>
      <c r="O5691"/>
      <c r="R5691"/>
      <c r="S5691"/>
      <c r="T5691"/>
      <c r="U5691"/>
    </row>
    <row r="5692" spans="6:21" x14ac:dyDescent="0.25">
      <c r="F5692"/>
      <c r="O5692"/>
      <c r="R5692"/>
      <c r="S5692"/>
      <c r="T5692"/>
      <c r="U5692"/>
    </row>
    <row r="5693" spans="6:21" x14ac:dyDescent="0.25">
      <c r="F5693"/>
      <c r="O5693"/>
      <c r="R5693"/>
      <c r="S5693"/>
      <c r="T5693"/>
      <c r="U5693"/>
    </row>
    <row r="5694" spans="6:21" x14ac:dyDescent="0.25">
      <c r="F5694"/>
      <c r="O5694"/>
      <c r="R5694"/>
      <c r="S5694"/>
      <c r="T5694"/>
      <c r="U5694"/>
    </row>
    <row r="5695" spans="6:21" x14ac:dyDescent="0.25">
      <c r="F5695"/>
      <c r="O5695"/>
      <c r="R5695"/>
      <c r="S5695"/>
      <c r="T5695"/>
      <c r="U5695"/>
    </row>
    <row r="5696" spans="6:21" x14ac:dyDescent="0.25">
      <c r="F5696"/>
      <c r="O5696"/>
      <c r="R5696"/>
      <c r="S5696"/>
      <c r="T5696"/>
      <c r="U5696"/>
    </row>
    <row r="5697" spans="6:21" x14ac:dyDescent="0.25">
      <c r="F5697"/>
      <c r="O5697"/>
      <c r="R5697"/>
      <c r="S5697"/>
      <c r="T5697"/>
      <c r="U5697"/>
    </row>
    <row r="5698" spans="6:21" x14ac:dyDescent="0.25">
      <c r="F5698"/>
      <c r="O5698"/>
      <c r="R5698"/>
      <c r="S5698"/>
      <c r="T5698"/>
      <c r="U5698"/>
    </row>
    <row r="5699" spans="6:21" x14ac:dyDescent="0.25">
      <c r="F5699"/>
      <c r="O5699"/>
      <c r="R5699"/>
      <c r="S5699"/>
      <c r="T5699"/>
      <c r="U5699"/>
    </row>
    <row r="5700" spans="6:21" x14ac:dyDescent="0.25">
      <c r="F5700"/>
      <c r="O5700"/>
      <c r="R5700"/>
      <c r="S5700"/>
      <c r="T5700"/>
      <c r="U5700"/>
    </row>
    <row r="5701" spans="6:21" x14ac:dyDescent="0.25">
      <c r="F5701"/>
      <c r="O5701"/>
      <c r="R5701"/>
      <c r="S5701"/>
      <c r="T5701"/>
      <c r="U5701"/>
    </row>
    <row r="5702" spans="6:21" x14ac:dyDescent="0.25">
      <c r="F5702"/>
      <c r="O5702"/>
      <c r="R5702"/>
      <c r="S5702"/>
      <c r="T5702"/>
      <c r="U5702"/>
    </row>
    <row r="5703" spans="6:21" x14ac:dyDescent="0.25">
      <c r="F5703"/>
      <c r="O5703"/>
      <c r="R5703"/>
      <c r="S5703"/>
      <c r="T5703"/>
      <c r="U5703"/>
    </row>
    <row r="5704" spans="6:21" x14ac:dyDescent="0.25">
      <c r="F5704"/>
      <c r="O5704"/>
      <c r="R5704"/>
      <c r="S5704"/>
      <c r="T5704"/>
      <c r="U5704"/>
    </row>
    <row r="5705" spans="6:21" x14ac:dyDescent="0.25">
      <c r="F5705"/>
      <c r="O5705"/>
      <c r="R5705"/>
      <c r="S5705"/>
      <c r="T5705"/>
      <c r="U5705"/>
    </row>
    <row r="5706" spans="6:21" x14ac:dyDescent="0.25">
      <c r="F5706"/>
      <c r="O5706"/>
      <c r="R5706"/>
      <c r="S5706"/>
      <c r="T5706"/>
      <c r="U5706"/>
    </row>
    <row r="5707" spans="6:21" x14ac:dyDescent="0.25">
      <c r="F5707"/>
      <c r="O5707"/>
      <c r="R5707"/>
      <c r="S5707"/>
      <c r="T5707"/>
      <c r="U5707"/>
    </row>
    <row r="5708" spans="6:21" x14ac:dyDescent="0.25">
      <c r="F5708"/>
      <c r="O5708"/>
      <c r="R5708"/>
      <c r="S5708"/>
      <c r="T5708"/>
      <c r="U5708"/>
    </row>
    <row r="5709" spans="6:21" x14ac:dyDescent="0.25">
      <c r="F5709"/>
      <c r="O5709"/>
      <c r="R5709"/>
      <c r="S5709"/>
      <c r="T5709"/>
      <c r="U5709"/>
    </row>
    <row r="5710" spans="6:21" x14ac:dyDescent="0.25">
      <c r="F5710"/>
      <c r="O5710"/>
      <c r="R5710"/>
      <c r="S5710"/>
      <c r="T5710"/>
      <c r="U5710"/>
    </row>
    <row r="5711" spans="6:21" x14ac:dyDescent="0.25">
      <c r="F5711"/>
      <c r="O5711"/>
      <c r="R5711"/>
      <c r="S5711"/>
      <c r="T5711"/>
      <c r="U5711"/>
    </row>
    <row r="5712" spans="6:21" x14ac:dyDescent="0.25">
      <c r="F5712"/>
      <c r="O5712"/>
      <c r="R5712"/>
      <c r="S5712"/>
      <c r="T5712"/>
      <c r="U5712"/>
    </row>
    <row r="5713" spans="6:21" x14ac:dyDescent="0.25">
      <c r="F5713"/>
      <c r="O5713"/>
      <c r="R5713"/>
      <c r="S5713"/>
      <c r="T5713"/>
      <c r="U5713"/>
    </row>
    <row r="5714" spans="6:21" x14ac:dyDescent="0.25">
      <c r="F5714"/>
      <c r="O5714"/>
      <c r="R5714"/>
      <c r="S5714"/>
      <c r="T5714"/>
      <c r="U5714"/>
    </row>
    <row r="5715" spans="6:21" x14ac:dyDescent="0.25">
      <c r="F5715"/>
      <c r="O5715"/>
      <c r="R5715"/>
      <c r="S5715"/>
      <c r="T5715"/>
      <c r="U5715"/>
    </row>
    <row r="5716" spans="6:21" x14ac:dyDescent="0.25">
      <c r="F5716"/>
      <c r="O5716"/>
      <c r="R5716"/>
      <c r="S5716"/>
      <c r="T5716"/>
      <c r="U5716"/>
    </row>
    <row r="5717" spans="6:21" x14ac:dyDescent="0.25">
      <c r="F5717"/>
      <c r="O5717"/>
      <c r="R5717"/>
      <c r="S5717"/>
      <c r="T5717"/>
      <c r="U5717"/>
    </row>
    <row r="5718" spans="6:21" x14ac:dyDescent="0.25">
      <c r="F5718"/>
      <c r="O5718"/>
      <c r="R5718"/>
      <c r="S5718"/>
      <c r="T5718"/>
      <c r="U5718"/>
    </row>
    <row r="5719" spans="6:21" x14ac:dyDescent="0.25">
      <c r="F5719"/>
      <c r="O5719"/>
      <c r="R5719"/>
      <c r="S5719"/>
      <c r="T5719"/>
      <c r="U5719"/>
    </row>
    <row r="5720" spans="6:21" x14ac:dyDescent="0.25">
      <c r="F5720"/>
      <c r="O5720"/>
      <c r="R5720"/>
      <c r="S5720"/>
      <c r="T5720"/>
      <c r="U5720"/>
    </row>
    <row r="5721" spans="6:21" x14ac:dyDescent="0.25">
      <c r="F5721"/>
      <c r="O5721"/>
      <c r="R5721"/>
      <c r="S5721"/>
      <c r="T5721"/>
      <c r="U5721"/>
    </row>
    <row r="5722" spans="6:21" x14ac:dyDescent="0.25">
      <c r="F5722"/>
      <c r="O5722"/>
      <c r="R5722"/>
      <c r="S5722"/>
      <c r="T5722"/>
      <c r="U5722"/>
    </row>
    <row r="5723" spans="6:21" x14ac:dyDescent="0.25">
      <c r="F5723"/>
      <c r="O5723"/>
      <c r="R5723"/>
      <c r="S5723"/>
      <c r="T5723"/>
      <c r="U5723"/>
    </row>
    <row r="5724" spans="6:21" x14ac:dyDescent="0.25">
      <c r="F5724"/>
      <c r="O5724"/>
      <c r="R5724"/>
      <c r="S5724"/>
      <c r="T5724"/>
      <c r="U5724"/>
    </row>
    <row r="5725" spans="6:21" x14ac:dyDescent="0.25">
      <c r="F5725"/>
      <c r="O5725"/>
      <c r="R5725"/>
      <c r="S5725"/>
      <c r="T5725"/>
      <c r="U5725"/>
    </row>
    <row r="5726" spans="6:21" x14ac:dyDescent="0.25">
      <c r="F5726"/>
      <c r="O5726"/>
      <c r="R5726"/>
      <c r="S5726"/>
      <c r="T5726"/>
      <c r="U5726"/>
    </row>
    <row r="5727" spans="6:21" x14ac:dyDescent="0.25">
      <c r="F5727"/>
      <c r="O5727"/>
      <c r="R5727"/>
      <c r="S5727"/>
      <c r="T5727"/>
      <c r="U5727"/>
    </row>
    <row r="5728" spans="6:21" x14ac:dyDescent="0.25">
      <c r="F5728"/>
      <c r="O5728"/>
      <c r="R5728"/>
      <c r="S5728"/>
      <c r="T5728"/>
      <c r="U5728"/>
    </row>
    <row r="5729" spans="6:21" x14ac:dyDescent="0.25">
      <c r="F5729"/>
      <c r="O5729"/>
      <c r="R5729"/>
      <c r="S5729"/>
      <c r="T5729"/>
      <c r="U5729"/>
    </row>
    <row r="5730" spans="6:21" x14ac:dyDescent="0.25">
      <c r="F5730"/>
      <c r="O5730"/>
      <c r="R5730"/>
      <c r="S5730"/>
      <c r="T5730"/>
      <c r="U5730"/>
    </row>
    <row r="5731" spans="6:21" x14ac:dyDescent="0.25">
      <c r="F5731"/>
      <c r="O5731"/>
      <c r="R5731"/>
      <c r="S5731"/>
      <c r="T5731"/>
      <c r="U5731"/>
    </row>
    <row r="5732" spans="6:21" x14ac:dyDescent="0.25">
      <c r="F5732"/>
      <c r="O5732"/>
      <c r="R5732"/>
      <c r="S5732"/>
      <c r="T5732"/>
      <c r="U5732"/>
    </row>
    <row r="5733" spans="6:21" x14ac:dyDescent="0.25">
      <c r="F5733"/>
      <c r="O5733"/>
      <c r="R5733"/>
      <c r="S5733"/>
      <c r="T5733"/>
      <c r="U5733"/>
    </row>
    <row r="5734" spans="6:21" x14ac:dyDescent="0.25">
      <c r="F5734"/>
      <c r="O5734"/>
      <c r="R5734"/>
      <c r="S5734"/>
      <c r="T5734"/>
      <c r="U5734"/>
    </row>
    <row r="5735" spans="6:21" x14ac:dyDescent="0.25">
      <c r="F5735"/>
      <c r="O5735"/>
      <c r="R5735"/>
      <c r="S5735"/>
      <c r="T5735"/>
      <c r="U5735"/>
    </row>
    <row r="5736" spans="6:21" x14ac:dyDescent="0.25">
      <c r="F5736"/>
      <c r="O5736"/>
      <c r="R5736"/>
      <c r="S5736"/>
      <c r="T5736"/>
      <c r="U5736"/>
    </row>
    <row r="5737" spans="6:21" x14ac:dyDescent="0.25">
      <c r="F5737"/>
      <c r="O5737"/>
      <c r="R5737"/>
      <c r="S5737"/>
      <c r="T5737"/>
      <c r="U5737"/>
    </row>
    <row r="5738" spans="6:21" x14ac:dyDescent="0.25">
      <c r="F5738"/>
      <c r="O5738"/>
      <c r="R5738"/>
      <c r="S5738"/>
      <c r="T5738"/>
      <c r="U5738"/>
    </row>
    <row r="5739" spans="6:21" x14ac:dyDescent="0.25">
      <c r="F5739"/>
      <c r="O5739"/>
      <c r="R5739"/>
      <c r="S5739"/>
      <c r="T5739"/>
      <c r="U5739"/>
    </row>
    <row r="5740" spans="6:21" x14ac:dyDescent="0.25">
      <c r="F5740"/>
      <c r="O5740"/>
      <c r="R5740"/>
      <c r="S5740"/>
      <c r="T5740"/>
      <c r="U5740"/>
    </row>
    <row r="5741" spans="6:21" x14ac:dyDescent="0.25">
      <c r="F5741"/>
      <c r="O5741"/>
      <c r="R5741"/>
      <c r="S5741"/>
      <c r="T5741"/>
      <c r="U5741"/>
    </row>
    <row r="5742" spans="6:21" x14ac:dyDescent="0.25">
      <c r="F5742"/>
      <c r="O5742"/>
      <c r="R5742"/>
      <c r="S5742"/>
      <c r="T5742"/>
      <c r="U5742"/>
    </row>
    <row r="5743" spans="6:21" x14ac:dyDescent="0.25">
      <c r="F5743"/>
      <c r="O5743"/>
      <c r="R5743"/>
      <c r="S5743"/>
      <c r="T5743"/>
      <c r="U5743"/>
    </row>
    <row r="5744" spans="6:21" x14ac:dyDescent="0.25">
      <c r="F5744"/>
      <c r="O5744"/>
      <c r="R5744"/>
      <c r="S5744"/>
      <c r="T5744"/>
      <c r="U5744"/>
    </row>
    <row r="5745" spans="6:21" x14ac:dyDescent="0.25">
      <c r="F5745"/>
      <c r="O5745"/>
      <c r="R5745"/>
      <c r="S5745"/>
      <c r="T5745"/>
      <c r="U5745"/>
    </row>
    <row r="5746" spans="6:21" x14ac:dyDescent="0.25">
      <c r="F5746"/>
      <c r="O5746"/>
      <c r="R5746"/>
      <c r="S5746"/>
      <c r="T5746"/>
      <c r="U5746"/>
    </row>
    <row r="5747" spans="6:21" x14ac:dyDescent="0.25">
      <c r="F5747"/>
      <c r="O5747"/>
      <c r="R5747"/>
      <c r="S5747"/>
      <c r="T5747"/>
      <c r="U5747"/>
    </row>
    <row r="5748" spans="6:21" x14ac:dyDescent="0.25">
      <c r="F5748"/>
      <c r="O5748"/>
      <c r="R5748"/>
      <c r="S5748"/>
      <c r="T5748"/>
      <c r="U5748"/>
    </row>
    <row r="5749" spans="6:21" x14ac:dyDescent="0.25">
      <c r="F5749"/>
      <c r="O5749"/>
      <c r="R5749"/>
      <c r="S5749"/>
      <c r="T5749"/>
      <c r="U5749"/>
    </row>
    <row r="5750" spans="6:21" x14ac:dyDescent="0.25">
      <c r="F5750"/>
      <c r="O5750"/>
      <c r="R5750"/>
      <c r="S5750"/>
      <c r="T5750"/>
      <c r="U5750"/>
    </row>
    <row r="5751" spans="6:21" x14ac:dyDescent="0.25">
      <c r="F5751"/>
      <c r="O5751"/>
      <c r="R5751"/>
      <c r="S5751"/>
      <c r="T5751"/>
      <c r="U5751"/>
    </row>
    <row r="5752" spans="6:21" x14ac:dyDescent="0.25">
      <c r="F5752"/>
      <c r="O5752"/>
      <c r="R5752"/>
      <c r="S5752"/>
      <c r="T5752"/>
      <c r="U5752"/>
    </row>
    <row r="5753" spans="6:21" x14ac:dyDescent="0.25">
      <c r="F5753"/>
      <c r="O5753"/>
      <c r="R5753"/>
      <c r="S5753"/>
      <c r="T5753"/>
      <c r="U5753"/>
    </row>
    <row r="5754" spans="6:21" x14ac:dyDescent="0.25">
      <c r="F5754"/>
      <c r="O5754"/>
      <c r="R5754"/>
      <c r="S5754"/>
      <c r="T5754"/>
      <c r="U5754"/>
    </row>
    <row r="5755" spans="6:21" x14ac:dyDescent="0.25">
      <c r="F5755"/>
      <c r="O5755"/>
      <c r="R5755"/>
      <c r="S5755"/>
      <c r="T5755"/>
      <c r="U5755"/>
    </row>
    <row r="5756" spans="6:21" x14ac:dyDescent="0.25">
      <c r="F5756"/>
      <c r="O5756"/>
      <c r="R5756"/>
      <c r="S5756"/>
      <c r="T5756"/>
      <c r="U5756"/>
    </row>
    <row r="5757" spans="6:21" x14ac:dyDescent="0.25">
      <c r="F5757"/>
      <c r="O5757"/>
      <c r="R5757"/>
      <c r="S5757"/>
      <c r="T5757"/>
      <c r="U5757"/>
    </row>
    <row r="5758" spans="6:21" x14ac:dyDescent="0.25">
      <c r="F5758"/>
      <c r="O5758"/>
      <c r="R5758"/>
      <c r="S5758"/>
      <c r="T5758"/>
      <c r="U5758"/>
    </row>
    <row r="5759" spans="6:21" x14ac:dyDescent="0.25">
      <c r="F5759"/>
      <c r="O5759"/>
      <c r="R5759"/>
      <c r="S5759"/>
      <c r="T5759"/>
      <c r="U5759"/>
    </row>
    <row r="5760" spans="6:21" x14ac:dyDescent="0.25">
      <c r="F5760"/>
      <c r="O5760"/>
      <c r="R5760"/>
      <c r="S5760"/>
      <c r="T5760"/>
      <c r="U5760"/>
    </row>
    <row r="5761" spans="6:21" x14ac:dyDescent="0.25">
      <c r="F5761"/>
      <c r="O5761"/>
      <c r="R5761"/>
      <c r="S5761"/>
      <c r="T5761"/>
      <c r="U5761"/>
    </row>
    <row r="5762" spans="6:21" x14ac:dyDescent="0.25">
      <c r="F5762"/>
      <c r="O5762"/>
      <c r="R5762"/>
      <c r="S5762"/>
      <c r="T5762"/>
      <c r="U5762"/>
    </row>
    <row r="5763" spans="6:21" x14ac:dyDescent="0.25">
      <c r="F5763"/>
      <c r="O5763"/>
      <c r="R5763"/>
      <c r="S5763"/>
      <c r="T5763"/>
      <c r="U5763"/>
    </row>
    <row r="5764" spans="6:21" x14ac:dyDescent="0.25">
      <c r="F5764"/>
      <c r="O5764"/>
      <c r="R5764"/>
      <c r="S5764"/>
      <c r="T5764"/>
      <c r="U5764"/>
    </row>
    <row r="5765" spans="6:21" x14ac:dyDescent="0.25">
      <c r="F5765"/>
      <c r="O5765"/>
      <c r="R5765"/>
      <c r="S5765"/>
      <c r="T5765"/>
      <c r="U5765"/>
    </row>
    <row r="5766" spans="6:21" x14ac:dyDescent="0.25">
      <c r="F5766"/>
      <c r="O5766"/>
      <c r="R5766"/>
      <c r="S5766"/>
      <c r="T5766"/>
      <c r="U5766"/>
    </row>
    <row r="5767" spans="6:21" x14ac:dyDescent="0.25">
      <c r="F5767"/>
      <c r="O5767"/>
      <c r="R5767"/>
      <c r="S5767"/>
      <c r="T5767"/>
      <c r="U5767"/>
    </row>
    <row r="5768" spans="6:21" x14ac:dyDescent="0.25">
      <c r="F5768"/>
      <c r="O5768"/>
      <c r="R5768"/>
      <c r="S5768"/>
      <c r="T5768"/>
      <c r="U5768"/>
    </row>
    <row r="5769" spans="6:21" x14ac:dyDescent="0.25">
      <c r="F5769"/>
      <c r="O5769"/>
      <c r="R5769"/>
      <c r="S5769"/>
      <c r="T5769"/>
      <c r="U5769"/>
    </row>
    <row r="5770" spans="6:21" x14ac:dyDescent="0.25">
      <c r="F5770"/>
      <c r="O5770"/>
      <c r="R5770"/>
      <c r="S5770"/>
      <c r="T5770"/>
      <c r="U5770"/>
    </row>
    <row r="5771" spans="6:21" x14ac:dyDescent="0.25">
      <c r="F5771"/>
      <c r="O5771"/>
      <c r="R5771"/>
      <c r="S5771"/>
      <c r="T5771"/>
      <c r="U5771"/>
    </row>
    <row r="5772" spans="6:21" x14ac:dyDescent="0.25">
      <c r="F5772"/>
      <c r="O5772"/>
      <c r="R5772"/>
      <c r="S5772"/>
      <c r="T5772"/>
      <c r="U5772"/>
    </row>
    <row r="5773" spans="6:21" x14ac:dyDescent="0.25">
      <c r="F5773"/>
      <c r="O5773"/>
      <c r="R5773"/>
      <c r="S5773"/>
      <c r="T5773"/>
      <c r="U5773"/>
    </row>
    <row r="5774" spans="6:21" x14ac:dyDescent="0.25">
      <c r="F5774"/>
      <c r="O5774"/>
      <c r="R5774"/>
      <c r="S5774"/>
      <c r="T5774"/>
      <c r="U5774"/>
    </row>
    <row r="5775" spans="6:21" x14ac:dyDescent="0.25">
      <c r="F5775"/>
      <c r="O5775"/>
      <c r="R5775"/>
      <c r="S5775"/>
      <c r="T5775"/>
      <c r="U5775"/>
    </row>
    <row r="5776" spans="6:21" x14ac:dyDescent="0.25">
      <c r="F5776"/>
      <c r="O5776"/>
      <c r="R5776"/>
      <c r="S5776"/>
      <c r="T5776"/>
      <c r="U5776"/>
    </row>
    <row r="5777" spans="6:21" x14ac:dyDescent="0.25">
      <c r="F5777"/>
      <c r="O5777"/>
      <c r="R5777"/>
      <c r="S5777"/>
      <c r="T5777"/>
      <c r="U5777"/>
    </row>
    <row r="5778" spans="6:21" x14ac:dyDescent="0.25">
      <c r="F5778"/>
      <c r="O5778"/>
      <c r="R5778"/>
      <c r="S5778"/>
      <c r="T5778"/>
      <c r="U5778"/>
    </row>
    <row r="5779" spans="6:21" x14ac:dyDescent="0.25">
      <c r="F5779"/>
      <c r="O5779"/>
      <c r="R5779"/>
      <c r="S5779"/>
      <c r="T5779"/>
      <c r="U5779"/>
    </row>
    <row r="5780" spans="6:21" x14ac:dyDescent="0.25">
      <c r="F5780"/>
      <c r="O5780"/>
      <c r="R5780"/>
      <c r="S5780"/>
      <c r="T5780"/>
      <c r="U5780"/>
    </row>
    <row r="5781" spans="6:21" x14ac:dyDescent="0.25">
      <c r="F5781"/>
      <c r="O5781"/>
      <c r="R5781"/>
      <c r="S5781"/>
      <c r="T5781"/>
      <c r="U5781"/>
    </row>
    <row r="5782" spans="6:21" x14ac:dyDescent="0.25">
      <c r="F5782"/>
      <c r="O5782"/>
      <c r="R5782"/>
      <c r="S5782"/>
      <c r="T5782"/>
      <c r="U5782"/>
    </row>
    <row r="5783" spans="6:21" x14ac:dyDescent="0.25">
      <c r="F5783"/>
      <c r="O5783"/>
      <c r="R5783"/>
      <c r="S5783"/>
      <c r="T5783"/>
      <c r="U5783"/>
    </row>
    <row r="5784" spans="6:21" x14ac:dyDescent="0.25">
      <c r="F5784"/>
      <c r="O5784"/>
      <c r="R5784"/>
      <c r="S5784"/>
      <c r="T5784"/>
      <c r="U5784"/>
    </row>
    <row r="5785" spans="6:21" x14ac:dyDescent="0.25">
      <c r="F5785"/>
      <c r="O5785"/>
      <c r="R5785"/>
      <c r="S5785"/>
      <c r="T5785"/>
      <c r="U5785"/>
    </row>
    <row r="5786" spans="6:21" x14ac:dyDescent="0.25">
      <c r="F5786"/>
      <c r="O5786"/>
      <c r="R5786"/>
      <c r="S5786"/>
      <c r="T5786"/>
      <c r="U5786"/>
    </row>
    <row r="5787" spans="6:21" x14ac:dyDescent="0.25">
      <c r="F5787"/>
      <c r="O5787"/>
      <c r="R5787"/>
      <c r="S5787"/>
      <c r="T5787"/>
      <c r="U5787"/>
    </row>
    <row r="5788" spans="6:21" x14ac:dyDescent="0.25">
      <c r="F5788"/>
      <c r="O5788"/>
      <c r="R5788"/>
      <c r="S5788"/>
      <c r="T5788"/>
      <c r="U5788"/>
    </row>
    <row r="5789" spans="6:21" x14ac:dyDescent="0.25">
      <c r="F5789"/>
      <c r="O5789"/>
      <c r="R5789"/>
      <c r="S5789"/>
      <c r="T5789"/>
      <c r="U5789"/>
    </row>
    <row r="5790" spans="6:21" x14ac:dyDescent="0.25">
      <c r="F5790"/>
      <c r="O5790"/>
      <c r="R5790"/>
      <c r="S5790"/>
      <c r="T5790"/>
      <c r="U5790"/>
    </row>
    <row r="5791" spans="6:21" x14ac:dyDescent="0.25">
      <c r="F5791"/>
      <c r="O5791"/>
      <c r="R5791"/>
      <c r="S5791"/>
      <c r="T5791"/>
      <c r="U5791"/>
    </row>
    <row r="5792" spans="6:21" x14ac:dyDescent="0.25">
      <c r="F5792"/>
      <c r="O5792"/>
      <c r="R5792"/>
      <c r="S5792"/>
      <c r="T5792"/>
      <c r="U5792"/>
    </row>
    <row r="5793" spans="6:21" x14ac:dyDescent="0.25">
      <c r="F5793"/>
      <c r="O5793"/>
      <c r="R5793"/>
      <c r="S5793"/>
      <c r="T5793"/>
      <c r="U5793"/>
    </row>
    <row r="5794" spans="6:21" x14ac:dyDescent="0.25">
      <c r="F5794"/>
      <c r="O5794"/>
      <c r="R5794"/>
      <c r="S5794"/>
      <c r="T5794"/>
      <c r="U5794"/>
    </row>
    <row r="5795" spans="6:21" x14ac:dyDescent="0.25">
      <c r="F5795"/>
      <c r="O5795"/>
      <c r="R5795"/>
      <c r="S5795"/>
      <c r="T5795"/>
      <c r="U5795"/>
    </row>
    <row r="5796" spans="6:21" x14ac:dyDescent="0.25">
      <c r="F5796"/>
      <c r="O5796"/>
      <c r="R5796"/>
      <c r="S5796"/>
      <c r="T5796"/>
      <c r="U5796"/>
    </row>
    <row r="5797" spans="6:21" x14ac:dyDescent="0.25">
      <c r="F5797"/>
      <c r="O5797"/>
      <c r="R5797"/>
      <c r="S5797"/>
      <c r="T5797"/>
      <c r="U5797"/>
    </row>
    <row r="5798" spans="6:21" x14ac:dyDescent="0.25">
      <c r="F5798"/>
      <c r="O5798"/>
      <c r="R5798"/>
      <c r="S5798"/>
      <c r="T5798"/>
      <c r="U5798"/>
    </row>
    <row r="5799" spans="6:21" x14ac:dyDescent="0.25">
      <c r="F5799"/>
      <c r="O5799"/>
      <c r="R5799"/>
      <c r="S5799"/>
      <c r="T5799"/>
      <c r="U5799"/>
    </row>
    <row r="5800" spans="6:21" x14ac:dyDescent="0.25">
      <c r="F5800"/>
      <c r="O5800"/>
      <c r="R5800"/>
      <c r="S5800"/>
      <c r="T5800"/>
      <c r="U5800"/>
    </row>
    <row r="5801" spans="6:21" x14ac:dyDescent="0.25">
      <c r="F5801"/>
      <c r="O5801"/>
      <c r="R5801"/>
      <c r="S5801"/>
      <c r="T5801"/>
      <c r="U5801"/>
    </row>
    <row r="5802" spans="6:21" x14ac:dyDescent="0.25">
      <c r="F5802"/>
      <c r="O5802"/>
      <c r="R5802"/>
      <c r="S5802"/>
      <c r="T5802"/>
      <c r="U5802"/>
    </row>
    <row r="5803" spans="6:21" x14ac:dyDescent="0.25">
      <c r="F5803"/>
      <c r="O5803"/>
      <c r="R5803"/>
      <c r="S5803"/>
      <c r="T5803"/>
      <c r="U5803"/>
    </row>
    <row r="5804" spans="6:21" x14ac:dyDescent="0.25">
      <c r="F5804"/>
      <c r="O5804"/>
      <c r="R5804"/>
      <c r="S5804"/>
      <c r="T5804"/>
      <c r="U5804"/>
    </row>
    <row r="5805" spans="6:21" x14ac:dyDescent="0.25">
      <c r="F5805"/>
      <c r="O5805"/>
      <c r="R5805"/>
      <c r="S5805"/>
      <c r="T5805"/>
      <c r="U5805"/>
    </row>
    <row r="5806" spans="6:21" x14ac:dyDescent="0.25">
      <c r="F5806"/>
      <c r="O5806"/>
      <c r="R5806"/>
      <c r="S5806"/>
      <c r="T5806"/>
      <c r="U5806"/>
    </row>
    <row r="5807" spans="6:21" x14ac:dyDescent="0.25">
      <c r="F5807"/>
      <c r="O5807"/>
      <c r="R5807"/>
      <c r="S5807"/>
      <c r="T5807"/>
      <c r="U5807"/>
    </row>
    <row r="5808" spans="6:21" x14ac:dyDescent="0.25">
      <c r="F5808"/>
      <c r="O5808"/>
      <c r="R5808"/>
      <c r="S5808"/>
      <c r="T5808"/>
      <c r="U5808"/>
    </row>
    <row r="5809" spans="6:21" x14ac:dyDescent="0.25">
      <c r="F5809"/>
      <c r="O5809"/>
      <c r="R5809"/>
      <c r="S5809"/>
      <c r="T5809"/>
      <c r="U5809"/>
    </row>
    <row r="5810" spans="6:21" x14ac:dyDescent="0.25">
      <c r="F5810"/>
      <c r="O5810"/>
      <c r="R5810"/>
      <c r="S5810"/>
      <c r="T5810"/>
      <c r="U5810"/>
    </row>
    <row r="5811" spans="6:21" x14ac:dyDescent="0.25">
      <c r="F5811"/>
      <c r="O5811"/>
      <c r="R5811"/>
      <c r="S5811"/>
      <c r="T5811"/>
      <c r="U5811"/>
    </row>
    <row r="5812" spans="6:21" x14ac:dyDescent="0.25">
      <c r="F5812"/>
      <c r="O5812"/>
      <c r="R5812"/>
      <c r="S5812"/>
      <c r="T5812"/>
      <c r="U5812"/>
    </row>
    <row r="5813" spans="6:21" x14ac:dyDescent="0.25">
      <c r="F5813"/>
      <c r="O5813"/>
      <c r="R5813"/>
      <c r="S5813"/>
      <c r="T5813"/>
      <c r="U5813"/>
    </row>
    <row r="5814" spans="6:21" x14ac:dyDescent="0.25">
      <c r="F5814"/>
      <c r="O5814"/>
      <c r="R5814"/>
      <c r="S5814"/>
      <c r="T5814"/>
      <c r="U5814"/>
    </row>
    <row r="5815" spans="6:21" x14ac:dyDescent="0.25">
      <c r="F5815"/>
      <c r="O5815"/>
      <c r="R5815"/>
      <c r="S5815"/>
      <c r="T5815"/>
      <c r="U5815"/>
    </row>
    <row r="5816" spans="6:21" x14ac:dyDescent="0.25">
      <c r="F5816"/>
      <c r="O5816"/>
      <c r="R5816"/>
      <c r="S5816"/>
      <c r="T5816"/>
      <c r="U5816"/>
    </row>
    <row r="5817" spans="6:21" x14ac:dyDescent="0.25">
      <c r="F5817"/>
      <c r="O5817"/>
      <c r="R5817"/>
      <c r="S5817"/>
      <c r="T5817"/>
      <c r="U5817"/>
    </row>
    <row r="5818" spans="6:21" x14ac:dyDescent="0.25">
      <c r="F5818"/>
      <c r="O5818"/>
      <c r="R5818"/>
      <c r="S5818"/>
      <c r="T5818"/>
      <c r="U5818"/>
    </row>
    <row r="5819" spans="6:21" x14ac:dyDescent="0.25">
      <c r="F5819"/>
      <c r="O5819"/>
      <c r="R5819"/>
      <c r="S5819"/>
      <c r="T5819"/>
      <c r="U5819"/>
    </row>
    <row r="5820" spans="6:21" x14ac:dyDescent="0.25">
      <c r="F5820"/>
      <c r="O5820"/>
      <c r="R5820"/>
      <c r="S5820"/>
      <c r="T5820"/>
      <c r="U5820"/>
    </row>
    <row r="5821" spans="6:21" x14ac:dyDescent="0.25">
      <c r="F5821"/>
      <c r="O5821"/>
      <c r="R5821"/>
      <c r="S5821"/>
      <c r="T5821"/>
      <c r="U5821"/>
    </row>
    <row r="5822" spans="6:21" x14ac:dyDescent="0.25">
      <c r="F5822"/>
      <c r="O5822"/>
      <c r="R5822"/>
      <c r="S5822"/>
      <c r="T5822"/>
      <c r="U5822"/>
    </row>
    <row r="5823" spans="6:21" x14ac:dyDescent="0.25">
      <c r="F5823"/>
      <c r="O5823"/>
      <c r="R5823"/>
      <c r="S5823"/>
      <c r="T5823"/>
      <c r="U5823"/>
    </row>
    <row r="5824" spans="6:21" x14ac:dyDescent="0.25">
      <c r="F5824"/>
      <c r="O5824"/>
      <c r="R5824"/>
      <c r="S5824"/>
      <c r="T5824"/>
      <c r="U5824"/>
    </row>
    <row r="5825" spans="6:21" x14ac:dyDescent="0.25">
      <c r="F5825"/>
      <c r="O5825"/>
      <c r="R5825"/>
      <c r="S5825"/>
      <c r="T5825"/>
      <c r="U5825"/>
    </row>
    <row r="5826" spans="6:21" x14ac:dyDescent="0.25">
      <c r="F5826"/>
      <c r="O5826"/>
      <c r="R5826"/>
      <c r="S5826"/>
      <c r="T5826"/>
      <c r="U5826"/>
    </row>
    <row r="5827" spans="6:21" x14ac:dyDescent="0.25">
      <c r="F5827"/>
      <c r="O5827"/>
      <c r="R5827"/>
      <c r="S5827"/>
      <c r="T5827"/>
      <c r="U5827"/>
    </row>
    <row r="5828" spans="6:21" x14ac:dyDescent="0.25">
      <c r="F5828"/>
      <c r="O5828"/>
      <c r="R5828"/>
      <c r="S5828"/>
      <c r="T5828"/>
      <c r="U5828"/>
    </row>
    <row r="5829" spans="6:21" x14ac:dyDescent="0.25">
      <c r="F5829"/>
      <c r="O5829"/>
      <c r="R5829"/>
      <c r="S5829"/>
      <c r="T5829"/>
      <c r="U5829"/>
    </row>
    <row r="5830" spans="6:21" x14ac:dyDescent="0.25">
      <c r="F5830"/>
      <c r="O5830"/>
      <c r="R5830"/>
      <c r="S5830"/>
      <c r="T5830"/>
      <c r="U5830"/>
    </row>
    <row r="5831" spans="6:21" x14ac:dyDescent="0.25">
      <c r="F5831"/>
      <c r="O5831"/>
      <c r="R5831"/>
      <c r="S5831"/>
      <c r="T5831"/>
      <c r="U5831"/>
    </row>
    <row r="5832" spans="6:21" x14ac:dyDescent="0.25">
      <c r="F5832"/>
      <c r="O5832"/>
      <c r="R5832"/>
      <c r="S5832"/>
      <c r="T5832"/>
      <c r="U5832"/>
    </row>
    <row r="5833" spans="6:21" x14ac:dyDescent="0.25">
      <c r="F5833"/>
      <c r="O5833"/>
      <c r="R5833"/>
      <c r="S5833"/>
      <c r="T5833"/>
      <c r="U5833"/>
    </row>
    <row r="5834" spans="6:21" x14ac:dyDescent="0.25">
      <c r="F5834"/>
      <c r="O5834"/>
      <c r="R5834"/>
      <c r="S5834"/>
      <c r="T5834"/>
      <c r="U5834"/>
    </row>
    <row r="5835" spans="6:21" x14ac:dyDescent="0.25">
      <c r="F5835"/>
      <c r="O5835"/>
      <c r="R5835"/>
      <c r="S5835"/>
      <c r="T5835"/>
      <c r="U5835"/>
    </row>
    <row r="5836" spans="6:21" x14ac:dyDescent="0.25">
      <c r="F5836"/>
      <c r="O5836"/>
      <c r="R5836"/>
      <c r="S5836"/>
      <c r="T5836"/>
      <c r="U5836"/>
    </row>
    <row r="5837" spans="6:21" x14ac:dyDescent="0.25">
      <c r="F5837"/>
      <c r="O5837"/>
      <c r="R5837"/>
      <c r="S5837"/>
      <c r="T5837"/>
      <c r="U5837"/>
    </row>
    <row r="5838" spans="6:21" x14ac:dyDescent="0.25">
      <c r="F5838"/>
      <c r="O5838"/>
      <c r="R5838"/>
      <c r="S5838"/>
      <c r="T5838"/>
      <c r="U5838"/>
    </row>
    <row r="5839" spans="6:21" x14ac:dyDescent="0.25">
      <c r="F5839"/>
      <c r="O5839"/>
      <c r="R5839"/>
      <c r="S5839"/>
      <c r="T5839"/>
      <c r="U5839"/>
    </row>
    <row r="5840" spans="6:21" x14ac:dyDescent="0.25">
      <c r="F5840"/>
      <c r="O5840"/>
      <c r="R5840"/>
      <c r="S5840"/>
      <c r="T5840"/>
      <c r="U5840"/>
    </row>
    <row r="5841" spans="6:21" x14ac:dyDescent="0.25">
      <c r="F5841"/>
      <c r="O5841"/>
      <c r="R5841"/>
      <c r="S5841"/>
      <c r="T5841"/>
      <c r="U5841"/>
    </row>
    <row r="5842" spans="6:21" x14ac:dyDescent="0.25">
      <c r="F5842"/>
      <c r="O5842"/>
      <c r="R5842"/>
      <c r="S5842"/>
      <c r="T5842"/>
      <c r="U5842"/>
    </row>
    <row r="5843" spans="6:21" x14ac:dyDescent="0.25">
      <c r="F5843"/>
      <c r="O5843"/>
      <c r="R5843"/>
      <c r="S5843"/>
      <c r="T5843"/>
      <c r="U5843"/>
    </row>
    <row r="5844" spans="6:21" x14ac:dyDescent="0.25">
      <c r="F5844"/>
      <c r="O5844"/>
      <c r="R5844"/>
      <c r="S5844"/>
      <c r="T5844"/>
      <c r="U5844"/>
    </row>
    <row r="5845" spans="6:21" x14ac:dyDescent="0.25">
      <c r="F5845"/>
      <c r="O5845"/>
      <c r="R5845"/>
      <c r="S5845"/>
      <c r="T5845"/>
      <c r="U5845"/>
    </row>
    <row r="5846" spans="6:21" x14ac:dyDescent="0.25">
      <c r="F5846"/>
      <c r="O5846"/>
      <c r="R5846"/>
      <c r="S5846"/>
      <c r="T5846"/>
      <c r="U5846"/>
    </row>
    <row r="5847" spans="6:21" x14ac:dyDescent="0.25">
      <c r="F5847"/>
      <c r="O5847"/>
      <c r="R5847"/>
      <c r="S5847"/>
      <c r="T5847"/>
      <c r="U5847"/>
    </row>
    <row r="5848" spans="6:21" x14ac:dyDescent="0.25">
      <c r="F5848"/>
      <c r="O5848"/>
      <c r="R5848"/>
      <c r="S5848"/>
      <c r="T5848"/>
      <c r="U5848"/>
    </row>
    <row r="5849" spans="6:21" x14ac:dyDescent="0.25">
      <c r="F5849"/>
      <c r="O5849"/>
      <c r="R5849"/>
      <c r="S5849"/>
      <c r="T5849"/>
      <c r="U5849"/>
    </row>
    <row r="5850" spans="6:21" x14ac:dyDescent="0.25">
      <c r="F5850"/>
      <c r="O5850"/>
      <c r="R5850"/>
      <c r="S5850"/>
      <c r="T5850"/>
      <c r="U5850"/>
    </row>
    <row r="5851" spans="6:21" x14ac:dyDescent="0.25">
      <c r="F5851"/>
      <c r="O5851"/>
      <c r="R5851"/>
      <c r="S5851"/>
      <c r="T5851"/>
      <c r="U5851"/>
    </row>
    <row r="5852" spans="6:21" x14ac:dyDescent="0.25">
      <c r="F5852"/>
      <c r="O5852"/>
      <c r="R5852"/>
      <c r="S5852"/>
      <c r="T5852"/>
      <c r="U5852"/>
    </row>
    <row r="5853" spans="6:21" x14ac:dyDescent="0.25">
      <c r="F5853"/>
      <c r="O5853"/>
      <c r="R5853"/>
      <c r="S5853"/>
      <c r="T5853"/>
      <c r="U5853"/>
    </row>
    <row r="5854" spans="6:21" x14ac:dyDescent="0.25">
      <c r="F5854"/>
      <c r="O5854"/>
      <c r="R5854"/>
      <c r="S5854"/>
      <c r="T5854"/>
      <c r="U5854"/>
    </row>
    <row r="5855" spans="6:21" x14ac:dyDescent="0.25">
      <c r="F5855"/>
      <c r="O5855"/>
      <c r="R5855"/>
      <c r="S5855"/>
      <c r="T5855"/>
      <c r="U5855"/>
    </row>
    <row r="5856" spans="6:21" x14ac:dyDescent="0.25">
      <c r="F5856"/>
      <c r="O5856"/>
      <c r="R5856"/>
      <c r="S5856"/>
      <c r="T5856"/>
      <c r="U5856"/>
    </row>
    <row r="5857" spans="6:21" x14ac:dyDescent="0.25">
      <c r="F5857"/>
      <c r="O5857"/>
      <c r="R5857"/>
      <c r="S5857"/>
      <c r="T5857"/>
      <c r="U5857"/>
    </row>
    <row r="5858" spans="6:21" x14ac:dyDescent="0.25">
      <c r="F5858"/>
      <c r="O5858"/>
      <c r="R5858"/>
      <c r="S5858"/>
      <c r="T5858"/>
      <c r="U5858"/>
    </row>
    <row r="5859" spans="6:21" x14ac:dyDescent="0.25">
      <c r="F5859"/>
      <c r="O5859"/>
      <c r="R5859"/>
      <c r="S5859"/>
      <c r="T5859"/>
      <c r="U5859"/>
    </row>
    <row r="5860" spans="6:21" x14ac:dyDescent="0.25">
      <c r="F5860"/>
      <c r="O5860"/>
      <c r="R5860"/>
      <c r="S5860"/>
      <c r="T5860"/>
      <c r="U5860"/>
    </row>
    <row r="5861" spans="6:21" x14ac:dyDescent="0.25">
      <c r="F5861"/>
      <c r="O5861"/>
      <c r="R5861"/>
      <c r="S5861"/>
      <c r="T5861"/>
      <c r="U5861"/>
    </row>
    <row r="5862" spans="6:21" x14ac:dyDescent="0.25">
      <c r="F5862"/>
      <c r="O5862"/>
      <c r="R5862"/>
      <c r="S5862"/>
      <c r="T5862"/>
      <c r="U5862"/>
    </row>
    <row r="5863" spans="6:21" x14ac:dyDescent="0.25">
      <c r="F5863"/>
      <c r="O5863"/>
      <c r="R5863"/>
      <c r="S5863"/>
      <c r="T5863"/>
      <c r="U5863"/>
    </row>
    <row r="5864" spans="6:21" x14ac:dyDescent="0.25">
      <c r="F5864"/>
      <c r="O5864"/>
      <c r="R5864"/>
      <c r="S5864"/>
      <c r="T5864"/>
      <c r="U5864"/>
    </row>
    <row r="5865" spans="6:21" x14ac:dyDescent="0.25">
      <c r="F5865"/>
      <c r="O5865"/>
      <c r="R5865"/>
      <c r="S5865"/>
      <c r="T5865"/>
      <c r="U5865"/>
    </row>
    <row r="5866" spans="6:21" x14ac:dyDescent="0.25">
      <c r="F5866"/>
      <c r="O5866"/>
      <c r="R5866"/>
      <c r="S5866"/>
      <c r="T5866"/>
      <c r="U5866"/>
    </row>
    <row r="5867" spans="6:21" x14ac:dyDescent="0.25">
      <c r="F5867"/>
      <c r="O5867"/>
      <c r="R5867"/>
      <c r="S5867"/>
      <c r="T5867"/>
      <c r="U5867"/>
    </row>
    <row r="5868" spans="6:21" x14ac:dyDescent="0.25">
      <c r="F5868"/>
      <c r="O5868"/>
      <c r="R5868"/>
      <c r="S5868"/>
      <c r="T5868"/>
      <c r="U5868"/>
    </row>
    <row r="5869" spans="6:21" x14ac:dyDescent="0.25">
      <c r="F5869"/>
      <c r="O5869"/>
      <c r="R5869"/>
      <c r="S5869"/>
      <c r="T5869"/>
      <c r="U5869"/>
    </row>
    <row r="5870" spans="6:21" x14ac:dyDescent="0.25">
      <c r="F5870"/>
      <c r="O5870"/>
      <c r="R5870"/>
      <c r="S5870"/>
      <c r="T5870"/>
      <c r="U5870"/>
    </row>
    <row r="5871" spans="6:21" x14ac:dyDescent="0.25">
      <c r="F5871"/>
      <c r="O5871"/>
      <c r="R5871"/>
      <c r="S5871"/>
      <c r="T5871"/>
      <c r="U5871"/>
    </row>
    <row r="5872" spans="6:21" x14ac:dyDescent="0.25">
      <c r="F5872"/>
      <c r="O5872"/>
      <c r="R5872"/>
      <c r="S5872"/>
      <c r="T5872"/>
      <c r="U5872"/>
    </row>
    <row r="5873" spans="6:21" x14ac:dyDescent="0.25">
      <c r="F5873"/>
      <c r="O5873"/>
      <c r="R5873"/>
      <c r="S5873"/>
      <c r="T5873"/>
      <c r="U5873"/>
    </row>
    <row r="5874" spans="6:21" x14ac:dyDescent="0.25">
      <c r="F5874"/>
      <c r="O5874"/>
      <c r="R5874"/>
      <c r="S5874"/>
      <c r="T5874"/>
      <c r="U5874"/>
    </row>
    <row r="5875" spans="6:21" x14ac:dyDescent="0.25">
      <c r="F5875"/>
      <c r="O5875"/>
      <c r="R5875"/>
      <c r="S5875"/>
      <c r="T5875"/>
      <c r="U5875"/>
    </row>
    <row r="5876" spans="6:21" x14ac:dyDescent="0.25">
      <c r="F5876"/>
      <c r="O5876"/>
      <c r="R5876"/>
      <c r="S5876"/>
      <c r="T5876"/>
      <c r="U5876"/>
    </row>
    <row r="5877" spans="6:21" x14ac:dyDescent="0.25">
      <c r="F5877"/>
      <c r="O5877"/>
      <c r="R5877"/>
      <c r="S5877"/>
      <c r="T5877"/>
      <c r="U5877"/>
    </row>
    <row r="5878" spans="6:21" x14ac:dyDescent="0.25">
      <c r="F5878"/>
      <c r="O5878"/>
      <c r="R5878"/>
      <c r="S5878"/>
      <c r="T5878"/>
      <c r="U5878"/>
    </row>
    <row r="5879" spans="6:21" x14ac:dyDescent="0.25">
      <c r="F5879"/>
      <c r="O5879"/>
      <c r="R5879"/>
      <c r="S5879"/>
      <c r="T5879"/>
      <c r="U5879"/>
    </row>
    <row r="5880" spans="6:21" x14ac:dyDescent="0.25">
      <c r="F5880"/>
      <c r="O5880"/>
      <c r="R5880"/>
      <c r="S5880"/>
      <c r="T5880"/>
      <c r="U5880"/>
    </row>
    <row r="5881" spans="6:21" x14ac:dyDescent="0.25">
      <c r="F5881"/>
      <c r="O5881"/>
      <c r="R5881"/>
      <c r="S5881"/>
      <c r="T5881"/>
      <c r="U5881"/>
    </row>
    <row r="5882" spans="6:21" x14ac:dyDescent="0.25">
      <c r="F5882"/>
      <c r="O5882"/>
      <c r="R5882"/>
      <c r="S5882"/>
      <c r="T5882"/>
      <c r="U5882"/>
    </row>
    <row r="5883" spans="6:21" x14ac:dyDescent="0.25">
      <c r="F5883"/>
      <c r="O5883"/>
      <c r="R5883"/>
      <c r="S5883"/>
      <c r="T5883"/>
      <c r="U5883"/>
    </row>
    <row r="5884" spans="6:21" x14ac:dyDescent="0.25">
      <c r="F5884"/>
      <c r="O5884"/>
      <c r="R5884"/>
      <c r="S5884"/>
      <c r="T5884"/>
      <c r="U5884"/>
    </row>
    <row r="5885" spans="6:21" x14ac:dyDescent="0.25">
      <c r="F5885"/>
      <c r="O5885"/>
      <c r="R5885"/>
      <c r="S5885"/>
      <c r="T5885"/>
      <c r="U5885"/>
    </row>
    <row r="5886" spans="6:21" x14ac:dyDescent="0.25">
      <c r="F5886"/>
      <c r="O5886"/>
      <c r="R5886"/>
      <c r="S5886"/>
      <c r="T5886"/>
      <c r="U5886"/>
    </row>
    <row r="5887" spans="6:21" x14ac:dyDescent="0.25">
      <c r="F5887"/>
      <c r="O5887"/>
      <c r="R5887"/>
      <c r="S5887"/>
      <c r="T5887"/>
      <c r="U5887"/>
    </row>
    <row r="5888" spans="6:21" x14ac:dyDescent="0.25">
      <c r="F5888"/>
      <c r="O5888"/>
      <c r="R5888"/>
      <c r="S5888"/>
      <c r="T5888"/>
      <c r="U5888"/>
    </row>
    <row r="5889" spans="6:21" x14ac:dyDescent="0.25">
      <c r="F5889"/>
      <c r="O5889"/>
      <c r="R5889"/>
      <c r="S5889"/>
      <c r="T5889"/>
      <c r="U5889"/>
    </row>
    <row r="5890" spans="6:21" x14ac:dyDescent="0.25">
      <c r="F5890"/>
      <c r="O5890"/>
      <c r="R5890"/>
      <c r="S5890"/>
      <c r="T5890"/>
      <c r="U5890"/>
    </row>
    <row r="5891" spans="6:21" x14ac:dyDescent="0.25">
      <c r="F5891"/>
      <c r="O5891"/>
      <c r="R5891"/>
      <c r="S5891"/>
      <c r="T5891"/>
      <c r="U5891"/>
    </row>
    <row r="5892" spans="6:21" x14ac:dyDescent="0.25">
      <c r="F5892"/>
      <c r="O5892"/>
      <c r="R5892"/>
      <c r="S5892"/>
      <c r="T5892"/>
      <c r="U5892"/>
    </row>
    <row r="5893" spans="6:21" x14ac:dyDescent="0.25">
      <c r="F5893"/>
      <c r="O5893"/>
      <c r="R5893"/>
      <c r="S5893"/>
      <c r="T5893"/>
      <c r="U5893"/>
    </row>
    <row r="5894" spans="6:21" x14ac:dyDescent="0.25">
      <c r="F5894"/>
      <c r="O5894"/>
      <c r="R5894"/>
      <c r="S5894"/>
      <c r="T5894"/>
      <c r="U5894"/>
    </row>
    <row r="5895" spans="6:21" x14ac:dyDescent="0.25">
      <c r="F5895"/>
      <c r="O5895"/>
      <c r="R5895"/>
      <c r="S5895"/>
      <c r="T5895"/>
      <c r="U5895"/>
    </row>
    <row r="5896" spans="6:21" x14ac:dyDescent="0.25">
      <c r="F5896"/>
      <c r="O5896"/>
      <c r="R5896"/>
      <c r="S5896"/>
      <c r="T5896"/>
      <c r="U5896"/>
    </row>
    <row r="5897" spans="6:21" x14ac:dyDescent="0.25">
      <c r="F5897"/>
      <c r="O5897"/>
      <c r="R5897"/>
      <c r="S5897"/>
      <c r="T5897"/>
      <c r="U5897"/>
    </row>
    <row r="5898" spans="6:21" x14ac:dyDescent="0.25">
      <c r="F5898"/>
      <c r="O5898"/>
      <c r="R5898"/>
      <c r="S5898"/>
      <c r="T5898"/>
      <c r="U5898"/>
    </row>
    <row r="5899" spans="6:21" x14ac:dyDescent="0.25">
      <c r="F5899"/>
      <c r="O5899"/>
      <c r="R5899"/>
      <c r="S5899"/>
      <c r="T5899"/>
      <c r="U5899"/>
    </row>
    <row r="5900" spans="6:21" x14ac:dyDescent="0.25">
      <c r="F5900"/>
      <c r="O5900"/>
      <c r="R5900"/>
      <c r="S5900"/>
      <c r="T5900"/>
      <c r="U5900"/>
    </row>
    <row r="5901" spans="6:21" x14ac:dyDescent="0.25">
      <c r="F5901"/>
      <c r="O5901"/>
      <c r="R5901"/>
      <c r="S5901"/>
      <c r="T5901"/>
      <c r="U5901"/>
    </row>
    <row r="5902" spans="6:21" x14ac:dyDescent="0.25">
      <c r="F5902"/>
      <c r="O5902"/>
      <c r="R5902"/>
      <c r="S5902"/>
      <c r="T5902"/>
      <c r="U5902"/>
    </row>
    <row r="5903" spans="6:21" x14ac:dyDescent="0.25">
      <c r="F5903"/>
      <c r="O5903"/>
      <c r="R5903"/>
      <c r="S5903"/>
      <c r="T5903"/>
      <c r="U5903"/>
    </row>
    <row r="5904" spans="6:21" x14ac:dyDescent="0.25">
      <c r="F5904"/>
      <c r="O5904"/>
      <c r="R5904"/>
      <c r="S5904"/>
      <c r="T5904"/>
      <c r="U5904"/>
    </row>
    <row r="5905" spans="6:21" x14ac:dyDescent="0.25">
      <c r="F5905"/>
      <c r="O5905"/>
      <c r="R5905"/>
      <c r="S5905"/>
      <c r="T5905"/>
      <c r="U5905"/>
    </row>
    <row r="5906" spans="6:21" x14ac:dyDescent="0.25">
      <c r="F5906"/>
      <c r="O5906"/>
      <c r="R5906"/>
      <c r="S5906"/>
      <c r="T5906"/>
      <c r="U5906"/>
    </row>
    <row r="5907" spans="6:21" x14ac:dyDescent="0.25">
      <c r="F5907"/>
      <c r="O5907"/>
      <c r="R5907"/>
      <c r="S5907"/>
      <c r="T5907"/>
      <c r="U5907"/>
    </row>
    <row r="5908" spans="6:21" x14ac:dyDescent="0.25">
      <c r="F5908"/>
      <c r="O5908"/>
      <c r="R5908"/>
      <c r="S5908"/>
      <c r="T5908"/>
      <c r="U5908"/>
    </row>
    <row r="5909" spans="6:21" x14ac:dyDescent="0.25">
      <c r="F5909"/>
      <c r="O5909"/>
      <c r="R5909"/>
      <c r="S5909"/>
      <c r="T5909"/>
      <c r="U5909"/>
    </row>
    <row r="5910" spans="6:21" x14ac:dyDescent="0.25">
      <c r="F5910"/>
      <c r="O5910"/>
      <c r="R5910"/>
      <c r="S5910"/>
      <c r="T5910"/>
      <c r="U5910"/>
    </row>
    <row r="5911" spans="6:21" x14ac:dyDescent="0.25">
      <c r="F5911"/>
      <c r="O5911"/>
      <c r="R5911"/>
      <c r="S5911"/>
      <c r="T5911"/>
      <c r="U5911"/>
    </row>
    <row r="5912" spans="6:21" x14ac:dyDescent="0.25">
      <c r="F5912"/>
      <c r="O5912"/>
      <c r="R5912"/>
      <c r="S5912"/>
      <c r="T5912"/>
      <c r="U5912"/>
    </row>
    <row r="5913" spans="6:21" x14ac:dyDescent="0.25">
      <c r="F5913"/>
      <c r="O5913"/>
      <c r="R5913"/>
      <c r="S5913"/>
      <c r="T5913"/>
      <c r="U5913"/>
    </row>
    <row r="5914" spans="6:21" x14ac:dyDescent="0.25">
      <c r="F5914"/>
      <c r="O5914"/>
      <c r="R5914"/>
      <c r="S5914"/>
      <c r="T5914"/>
      <c r="U5914"/>
    </row>
    <row r="5915" spans="6:21" x14ac:dyDescent="0.25">
      <c r="F5915"/>
      <c r="O5915"/>
      <c r="R5915"/>
      <c r="S5915"/>
      <c r="T5915"/>
      <c r="U5915"/>
    </row>
    <row r="5916" spans="6:21" x14ac:dyDescent="0.25">
      <c r="F5916"/>
      <c r="O5916"/>
      <c r="R5916"/>
      <c r="S5916"/>
      <c r="T5916"/>
      <c r="U5916"/>
    </row>
    <row r="5917" spans="6:21" x14ac:dyDescent="0.25">
      <c r="F5917"/>
      <c r="O5917"/>
      <c r="R5917"/>
      <c r="S5917"/>
      <c r="T5917"/>
      <c r="U5917"/>
    </row>
    <row r="5918" spans="6:21" x14ac:dyDescent="0.25">
      <c r="F5918"/>
      <c r="O5918"/>
      <c r="R5918"/>
      <c r="S5918"/>
      <c r="T5918"/>
      <c r="U5918"/>
    </row>
    <row r="5919" spans="6:21" x14ac:dyDescent="0.25">
      <c r="F5919"/>
      <c r="O5919"/>
      <c r="R5919"/>
      <c r="S5919"/>
      <c r="T5919"/>
      <c r="U5919"/>
    </row>
    <row r="5920" spans="6:21" x14ac:dyDescent="0.25">
      <c r="F5920"/>
      <c r="O5920"/>
      <c r="R5920"/>
      <c r="S5920"/>
      <c r="T5920"/>
      <c r="U5920"/>
    </row>
    <row r="5921" spans="6:21" x14ac:dyDescent="0.25">
      <c r="F5921"/>
      <c r="O5921"/>
      <c r="R5921"/>
      <c r="S5921"/>
      <c r="T5921"/>
      <c r="U5921"/>
    </row>
    <row r="5922" spans="6:21" x14ac:dyDescent="0.25">
      <c r="F5922"/>
      <c r="O5922"/>
      <c r="R5922"/>
      <c r="S5922"/>
      <c r="T5922"/>
      <c r="U5922"/>
    </row>
    <row r="5923" spans="6:21" x14ac:dyDescent="0.25">
      <c r="F5923"/>
      <c r="O5923"/>
      <c r="R5923"/>
      <c r="S5923"/>
      <c r="T5923"/>
      <c r="U5923"/>
    </row>
    <row r="5924" spans="6:21" x14ac:dyDescent="0.25">
      <c r="F5924"/>
      <c r="O5924"/>
      <c r="R5924"/>
      <c r="S5924"/>
      <c r="T5924"/>
      <c r="U5924"/>
    </row>
    <row r="5925" spans="6:21" x14ac:dyDescent="0.25">
      <c r="F5925"/>
      <c r="O5925"/>
      <c r="R5925"/>
      <c r="S5925"/>
      <c r="T5925"/>
      <c r="U5925"/>
    </row>
    <row r="5926" spans="6:21" x14ac:dyDescent="0.25">
      <c r="F5926"/>
      <c r="O5926"/>
      <c r="R5926"/>
      <c r="S5926"/>
      <c r="T5926"/>
      <c r="U5926"/>
    </row>
    <row r="5927" spans="6:21" x14ac:dyDescent="0.25">
      <c r="F5927"/>
      <c r="O5927"/>
      <c r="R5927"/>
      <c r="S5927"/>
      <c r="T5927"/>
      <c r="U5927"/>
    </row>
    <row r="5928" spans="6:21" x14ac:dyDescent="0.25">
      <c r="F5928"/>
      <c r="O5928"/>
      <c r="R5928"/>
      <c r="S5928"/>
      <c r="T5928"/>
      <c r="U5928"/>
    </row>
    <row r="5929" spans="6:21" x14ac:dyDescent="0.25">
      <c r="F5929"/>
      <c r="O5929"/>
      <c r="R5929"/>
      <c r="S5929"/>
      <c r="T5929"/>
      <c r="U5929"/>
    </row>
    <row r="5930" spans="6:21" x14ac:dyDescent="0.25">
      <c r="F5930"/>
      <c r="O5930"/>
      <c r="R5930"/>
      <c r="S5930"/>
      <c r="T5930"/>
      <c r="U5930"/>
    </row>
    <row r="5931" spans="6:21" x14ac:dyDescent="0.25">
      <c r="F5931"/>
      <c r="O5931"/>
      <c r="R5931"/>
      <c r="S5931"/>
      <c r="T5931"/>
      <c r="U5931"/>
    </row>
    <row r="5932" spans="6:21" x14ac:dyDescent="0.25">
      <c r="F5932"/>
      <c r="O5932"/>
      <c r="R5932"/>
      <c r="S5932"/>
      <c r="T5932"/>
      <c r="U5932"/>
    </row>
    <row r="5933" spans="6:21" x14ac:dyDescent="0.25">
      <c r="F5933"/>
      <c r="O5933"/>
      <c r="R5933"/>
      <c r="S5933"/>
      <c r="T5933"/>
      <c r="U5933"/>
    </row>
    <row r="5934" spans="6:21" x14ac:dyDescent="0.25">
      <c r="F5934"/>
      <c r="O5934"/>
      <c r="R5934"/>
      <c r="S5934"/>
      <c r="T5934"/>
      <c r="U5934"/>
    </row>
    <row r="5935" spans="6:21" x14ac:dyDescent="0.25">
      <c r="F5935"/>
      <c r="O5935"/>
      <c r="R5935"/>
      <c r="S5935"/>
      <c r="T5935"/>
      <c r="U5935"/>
    </row>
    <row r="5936" spans="6:21" x14ac:dyDescent="0.25">
      <c r="F5936"/>
      <c r="O5936"/>
      <c r="R5936"/>
      <c r="S5936"/>
      <c r="T5936"/>
      <c r="U5936"/>
    </row>
    <row r="5937" spans="6:21" x14ac:dyDescent="0.25">
      <c r="F5937"/>
      <c r="O5937"/>
      <c r="R5937"/>
      <c r="S5937"/>
      <c r="T5937"/>
      <c r="U5937"/>
    </row>
    <row r="5938" spans="6:21" x14ac:dyDescent="0.25">
      <c r="F5938"/>
      <c r="O5938"/>
      <c r="R5938"/>
      <c r="S5938"/>
      <c r="T5938"/>
      <c r="U5938"/>
    </row>
    <row r="5939" spans="6:21" x14ac:dyDescent="0.25">
      <c r="F5939"/>
      <c r="O5939"/>
      <c r="R5939"/>
      <c r="S5939"/>
      <c r="T5939"/>
      <c r="U5939"/>
    </row>
    <row r="5940" spans="6:21" x14ac:dyDescent="0.25">
      <c r="F5940"/>
      <c r="O5940"/>
      <c r="R5940"/>
      <c r="S5940"/>
      <c r="T5940"/>
      <c r="U5940"/>
    </row>
    <row r="5941" spans="6:21" x14ac:dyDescent="0.25">
      <c r="F5941"/>
      <c r="O5941"/>
      <c r="R5941"/>
      <c r="S5941"/>
      <c r="T5941"/>
      <c r="U5941"/>
    </row>
    <row r="5942" spans="6:21" x14ac:dyDescent="0.25">
      <c r="F5942"/>
      <c r="O5942"/>
      <c r="R5942"/>
      <c r="S5942"/>
      <c r="T5942"/>
      <c r="U5942"/>
    </row>
    <row r="5943" spans="6:21" x14ac:dyDescent="0.25">
      <c r="F5943"/>
      <c r="O5943"/>
      <c r="R5943"/>
      <c r="S5943"/>
      <c r="T5943"/>
      <c r="U5943"/>
    </row>
    <row r="5944" spans="6:21" x14ac:dyDescent="0.25">
      <c r="F5944"/>
      <c r="O5944"/>
      <c r="R5944"/>
      <c r="S5944"/>
      <c r="T5944"/>
      <c r="U5944"/>
    </row>
    <row r="5945" spans="6:21" x14ac:dyDescent="0.25">
      <c r="F5945"/>
      <c r="O5945"/>
      <c r="R5945"/>
      <c r="S5945"/>
      <c r="T5945"/>
      <c r="U5945"/>
    </row>
    <row r="5946" spans="6:21" x14ac:dyDescent="0.25">
      <c r="F5946"/>
      <c r="O5946"/>
      <c r="R5946"/>
      <c r="S5946"/>
      <c r="T5946"/>
      <c r="U5946"/>
    </row>
    <row r="5947" spans="6:21" x14ac:dyDescent="0.25">
      <c r="F5947"/>
      <c r="O5947"/>
      <c r="R5947"/>
      <c r="S5947"/>
      <c r="T5947"/>
      <c r="U5947"/>
    </row>
    <row r="5948" spans="6:21" x14ac:dyDescent="0.25">
      <c r="F5948"/>
      <c r="O5948"/>
      <c r="R5948"/>
      <c r="S5948"/>
      <c r="T5948"/>
      <c r="U5948"/>
    </row>
    <row r="5949" spans="6:21" x14ac:dyDescent="0.25">
      <c r="F5949"/>
      <c r="O5949"/>
      <c r="R5949"/>
      <c r="S5949"/>
      <c r="T5949"/>
      <c r="U5949"/>
    </row>
    <row r="5950" spans="6:21" x14ac:dyDescent="0.25">
      <c r="F5950"/>
      <c r="O5950"/>
      <c r="R5950"/>
      <c r="S5950"/>
      <c r="T5950"/>
      <c r="U5950"/>
    </row>
    <row r="5951" spans="6:21" x14ac:dyDescent="0.25">
      <c r="F5951"/>
      <c r="O5951"/>
      <c r="R5951"/>
      <c r="S5951"/>
      <c r="T5951"/>
      <c r="U5951"/>
    </row>
    <row r="5952" spans="6:21" x14ac:dyDescent="0.25">
      <c r="F5952"/>
      <c r="O5952"/>
      <c r="R5952"/>
      <c r="S5952"/>
      <c r="T5952"/>
      <c r="U5952"/>
    </row>
    <row r="5953" spans="6:21" x14ac:dyDescent="0.25">
      <c r="F5953"/>
      <c r="O5953"/>
      <c r="R5953"/>
      <c r="S5953"/>
      <c r="T5953"/>
      <c r="U5953"/>
    </row>
    <row r="5954" spans="6:21" x14ac:dyDescent="0.25">
      <c r="F5954"/>
      <c r="O5954"/>
      <c r="R5954"/>
      <c r="S5954"/>
      <c r="T5954"/>
      <c r="U5954"/>
    </row>
    <row r="5955" spans="6:21" x14ac:dyDescent="0.25">
      <c r="F5955"/>
      <c r="O5955"/>
      <c r="R5955"/>
      <c r="S5955"/>
      <c r="T5955"/>
      <c r="U5955"/>
    </row>
    <row r="5956" spans="6:21" x14ac:dyDescent="0.25">
      <c r="F5956"/>
      <c r="O5956"/>
      <c r="R5956"/>
      <c r="S5956"/>
      <c r="T5956"/>
      <c r="U5956"/>
    </row>
    <row r="5957" spans="6:21" x14ac:dyDescent="0.25">
      <c r="F5957"/>
      <c r="O5957"/>
      <c r="R5957"/>
      <c r="S5957"/>
      <c r="T5957"/>
      <c r="U5957"/>
    </row>
    <row r="5958" spans="6:21" x14ac:dyDescent="0.25">
      <c r="F5958"/>
      <c r="O5958"/>
      <c r="R5958"/>
      <c r="S5958"/>
      <c r="T5958"/>
      <c r="U5958"/>
    </row>
    <row r="5959" spans="6:21" x14ac:dyDescent="0.25">
      <c r="F5959"/>
      <c r="O5959"/>
      <c r="R5959"/>
      <c r="S5959"/>
      <c r="T5959"/>
      <c r="U5959"/>
    </row>
    <row r="5960" spans="6:21" x14ac:dyDescent="0.25">
      <c r="F5960"/>
      <c r="O5960"/>
      <c r="R5960"/>
      <c r="S5960"/>
      <c r="T5960"/>
      <c r="U5960"/>
    </row>
    <row r="5961" spans="6:21" x14ac:dyDescent="0.25">
      <c r="F5961"/>
      <c r="O5961"/>
      <c r="R5961"/>
      <c r="S5961"/>
      <c r="T5961"/>
      <c r="U5961"/>
    </row>
    <row r="5962" spans="6:21" x14ac:dyDescent="0.25">
      <c r="F5962"/>
      <c r="O5962"/>
      <c r="R5962"/>
      <c r="S5962"/>
      <c r="T5962"/>
      <c r="U5962"/>
    </row>
    <row r="5963" spans="6:21" x14ac:dyDescent="0.25">
      <c r="F5963"/>
      <c r="O5963"/>
      <c r="R5963"/>
      <c r="S5963"/>
      <c r="T5963"/>
      <c r="U5963"/>
    </row>
    <row r="5964" spans="6:21" x14ac:dyDescent="0.25">
      <c r="F5964"/>
      <c r="O5964"/>
      <c r="R5964"/>
      <c r="S5964"/>
      <c r="T5964"/>
      <c r="U5964"/>
    </row>
    <row r="5965" spans="6:21" x14ac:dyDescent="0.25">
      <c r="F5965"/>
      <c r="O5965"/>
      <c r="R5965"/>
      <c r="S5965"/>
      <c r="T5965"/>
      <c r="U5965"/>
    </row>
    <row r="5966" spans="6:21" x14ac:dyDescent="0.25">
      <c r="F5966"/>
      <c r="O5966"/>
      <c r="R5966"/>
      <c r="S5966"/>
      <c r="T5966"/>
      <c r="U5966"/>
    </row>
    <row r="5967" spans="6:21" x14ac:dyDescent="0.25">
      <c r="F5967"/>
      <c r="O5967"/>
      <c r="R5967"/>
      <c r="S5967"/>
      <c r="T5967"/>
      <c r="U5967"/>
    </row>
    <row r="5968" spans="6:21" x14ac:dyDescent="0.25">
      <c r="F5968"/>
      <c r="O5968"/>
      <c r="R5968"/>
      <c r="S5968"/>
      <c r="T5968"/>
      <c r="U5968"/>
    </row>
    <row r="5969" spans="6:21" x14ac:dyDescent="0.25">
      <c r="F5969"/>
      <c r="O5969"/>
      <c r="R5969"/>
      <c r="S5969"/>
      <c r="T5969"/>
      <c r="U5969"/>
    </row>
    <row r="5970" spans="6:21" x14ac:dyDescent="0.25">
      <c r="F5970"/>
      <c r="O5970"/>
      <c r="R5970"/>
      <c r="S5970"/>
      <c r="T5970"/>
      <c r="U5970"/>
    </row>
    <row r="5971" spans="6:21" x14ac:dyDescent="0.25">
      <c r="F5971"/>
      <c r="O5971"/>
      <c r="R5971"/>
      <c r="S5971"/>
      <c r="T5971"/>
      <c r="U5971"/>
    </row>
    <row r="5972" spans="6:21" x14ac:dyDescent="0.25">
      <c r="F5972"/>
      <c r="O5972"/>
      <c r="R5972"/>
      <c r="S5972"/>
      <c r="T5972"/>
      <c r="U5972"/>
    </row>
    <row r="5973" spans="6:21" x14ac:dyDescent="0.25">
      <c r="F5973"/>
      <c r="O5973"/>
      <c r="R5973"/>
      <c r="S5973"/>
      <c r="T5973"/>
      <c r="U5973"/>
    </row>
    <row r="5974" spans="6:21" x14ac:dyDescent="0.25">
      <c r="F5974"/>
      <c r="O5974"/>
      <c r="R5974"/>
      <c r="S5974"/>
      <c r="T5974"/>
      <c r="U5974"/>
    </row>
    <row r="5975" spans="6:21" x14ac:dyDescent="0.25">
      <c r="F5975"/>
      <c r="O5975"/>
      <c r="R5975"/>
      <c r="S5975"/>
      <c r="T5975"/>
      <c r="U5975"/>
    </row>
    <row r="5976" spans="6:21" x14ac:dyDescent="0.25">
      <c r="F5976"/>
      <c r="O5976"/>
      <c r="R5976"/>
      <c r="S5976"/>
      <c r="T5976"/>
      <c r="U5976"/>
    </row>
    <row r="5977" spans="6:21" x14ac:dyDescent="0.25">
      <c r="F5977"/>
      <c r="O5977"/>
      <c r="R5977"/>
      <c r="S5977"/>
      <c r="T5977"/>
      <c r="U5977"/>
    </row>
    <row r="5978" spans="6:21" x14ac:dyDescent="0.25">
      <c r="F5978"/>
      <c r="O5978"/>
      <c r="R5978"/>
      <c r="S5978"/>
      <c r="T5978"/>
      <c r="U5978"/>
    </row>
    <row r="5979" spans="6:21" x14ac:dyDescent="0.25">
      <c r="F5979"/>
      <c r="O5979"/>
      <c r="R5979"/>
      <c r="S5979"/>
      <c r="T5979"/>
      <c r="U5979"/>
    </row>
    <row r="5980" spans="6:21" x14ac:dyDescent="0.25">
      <c r="F5980"/>
      <c r="O5980"/>
      <c r="R5980"/>
      <c r="S5980"/>
      <c r="T5980"/>
      <c r="U5980"/>
    </row>
    <row r="5981" spans="6:21" x14ac:dyDescent="0.25">
      <c r="F5981"/>
      <c r="O5981"/>
      <c r="R5981"/>
      <c r="S5981"/>
      <c r="T5981"/>
      <c r="U5981"/>
    </row>
    <row r="5982" spans="6:21" x14ac:dyDescent="0.25">
      <c r="F5982"/>
      <c r="O5982"/>
      <c r="R5982"/>
      <c r="S5982"/>
      <c r="T5982"/>
      <c r="U5982"/>
    </row>
    <row r="5983" spans="6:21" x14ac:dyDescent="0.25">
      <c r="F5983"/>
      <c r="O5983"/>
      <c r="R5983"/>
      <c r="S5983"/>
      <c r="T5983"/>
      <c r="U5983"/>
    </row>
    <row r="5984" spans="6:21" x14ac:dyDescent="0.25">
      <c r="F5984"/>
      <c r="O5984"/>
      <c r="R5984"/>
      <c r="S5984"/>
      <c r="T5984"/>
      <c r="U5984"/>
    </row>
    <row r="5985" spans="6:21" x14ac:dyDescent="0.25">
      <c r="F5985"/>
      <c r="O5985"/>
      <c r="R5985"/>
      <c r="S5985"/>
      <c r="T5985"/>
      <c r="U5985"/>
    </row>
    <row r="5986" spans="6:21" x14ac:dyDescent="0.25">
      <c r="F5986"/>
      <c r="O5986"/>
      <c r="R5986"/>
      <c r="S5986"/>
      <c r="T5986"/>
      <c r="U5986"/>
    </row>
    <row r="5987" spans="6:21" x14ac:dyDescent="0.25">
      <c r="F5987"/>
      <c r="O5987"/>
      <c r="R5987"/>
      <c r="S5987"/>
      <c r="T5987"/>
      <c r="U5987"/>
    </row>
    <row r="5988" spans="6:21" x14ac:dyDescent="0.25">
      <c r="F5988"/>
      <c r="O5988"/>
      <c r="R5988"/>
      <c r="S5988"/>
      <c r="T5988"/>
      <c r="U5988"/>
    </row>
    <row r="5989" spans="6:21" x14ac:dyDescent="0.25">
      <c r="F5989"/>
      <c r="O5989"/>
      <c r="R5989"/>
      <c r="S5989"/>
      <c r="T5989"/>
      <c r="U5989"/>
    </row>
    <row r="5990" spans="6:21" x14ac:dyDescent="0.25">
      <c r="F5990"/>
      <c r="O5990"/>
      <c r="R5990"/>
      <c r="S5990"/>
      <c r="T5990"/>
      <c r="U5990"/>
    </row>
    <row r="5991" spans="6:21" x14ac:dyDescent="0.25">
      <c r="F5991"/>
      <c r="O5991"/>
      <c r="R5991"/>
      <c r="S5991"/>
      <c r="T5991"/>
      <c r="U5991"/>
    </row>
    <row r="5992" spans="6:21" x14ac:dyDescent="0.25">
      <c r="F5992"/>
      <c r="O5992"/>
      <c r="R5992"/>
      <c r="S5992"/>
      <c r="T5992"/>
      <c r="U5992"/>
    </row>
    <row r="5993" spans="6:21" x14ac:dyDescent="0.25">
      <c r="F5993"/>
      <c r="O5993"/>
      <c r="R5993"/>
      <c r="S5993"/>
      <c r="T5993"/>
      <c r="U5993"/>
    </row>
    <row r="5994" spans="6:21" x14ac:dyDescent="0.25">
      <c r="F5994"/>
      <c r="O5994"/>
      <c r="R5994"/>
      <c r="S5994"/>
      <c r="T5994"/>
      <c r="U5994"/>
    </row>
    <row r="5995" spans="6:21" x14ac:dyDescent="0.25">
      <c r="F5995"/>
      <c r="O5995"/>
      <c r="R5995"/>
      <c r="S5995"/>
      <c r="T5995"/>
      <c r="U5995"/>
    </row>
    <row r="5996" spans="6:21" x14ac:dyDescent="0.25">
      <c r="F5996"/>
      <c r="O5996"/>
      <c r="R5996"/>
      <c r="S5996"/>
      <c r="T5996"/>
      <c r="U5996"/>
    </row>
    <row r="5997" spans="6:21" x14ac:dyDescent="0.25">
      <c r="F5997"/>
      <c r="O5997"/>
      <c r="R5997"/>
      <c r="S5997"/>
      <c r="T5997"/>
      <c r="U5997"/>
    </row>
    <row r="5998" spans="6:21" x14ac:dyDescent="0.25">
      <c r="F5998"/>
      <c r="O5998"/>
      <c r="R5998"/>
      <c r="S5998"/>
      <c r="T5998"/>
      <c r="U5998"/>
    </row>
    <row r="5999" spans="6:21" x14ac:dyDescent="0.25">
      <c r="F5999"/>
      <c r="O5999"/>
      <c r="R5999"/>
      <c r="S5999"/>
      <c r="T5999"/>
      <c r="U5999"/>
    </row>
    <row r="6000" spans="6:21" x14ac:dyDescent="0.25">
      <c r="F6000"/>
      <c r="O6000"/>
      <c r="R6000"/>
      <c r="S6000"/>
      <c r="T6000"/>
      <c r="U6000"/>
    </row>
    <row r="6001" spans="6:21" x14ac:dyDescent="0.25">
      <c r="F6001"/>
      <c r="O6001"/>
      <c r="R6001"/>
      <c r="S6001"/>
      <c r="T6001"/>
      <c r="U6001"/>
    </row>
    <row r="6002" spans="6:21" x14ac:dyDescent="0.25">
      <c r="F6002"/>
      <c r="O6002"/>
      <c r="R6002"/>
      <c r="S6002"/>
      <c r="T6002"/>
      <c r="U6002"/>
    </row>
    <row r="6003" spans="6:21" x14ac:dyDescent="0.25">
      <c r="F6003"/>
      <c r="O6003"/>
      <c r="R6003"/>
      <c r="S6003"/>
      <c r="T6003"/>
      <c r="U6003"/>
    </row>
    <row r="6004" spans="6:21" x14ac:dyDescent="0.25">
      <c r="F6004"/>
      <c r="O6004"/>
      <c r="R6004"/>
      <c r="S6004"/>
      <c r="T6004"/>
      <c r="U6004"/>
    </row>
    <row r="6005" spans="6:21" x14ac:dyDescent="0.25">
      <c r="F6005"/>
      <c r="O6005"/>
      <c r="R6005"/>
      <c r="S6005"/>
      <c r="T6005"/>
      <c r="U6005"/>
    </row>
    <row r="6006" spans="6:21" x14ac:dyDescent="0.25">
      <c r="F6006"/>
      <c r="O6006"/>
      <c r="R6006"/>
      <c r="S6006"/>
      <c r="T6006"/>
      <c r="U6006"/>
    </row>
    <row r="6007" spans="6:21" x14ac:dyDescent="0.25">
      <c r="F6007"/>
      <c r="O6007"/>
      <c r="R6007"/>
      <c r="S6007"/>
      <c r="T6007"/>
      <c r="U6007"/>
    </row>
    <row r="6008" spans="6:21" x14ac:dyDescent="0.25">
      <c r="F6008"/>
      <c r="O6008"/>
      <c r="R6008"/>
      <c r="S6008"/>
      <c r="T6008"/>
      <c r="U6008"/>
    </row>
    <row r="6009" spans="6:21" x14ac:dyDescent="0.25">
      <c r="F6009"/>
      <c r="O6009"/>
      <c r="R6009"/>
      <c r="S6009"/>
      <c r="T6009"/>
      <c r="U6009"/>
    </row>
    <row r="6010" spans="6:21" x14ac:dyDescent="0.25">
      <c r="F6010"/>
      <c r="O6010"/>
      <c r="R6010"/>
      <c r="S6010"/>
      <c r="T6010"/>
      <c r="U6010"/>
    </row>
    <row r="6011" spans="6:21" x14ac:dyDescent="0.25">
      <c r="F6011"/>
      <c r="O6011"/>
      <c r="R6011"/>
      <c r="S6011"/>
      <c r="T6011"/>
      <c r="U6011"/>
    </row>
    <row r="6012" spans="6:21" x14ac:dyDescent="0.25">
      <c r="F6012"/>
      <c r="O6012"/>
      <c r="R6012"/>
      <c r="S6012"/>
      <c r="T6012"/>
      <c r="U6012"/>
    </row>
    <row r="6013" spans="6:21" x14ac:dyDescent="0.25">
      <c r="F6013"/>
      <c r="O6013"/>
      <c r="R6013"/>
      <c r="S6013"/>
      <c r="T6013"/>
      <c r="U6013"/>
    </row>
    <row r="6014" spans="6:21" x14ac:dyDescent="0.25">
      <c r="F6014"/>
      <c r="O6014"/>
      <c r="R6014"/>
      <c r="S6014"/>
      <c r="T6014"/>
      <c r="U6014"/>
    </row>
    <row r="6015" spans="6:21" x14ac:dyDescent="0.25">
      <c r="F6015"/>
      <c r="O6015"/>
      <c r="R6015"/>
      <c r="S6015"/>
      <c r="T6015"/>
      <c r="U6015"/>
    </row>
    <row r="6016" spans="6:21" x14ac:dyDescent="0.25">
      <c r="F6016"/>
      <c r="O6016"/>
      <c r="R6016"/>
      <c r="S6016"/>
      <c r="T6016"/>
      <c r="U6016"/>
    </row>
    <row r="6017" spans="6:21" x14ac:dyDescent="0.25">
      <c r="F6017"/>
      <c r="O6017"/>
      <c r="R6017"/>
      <c r="S6017"/>
      <c r="T6017"/>
      <c r="U6017"/>
    </row>
    <row r="6018" spans="6:21" x14ac:dyDescent="0.25">
      <c r="F6018"/>
      <c r="O6018"/>
      <c r="R6018"/>
      <c r="S6018"/>
      <c r="T6018"/>
      <c r="U6018"/>
    </row>
    <row r="6019" spans="6:21" x14ac:dyDescent="0.25">
      <c r="F6019"/>
      <c r="O6019"/>
      <c r="R6019"/>
      <c r="S6019"/>
      <c r="T6019"/>
      <c r="U6019"/>
    </row>
    <row r="6020" spans="6:21" x14ac:dyDescent="0.25">
      <c r="F6020"/>
      <c r="O6020"/>
      <c r="R6020"/>
      <c r="S6020"/>
      <c r="T6020"/>
      <c r="U6020"/>
    </row>
    <row r="6021" spans="6:21" x14ac:dyDescent="0.25">
      <c r="F6021"/>
      <c r="O6021"/>
      <c r="R6021"/>
      <c r="S6021"/>
      <c r="T6021"/>
      <c r="U6021"/>
    </row>
    <row r="6022" spans="6:21" x14ac:dyDescent="0.25">
      <c r="F6022"/>
      <c r="O6022"/>
      <c r="R6022"/>
      <c r="S6022"/>
      <c r="T6022"/>
      <c r="U6022"/>
    </row>
    <row r="6023" spans="6:21" x14ac:dyDescent="0.25">
      <c r="F6023"/>
      <c r="O6023"/>
      <c r="R6023"/>
      <c r="S6023"/>
      <c r="T6023"/>
      <c r="U6023"/>
    </row>
    <row r="6024" spans="6:21" x14ac:dyDescent="0.25">
      <c r="F6024"/>
      <c r="O6024"/>
      <c r="R6024"/>
      <c r="S6024"/>
      <c r="T6024"/>
      <c r="U6024"/>
    </row>
    <row r="6025" spans="6:21" x14ac:dyDescent="0.25">
      <c r="F6025"/>
      <c r="O6025"/>
      <c r="R6025"/>
      <c r="S6025"/>
      <c r="T6025"/>
      <c r="U6025"/>
    </row>
    <row r="6026" spans="6:21" x14ac:dyDescent="0.25">
      <c r="F6026"/>
      <c r="O6026"/>
      <c r="R6026"/>
      <c r="S6026"/>
      <c r="T6026"/>
      <c r="U6026"/>
    </row>
    <row r="6027" spans="6:21" x14ac:dyDescent="0.25">
      <c r="F6027"/>
      <c r="O6027"/>
      <c r="R6027"/>
      <c r="S6027"/>
      <c r="T6027"/>
      <c r="U6027"/>
    </row>
    <row r="6028" spans="6:21" x14ac:dyDescent="0.25">
      <c r="F6028"/>
      <c r="O6028"/>
      <c r="R6028"/>
      <c r="S6028"/>
      <c r="T6028"/>
      <c r="U6028"/>
    </row>
    <row r="6029" spans="6:21" x14ac:dyDescent="0.25">
      <c r="F6029"/>
      <c r="O6029"/>
      <c r="R6029"/>
      <c r="S6029"/>
      <c r="T6029"/>
      <c r="U6029"/>
    </row>
    <row r="6030" spans="6:21" x14ac:dyDescent="0.25">
      <c r="F6030"/>
      <c r="O6030"/>
      <c r="R6030"/>
      <c r="S6030"/>
      <c r="T6030"/>
      <c r="U6030"/>
    </row>
    <row r="6031" spans="6:21" x14ac:dyDescent="0.25">
      <c r="F6031"/>
      <c r="O6031"/>
      <c r="R6031"/>
      <c r="S6031"/>
      <c r="T6031"/>
      <c r="U6031"/>
    </row>
    <row r="6032" spans="6:21" x14ac:dyDescent="0.25">
      <c r="F6032"/>
      <c r="O6032"/>
      <c r="R6032"/>
      <c r="S6032"/>
      <c r="T6032"/>
      <c r="U6032"/>
    </row>
    <row r="6033" spans="6:21" x14ac:dyDescent="0.25">
      <c r="F6033"/>
      <c r="O6033"/>
      <c r="R6033"/>
      <c r="S6033"/>
      <c r="T6033"/>
      <c r="U6033"/>
    </row>
    <row r="6034" spans="6:21" x14ac:dyDescent="0.25">
      <c r="F6034"/>
      <c r="O6034"/>
      <c r="R6034"/>
      <c r="S6034"/>
      <c r="T6034"/>
      <c r="U6034"/>
    </row>
    <row r="6035" spans="6:21" x14ac:dyDescent="0.25">
      <c r="F6035"/>
      <c r="O6035"/>
      <c r="R6035"/>
      <c r="S6035"/>
      <c r="T6035"/>
      <c r="U6035"/>
    </row>
    <row r="6036" spans="6:21" x14ac:dyDescent="0.25">
      <c r="F6036"/>
      <c r="O6036"/>
      <c r="R6036"/>
      <c r="S6036"/>
      <c r="T6036"/>
      <c r="U6036"/>
    </row>
    <row r="6037" spans="6:21" x14ac:dyDescent="0.25">
      <c r="F6037"/>
      <c r="O6037"/>
      <c r="R6037"/>
      <c r="S6037"/>
      <c r="T6037"/>
      <c r="U6037"/>
    </row>
    <row r="6038" spans="6:21" x14ac:dyDescent="0.25">
      <c r="F6038"/>
      <c r="O6038"/>
      <c r="R6038"/>
      <c r="S6038"/>
      <c r="T6038"/>
      <c r="U6038"/>
    </row>
    <row r="6039" spans="6:21" x14ac:dyDescent="0.25">
      <c r="F6039"/>
      <c r="O6039"/>
      <c r="R6039"/>
      <c r="S6039"/>
      <c r="T6039"/>
      <c r="U6039"/>
    </row>
    <row r="6040" spans="6:21" x14ac:dyDescent="0.25">
      <c r="F6040"/>
      <c r="O6040"/>
      <c r="R6040"/>
      <c r="S6040"/>
      <c r="T6040"/>
      <c r="U6040"/>
    </row>
    <row r="6041" spans="6:21" x14ac:dyDescent="0.25">
      <c r="F6041"/>
      <c r="O6041"/>
      <c r="R6041"/>
      <c r="S6041"/>
      <c r="T6041"/>
      <c r="U6041"/>
    </row>
    <row r="6042" spans="6:21" x14ac:dyDescent="0.25">
      <c r="F6042"/>
      <c r="O6042"/>
      <c r="R6042"/>
      <c r="S6042"/>
      <c r="T6042"/>
      <c r="U6042"/>
    </row>
    <row r="6043" spans="6:21" x14ac:dyDescent="0.25">
      <c r="F6043"/>
      <c r="O6043"/>
      <c r="R6043"/>
      <c r="S6043"/>
      <c r="T6043"/>
      <c r="U6043"/>
    </row>
    <row r="6044" spans="6:21" x14ac:dyDescent="0.25">
      <c r="F6044"/>
      <c r="O6044"/>
      <c r="R6044"/>
      <c r="S6044"/>
      <c r="T6044"/>
      <c r="U6044"/>
    </row>
    <row r="6045" spans="6:21" x14ac:dyDescent="0.25">
      <c r="F6045"/>
      <c r="O6045"/>
      <c r="R6045"/>
      <c r="S6045"/>
      <c r="T6045"/>
      <c r="U6045"/>
    </row>
    <row r="6046" spans="6:21" x14ac:dyDescent="0.25">
      <c r="F6046"/>
      <c r="O6046"/>
      <c r="R6046"/>
      <c r="S6046"/>
      <c r="T6046"/>
      <c r="U6046"/>
    </row>
    <row r="6047" spans="6:21" x14ac:dyDescent="0.25">
      <c r="F6047"/>
      <c r="O6047"/>
      <c r="R6047"/>
      <c r="S6047"/>
      <c r="T6047"/>
      <c r="U6047"/>
    </row>
    <row r="6048" spans="6:21" x14ac:dyDescent="0.25">
      <c r="F6048"/>
      <c r="O6048"/>
      <c r="R6048"/>
      <c r="S6048"/>
      <c r="T6048"/>
      <c r="U6048"/>
    </row>
    <row r="6049" spans="6:21" x14ac:dyDescent="0.25">
      <c r="F6049"/>
      <c r="O6049"/>
      <c r="R6049"/>
      <c r="S6049"/>
      <c r="T6049"/>
      <c r="U6049"/>
    </row>
    <row r="6050" spans="6:21" x14ac:dyDescent="0.25">
      <c r="F6050"/>
      <c r="O6050"/>
      <c r="R6050"/>
      <c r="S6050"/>
      <c r="T6050"/>
      <c r="U6050"/>
    </row>
    <row r="6051" spans="6:21" x14ac:dyDescent="0.25">
      <c r="F6051"/>
      <c r="O6051"/>
      <c r="R6051"/>
      <c r="S6051"/>
      <c r="T6051"/>
      <c r="U6051"/>
    </row>
    <row r="6052" spans="6:21" x14ac:dyDescent="0.25">
      <c r="F6052"/>
      <c r="O6052"/>
      <c r="R6052"/>
      <c r="S6052"/>
      <c r="T6052"/>
      <c r="U6052"/>
    </row>
    <row r="6053" spans="6:21" x14ac:dyDescent="0.25">
      <c r="F6053"/>
      <c r="O6053"/>
      <c r="R6053"/>
      <c r="S6053"/>
      <c r="T6053"/>
      <c r="U6053"/>
    </row>
    <row r="6054" spans="6:21" x14ac:dyDescent="0.25">
      <c r="F6054"/>
      <c r="O6054"/>
      <c r="R6054"/>
      <c r="S6054"/>
      <c r="T6054"/>
      <c r="U6054"/>
    </row>
    <row r="6055" spans="6:21" x14ac:dyDescent="0.25">
      <c r="F6055"/>
      <c r="O6055"/>
      <c r="R6055"/>
      <c r="S6055"/>
      <c r="T6055"/>
      <c r="U6055"/>
    </row>
    <row r="6056" spans="6:21" x14ac:dyDescent="0.25">
      <c r="F6056"/>
      <c r="O6056"/>
      <c r="R6056"/>
      <c r="S6056"/>
      <c r="T6056"/>
      <c r="U6056"/>
    </row>
    <row r="6057" spans="6:21" x14ac:dyDescent="0.25">
      <c r="F6057"/>
      <c r="O6057"/>
      <c r="R6057"/>
      <c r="S6057"/>
      <c r="T6057"/>
      <c r="U6057"/>
    </row>
    <row r="6058" spans="6:21" x14ac:dyDescent="0.25">
      <c r="F6058"/>
      <c r="O6058"/>
      <c r="R6058"/>
      <c r="S6058"/>
      <c r="T6058"/>
      <c r="U6058"/>
    </row>
    <row r="6059" spans="6:21" x14ac:dyDescent="0.25">
      <c r="F6059"/>
      <c r="O6059"/>
      <c r="R6059"/>
      <c r="S6059"/>
      <c r="T6059"/>
      <c r="U6059"/>
    </row>
    <row r="6060" spans="6:21" x14ac:dyDescent="0.25">
      <c r="F6060"/>
      <c r="O6060"/>
      <c r="R6060"/>
      <c r="S6060"/>
      <c r="T6060"/>
      <c r="U6060"/>
    </row>
    <row r="6061" spans="6:21" x14ac:dyDescent="0.25">
      <c r="F6061"/>
      <c r="O6061"/>
      <c r="R6061"/>
      <c r="S6061"/>
      <c r="T6061"/>
      <c r="U6061"/>
    </row>
    <row r="6062" spans="6:21" x14ac:dyDescent="0.25">
      <c r="F6062"/>
      <c r="O6062"/>
      <c r="R6062"/>
      <c r="S6062"/>
      <c r="T6062"/>
      <c r="U6062"/>
    </row>
    <row r="6063" spans="6:21" x14ac:dyDescent="0.25">
      <c r="F6063"/>
      <c r="O6063"/>
      <c r="R6063"/>
      <c r="S6063"/>
      <c r="T6063"/>
      <c r="U6063"/>
    </row>
    <row r="6064" spans="6:21" x14ac:dyDescent="0.25">
      <c r="F6064"/>
      <c r="O6064"/>
      <c r="R6064"/>
      <c r="S6064"/>
      <c r="T6064"/>
      <c r="U6064"/>
    </row>
    <row r="6065" spans="6:21" x14ac:dyDescent="0.25">
      <c r="F6065"/>
      <c r="O6065"/>
      <c r="R6065"/>
      <c r="S6065"/>
      <c r="T6065"/>
      <c r="U6065"/>
    </row>
    <row r="6066" spans="6:21" x14ac:dyDescent="0.25">
      <c r="F6066"/>
      <c r="O6066"/>
      <c r="R6066"/>
      <c r="S6066"/>
      <c r="T6066"/>
      <c r="U6066"/>
    </row>
    <row r="6067" spans="6:21" x14ac:dyDescent="0.25">
      <c r="F6067"/>
      <c r="O6067"/>
      <c r="R6067"/>
      <c r="S6067"/>
      <c r="T6067"/>
      <c r="U6067"/>
    </row>
    <row r="6068" spans="6:21" x14ac:dyDescent="0.25">
      <c r="F6068"/>
      <c r="O6068"/>
      <c r="R6068"/>
      <c r="S6068"/>
      <c r="T6068"/>
      <c r="U6068"/>
    </row>
    <row r="6069" spans="6:21" x14ac:dyDescent="0.25">
      <c r="F6069"/>
      <c r="O6069"/>
      <c r="R6069"/>
      <c r="S6069"/>
      <c r="T6069"/>
      <c r="U6069"/>
    </row>
    <row r="6070" spans="6:21" x14ac:dyDescent="0.25">
      <c r="F6070"/>
      <c r="O6070"/>
      <c r="R6070"/>
      <c r="S6070"/>
      <c r="T6070"/>
      <c r="U6070"/>
    </row>
    <row r="6071" spans="6:21" x14ac:dyDescent="0.25">
      <c r="F6071"/>
      <c r="O6071"/>
      <c r="R6071"/>
      <c r="S6071"/>
      <c r="T6071"/>
      <c r="U6071"/>
    </row>
    <row r="6072" spans="6:21" x14ac:dyDescent="0.25">
      <c r="F6072"/>
      <c r="O6072"/>
      <c r="R6072"/>
      <c r="S6072"/>
      <c r="T6072"/>
      <c r="U6072"/>
    </row>
    <row r="6073" spans="6:21" x14ac:dyDescent="0.25">
      <c r="F6073"/>
      <c r="O6073"/>
      <c r="R6073"/>
      <c r="S6073"/>
      <c r="T6073"/>
      <c r="U6073"/>
    </row>
    <row r="6074" spans="6:21" x14ac:dyDescent="0.25">
      <c r="F6074"/>
      <c r="O6074"/>
      <c r="R6074"/>
      <c r="S6074"/>
      <c r="T6074"/>
      <c r="U6074"/>
    </row>
    <row r="6075" spans="6:21" x14ac:dyDescent="0.25">
      <c r="F6075"/>
      <c r="O6075"/>
      <c r="R6075"/>
      <c r="S6075"/>
      <c r="T6075"/>
      <c r="U6075"/>
    </row>
    <row r="6076" spans="6:21" x14ac:dyDescent="0.25">
      <c r="F6076"/>
      <c r="O6076"/>
      <c r="R6076"/>
      <c r="S6076"/>
      <c r="T6076"/>
      <c r="U6076"/>
    </row>
    <row r="6077" spans="6:21" x14ac:dyDescent="0.25">
      <c r="F6077"/>
      <c r="O6077"/>
      <c r="R6077"/>
      <c r="S6077"/>
      <c r="T6077"/>
      <c r="U6077"/>
    </row>
    <row r="6078" spans="6:21" x14ac:dyDescent="0.25">
      <c r="F6078"/>
      <c r="O6078"/>
      <c r="R6078"/>
      <c r="S6078"/>
      <c r="T6078"/>
      <c r="U6078"/>
    </row>
    <row r="6079" spans="6:21" x14ac:dyDescent="0.25">
      <c r="F6079"/>
      <c r="O6079"/>
      <c r="R6079"/>
      <c r="S6079"/>
      <c r="T6079"/>
      <c r="U6079"/>
    </row>
    <row r="6080" spans="6:21" x14ac:dyDescent="0.25">
      <c r="F6080"/>
      <c r="O6080"/>
      <c r="R6080"/>
      <c r="S6080"/>
      <c r="T6080"/>
      <c r="U6080"/>
    </row>
    <row r="6081" spans="6:21" x14ac:dyDescent="0.25">
      <c r="F6081"/>
      <c r="O6081"/>
      <c r="R6081"/>
      <c r="S6081"/>
      <c r="T6081"/>
      <c r="U6081"/>
    </row>
    <row r="6082" spans="6:21" x14ac:dyDescent="0.25">
      <c r="F6082"/>
      <c r="O6082"/>
      <c r="R6082"/>
      <c r="S6082"/>
      <c r="T6082"/>
      <c r="U6082"/>
    </row>
    <row r="6083" spans="6:21" x14ac:dyDescent="0.25">
      <c r="F6083"/>
      <c r="O6083"/>
      <c r="R6083"/>
      <c r="S6083"/>
      <c r="T6083"/>
      <c r="U6083"/>
    </row>
    <row r="6084" spans="6:21" x14ac:dyDescent="0.25">
      <c r="F6084"/>
      <c r="O6084"/>
      <c r="R6084"/>
      <c r="S6084"/>
      <c r="T6084"/>
      <c r="U6084"/>
    </row>
    <row r="6085" spans="6:21" x14ac:dyDescent="0.25">
      <c r="F6085"/>
      <c r="O6085"/>
      <c r="R6085"/>
      <c r="S6085"/>
      <c r="T6085"/>
      <c r="U6085"/>
    </row>
    <row r="6086" spans="6:21" x14ac:dyDescent="0.25">
      <c r="F6086"/>
      <c r="O6086"/>
      <c r="R6086"/>
      <c r="S6086"/>
      <c r="T6086"/>
      <c r="U6086"/>
    </row>
    <row r="6087" spans="6:21" x14ac:dyDescent="0.25">
      <c r="F6087"/>
      <c r="O6087"/>
      <c r="R6087"/>
      <c r="S6087"/>
      <c r="T6087"/>
      <c r="U6087"/>
    </row>
    <row r="6088" spans="6:21" x14ac:dyDescent="0.25">
      <c r="F6088"/>
      <c r="O6088"/>
      <c r="R6088"/>
      <c r="S6088"/>
      <c r="T6088"/>
      <c r="U6088"/>
    </row>
    <row r="6089" spans="6:21" x14ac:dyDescent="0.25">
      <c r="F6089"/>
      <c r="O6089"/>
      <c r="R6089"/>
      <c r="S6089"/>
      <c r="T6089"/>
      <c r="U6089"/>
    </row>
    <row r="6090" spans="6:21" x14ac:dyDescent="0.25">
      <c r="F6090"/>
      <c r="O6090"/>
      <c r="R6090"/>
      <c r="S6090"/>
      <c r="T6090"/>
      <c r="U6090"/>
    </row>
    <row r="6091" spans="6:21" x14ac:dyDescent="0.25">
      <c r="F6091"/>
      <c r="O6091"/>
      <c r="R6091"/>
      <c r="S6091"/>
      <c r="T6091"/>
      <c r="U6091"/>
    </row>
    <row r="6092" spans="6:21" x14ac:dyDescent="0.25">
      <c r="F6092"/>
      <c r="O6092"/>
      <c r="R6092"/>
      <c r="S6092"/>
      <c r="T6092"/>
      <c r="U6092"/>
    </row>
    <row r="6093" spans="6:21" x14ac:dyDescent="0.25">
      <c r="F6093"/>
      <c r="O6093"/>
      <c r="R6093"/>
      <c r="S6093"/>
      <c r="T6093"/>
      <c r="U6093"/>
    </row>
    <row r="6094" spans="6:21" x14ac:dyDescent="0.25">
      <c r="F6094"/>
      <c r="O6094"/>
      <c r="R6094"/>
      <c r="S6094"/>
      <c r="T6094"/>
      <c r="U6094"/>
    </row>
    <row r="6095" spans="6:21" x14ac:dyDescent="0.25">
      <c r="F6095"/>
      <c r="O6095"/>
      <c r="R6095"/>
      <c r="S6095"/>
      <c r="T6095"/>
      <c r="U6095"/>
    </row>
    <row r="6096" spans="6:21" x14ac:dyDescent="0.25">
      <c r="F6096"/>
      <c r="O6096"/>
      <c r="R6096"/>
      <c r="S6096"/>
      <c r="T6096"/>
      <c r="U6096"/>
    </row>
    <row r="6097" spans="6:21" x14ac:dyDescent="0.25">
      <c r="F6097"/>
      <c r="O6097"/>
      <c r="R6097"/>
      <c r="S6097"/>
      <c r="T6097"/>
      <c r="U6097"/>
    </row>
    <row r="6098" spans="6:21" x14ac:dyDescent="0.25">
      <c r="F6098"/>
      <c r="O6098"/>
      <c r="R6098"/>
      <c r="S6098"/>
      <c r="T6098"/>
      <c r="U6098"/>
    </row>
    <row r="6099" spans="6:21" x14ac:dyDescent="0.25">
      <c r="F6099"/>
      <c r="O6099"/>
      <c r="R6099"/>
      <c r="S6099"/>
      <c r="T6099"/>
      <c r="U6099"/>
    </row>
    <row r="6100" spans="6:21" x14ac:dyDescent="0.25">
      <c r="F6100"/>
      <c r="O6100"/>
      <c r="R6100"/>
      <c r="S6100"/>
      <c r="T6100"/>
      <c r="U6100"/>
    </row>
    <row r="6101" spans="6:21" x14ac:dyDescent="0.25">
      <c r="F6101"/>
      <c r="O6101"/>
      <c r="R6101"/>
      <c r="S6101"/>
      <c r="T6101"/>
      <c r="U6101"/>
    </row>
    <row r="6102" spans="6:21" x14ac:dyDescent="0.25">
      <c r="F6102"/>
      <c r="O6102"/>
      <c r="R6102"/>
      <c r="S6102"/>
      <c r="T6102"/>
      <c r="U6102"/>
    </row>
    <row r="6103" spans="6:21" x14ac:dyDescent="0.25">
      <c r="F6103"/>
      <c r="O6103"/>
      <c r="R6103"/>
      <c r="S6103"/>
      <c r="T6103"/>
      <c r="U6103"/>
    </row>
    <row r="6104" spans="6:21" x14ac:dyDescent="0.25">
      <c r="F6104"/>
      <c r="O6104"/>
      <c r="R6104"/>
      <c r="S6104"/>
      <c r="T6104"/>
      <c r="U6104"/>
    </row>
    <row r="6105" spans="6:21" x14ac:dyDescent="0.25">
      <c r="F6105"/>
      <c r="O6105"/>
      <c r="R6105"/>
      <c r="S6105"/>
      <c r="T6105"/>
      <c r="U6105"/>
    </row>
    <row r="6106" spans="6:21" x14ac:dyDescent="0.25">
      <c r="F6106"/>
      <c r="O6106"/>
      <c r="R6106"/>
      <c r="S6106"/>
      <c r="T6106"/>
      <c r="U6106"/>
    </row>
    <row r="6107" spans="6:21" x14ac:dyDescent="0.25">
      <c r="F6107"/>
      <c r="O6107"/>
      <c r="R6107"/>
      <c r="S6107"/>
      <c r="T6107"/>
      <c r="U6107"/>
    </row>
    <row r="6108" spans="6:21" x14ac:dyDescent="0.25">
      <c r="F6108"/>
      <c r="O6108"/>
      <c r="R6108"/>
      <c r="S6108"/>
      <c r="T6108"/>
      <c r="U6108"/>
    </row>
    <row r="6109" spans="6:21" x14ac:dyDescent="0.25">
      <c r="F6109"/>
      <c r="O6109"/>
      <c r="R6109"/>
      <c r="S6109"/>
      <c r="T6109"/>
      <c r="U6109"/>
    </row>
    <row r="6110" spans="6:21" x14ac:dyDescent="0.25">
      <c r="F6110"/>
      <c r="O6110"/>
      <c r="R6110"/>
      <c r="S6110"/>
      <c r="T6110"/>
      <c r="U6110"/>
    </row>
    <row r="6111" spans="6:21" x14ac:dyDescent="0.25">
      <c r="F6111"/>
      <c r="O6111"/>
      <c r="R6111"/>
      <c r="S6111"/>
      <c r="T6111"/>
      <c r="U6111"/>
    </row>
    <row r="6112" spans="6:21" x14ac:dyDescent="0.25">
      <c r="F6112"/>
      <c r="O6112"/>
      <c r="R6112"/>
      <c r="S6112"/>
      <c r="T6112"/>
      <c r="U6112"/>
    </row>
    <row r="6113" spans="6:21" x14ac:dyDescent="0.25">
      <c r="F6113"/>
      <c r="O6113"/>
      <c r="R6113"/>
      <c r="S6113"/>
      <c r="T6113"/>
      <c r="U6113"/>
    </row>
    <row r="6114" spans="6:21" x14ac:dyDescent="0.25">
      <c r="F6114"/>
      <c r="O6114"/>
      <c r="R6114"/>
      <c r="S6114"/>
      <c r="T6114"/>
      <c r="U6114"/>
    </row>
    <row r="6115" spans="6:21" x14ac:dyDescent="0.25">
      <c r="F6115"/>
      <c r="O6115"/>
      <c r="R6115"/>
      <c r="S6115"/>
      <c r="T6115"/>
      <c r="U6115"/>
    </row>
    <row r="6116" spans="6:21" x14ac:dyDescent="0.25">
      <c r="F6116"/>
      <c r="O6116"/>
      <c r="R6116"/>
      <c r="S6116"/>
      <c r="T6116"/>
      <c r="U6116"/>
    </row>
    <row r="6117" spans="6:21" x14ac:dyDescent="0.25">
      <c r="F6117"/>
      <c r="O6117"/>
      <c r="R6117"/>
      <c r="S6117"/>
      <c r="T6117"/>
      <c r="U6117"/>
    </row>
    <row r="6118" spans="6:21" x14ac:dyDescent="0.25">
      <c r="F6118"/>
      <c r="O6118"/>
      <c r="R6118"/>
      <c r="S6118"/>
      <c r="T6118"/>
      <c r="U6118"/>
    </row>
    <row r="6119" spans="6:21" x14ac:dyDescent="0.25">
      <c r="F6119"/>
      <c r="O6119"/>
      <c r="R6119"/>
      <c r="S6119"/>
      <c r="T6119"/>
      <c r="U6119"/>
    </row>
    <row r="6120" spans="6:21" x14ac:dyDescent="0.25">
      <c r="F6120"/>
      <c r="O6120"/>
      <c r="R6120"/>
      <c r="S6120"/>
      <c r="T6120"/>
      <c r="U6120"/>
    </row>
    <row r="6121" spans="6:21" x14ac:dyDescent="0.25">
      <c r="F6121"/>
      <c r="O6121"/>
      <c r="R6121"/>
      <c r="S6121"/>
      <c r="T6121"/>
      <c r="U6121"/>
    </row>
    <row r="6122" spans="6:21" x14ac:dyDescent="0.25">
      <c r="F6122"/>
      <c r="O6122"/>
      <c r="R6122"/>
      <c r="S6122"/>
      <c r="T6122"/>
      <c r="U6122"/>
    </row>
    <row r="6123" spans="6:21" x14ac:dyDescent="0.25">
      <c r="F6123"/>
      <c r="O6123"/>
      <c r="R6123"/>
      <c r="S6123"/>
      <c r="T6123"/>
      <c r="U6123"/>
    </row>
    <row r="6124" spans="6:21" x14ac:dyDescent="0.25">
      <c r="F6124"/>
      <c r="O6124"/>
      <c r="R6124"/>
      <c r="S6124"/>
      <c r="T6124"/>
      <c r="U6124"/>
    </row>
    <row r="6125" spans="6:21" x14ac:dyDescent="0.25">
      <c r="F6125"/>
      <c r="O6125"/>
      <c r="R6125"/>
      <c r="S6125"/>
      <c r="T6125"/>
      <c r="U6125"/>
    </row>
    <row r="6126" spans="6:21" x14ac:dyDescent="0.25">
      <c r="F6126"/>
      <c r="O6126"/>
      <c r="R6126"/>
      <c r="S6126"/>
      <c r="T6126"/>
      <c r="U6126"/>
    </row>
    <row r="6127" spans="6:21" x14ac:dyDescent="0.25">
      <c r="F6127"/>
      <c r="O6127"/>
      <c r="R6127"/>
      <c r="S6127"/>
      <c r="T6127"/>
      <c r="U6127"/>
    </row>
    <row r="6128" spans="6:21" x14ac:dyDescent="0.25">
      <c r="F6128"/>
      <c r="O6128"/>
      <c r="R6128"/>
      <c r="S6128"/>
      <c r="T6128"/>
      <c r="U6128"/>
    </row>
    <row r="6129" spans="6:21" x14ac:dyDescent="0.25">
      <c r="F6129"/>
      <c r="O6129"/>
      <c r="R6129"/>
      <c r="S6129"/>
      <c r="T6129"/>
      <c r="U6129"/>
    </row>
    <row r="6130" spans="6:21" x14ac:dyDescent="0.25">
      <c r="F6130"/>
      <c r="O6130"/>
      <c r="R6130"/>
      <c r="S6130"/>
      <c r="T6130"/>
      <c r="U6130"/>
    </row>
    <row r="6131" spans="6:21" x14ac:dyDescent="0.25">
      <c r="F6131"/>
      <c r="O6131"/>
      <c r="R6131"/>
      <c r="S6131"/>
      <c r="T6131"/>
      <c r="U6131"/>
    </row>
    <row r="6132" spans="6:21" x14ac:dyDescent="0.25">
      <c r="F6132"/>
      <c r="O6132"/>
      <c r="R6132"/>
      <c r="S6132"/>
      <c r="T6132"/>
      <c r="U6132"/>
    </row>
    <row r="6133" spans="6:21" x14ac:dyDescent="0.25">
      <c r="F6133"/>
      <c r="O6133"/>
      <c r="R6133"/>
      <c r="S6133"/>
      <c r="T6133"/>
      <c r="U6133"/>
    </row>
    <row r="6134" spans="6:21" x14ac:dyDescent="0.25">
      <c r="F6134"/>
      <c r="O6134"/>
      <c r="R6134"/>
      <c r="S6134"/>
      <c r="T6134"/>
      <c r="U6134"/>
    </row>
    <row r="6135" spans="6:21" x14ac:dyDescent="0.25">
      <c r="F6135"/>
      <c r="O6135"/>
      <c r="R6135"/>
      <c r="S6135"/>
      <c r="T6135"/>
      <c r="U6135"/>
    </row>
    <row r="6136" spans="6:21" x14ac:dyDescent="0.25">
      <c r="F6136"/>
      <c r="O6136"/>
      <c r="R6136"/>
      <c r="S6136"/>
      <c r="T6136"/>
      <c r="U6136"/>
    </row>
    <row r="6137" spans="6:21" x14ac:dyDescent="0.25">
      <c r="F6137"/>
      <c r="O6137"/>
      <c r="R6137"/>
      <c r="S6137"/>
      <c r="T6137"/>
      <c r="U6137"/>
    </row>
    <row r="6138" spans="6:21" x14ac:dyDescent="0.25">
      <c r="F6138"/>
      <c r="O6138"/>
      <c r="R6138"/>
      <c r="S6138"/>
      <c r="T6138"/>
      <c r="U6138"/>
    </row>
    <row r="6139" spans="6:21" x14ac:dyDescent="0.25">
      <c r="F6139"/>
      <c r="O6139"/>
      <c r="R6139"/>
      <c r="S6139"/>
      <c r="T6139"/>
      <c r="U6139"/>
    </row>
    <row r="6140" spans="6:21" x14ac:dyDescent="0.25">
      <c r="F6140"/>
      <c r="O6140"/>
      <c r="R6140"/>
      <c r="S6140"/>
      <c r="T6140"/>
      <c r="U6140"/>
    </row>
    <row r="6141" spans="6:21" x14ac:dyDescent="0.25">
      <c r="F6141"/>
      <c r="O6141"/>
      <c r="R6141"/>
      <c r="S6141"/>
      <c r="T6141"/>
      <c r="U6141"/>
    </row>
    <row r="6142" spans="6:21" x14ac:dyDescent="0.25">
      <c r="F6142"/>
      <c r="O6142"/>
      <c r="R6142"/>
      <c r="S6142"/>
      <c r="T6142"/>
      <c r="U6142"/>
    </row>
    <row r="6143" spans="6:21" x14ac:dyDescent="0.25">
      <c r="F6143"/>
      <c r="O6143"/>
      <c r="R6143"/>
      <c r="S6143"/>
      <c r="T6143"/>
      <c r="U6143"/>
    </row>
    <row r="6144" spans="6:21" x14ac:dyDescent="0.25">
      <c r="F6144"/>
      <c r="O6144"/>
      <c r="R6144"/>
      <c r="S6144"/>
      <c r="T6144"/>
      <c r="U6144"/>
    </row>
    <row r="6145" spans="6:21" x14ac:dyDescent="0.25">
      <c r="F6145"/>
      <c r="O6145"/>
      <c r="R6145"/>
      <c r="S6145"/>
      <c r="T6145"/>
      <c r="U6145"/>
    </row>
    <row r="6146" spans="6:21" x14ac:dyDescent="0.25">
      <c r="F6146"/>
      <c r="O6146"/>
      <c r="R6146"/>
      <c r="S6146"/>
      <c r="T6146"/>
      <c r="U6146"/>
    </row>
    <row r="6147" spans="6:21" x14ac:dyDescent="0.25">
      <c r="F6147"/>
      <c r="O6147"/>
      <c r="R6147"/>
      <c r="S6147"/>
      <c r="T6147"/>
      <c r="U6147"/>
    </row>
    <row r="6148" spans="6:21" x14ac:dyDescent="0.25">
      <c r="F6148"/>
      <c r="O6148"/>
      <c r="R6148"/>
      <c r="S6148"/>
      <c r="T6148"/>
      <c r="U6148"/>
    </row>
    <row r="6149" spans="6:21" x14ac:dyDescent="0.25">
      <c r="F6149"/>
      <c r="O6149"/>
      <c r="R6149"/>
      <c r="S6149"/>
      <c r="T6149"/>
      <c r="U6149"/>
    </row>
    <row r="6150" spans="6:21" x14ac:dyDescent="0.25">
      <c r="F6150"/>
      <c r="O6150"/>
      <c r="R6150"/>
      <c r="S6150"/>
      <c r="T6150"/>
      <c r="U6150"/>
    </row>
    <row r="6151" spans="6:21" x14ac:dyDescent="0.25">
      <c r="F6151"/>
      <c r="O6151"/>
      <c r="R6151"/>
      <c r="S6151"/>
      <c r="T6151"/>
      <c r="U6151"/>
    </row>
    <row r="6152" spans="6:21" x14ac:dyDescent="0.25">
      <c r="F6152"/>
      <c r="O6152"/>
      <c r="R6152"/>
      <c r="S6152"/>
      <c r="T6152"/>
      <c r="U6152"/>
    </row>
    <row r="6153" spans="6:21" x14ac:dyDescent="0.25">
      <c r="F6153"/>
      <c r="O6153"/>
      <c r="R6153"/>
      <c r="S6153"/>
      <c r="T6153"/>
      <c r="U6153"/>
    </row>
    <row r="6154" spans="6:21" x14ac:dyDescent="0.25">
      <c r="F6154"/>
      <c r="O6154"/>
      <c r="R6154"/>
      <c r="S6154"/>
      <c r="T6154"/>
      <c r="U6154"/>
    </row>
    <row r="6155" spans="6:21" x14ac:dyDescent="0.25">
      <c r="F6155"/>
      <c r="O6155"/>
      <c r="R6155"/>
      <c r="S6155"/>
      <c r="T6155"/>
      <c r="U6155"/>
    </row>
    <row r="6156" spans="6:21" x14ac:dyDescent="0.25">
      <c r="F6156"/>
      <c r="O6156"/>
      <c r="R6156"/>
      <c r="S6156"/>
      <c r="T6156"/>
      <c r="U6156"/>
    </row>
    <row r="6157" spans="6:21" x14ac:dyDescent="0.25">
      <c r="F6157"/>
      <c r="O6157"/>
      <c r="R6157"/>
      <c r="S6157"/>
      <c r="T6157"/>
      <c r="U6157"/>
    </row>
    <row r="6158" spans="6:21" x14ac:dyDescent="0.25">
      <c r="F6158"/>
      <c r="O6158"/>
      <c r="R6158"/>
      <c r="S6158"/>
      <c r="T6158"/>
      <c r="U6158"/>
    </row>
    <row r="6159" spans="6:21" x14ac:dyDescent="0.25">
      <c r="F6159"/>
      <c r="O6159"/>
      <c r="R6159"/>
      <c r="S6159"/>
      <c r="T6159"/>
      <c r="U6159"/>
    </row>
    <row r="6160" spans="6:21" x14ac:dyDescent="0.25">
      <c r="F6160"/>
      <c r="O6160"/>
      <c r="R6160"/>
      <c r="S6160"/>
      <c r="T6160"/>
      <c r="U6160"/>
    </row>
    <row r="6161" spans="6:21" x14ac:dyDescent="0.25">
      <c r="F6161"/>
      <c r="O6161"/>
      <c r="R6161"/>
      <c r="S6161"/>
      <c r="T6161"/>
      <c r="U6161"/>
    </row>
    <row r="6162" spans="6:21" x14ac:dyDescent="0.25">
      <c r="F6162"/>
      <c r="O6162"/>
      <c r="R6162"/>
      <c r="S6162"/>
      <c r="T6162"/>
      <c r="U6162"/>
    </row>
    <row r="6163" spans="6:21" x14ac:dyDescent="0.25">
      <c r="F6163"/>
      <c r="O6163"/>
      <c r="R6163"/>
      <c r="S6163"/>
      <c r="T6163"/>
      <c r="U6163"/>
    </row>
    <row r="6164" spans="6:21" x14ac:dyDescent="0.25">
      <c r="F6164"/>
      <c r="O6164"/>
      <c r="R6164"/>
      <c r="S6164"/>
      <c r="T6164"/>
      <c r="U6164"/>
    </row>
    <row r="6165" spans="6:21" x14ac:dyDescent="0.25">
      <c r="F6165"/>
      <c r="O6165"/>
      <c r="R6165"/>
      <c r="S6165"/>
      <c r="T6165"/>
      <c r="U6165"/>
    </row>
    <row r="6166" spans="6:21" x14ac:dyDescent="0.25">
      <c r="F6166"/>
      <c r="O6166"/>
      <c r="R6166"/>
      <c r="S6166"/>
      <c r="T6166"/>
      <c r="U6166"/>
    </row>
    <row r="6167" spans="6:21" x14ac:dyDescent="0.25">
      <c r="F6167"/>
      <c r="O6167"/>
      <c r="R6167"/>
      <c r="S6167"/>
      <c r="T6167"/>
      <c r="U6167"/>
    </row>
    <row r="6168" spans="6:21" x14ac:dyDescent="0.25">
      <c r="F6168"/>
      <c r="O6168"/>
      <c r="R6168"/>
      <c r="S6168"/>
      <c r="T6168"/>
      <c r="U6168"/>
    </row>
    <row r="6169" spans="6:21" x14ac:dyDescent="0.25">
      <c r="F6169"/>
      <c r="O6169"/>
      <c r="R6169"/>
      <c r="S6169"/>
      <c r="T6169"/>
      <c r="U6169"/>
    </row>
    <row r="6170" spans="6:21" x14ac:dyDescent="0.25">
      <c r="F6170"/>
      <c r="O6170"/>
      <c r="R6170"/>
      <c r="S6170"/>
      <c r="T6170"/>
      <c r="U6170"/>
    </row>
    <row r="6171" spans="6:21" x14ac:dyDescent="0.25">
      <c r="F6171"/>
      <c r="O6171"/>
      <c r="R6171"/>
      <c r="S6171"/>
      <c r="T6171"/>
      <c r="U6171"/>
    </row>
    <row r="6172" spans="6:21" x14ac:dyDescent="0.25">
      <c r="F6172"/>
      <c r="O6172"/>
      <c r="R6172"/>
      <c r="S6172"/>
      <c r="T6172"/>
      <c r="U6172"/>
    </row>
    <row r="6173" spans="6:21" x14ac:dyDescent="0.25">
      <c r="F6173"/>
      <c r="O6173"/>
      <c r="R6173"/>
      <c r="S6173"/>
      <c r="T6173"/>
      <c r="U6173"/>
    </row>
    <row r="6174" spans="6:21" x14ac:dyDescent="0.25">
      <c r="F6174"/>
      <c r="O6174"/>
      <c r="R6174"/>
      <c r="S6174"/>
      <c r="T6174"/>
      <c r="U6174"/>
    </row>
    <row r="6175" spans="6:21" x14ac:dyDescent="0.25">
      <c r="F6175"/>
      <c r="O6175"/>
      <c r="R6175"/>
      <c r="S6175"/>
      <c r="T6175"/>
      <c r="U6175"/>
    </row>
    <row r="6176" spans="6:21" x14ac:dyDescent="0.25">
      <c r="F6176"/>
      <c r="O6176"/>
      <c r="R6176"/>
      <c r="S6176"/>
      <c r="T6176"/>
      <c r="U6176"/>
    </row>
    <row r="6177" spans="6:21" x14ac:dyDescent="0.25">
      <c r="F6177"/>
      <c r="O6177"/>
      <c r="R6177"/>
      <c r="S6177"/>
      <c r="T6177"/>
      <c r="U6177"/>
    </row>
    <row r="6178" spans="6:21" x14ac:dyDescent="0.25">
      <c r="F6178"/>
      <c r="O6178"/>
      <c r="R6178"/>
      <c r="S6178"/>
      <c r="T6178"/>
      <c r="U6178"/>
    </row>
    <row r="6179" spans="6:21" x14ac:dyDescent="0.25">
      <c r="F6179"/>
      <c r="O6179"/>
      <c r="R6179"/>
      <c r="S6179"/>
      <c r="T6179"/>
      <c r="U6179"/>
    </row>
    <row r="6180" spans="6:21" x14ac:dyDescent="0.25">
      <c r="F6180"/>
      <c r="O6180"/>
      <c r="R6180"/>
      <c r="S6180"/>
      <c r="T6180"/>
      <c r="U6180"/>
    </row>
    <row r="6181" spans="6:21" x14ac:dyDescent="0.25">
      <c r="F6181"/>
      <c r="O6181"/>
      <c r="R6181"/>
      <c r="S6181"/>
      <c r="T6181"/>
      <c r="U6181"/>
    </row>
    <row r="6182" spans="6:21" x14ac:dyDescent="0.25">
      <c r="F6182"/>
      <c r="O6182"/>
      <c r="R6182"/>
      <c r="S6182"/>
      <c r="T6182"/>
      <c r="U6182"/>
    </row>
    <row r="6183" spans="6:21" x14ac:dyDescent="0.25">
      <c r="F6183"/>
      <c r="O6183"/>
      <c r="R6183"/>
      <c r="S6183"/>
      <c r="T6183"/>
      <c r="U6183"/>
    </row>
    <row r="6184" spans="6:21" x14ac:dyDescent="0.25">
      <c r="F6184"/>
      <c r="O6184"/>
      <c r="R6184"/>
      <c r="S6184"/>
      <c r="T6184"/>
      <c r="U6184"/>
    </row>
    <row r="6185" spans="6:21" x14ac:dyDescent="0.25">
      <c r="F6185"/>
      <c r="O6185"/>
      <c r="R6185"/>
      <c r="S6185"/>
      <c r="T6185"/>
      <c r="U6185"/>
    </row>
    <row r="6186" spans="6:21" x14ac:dyDescent="0.25">
      <c r="F6186"/>
      <c r="O6186"/>
      <c r="R6186"/>
      <c r="S6186"/>
      <c r="T6186"/>
      <c r="U6186"/>
    </row>
    <row r="6187" spans="6:21" x14ac:dyDescent="0.25">
      <c r="F6187"/>
      <c r="O6187"/>
      <c r="R6187"/>
      <c r="S6187"/>
      <c r="T6187"/>
      <c r="U6187"/>
    </row>
    <row r="6188" spans="6:21" x14ac:dyDescent="0.25">
      <c r="F6188"/>
      <c r="O6188"/>
      <c r="R6188"/>
      <c r="S6188"/>
      <c r="T6188"/>
      <c r="U6188"/>
    </row>
    <row r="6189" spans="6:21" x14ac:dyDescent="0.25">
      <c r="F6189"/>
      <c r="O6189"/>
      <c r="R6189"/>
      <c r="S6189"/>
      <c r="T6189"/>
      <c r="U6189"/>
    </row>
    <row r="6190" spans="6:21" x14ac:dyDescent="0.25">
      <c r="F6190"/>
      <c r="O6190"/>
      <c r="R6190"/>
      <c r="S6190"/>
      <c r="T6190"/>
      <c r="U6190"/>
    </row>
    <row r="6191" spans="6:21" x14ac:dyDescent="0.25">
      <c r="F6191"/>
      <c r="O6191"/>
      <c r="R6191"/>
      <c r="S6191"/>
      <c r="T6191"/>
      <c r="U6191"/>
    </row>
    <row r="6192" spans="6:21" x14ac:dyDescent="0.25">
      <c r="F6192"/>
      <c r="O6192"/>
      <c r="R6192"/>
      <c r="S6192"/>
      <c r="T6192"/>
      <c r="U6192"/>
    </row>
    <row r="6193" spans="6:21" x14ac:dyDescent="0.25">
      <c r="F6193"/>
      <c r="O6193"/>
      <c r="R6193"/>
      <c r="S6193"/>
      <c r="T6193"/>
      <c r="U6193"/>
    </row>
    <row r="6194" spans="6:21" x14ac:dyDescent="0.25">
      <c r="F6194"/>
      <c r="O6194"/>
      <c r="R6194"/>
      <c r="S6194"/>
      <c r="T6194"/>
      <c r="U6194"/>
    </row>
    <row r="6195" spans="6:21" x14ac:dyDescent="0.25">
      <c r="F6195"/>
      <c r="O6195"/>
      <c r="R6195"/>
      <c r="S6195"/>
      <c r="T6195"/>
      <c r="U6195"/>
    </row>
    <row r="6196" spans="6:21" x14ac:dyDescent="0.25">
      <c r="F6196"/>
      <c r="O6196"/>
      <c r="R6196"/>
      <c r="S6196"/>
      <c r="T6196"/>
      <c r="U6196"/>
    </row>
    <row r="6197" spans="6:21" x14ac:dyDescent="0.25">
      <c r="F6197"/>
      <c r="O6197"/>
      <c r="R6197"/>
      <c r="S6197"/>
      <c r="T6197"/>
      <c r="U6197"/>
    </row>
    <row r="6198" spans="6:21" x14ac:dyDescent="0.25">
      <c r="F6198"/>
      <c r="O6198"/>
      <c r="R6198"/>
      <c r="S6198"/>
      <c r="T6198"/>
      <c r="U6198"/>
    </row>
    <row r="6199" spans="6:21" x14ac:dyDescent="0.25">
      <c r="F6199"/>
      <c r="O6199"/>
      <c r="R6199"/>
      <c r="S6199"/>
      <c r="T6199"/>
      <c r="U6199"/>
    </row>
    <row r="6200" spans="6:21" x14ac:dyDescent="0.25">
      <c r="F6200"/>
      <c r="O6200"/>
      <c r="R6200"/>
      <c r="S6200"/>
      <c r="T6200"/>
      <c r="U6200"/>
    </row>
    <row r="6201" spans="6:21" x14ac:dyDescent="0.25">
      <c r="F6201"/>
      <c r="O6201"/>
      <c r="R6201"/>
      <c r="S6201"/>
      <c r="T6201"/>
      <c r="U6201"/>
    </row>
    <row r="6202" spans="6:21" x14ac:dyDescent="0.25">
      <c r="F6202"/>
      <c r="O6202"/>
      <c r="R6202"/>
      <c r="S6202"/>
      <c r="T6202"/>
      <c r="U6202"/>
    </row>
    <row r="6203" spans="6:21" x14ac:dyDescent="0.25">
      <c r="F6203"/>
      <c r="O6203"/>
      <c r="R6203"/>
      <c r="S6203"/>
      <c r="T6203"/>
      <c r="U6203"/>
    </row>
    <row r="6204" spans="6:21" x14ac:dyDescent="0.25">
      <c r="F6204"/>
      <c r="O6204"/>
      <c r="R6204"/>
      <c r="S6204"/>
      <c r="T6204"/>
      <c r="U6204"/>
    </row>
    <row r="6205" spans="6:21" x14ac:dyDescent="0.25">
      <c r="F6205"/>
      <c r="O6205"/>
      <c r="R6205"/>
      <c r="S6205"/>
      <c r="T6205"/>
      <c r="U6205"/>
    </row>
    <row r="6206" spans="6:21" x14ac:dyDescent="0.25">
      <c r="F6206"/>
      <c r="O6206"/>
      <c r="R6206"/>
      <c r="S6206"/>
      <c r="T6206"/>
      <c r="U6206"/>
    </row>
    <row r="6207" spans="6:21" x14ac:dyDescent="0.25">
      <c r="F6207"/>
      <c r="O6207"/>
      <c r="R6207"/>
      <c r="S6207"/>
      <c r="T6207"/>
      <c r="U6207"/>
    </row>
    <row r="6208" spans="6:21" x14ac:dyDescent="0.25">
      <c r="F6208"/>
      <c r="O6208"/>
      <c r="R6208"/>
      <c r="S6208"/>
      <c r="T6208"/>
      <c r="U6208"/>
    </row>
    <row r="6209" spans="6:21" x14ac:dyDescent="0.25">
      <c r="F6209"/>
      <c r="O6209"/>
      <c r="R6209"/>
      <c r="S6209"/>
      <c r="T6209"/>
      <c r="U6209"/>
    </row>
    <row r="6210" spans="6:21" x14ac:dyDescent="0.25">
      <c r="F6210"/>
      <c r="O6210"/>
      <c r="R6210"/>
      <c r="S6210"/>
      <c r="T6210"/>
      <c r="U6210"/>
    </row>
    <row r="6211" spans="6:21" x14ac:dyDescent="0.25">
      <c r="F6211"/>
      <c r="O6211"/>
      <c r="R6211"/>
      <c r="S6211"/>
      <c r="T6211"/>
      <c r="U6211"/>
    </row>
    <row r="6212" spans="6:21" x14ac:dyDescent="0.25">
      <c r="F6212"/>
      <c r="O6212"/>
      <c r="R6212"/>
      <c r="S6212"/>
      <c r="T6212"/>
      <c r="U6212"/>
    </row>
    <row r="6213" spans="6:21" x14ac:dyDescent="0.25">
      <c r="F6213"/>
      <c r="O6213"/>
      <c r="R6213"/>
      <c r="S6213"/>
      <c r="T6213"/>
      <c r="U6213"/>
    </row>
    <row r="6214" spans="6:21" x14ac:dyDescent="0.25">
      <c r="F6214"/>
      <c r="O6214"/>
      <c r="R6214"/>
      <c r="S6214"/>
      <c r="T6214"/>
      <c r="U6214"/>
    </row>
    <row r="6215" spans="6:21" x14ac:dyDescent="0.25">
      <c r="F6215"/>
      <c r="O6215"/>
      <c r="R6215"/>
      <c r="S6215"/>
      <c r="T6215"/>
      <c r="U6215"/>
    </row>
    <row r="6216" spans="6:21" x14ac:dyDescent="0.25">
      <c r="F6216"/>
      <c r="O6216"/>
      <c r="R6216"/>
      <c r="S6216"/>
      <c r="T6216"/>
      <c r="U6216"/>
    </row>
    <row r="6217" spans="6:21" x14ac:dyDescent="0.25">
      <c r="F6217"/>
      <c r="O6217"/>
      <c r="R6217"/>
      <c r="S6217"/>
      <c r="T6217"/>
      <c r="U6217"/>
    </row>
    <row r="6218" spans="6:21" x14ac:dyDescent="0.25">
      <c r="F6218"/>
      <c r="O6218"/>
      <c r="R6218"/>
      <c r="S6218"/>
      <c r="T6218"/>
      <c r="U6218"/>
    </row>
    <row r="6219" spans="6:21" x14ac:dyDescent="0.25">
      <c r="F6219"/>
      <c r="O6219"/>
      <c r="R6219"/>
      <c r="S6219"/>
      <c r="T6219"/>
      <c r="U6219"/>
    </row>
    <row r="6220" spans="6:21" x14ac:dyDescent="0.25">
      <c r="F6220"/>
      <c r="O6220"/>
      <c r="R6220"/>
      <c r="S6220"/>
      <c r="T6220"/>
      <c r="U6220"/>
    </row>
    <row r="6221" spans="6:21" x14ac:dyDescent="0.25">
      <c r="F6221"/>
      <c r="O6221"/>
      <c r="R6221"/>
      <c r="S6221"/>
      <c r="T6221"/>
      <c r="U6221"/>
    </row>
    <row r="6222" spans="6:21" x14ac:dyDescent="0.25">
      <c r="F6222"/>
      <c r="O6222"/>
      <c r="R6222"/>
      <c r="S6222"/>
      <c r="T6222"/>
      <c r="U6222"/>
    </row>
    <row r="6223" spans="6:21" x14ac:dyDescent="0.25">
      <c r="F6223"/>
      <c r="O6223"/>
      <c r="R6223"/>
      <c r="S6223"/>
      <c r="T6223"/>
      <c r="U6223"/>
    </row>
    <row r="6224" spans="6:21" x14ac:dyDescent="0.25">
      <c r="F6224"/>
      <c r="O6224"/>
      <c r="R6224"/>
      <c r="S6224"/>
      <c r="T6224"/>
      <c r="U6224"/>
    </row>
    <row r="6225" spans="6:21" x14ac:dyDescent="0.25">
      <c r="F6225"/>
      <c r="O6225"/>
      <c r="R6225"/>
      <c r="S6225"/>
      <c r="T6225"/>
      <c r="U6225"/>
    </row>
    <row r="6226" spans="6:21" x14ac:dyDescent="0.25">
      <c r="F6226"/>
      <c r="O6226"/>
      <c r="R6226"/>
      <c r="S6226"/>
      <c r="T6226"/>
      <c r="U6226"/>
    </row>
    <row r="6227" spans="6:21" x14ac:dyDescent="0.25">
      <c r="F6227"/>
      <c r="O6227"/>
      <c r="R6227"/>
      <c r="S6227"/>
      <c r="T6227"/>
      <c r="U6227"/>
    </row>
    <row r="6228" spans="6:21" x14ac:dyDescent="0.25">
      <c r="F6228"/>
      <c r="O6228"/>
      <c r="R6228"/>
      <c r="S6228"/>
      <c r="T6228"/>
      <c r="U6228"/>
    </row>
    <row r="6229" spans="6:21" x14ac:dyDescent="0.25">
      <c r="F6229"/>
      <c r="O6229"/>
      <c r="R6229"/>
      <c r="S6229"/>
      <c r="T6229"/>
      <c r="U6229"/>
    </row>
    <row r="6230" spans="6:21" x14ac:dyDescent="0.25">
      <c r="F6230"/>
      <c r="O6230"/>
      <c r="R6230"/>
      <c r="S6230"/>
      <c r="T6230"/>
      <c r="U6230"/>
    </row>
    <row r="6231" spans="6:21" x14ac:dyDescent="0.25">
      <c r="F6231"/>
      <c r="O6231"/>
      <c r="R6231"/>
      <c r="S6231"/>
      <c r="T6231"/>
      <c r="U6231"/>
    </row>
    <row r="6232" spans="6:21" x14ac:dyDescent="0.25">
      <c r="F6232"/>
      <c r="O6232"/>
      <c r="R6232"/>
      <c r="S6232"/>
      <c r="T6232"/>
      <c r="U6232"/>
    </row>
    <row r="6233" spans="6:21" x14ac:dyDescent="0.25">
      <c r="F6233"/>
      <c r="O6233"/>
      <c r="R6233"/>
      <c r="S6233"/>
      <c r="T6233"/>
      <c r="U6233"/>
    </row>
    <row r="6234" spans="6:21" x14ac:dyDescent="0.25">
      <c r="F6234"/>
      <c r="O6234"/>
      <c r="R6234"/>
      <c r="S6234"/>
      <c r="T6234"/>
      <c r="U6234"/>
    </row>
    <row r="6235" spans="6:21" x14ac:dyDescent="0.25">
      <c r="F6235"/>
      <c r="O6235"/>
      <c r="R6235"/>
      <c r="S6235"/>
      <c r="T6235"/>
      <c r="U6235"/>
    </row>
    <row r="6236" spans="6:21" x14ac:dyDescent="0.25">
      <c r="F6236"/>
      <c r="O6236"/>
      <c r="R6236"/>
      <c r="S6236"/>
      <c r="T6236"/>
      <c r="U6236"/>
    </row>
    <row r="6237" spans="6:21" x14ac:dyDescent="0.25">
      <c r="F6237"/>
      <c r="O6237"/>
      <c r="R6237"/>
      <c r="S6237"/>
      <c r="T6237"/>
      <c r="U6237"/>
    </row>
    <row r="6238" spans="6:21" x14ac:dyDescent="0.25">
      <c r="F6238"/>
      <c r="O6238"/>
      <c r="R6238"/>
      <c r="S6238"/>
      <c r="T6238"/>
      <c r="U6238"/>
    </row>
    <row r="6239" spans="6:21" x14ac:dyDescent="0.25">
      <c r="F6239"/>
      <c r="O6239"/>
      <c r="R6239"/>
      <c r="S6239"/>
      <c r="T6239"/>
      <c r="U6239"/>
    </row>
    <row r="6240" spans="6:21" x14ac:dyDescent="0.25">
      <c r="F6240"/>
      <c r="O6240"/>
      <c r="R6240"/>
      <c r="S6240"/>
      <c r="T6240"/>
      <c r="U6240"/>
    </row>
    <row r="6241" spans="6:21" x14ac:dyDescent="0.25">
      <c r="F6241"/>
      <c r="O6241"/>
      <c r="R6241"/>
      <c r="S6241"/>
      <c r="T6241"/>
      <c r="U6241"/>
    </row>
    <row r="6242" spans="6:21" x14ac:dyDescent="0.25">
      <c r="F6242"/>
      <c r="O6242"/>
      <c r="R6242"/>
      <c r="S6242"/>
      <c r="T6242"/>
      <c r="U6242"/>
    </row>
    <row r="6243" spans="6:21" x14ac:dyDescent="0.25">
      <c r="F6243"/>
      <c r="O6243"/>
      <c r="R6243"/>
      <c r="S6243"/>
      <c r="T6243"/>
      <c r="U6243"/>
    </row>
    <row r="6244" spans="6:21" x14ac:dyDescent="0.25">
      <c r="F6244"/>
      <c r="O6244"/>
      <c r="R6244"/>
      <c r="S6244"/>
      <c r="T6244"/>
      <c r="U6244"/>
    </row>
    <row r="6245" spans="6:21" x14ac:dyDescent="0.25">
      <c r="F6245"/>
      <c r="O6245"/>
      <c r="R6245"/>
      <c r="S6245"/>
      <c r="T6245"/>
      <c r="U6245"/>
    </row>
    <row r="6246" spans="6:21" x14ac:dyDescent="0.25">
      <c r="F6246"/>
      <c r="O6246"/>
      <c r="R6246"/>
      <c r="S6246"/>
      <c r="T6246"/>
      <c r="U6246"/>
    </row>
    <row r="6247" spans="6:21" x14ac:dyDescent="0.25">
      <c r="F6247"/>
      <c r="O6247"/>
      <c r="R6247"/>
      <c r="S6247"/>
      <c r="T6247"/>
      <c r="U6247"/>
    </row>
    <row r="6248" spans="6:21" x14ac:dyDescent="0.25">
      <c r="F6248"/>
      <c r="O6248"/>
      <c r="R6248"/>
      <c r="S6248"/>
      <c r="T6248"/>
      <c r="U6248"/>
    </row>
    <row r="6249" spans="6:21" x14ac:dyDescent="0.25">
      <c r="F6249"/>
      <c r="O6249"/>
      <c r="R6249"/>
      <c r="S6249"/>
      <c r="T6249"/>
      <c r="U6249"/>
    </row>
    <row r="6250" spans="6:21" x14ac:dyDescent="0.25">
      <c r="F6250"/>
      <c r="O6250"/>
      <c r="R6250"/>
      <c r="S6250"/>
      <c r="T6250"/>
      <c r="U6250"/>
    </row>
    <row r="6251" spans="6:21" x14ac:dyDescent="0.25">
      <c r="F6251"/>
      <c r="O6251"/>
      <c r="R6251"/>
      <c r="S6251"/>
      <c r="T6251"/>
      <c r="U6251"/>
    </row>
    <row r="6252" spans="6:21" x14ac:dyDescent="0.25">
      <c r="F6252"/>
      <c r="O6252"/>
      <c r="R6252"/>
      <c r="S6252"/>
      <c r="T6252"/>
      <c r="U6252"/>
    </row>
    <row r="6253" spans="6:21" x14ac:dyDescent="0.25">
      <c r="F6253"/>
      <c r="O6253"/>
      <c r="R6253"/>
      <c r="S6253"/>
      <c r="T6253"/>
      <c r="U6253"/>
    </row>
    <row r="6254" spans="6:21" x14ac:dyDescent="0.25">
      <c r="F6254"/>
      <c r="O6254"/>
      <c r="R6254"/>
      <c r="S6254"/>
      <c r="T6254"/>
      <c r="U6254"/>
    </row>
    <row r="6255" spans="6:21" x14ac:dyDescent="0.25">
      <c r="F6255"/>
      <c r="O6255"/>
      <c r="R6255"/>
      <c r="S6255"/>
      <c r="T6255"/>
      <c r="U6255"/>
    </row>
    <row r="6256" spans="6:21" x14ac:dyDescent="0.25">
      <c r="F6256"/>
      <c r="O6256"/>
      <c r="R6256"/>
      <c r="S6256"/>
      <c r="T6256"/>
      <c r="U6256"/>
    </row>
    <row r="6257" spans="6:21" x14ac:dyDescent="0.25">
      <c r="F6257"/>
      <c r="O6257"/>
      <c r="R6257"/>
      <c r="S6257"/>
      <c r="T6257"/>
      <c r="U6257"/>
    </row>
    <row r="6258" spans="6:21" x14ac:dyDescent="0.25">
      <c r="F6258"/>
      <c r="O6258"/>
      <c r="R6258"/>
      <c r="S6258"/>
      <c r="T6258"/>
      <c r="U6258"/>
    </row>
    <row r="6259" spans="6:21" x14ac:dyDescent="0.25">
      <c r="F6259"/>
      <c r="O6259"/>
      <c r="R6259"/>
      <c r="S6259"/>
      <c r="T6259"/>
      <c r="U6259"/>
    </row>
    <row r="6260" spans="6:21" x14ac:dyDescent="0.25">
      <c r="F6260"/>
      <c r="O6260"/>
      <c r="R6260"/>
      <c r="S6260"/>
      <c r="T6260"/>
      <c r="U6260"/>
    </row>
    <row r="6261" spans="6:21" x14ac:dyDescent="0.25">
      <c r="F6261"/>
      <c r="O6261"/>
      <c r="R6261"/>
      <c r="S6261"/>
      <c r="T6261"/>
      <c r="U6261"/>
    </row>
    <row r="6262" spans="6:21" x14ac:dyDescent="0.25">
      <c r="F6262"/>
      <c r="O6262"/>
      <c r="R6262"/>
      <c r="S6262"/>
      <c r="T6262"/>
      <c r="U6262"/>
    </row>
    <row r="6263" spans="6:21" x14ac:dyDescent="0.25">
      <c r="F6263"/>
      <c r="O6263"/>
      <c r="R6263"/>
      <c r="S6263"/>
      <c r="T6263"/>
      <c r="U6263"/>
    </row>
  </sheetData>
  <autoFilter ref="A4:CRL2849" xr:uid="{E069D700-E2EB-4D0D-9932-EF732965620E}"/>
  <sortState ref="A4:AV5">
    <sortCondition ref="AV4"/>
    <sortCondition ref="R4"/>
  </sortState>
  <dataConsolidate/>
  <dataValidations count="1">
    <dataValidation type="list" showInputMessage="1" error="Please select a valid value" promptTitle="select a value" sqref="P3:P4" xr:uid="{00000000-0002-0000-0000-000000000000}">
      <formula1>hhhhhh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39383-5858-4B78-BC07-BEADF1A7B0C4}">
  <sheetPr codeName="Sheet4"/>
  <dimension ref="C1:C133"/>
  <sheetViews>
    <sheetView workbookViewId="0">
      <selection activeCell="C134" sqref="C134"/>
    </sheetView>
  </sheetViews>
  <sheetFormatPr defaultRowHeight="15" x14ac:dyDescent="0.25"/>
  <cols>
    <col min="3" max="3" width="56" bestFit="1" customWidth="1"/>
  </cols>
  <sheetData>
    <row r="1" spans="3:3" x14ac:dyDescent="0.25">
      <c r="C1" t="s">
        <v>463</v>
      </c>
    </row>
    <row r="2" spans="3:3" x14ac:dyDescent="0.25">
      <c r="C2" t="s">
        <v>369</v>
      </c>
    </row>
    <row r="3" spans="3:3" x14ac:dyDescent="0.25">
      <c r="C3" t="s">
        <v>377</v>
      </c>
    </row>
    <row r="4" spans="3:3" x14ac:dyDescent="0.25">
      <c r="C4" t="s">
        <v>371</v>
      </c>
    </row>
    <row r="5" spans="3:3" x14ac:dyDescent="0.25">
      <c r="C5" t="s">
        <v>379</v>
      </c>
    </row>
    <row r="6" spans="3:3" x14ac:dyDescent="0.25">
      <c r="C6" t="s">
        <v>435</v>
      </c>
    </row>
    <row r="7" spans="3:3" x14ac:dyDescent="0.25">
      <c r="C7" t="s">
        <v>441</v>
      </c>
    </row>
    <row r="8" spans="3:3" x14ac:dyDescent="0.25">
      <c r="C8" t="s">
        <v>445</v>
      </c>
    </row>
    <row r="9" spans="3:3" x14ac:dyDescent="0.25">
      <c r="C9" t="s">
        <v>370</v>
      </c>
    </row>
    <row r="10" spans="3:3" x14ac:dyDescent="0.25">
      <c r="C10" t="s">
        <v>378</v>
      </c>
    </row>
    <row r="11" spans="3:3" x14ac:dyDescent="0.25">
      <c r="C11" t="s">
        <v>372</v>
      </c>
    </row>
    <row r="12" spans="3:3" x14ac:dyDescent="0.25">
      <c r="C12" t="s">
        <v>380</v>
      </c>
    </row>
    <row r="13" spans="3:3" x14ac:dyDescent="0.25">
      <c r="C13" t="s">
        <v>436</v>
      </c>
    </row>
    <row r="14" spans="3:3" x14ac:dyDescent="0.25">
      <c r="C14" t="s">
        <v>442</v>
      </c>
    </row>
    <row r="15" spans="3:3" x14ac:dyDescent="0.25">
      <c r="C15" t="s">
        <v>446</v>
      </c>
    </row>
    <row r="16" spans="3:3" x14ac:dyDescent="0.25">
      <c r="C16" t="s">
        <v>361</v>
      </c>
    </row>
    <row r="17" spans="3:3" x14ac:dyDescent="0.25">
      <c r="C17" t="s">
        <v>365</v>
      </c>
    </row>
    <row r="18" spans="3:3" x14ac:dyDescent="0.25">
      <c r="C18" t="s">
        <v>373</v>
      </c>
    </row>
    <row r="19" spans="3:3" x14ac:dyDescent="0.25">
      <c r="C19" t="s">
        <v>363</v>
      </c>
    </row>
    <row r="20" spans="3:3" x14ac:dyDescent="0.25">
      <c r="C20" t="s">
        <v>367</v>
      </c>
    </row>
    <row r="21" spans="3:3" x14ac:dyDescent="0.25">
      <c r="C21" t="s">
        <v>375</v>
      </c>
    </row>
    <row r="22" spans="3:3" x14ac:dyDescent="0.25">
      <c r="C22" t="s">
        <v>433</v>
      </c>
    </row>
    <row r="23" spans="3:3" x14ac:dyDescent="0.25">
      <c r="C23" t="s">
        <v>437</v>
      </c>
    </row>
    <row r="24" spans="3:3" x14ac:dyDescent="0.25">
      <c r="C24" t="s">
        <v>439</v>
      </c>
    </row>
    <row r="25" spans="3:3" x14ac:dyDescent="0.25">
      <c r="C25" t="s">
        <v>443</v>
      </c>
    </row>
    <row r="26" spans="3:3" x14ac:dyDescent="0.25">
      <c r="C26" t="s">
        <v>362</v>
      </c>
    </row>
    <row r="27" spans="3:3" x14ac:dyDescent="0.25">
      <c r="C27" t="s">
        <v>366</v>
      </c>
    </row>
    <row r="28" spans="3:3" x14ac:dyDescent="0.25">
      <c r="C28" t="s">
        <v>374</v>
      </c>
    </row>
    <row r="29" spans="3:3" x14ac:dyDescent="0.25">
      <c r="C29" t="s">
        <v>364</v>
      </c>
    </row>
    <row r="30" spans="3:3" x14ac:dyDescent="0.25">
      <c r="C30" t="s">
        <v>368</v>
      </c>
    </row>
    <row r="31" spans="3:3" x14ac:dyDescent="0.25">
      <c r="C31" t="s">
        <v>376</v>
      </c>
    </row>
    <row r="32" spans="3:3" x14ac:dyDescent="0.25">
      <c r="C32" t="s">
        <v>434</v>
      </c>
    </row>
    <row r="33" spans="3:3" x14ac:dyDescent="0.25">
      <c r="C33" t="s">
        <v>438</v>
      </c>
    </row>
    <row r="34" spans="3:3" x14ac:dyDescent="0.25">
      <c r="C34" t="s">
        <v>440</v>
      </c>
    </row>
    <row r="35" spans="3:3" x14ac:dyDescent="0.25">
      <c r="C35" t="s">
        <v>444</v>
      </c>
    </row>
    <row r="36" spans="3:3" x14ac:dyDescent="0.25">
      <c r="C36" t="s">
        <v>385</v>
      </c>
    </row>
    <row r="37" spans="3:3" x14ac:dyDescent="0.25">
      <c r="C37" t="s">
        <v>393</v>
      </c>
    </row>
    <row r="38" spans="3:3" x14ac:dyDescent="0.25">
      <c r="C38" t="s">
        <v>387</v>
      </c>
    </row>
    <row r="39" spans="3:3" x14ac:dyDescent="0.25">
      <c r="C39" t="s">
        <v>395</v>
      </c>
    </row>
    <row r="40" spans="3:3" x14ac:dyDescent="0.25">
      <c r="C40" t="s">
        <v>449</v>
      </c>
    </row>
    <row r="41" spans="3:3" x14ac:dyDescent="0.25">
      <c r="C41" t="s">
        <v>453</v>
      </c>
    </row>
    <row r="42" spans="3:3" x14ac:dyDescent="0.25">
      <c r="C42" t="s">
        <v>386</v>
      </c>
    </row>
    <row r="43" spans="3:3" x14ac:dyDescent="0.25">
      <c r="C43" t="s">
        <v>394</v>
      </c>
    </row>
    <row r="44" spans="3:3" x14ac:dyDescent="0.25">
      <c r="C44" t="s">
        <v>388</v>
      </c>
    </row>
    <row r="45" spans="3:3" x14ac:dyDescent="0.25">
      <c r="C45" t="s">
        <v>396</v>
      </c>
    </row>
    <row r="46" spans="3:3" x14ac:dyDescent="0.25">
      <c r="C46" t="s">
        <v>450</v>
      </c>
    </row>
    <row r="47" spans="3:3" x14ac:dyDescent="0.25">
      <c r="C47" t="s">
        <v>454</v>
      </c>
    </row>
    <row r="48" spans="3:3" x14ac:dyDescent="0.25">
      <c r="C48" t="s">
        <v>381</v>
      </c>
    </row>
    <row r="49" spans="3:3" x14ac:dyDescent="0.25">
      <c r="C49" t="s">
        <v>389</v>
      </c>
    </row>
    <row r="50" spans="3:3" x14ac:dyDescent="0.25">
      <c r="C50" t="s">
        <v>383</v>
      </c>
    </row>
    <row r="51" spans="3:3" x14ac:dyDescent="0.25">
      <c r="C51" t="s">
        <v>391</v>
      </c>
    </row>
    <row r="52" spans="3:3" x14ac:dyDescent="0.25">
      <c r="C52" t="s">
        <v>447</v>
      </c>
    </row>
    <row r="53" spans="3:3" x14ac:dyDescent="0.25">
      <c r="C53" t="s">
        <v>451</v>
      </c>
    </row>
    <row r="54" spans="3:3" x14ac:dyDescent="0.25">
      <c r="C54" t="s">
        <v>382</v>
      </c>
    </row>
    <row r="55" spans="3:3" x14ac:dyDescent="0.25">
      <c r="C55" t="s">
        <v>390</v>
      </c>
    </row>
    <row r="56" spans="3:3" x14ac:dyDescent="0.25">
      <c r="C56" t="s">
        <v>384</v>
      </c>
    </row>
    <row r="57" spans="3:3" x14ac:dyDescent="0.25">
      <c r="C57" t="s">
        <v>392</v>
      </c>
    </row>
    <row r="58" spans="3:3" x14ac:dyDescent="0.25">
      <c r="C58" t="s">
        <v>448</v>
      </c>
    </row>
    <row r="59" spans="3:3" x14ac:dyDescent="0.25">
      <c r="C59" t="s">
        <v>452</v>
      </c>
    </row>
    <row r="60" spans="3:3" x14ac:dyDescent="0.25">
      <c r="C60" t="s">
        <v>401</v>
      </c>
    </row>
    <row r="61" spans="3:3" x14ac:dyDescent="0.25">
      <c r="C61" t="s">
        <v>403</v>
      </c>
    </row>
    <row r="62" spans="3:3" x14ac:dyDescent="0.25">
      <c r="C62" t="s">
        <v>457</v>
      </c>
    </row>
    <row r="63" spans="3:3" x14ac:dyDescent="0.25">
      <c r="C63" t="s">
        <v>402</v>
      </c>
    </row>
    <row r="64" spans="3:3" x14ac:dyDescent="0.25">
      <c r="C64" t="s">
        <v>404</v>
      </c>
    </row>
    <row r="65" spans="3:3" x14ac:dyDescent="0.25">
      <c r="C65" t="s">
        <v>458</v>
      </c>
    </row>
    <row r="66" spans="3:3" x14ac:dyDescent="0.25">
      <c r="C66" t="s">
        <v>397</v>
      </c>
    </row>
    <row r="67" spans="3:3" x14ac:dyDescent="0.25">
      <c r="C67" t="s">
        <v>405</v>
      </c>
    </row>
    <row r="68" spans="3:3" x14ac:dyDescent="0.25">
      <c r="C68" t="s">
        <v>399</v>
      </c>
    </row>
    <row r="69" spans="3:3" x14ac:dyDescent="0.25">
      <c r="C69" t="s">
        <v>407</v>
      </c>
    </row>
    <row r="70" spans="3:3" x14ac:dyDescent="0.25">
      <c r="C70" t="s">
        <v>455</v>
      </c>
    </row>
    <row r="71" spans="3:3" x14ac:dyDescent="0.25">
      <c r="C71" t="s">
        <v>459</v>
      </c>
    </row>
    <row r="72" spans="3:3" x14ac:dyDescent="0.25">
      <c r="C72" t="s">
        <v>398</v>
      </c>
    </row>
    <row r="73" spans="3:3" x14ac:dyDescent="0.25">
      <c r="C73" t="s">
        <v>406</v>
      </c>
    </row>
    <row r="74" spans="3:3" x14ac:dyDescent="0.25">
      <c r="C74" t="s">
        <v>400</v>
      </c>
    </row>
    <row r="75" spans="3:3" x14ac:dyDescent="0.25">
      <c r="C75" t="s">
        <v>408</v>
      </c>
    </row>
    <row r="76" spans="3:3" x14ac:dyDescent="0.25">
      <c r="C76" t="s">
        <v>456</v>
      </c>
    </row>
    <row r="77" spans="3:3" x14ac:dyDescent="0.25">
      <c r="C77" t="s">
        <v>460</v>
      </c>
    </row>
    <row r="78" spans="3:3" x14ac:dyDescent="0.25">
      <c r="C78" t="s">
        <v>341</v>
      </c>
    </row>
    <row r="79" spans="3:3" x14ac:dyDescent="0.25">
      <c r="C79" t="s">
        <v>343</v>
      </c>
    </row>
    <row r="80" spans="3:3" x14ac:dyDescent="0.25">
      <c r="C80" t="s">
        <v>411</v>
      </c>
    </row>
    <row r="81" spans="3:3" x14ac:dyDescent="0.25">
      <c r="C81" t="s">
        <v>419</v>
      </c>
    </row>
    <row r="82" spans="3:3" x14ac:dyDescent="0.25">
      <c r="C82" t="s">
        <v>342</v>
      </c>
    </row>
    <row r="83" spans="3:3" x14ac:dyDescent="0.25">
      <c r="C83" t="s">
        <v>344</v>
      </c>
    </row>
    <row r="84" spans="3:3" x14ac:dyDescent="0.25">
      <c r="C84" t="s">
        <v>412</v>
      </c>
    </row>
    <row r="85" spans="3:3" x14ac:dyDescent="0.25">
      <c r="C85" t="s">
        <v>420</v>
      </c>
    </row>
    <row r="86" spans="3:3" x14ac:dyDescent="0.25">
      <c r="C86" t="s">
        <v>322</v>
      </c>
    </row>
    <row r="87" spans="3:3" x14ac:dyDescent="0.25">
      <c r="C87" t="s">
        <v>333</v>
      </c>
    </row>
    <row r="88" spans="3:3" x14ac:dyDescent="0.25">
      <c r="C88" t="s">
        <v>337</v>
      </c>
    </row>
    <row r="89" spans="3:3" x14ac:dyDescent="0.25">
      <c r="C89" t="s">
        <v>331</v>
      </c>
    </row>
    <row r="90" spans="3:3" x14ac:dyDescent="0.25">
      <c r="C90" t="s">
        <v>335</v>
      </c>
    </row>
    <row r="91" spans="3:3" x14ac:dyDescent="0.25">
      <c r="C91" t="s">
        <v>339</v>
      </c>
    </row>
    <row r="92" spans="3:3" x14ac:dyDescent="0.25">
      <c r="C92" t="s">
        <v>409</v>
      </c>
    </row>
    <row r="93" spans="3:3" x14ac:dyDescent="0.25">
      <c r="C93" t="s">
        <v>413</v>
      </c>
    </row>
    <row r="94" spans="3:3" x14ac:dyDescent="0.25">
      <c r="C94" t="s">
        <v>415</v>
      </c>
    </row>
    <row r="95" spans="3:3" x14ac:dyDescent="0.25">
      <c r="C95" t="s">
        <v>417</v>
      </c>
    </row>
    <row r="96" spans="3:3" x14ac:dyDescent="0.25">
      <c r="C96" t="s">
        <v>330</v>
      </c>
    </row>
    <row r="97" spans="3:3" x14ac:dyDescent="0.25">
      <c r="C97" t="s">
        <v>334</v>
      </c>
    </row>
    <row r="98" spans="3:3" x14ac:dyDescent="0.25">
      <c r="C98" t="s">
        <v>338</v>
      </c>
    </row>
    <row r="99" spans="3:3" x14ac:dyDescent="0.25">
      <c r="C99" t="s">
        <v>332</v>
      </c>
    </row>
    <row r="100" spans="3:3" x14ac:dyDescent="0.25">
      <c r="C100" t="s">
        <v>336</v>
      </c>
    </row>
    <row r="101" spans="3:3" x14ac:dyDescent="0.25">
      <c r="C101" t="s">
        <v>340</v>
      </c>
    </row>
    <row r="102" spans="3:3" x14ac:dyDescent="0.25">
      <c r="C102" t="s">
        <v>410</v>
      </c>
    </row>
    <row r="103" spans="3:3" x14ac:dyDescent="0.25">
      <c r="C103" t="s">
        <v>414</v>
      </c>
    </row>
    <row r="104" spans="3:3" x14ac:dyDescent="0.25">
      <c r="C104" t="s">
        <v>416</v>
      </c>
    </row>
    <row r="105" spans="3:3" x14ac:dyDescent="0.25">
      <c r="C105" t="s">
        <v>418</v>
      </c>
    </row>
    <row r="106" spans="3:3" x14ac:dyDescent="0.25">
      <c r="C106" t="s">
        <v>353</v>
      </c>
    </row>
    <row r="107" spans="3:3" x14ac:dyDescent="0.25">
      <c r="C107" t="s">
        <v>355</v>
      </c>
    </row>
    <row r="108" spans="3:3" x14ac:dyDescent="0.25">
      <c r="C108" t="s">
        <v>423</v>
      </c>
    </row>
    <row r="109" spans="3:3" x14ac:dyDescent="0.25">
      <c r="C109" t="s">
        <v>429</v>
      </c>
    </row>
    <row r="110" spans="3:3" x14ac:dyDescent="0.25">
      <c r="C110" t="s">
        <v>354</v>
      </c>
    </row>
    <row r="111" spans="3:3" x14ac:dyDescent="0.25">
      <c r="C111" t="s">
        <v>356</v>
      </c>
    </row>
    <row r="112" spans="3:3" x14ac:dyDescent="0.25">
      <c r="C112" t="s">
        <v>424</v>
      </c>
    </row>
    <row r="113" spans="3:3" x14ac:dyDescent="0.25">
      <c r="C113" t="s">
        <v>430</v>
      </c>
    </row>
    <row r="114" spans="3:3" x14ac:dyDescent="0.25">
      <c r="C114" t="s">
        <v>345</v>
      </c>
    </row>
    <row r="115" spans="3:3" x14ac:dyDescent="0.25">
      <c r="C115" t="s">
        <v>349</v>
      </c>
    </row>
    <row r="116" spans="3:3" x14ac:dyDescent="0.25">
      <c r="C116" t="s">
        <v>357</v>
      </c>
    </row>
    <row r="117" spans="3:3" x14ac:dyDescent="0.25">
      <c r="C117" t="s">
        <v>347</v>
      </c>
    </row>
    <row r="118" spans="3:3" x14ac:dyDescent="0.25">
      <c r="C118" t="s">
        <v>351</v>
      </c>
    </row>
    <row r="119" spans="3:3" x14ac:dyDescent="0.25">
      <c r="C119" t="s">
        <v>359</v>
      </c>
    </row>
    <row r="120" spans="3:3" x14ac:dyDescent="0.25">
      <c r="C120" t="s">
        <v>421</v>
      </c>
    </row>
    <row r="121" spans="3:3" x14ac:dyDescent="0.25">
      <c r="C121" t="s">
        <v>425</v>
      </c>
    </row>
    <row r="122" spans="3:3" x14ac:dyDescent="0.25">
      <c r="C122" t="s">
        <v>427</v>
      </c>
    </row>
    <row r="123" spans="3:3" x14ac:dyDescent="0.25">
      <c r="C123" t="s">
        <v>431</v>
      </c>
    </row>
    <row r="124" spans="3:3" x14ac:dyDescent="0.25">
      <c r="C124" t="s">
        <v>346</v>
      </c>
    </row>
    <row r="125" spans="3:3" x14ac:dyDescent="0.25">
      <c r="C125" t="s">
        <v>350</v>
      </c>
    </row>
    <row r="126" spans="3:3" x14ac:dyDescent="0.25">
      <c r="C126" t="s">
        <v>358</v>
      </c>
    </row>
    <row r="127" spans="3:3" x14ac:dyDescent="0.25">
      <c r="C127" t="s">
        <v>348</v>
      </c>
    </row>
    <row r="128" spans="3:3" x14ac:dyDescent="0.25">
      <c r="C128" t="s">
        <v>352</v>
      </c>
    </row>
    <row r="129" spans="3:3" x14ac:dyDescent="0.25">
      <c r="C129" t="s">
        <v>360</v>
      </c>
    </row>
    <row r="130" spans="3:3" x14ac:dyDescent="0.25">
      <c r="C130" t="s">
        <v>422</v>
      </c>
    </row>
    <row r="131" spans="3:3" x14ac:dyDescent="0.25">
      <c r="C131" t="s">
        <v>426</v>
      </c>
    </row>
    <row r="132" spans="3:3" x14ac:dyDescent="0.25">
      <c r="C132" t="s">
        <v>428</v>
      </c>
    </row>
    <row r="133" spans="3:3" x14ac:dyDescent="0.25">
      <c r="C133" t="s">
        <v>432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X26"/>
  <sheetViews>
    <sheetView workbookViewId="0">
      <selection activeCell="G6" sqref="G6"/>
    </sheetView>
  </sheetViews>
  <sheetFormatPr defaultRowHeight="15" x14ac:dyDescent="0.25"/>
  <sheetData>
    <row r="1" spans="1:206" ht="30.75" customHeight="1" thickBot="1" x14ac:dyDescent="0.3">
      <c r="A1" s="11" t="s">
        <v>64</v>
      </c>
      <c r="B1" s="107" t="s">
        <v>65</v>
      </c>
      <c r="C1" s="107" t="s">
        <v>66</v>
      </c>
      <c r="D1" s="107" t="s">
        <v>67</v>
      </c>
      <c r="E1" s="107" t="s">
        <v>68</v>
      </c>
      <c r="F1" s="116" t="s">
        <v>69</v>
      </c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 t="s">
        <v>70</v>
      </c>
      <c r="AS1" s="116"/>
      <c r="AT1" s="116"/>
      <c r="AU1" s="117" t="s">
        <v>71</v>
      </c>
      <c r="AV1" s="117"/>
      <c r="AW1" s="117" t="s">
        <v>72</v>
      </c>
      <c r="AX1" s="117"/>
      <c r="AY1" s="117"/>
      <c r="AZ1" s="117"/>
      <c r="BA1" s="117"/>
      <c r="BB1" s="117"/>
      <c r="BC1" s="117"/>
      <c r="BD1" s="117" t="s">
        <v>73</v>
      </c>
      <c r="BE1" s="117"/>
      <c r="BF1" s="117"/>
      <c r="BG1" s="118" t="s">
        <v>74</v>
      </c>
      <c r="BH1" s="119"/>
      <c r="BI1" s="120"/>
      <c r="BJ1" s="113" t="str">
        <f>"Preço Fixo
"&amp;DOLLAR([5]ARBOR!C2,2)</f>
        <v>Preço Fixo
$75.84</v>
      </c>
      <c r="BK1" s="114"/>
      <c r="BL1" s="114"/>
      <c r="BM1" s="114"/>
      <c r="BN1" s="115"/>
      <c r="BO1" s="113" t="s">
        <v>75</v>
      </c>
      <c r="BP1" s="114"/>
      <c r="BQ1" s="114"/>
      <c r="BR1" s="115"/>
      <c r="BS1" s="113" t="s">
        <v>76</v>
      </c>
      <c r="BT1" s="114"/>
      <c r="BU1" s="114"/>
      <c r="BV1" s="115"/>
      <c r="BW1" s="113" t="s">
        <v>77</v>
      </c>
      <c r="BX1" s="114"/>
      <c r="BY1" s="114"/>
      <c r="BZ1" s="115"/>
      <c r="CA1" s="113" t="s">
        <v>78</v>
      </c>
      <c r="CB1" s="114"/>
      <c r="CC1" s="114"/>
      <c r="CD1" s="115"/>
      <c r="CE1" s="113" t="s">
        <v>79</v>
      </c>
      <c r="CF1" s="114"/>
      <c r="CG1" s="114"/>
      <c r="CH1" s="115"/>
      <c r="CI1" s="113" t="s">
        <v>80</v>
      </c>
      <c r="CJ1" s="114"/>
      <c r="CK1" s="114"/>
      <c r="CL1" s="115"/>
      <c r="CM1" s="113" t="s">
        <v>81</v>
      </c>
      <c r="CN1" s="114"/>
      <c r="CO1" s="114"/>
      <c r="CP1" s="115"/>
      <c r="CQ1" s="113" t="s">
        <v>82</v>
      </c>
      <c r="CR1" s="114"/>
      <c r="CS1" s="114"/>
      <c r="CT1" s="114"/>
      <c r="CU1" s="114"/>
      <c r="CV1" s="114"/>
      <c r="CW1" s="114"/>
      <c r="CX1" s="115"/>
      <c r="CY1" s="113" t="s">
        <v>83</v>
      </c>
      <c r="CZ1" s="114"/>
      <c r="DA1" s="114"/>
      <c r="DB1" s="114"/>
      <c r="DC1" s="114"/>
      <c r="DD1" s="114"/>
      <c r="DE1" s="114"/>
      <c r="DF1" s="115"/>
      <c r="DG1" s="113" t="s">
        <v>84</v>
      </c>
      <c r="DH1" s="114"/>
      <c r="DI1" s="114"/>
      <c r="DJ1" s="114"/>
      <c r="DK1" s="114"/>
      <c r="DL1" s="114"/>
      <c r="DM1" s="114"/>
      <c r="DN1" s="115"/>
      <c r="DO1" s="124" t="s">
        <v>85</v>
      </c>
      <c r="DP1" s="125"/>
      <c r="DQ1" s="125"/>
      <c r="DR1" s="125"/>
      <c r="DS1" s="125"/>
      <c r="DT1" s="125"/>
      <c r="DU1" s="125"/>
      <c r="DV1" s="126"/>
      <c r="DW1" s="127" t="s">
        <v>86</v>
      </c>
      <c r="DX1" s="128"/>
      <c r="DY1" s="129"/>
      <c r="DZ1" s="130" t="s">
        <v>87</v>
      </c>
      <c r="EA1" s="131"/>
      <c r="EB1" s="131"/>
      <c r="EC1" s="131"/>
      <c r="ED1" s="131"/>
      <c r="EE1" s="131"/>
      <c r="EF1" s="132"/>
      <c r="EG1" s="133" t="s">
        <v>88</v>
      </c>
      <c r="EH1" s="134"/>
      <c r="EI1" s="134"/>
      <c r="EJ1" s="134"/>
      <c r="EK1" s="134"/>
      <c r="EL1" s="134"/>
      <c r="EM1" s="134"/>
      <c r="EN1" s="134"/>
      <c r="EO1" s="135" t="s">
        <v>89</v>
      </c>
      <c r="EP1" s="136"/>
      <c r="EQ1" s="136"/>
      <c r="ER1" s="136"/>
      <c r="ES1" s="136"/>
      <c r="ET1" s="137"/>
      <c r="EU1" s="138" t="s">
        <v>90</v>
      </c>
      <c r="EV1" s="139"/>
      <c r="EW1" s="121" t="str">
        <f>"Oi Internet pra Celular 300MB (PCS-813566)
"&amp;DOLLAR(VLOOKUP("PCS-813566",[5]ARBOR!$A:$C,3,0),2)</f>
        <v>Oi Internet pra Celular 300MB (PCS-813566)
$18.92</v>
      </c>
      <c r="EX1" s="122"/>
      <c r="EY1" s="123"/>
      <c r="EZ1" s="121" t="str">
        <f>"Oi Internet pra Celular 500MB (PCS-813564)
"&amp;DOLLAR(VLOOKUP("PCS-813564",[5]ARBOR!$A:$C,3,0),2)</f>
        <v>Oi Internet pra Celular 500MB (PCS-813564)
$28.44</v>
      </c>
      <c r="FA1" s="122"/>
      <c r="FB1" s="123"/>
      <c r="FC1" s="121" t="s">
        <v>91</v>
      </c>
      <c r="FD1" s="122"/>
      <c r="FE1" s="123"/>
      <c r="FF1" s="121" t="s">
        <v>92</v>
      </c>
      <c r="FG1" s="122"/>
      <c r="FH1" s="123"/>
      <c r="FI1" s="121" t="s">
        <v>93</v>
      </c>
      <c r="FJ1" s="122"/>
      <c r="FK1" s="123"/>
      <c r="FL1" s="121" t="s">
        <v>94</v>
      </c>
      <c r="FM1" s="122"/>
      <c r="FN1" s="123"/>
      <c r="FO1" s="121" t="s">
        <v>95</v>
      </c>
      <c r="FP1" s="122"/>
      <c r="FQ1" s="123"/>
      <c r="FR1" s="143" t="s">
        <v>96</v>
      </c>
      <c r="FS1" s="144"/>
      <c r="FT1" s="145" t="s">
        <v>97</v>
      </c>
      <c r="FU1" s="146"/>
      <c r="FV1" s="147" t="s">
        <v>98</v>
      </c>
      <c r="FW1" s="148"/>
      <c r="FX1" s="148"/>
      <c r="FY1" s="148"/>
      <c r="FZ1" s="148"/>
      <c r="GA1" s="148"/>
      <c r="GB1" s="120"/>
      <c r="GC1" s="147" t="s">
        <v>99</v>
      </c>
      <c r="GD1" s="148"/>
      <c r="GE1" s="120"/>
      <c r="GF1" s="147" t="s">
        <v>99</v>
      </c>
      <c r="GG1" s="148"/>
      <c r="GH1" s="120"/>
      <c r="GI1" s="106" t="s">
        <v>100</v>
      </c>
      <c r="GJ1" s="12" t="s">
        <v>101</v>
      </c>
      <c r="GK1" s="140" t="s">
        <v>102</v>
      </c>
      <c r="GL1" s="141"/>
      <c r="GM1" s="141"/>
      <c r="GN1" s="141"/>
      <c r="GO1" s="141"/>
      <c r="GP1" s="141"/>
      <c r="GQ1" s="141"/>
      <c r="GR1" s="141"/>
      <c r="GS1" s="141"/>
      <c r="GT1" s="141"/>
      <c r="GU1" s="142"/>
    </row>
    <row r="2" spans="1:206" ht="164.25" customHeight="1" thickBot="1" x14ac:dyDescent="0.3">
      <c r="A2" t="s">
        <v>103</v>
      </c>
      <c r="B2" s="13" t="s">
        <v>104</v>
      </c>
      <c r="C2" s="13" t="s">
        <v>105</v>
      </c>
      <c r="D2" s="13" t="s">
        <v>106</v>
      </c>
      <c r="E2" s="13" t="s">
        <v>107</v>
      </c>
      <c r="F2" s="14" t="s">
        <v>108</v>
      </c>
      <c r="G2" s="14" t="s">
        <v>109</v>
      </c>
      <c r="H2" s="14" t="s">
        <v>110</v>
      </c>
      <c r="I2" s="14" t="s">
        <v>111</v>
      </c>
      <c r="J2" s="14" t="s">
        <v>112</v>
      </c>
      <c r="K2" s="14" t="s">
        <v>113</v>
      </c>
      <c r="L2" s="14" t="s">
        <v>114</v>
      </c>
      <c r="M2" s="14" t="s">
        <v>115</v>
      </c>
      <c r="N2" s="14" t="s">
        <v>116</v>
      </c>
      <c r="O2" s="14" t="s">
        <v>117</v>
      </c>
      <c r="P2" s="14" t="s">
        <v>118</v>
      </c>
      <c r="Q2" s="14" t="s">
        <v>119</v>
      </c>
      <c r="R2" s="14" t="s">
        <v>120</v>
      </c>
      <c r="S2" s="14" t="s">
        <v>121</v>
      </c>
      <c r="T2" s="14" t="s">
        <v>122</v>
      </c>
      <c r="U2" s="14" t="s">
        <v>123</v>
      </c>
      <c r="V2" s="14" t="s">
        <v>124</v>
      </c>
      <c r="W2" s="14" t="s">
        <v>125</v>
      </c>
      <c r="X2" s="15" t="s">
        <v>126</v>
      </c>
      <c r="Y2" s="14" t="s">
        <v>127</v>
      </c>
      <c r="Z2" s="14" t="s">
        <v>128</v>
      </c>
      <c r="AA2" s="14" t="s">
        <v>129</v>
      </c>
      <c r="AB2" s="14" t="s">
        <v>130</v>
      </c>
      <c r="AC2" s="14" t="s">
        <v>131</v>
      </c>
      <c r="AD2" s="16" t="s">
        <v>132</v>
      </c>
      <c r="AE2" s="16" t="s">
        <v>133</v>
      </c>
      <c r="AF2" s="16" t="s">
        <v>134</v>
      </c>
      <c r="AG2" s="16" t="s">
        <v>135</v>
      </c>
      <c r="AH2" s="14" t="s">
        <v>136</v>
      </c>
      <c r="AI2" s="14" t="s">
        <v>137</v>
      </c>
      <c r="AJ2" s="14" t="s">
        <v>138</v>
      </c>
      <c r="AK2" s="14" t="s">
        <v>139</v>
      </c>
      <c r="AL2" s="14" t="s">
        <v>140</v>
      </c>
      <c r="AM2" s="14" t="s">
        <v>141</v>
      </c>
      <c r="AN2" s="14" t="s">
        <v>142</v>
      </c>
      <c r="AO2" s="15" t="s">
        <v>143</v>
      </c>
      <c r="AP2" s="15" t="s">
        <v>144</v>
      </c>
      <c r="AQ2" s="14" t="s">
        <v>145</v>
      </c>
      <c r="AR2" s="17" t="s">
        <v>146</v>
      </c>
      <c r="AS2" s="13" t="s">
        <v>147</v>
      </c>
      <c r="AT2" s="13" t="s">
        <v>148</v>
      </c>
      <c r="AU2" s="13" t="s">
        <v>149</v>
      </c>
      <c r="AV2" s="13" t="s">
        <v>150</v>
      </c>
      <c r="AW2" s="17" t="s">
        <v>151</v>
      </c>
      <c r="AX2" s="17" t="s">
        <v>152</v>
      </c>
      <c r="AY2" s="17" t="s">
        <v>153</v>
      </c>
      <c r="AZ2" s="17" t="s">
        <v>154</v>
      </c>
      <c r="BA2" s="17" t="s">
        <v>155</v>
      </c>
      <c r="BB2" s="17" t="s">
        <v>156</v>
      </c>
      <c r="BC2" s="17" t="s">
        <v>157</v>
      </c>
      <c r="BD2" s="18" t="s">
        <v>158</v>
      </c>
      <c r="BE2" s="19" t="s">
        <v>159</v>
      </c>
      <c r="BF2" s="19" t="s">
        <v>160</v>
      </c>
      <c r="BG2" s="17" t="s">
        <v>161</v>
      </c>
      <c r="BH2" s="20" t="s">
        <v>162</v>
      </c>
      <c r="BI2" s="17" t="s">
        <v>163</v>
      </c>
      <c r="BJ2" s="21" t="s">
        <v>164</v>
      </c>
      <c r="BK2" s="22" t="s">
        <v>165</v>
      </c>
      <c r="BL2" s="17" t="s">
        <v>166</v>
      </c>
      <c r="BM2" s="23" t="s">
        <v>167</v>
      </c>
      <c r="BN2" s="24" t="s">
        <v>168</v>
      </c>
      <c r="BO2" s="17" t="s">
        <v>169</v>
      </c>
      <c r="BP2" s="13" t="s">
        <v>164</v>
      </c>
      <c r="BQ2" s="13" t="s">
        <v>170</v>
      </c>
      <c r="BR2" s="17" t="s">
        <v>166</v>
      </c>
      <c r="BS2" s="17" t="s">
        <v>169</v>
      </c>
      <c r="BT2" s="13" t="s">
        <v>164</v>
      </c>
      <c r="BU2" s="13" t="s">
        <v>170</v>
      </c>
      <c r="BV2" s="17" t="s">
        <v>166</v>
      </c>
      <c r="BW2" s="17" t="s">
        <v>169</v>
      </c>
      <c r="BX2" s="13" t="s">
        <v>164</v>
      </c>
      <c r="BY2" s="13" t="s">
        <v>170</v>
      </c>
      <c r="BZ2" s="17" t="s">
        <v>166</v>
      </c>
      <c r="CA2" s="17" t="s">
        <v>169</v>
      </c>
      <c r="CB2" s="13" t="s">
        <v>164</v>
      </c>
      <c r="CC2" s="13" t="s">
        <v>170</v>
      </c>
      <c r="CD2" s="17" t="s">
        <v>166</v>
      </c>
      <c r="CE2" s="17" t="s">
        <v>169</v>
      </c>
      <c r="CF2" s="13" t="s">
        <v>164</v>
      </c>
      <c r="CG2" s="13" t="s">
        <v>170</v>
      </c>
      <c r="CH2" s="17" t="s">
        <v>166</v>
      </c>
      <c r="CI2" s="17" t="s">
        <v>169</v>
      </c>
      <c r="CJ2" s="13" t="s">
        <v>164</v>
      </c>
      <c r="CK2" s="13" t="s">
        <v>170</v>
      </c>
      <c r="CL2" s="17" t="s">
        <v>166</v>
      </c>
      <c r="CM2" s="17" t="s">
        <v>169</v>
      </c>
      <c r="CN2" s="13" t="s">
        <v>164</v>
      </c>
      <c r="CO2" s="13" t="s">
        <v>170</v>
      </c>
      <c r="CP2" s="17" t="s">
        <v>166</v>
      </c>
      <c r="CQ2" s="17" t="s">
        <v>169</v>
      </c>
      <c r="CR2" s="13" t="s">
        <v>164</v>
      </c>
      <c r="CS2" s="13" t="s">
        <v>170</v>
      </c>
      <c r="CT2" s="17" t="s">
        <v>166</v>
      </c>
      <c r="CU2" s="25" t="s">
        <v>164</v>
      </c>
      <c r="CV2" s="25" t="s">
        <v>171</v>
      </c>
      <c r="CW2" s="25" t="s">
        <v>170</v>
      </c>
      <c r="CX2" s="26" t="s">
        <v>166</v>
      </c>
      <c r="CY2" s="17" t="s">
        <v>169</v>
      </c>
      <c r="CZ2" s="13" t="s">
        <v>164</v>
      </c>
      <c r="DA2" s="13" t="s">
        <v>170</v>
      </c>
      <c r="DB2" s="17" t="s">
        <v>166</v>
      </c>
      <c r="DC2" s="25" t="s">
        <v>164</v>
      </c>
      <c r="DD2" s="25" t="s">
        <v>171</v>
      </c>
      <c r="DE2" s="25" t="s">
        <v>170</v>
      </c>
      <c r="DF2" s="26" t="s">
        <v>166</v>
      </c>
      <c r="DG2" s="17" t="s">
        <v>169</v>
      </c>
      <c r="DH2" s="13" t="s">
        <v>164</v>
      </c>
      <c r="DI2" s="13" t="s">
        <v>170</v>
      </c>
      <c r="DJ2" s="17" t="s">
        <v>166</v>
      </c>
      <c r="DK2" s="25" t="s">
        <v>164</v>
      </c>
      <c r="DL2" s="25" t="s">
        <v>171</v>
      </c>
      <c r="DM2" s="25" t="s">
        <v>170</v>
      </c>
      <c r="DN2" s="26" t="s">
        <v>166</v>
      </c>
      <c r="DO2" s="17" t="s">
        <v>169</v>
      </c>
      <c r="DP2" s="13" t="s">
        <v>164</v>
      </c>
      <c r="DQ2" s="13" t="s">
        <v>170</v>
      </c>
      <c r="DR2" s="17" t="s">
        <v>166</v>
      </c>
      <c r="DS2" s="25" t="s">
        <v>164</v>
      </c>
      <c r="DT2" s="25" t="s">
        <v>171</v>
      </c>
      <c r="DU2" s="25" t="s">
        <v>170</v>
      </c>
      <c r="DV2" s="26" t="s">
        <v>166</v>
      </c>
      <c r="DW2" s="27" t="s">
        <v>164</v>
      </c>
      <c r="DX2" s="27" t="s">
        <v>172</v>
      </c>
      <c r="DY2" s="17" t="s">
        <v>166</v>
      </c>
      <c r="DZ2" s="28" t="s">
        <v>173</v>
      </c>
      <c r="EA2" s="29" t="s">
        <v>170</v>
      </c>
      <c r="EB2" s="29" t="s">
        <v>166</v>
      </c>
      <c r="EC2" s="28" t="s">
        <v>174</v>
      </c>
      <c r="ED2" s="28" t="s">
        <v>175</v>
      </c>
      <c r="EE2" s="29" t="s">
        <v>170</v>
      </c>
      <c r="EF2" s="29" t="s">
        <v>166</v>
      </c>
      <c r="EG2" s="30" t="s">
        <v>176</v>
      </c>
      <c r="EH2" s="13" t="s">
        <v>177</v>
      </c>
      <c r="EI2" s="13" t="s">
        <v>178</v>
      </c>
      <c r="EJ2" s="17" t="s">
        <v>179</v>
      </c>
      <c r="EK2" s="17" t="s">
        <v>166</v>
      </c>
      <c r="EL2" s="13" t="s">
        <v>180</v>
      </c>
      <c r="EM2" s="13" t="s">
        <v>170</v>
      </c>
      <c r="EN2" s="17" t="s">
        <v>166</v>
      </c>
      <c r="EO2" s="13" t="s">
        <v>181</v>
      </c>
      <c r="EP2" s="31" t="s">
        <v>182</v>
      </c>
      <c r="EQ2" s="13" t="s">
        <v>183</v>
      </c>
      <c r="ER2" s="13" t="s">
        <v>184</v>
      </c>
      <c r="ES2" s="17" t="s">
        <v>179</v>
      </c>
      <c r="ET2" s="17" t="s">
        <v>166</v>
      </c>
      <c r="EU2" s="32" t="s">
        <v>185</v>
      </c>
      <c r="EV2" s="33" t="s">
        <v>186</v>
      </c>
      <c r="EW2" s="13" t="s">
        <v>164</v>
      </c>
      <c r="EX2" s="13" t="s">
        <v>187</v>
      </c>
      <c r="EY2" s="17" t="s">
        <v>166</v>
      </c>
      <c r="EZ2" s="13" t="s">
        <v>164</v>
      </c>
      <c r="FA2" s="13" t="s">
        <v>187</v>
      </c>
      <c r="FB2" s="17" t="s">
        <v>166</v>
      </c>
      <c r="FC2" s="13" t="s">
        <v>164</v>
      </c>
      <c r="FD2" s="13" t="s">
        <v>187</v>
      </c>
      <c r="FE2" s="17" t="s">
        <v>166</v>
      </c>
      <c r="FF2" s="13" t="s">
        <v>164</v>
      </c>
      <c r="FG2" s="13" t="s">
        <v>187</v>
      </c>
      <c r="FH2" s="17" t="s">
        <v>166</v>
      </c>
      <c r="FI2" s="13" t="s">
        <v>164</v>
      </c>
      <c r="FJ2" s="13" t="s">
        <v>187</v>
      </c>
      <c r="FK2" s="17" t="s">
        <v>166</v>
      </c>
      <c r="FL2" s="13" t="s">
        <v>164</v>
      </c>
      <c r="FM2" s="13" t="s">
        <v>187</v>
      </c>
      <c r="FN2" s="17" t="s">
        <v>166</v>
      </c>
      <c r="FO2" s="13" t="s">
        <v>164</v>
      </c>
      <c r="FP2" s="13" t="s">
        <v>187</v>
      </c>
      <c r="FQ2" s="17" t="s">
        <v>166</v>
      </c>
      <c r="FR2" s="13" t="s">
        <v>170</v>
      </c>
      <c r="FS2" s="17" t="s">
        <v>166</v>
      </c>
      <c r="FT2" s="34" t="s">
        <v>188</v>
      </c>
      <c r="FU2" s="17" t="s">
        <v>189</v>
      </c>
      <c r="FV2" s="13" t="s">
        <v>190</v>
      </c>
      <c r="FW2" s="34" t="s">
        <v>191</v>
      </c>
      <c r="FX2" s="13" t="s">
        <v>192</v>
      </c>
      <c r="FY2" s="35" t="s">
        <v>193</v>
      </c>
      <c r="FZ2" s="17" t="s">
        <v>194</v>
      </c>
      <c r="GA2" s="36" t="s">
        <v>195</v>
      </c>
      <c r="GB2" s="17" t="s">
        <v>196</v>
      </c>
      <c r="GC2" s="35" t="s">
        <v>197</v>
      </c>
      <c r="GD2" s="36" t="s">
        <v>198</v>
      </c>
      <c r="GE2" s="36" t="s">
        <v>166</v>
      </c>
      <c r="GF2" s="35" t="s">
        <v>197</v>
      </c>
      <c r="GG2" s="36" t="s">
        <v>198</v>
      </c>
      <c r="GH2" s="36" t="s">
        <v>166</v>
      </c>
      <c r="GI2" s="37" t="s">
        <v>199</v>
      </c>
      <c r="GJ2" s="38" t="s">
        <v>200</v>
      </c>
      <c r="GK2" s="39" t="s">
        <v>201</v>
      </c>
      <c r="GL2" s="40" t="s">
        <v>202</v>
      </c>
      <c r="GM2" s="40" t="s">
        <v>203</v>
      </c>
      <c r="GN2" s="41" t="s">
        <v>204</v>
      </c>
      <c r="GO2" s="41" t="s">
        <v>205</v>
      </c>
      <c r="GP2" s="41" t="s">
        <v>206</v>
      </c>
      <c r="GQ2" s="40" t="s">
        <v>207</v>
      </c>
      <c r="GR2" s="40" t="s">
        <v>208</v>
      </c>
      <c r="GS2" s="40"/>
      <c r="GT2" s="40" t="s">
        <v>209</v>
      </c>
      <c r="GU2" s="42" t="s">
        <v>210</v>
      </c>
      <c r="GV2" s="43" t="s">
        <v>211</v>
      </c>
      <c r="GW2" s="43" t="s">
        <v>212</v>
      </c>
      <c r="GX2" s="43" t="s">
        <v>213</v>
      </c>
    </row>
    <row r="3" spans="1:206" s="44" customFormat="1" x14ac:dyDescent="0.25">
      <c r="A3" s="44" t="str">
        <f t="shared" ref="A3:A26" si="0">CONCATENATE(BH3,GM3,EV3,GL3)</f>
        <v>Oi Total Fixo + Pós 800 + Banda LargaN1MG</v>
      </c>
      <c r="B3" s="45" t="s">
        <v>214</v>
      </c>
      <c r="C3" s="46" t="s">
        <v>130</v>
      </c>
      <c r="D3" s="46" t="s">
        <v>215</v>
      </c>
      <c r="E3" s="47" t="s">
        <v>216</v>
      </c>
      <c r="F3" s="48" t="s">
        <v>217</v>
      </c>
      <c r="G3" s="49"/>
      <c r="H3" s="49"/>
      <c r="I3" s="49"/>
      <c r="J3" s="49" t="s">
        <v>217</v>
      </c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 t="s">
        <v>217</v>
      </c>
      <c r="AC3" s="49" t="s">
        <v>217</v>
      </c>
      <c r="AD3" s="49" t="s">
        <v>217</v>
      </c>
      <c r="AE3" s="49" t="s">
        <v>217</v>
      </c>
      <c r="AF3" s="49" t="s">
        <v>217</v>
      </c>
      <c r="AG3" s="49" t="s">
        <v>217</v>
      </c>
      <c r="AH3" s="50"/>
      <c r="AI3" s="49" t="s">
        <v>217</v>
      </c>
      <c r="AJ3" s="49" t="s">
        <v>217</v>
      </c>
      <c r="AK3" s="49" t="s">
        <v>217</v>
      </c>
      <c r="AL3" s="49" t="s">
        <v>217</v>
      </c>
      <c r="AM3" s="49" t="s">
        <v>217</v>
      </c>
      <c r="AN3" s="49" t="s">
        <v>217</v>
      </c>
      <c r="AO3" s="49" t="s">
        <v>217</v>
      </c>
      <c r="AP3" s="49"/>
      <c r="AQ3" s="51"/>
      <c r="AR3" s="52" t="s">
        <v>218</v>
      </c>
      <c r="AS3" s="46" t="s">
        <v>219</v>
      </c>
      <c r="AT3" s="53" t="s">
        <v>220</v>
      </c>
      <c r="AU3" s="54">
        <v>42972</v>
      </c>
      <c r="AV3" s="55">
        <v>43038</v>
      </c>
      <c r="AW3" s="56" t="s">
        <v>221</v>
      </c>
      <c r="AX3" s="57" t="s">
        <v>221</v>
      </c>
      <c r="AY3" s="58"/>
      <c r="AZ3" s="58" t="s">
        <v>222</v>
      </c>
      <c r="BA3" s="58">
        <v>20</v>
      </c>
      <c r="BB3" s="58">
        <v>10000</v>
      </c>
      <c r="BC3" s="59" t="s">
        <v>223</v>
      </c>
      <c r="BD3" s="60" t="s">
        <v>224</v>
      </c>
      <c r="BE3" s="58" t="s">
        <v>216</v>
      </c>
      <c r="BF3" s="51" t="s">
        <v>216</v>
      </c>
      <c r="BG3" s="45" t="s">
        <v>218</v>
      </c>
      <c r="BH3" s="61" t="s">
        <v>225</v>
      </c>
      <c r="BI3" s="62" t="str">
        <f>IF(ISERROR(VLOOKUP(BH3,[6]PLANOS!B:C,2,0)),"",VLOOKUP(BH3,[6]PLANOS!B:C,2,0))</f>
        <v>PCS-4P6pi</v>
      </c>
      <c r="BJ3" s="63">
        <v>50.1</v>
      </c>
      <c r="BK3" s="64">
        <f>IF(BJ3=0,"",IF(BJ3=VLOOKUP("FIXO",[6]ARBOR!$A:$C,3,0),0.0001,IF(BJ3&gt;VLOOKUP("FIXO",[6]ARBOR!$A:$C,3,0),"Maior que CAP!",IF((DOLLAR(BJ3+(VLOOKUP("FIXO",[6]ARBOR!$A:$C,3,0)*-TRUNC(BJ3/VLOOKUP("FIXO",[6]ARBOR!$A:$C,3,0)-1,4)),6))&lt;&gt;(DOLLAR(VLOOKUP("FIXO",[6]ARBOR!$A:$C,3,0),6)),-TRUNC(BJ3/VLOOKUP("FIXO",[6]ARBOR!$A:$C,3,0)-1,4)+0.0001,-TRUNC(BJ3/VLOOKUP("FIXO",[6]ARBOR!$A:$C,3,0)-1,4)))))</f>
        <v>0.33939999999999998</v>
      </c>
      <c r="BL3" s="65" t="str">
        <f>IF(ISERROR(IF(BK3="","",VLOOKUP(($BH3&amp;BK3&amp;"Template de desconto FLAT bundle - Fixo - Varejo - Ganho Tributário Cross"),[6]BENEFICIOS!$A:$E,5,0))),"Criar",IF(BK3="","",VLOOKUP(($BH3&amp;BK3&amp;"Template de desconto FLAT bundle - Fixo - Varejo - Ganho Tributário Cross"),[6]BENEFICIOS!$A:$E,5,0)))</f>
        <v>MKT-1-9856472058</v>
      </c>
      <c r="BM3" s="66"/>
      <c r="BN3" s="67"/>
      <c r="BO3" s="68" t="s">
        <v>164</v>
      </c>
      <c r="BP3" s="69">
        <v>44.9</v>
      </c>
      <c r="BQ3" s="64">
        <f>IF(BP3=0,"",IF(BP3=VLOOKUP("PCS-30874g",[6]ARBOR!$A:$C,3,0),0.0001,IF(BP3&gt;VLOOKUP("PCS-30874g",[6]ARBOR!$A:$C,3,0),"Maior que CAP!",IF((DOLLAR(BP3+(VLOOKUP("PCS-30874g",[6]ARBOR!$A:$C,3,0)*-TRUNC(BP3/VLOOKUP("PCS-30874g",[6]ARBOR!$A:$C,3,0)-1,4)),6))&lt;&gt;(DOLLAR(VLOOKUP("PCS-30874g",[6]ARBOR!$A:$C,3,0),6)),-TRUNC(BP3/VLOOKUP("PCS-30874g",[6]ARBOR!$A:$C,3,0)-1,4)+0.0001,-TRUNC(BP3/VLOOKUP("PCS-30874g",[6]ARBOR!$A:$C,3,0)-1,4)))))</f>
        <v>0.53679999999999994</v>
      </c>
      <c r="BR3" s="65" t="str">
        <f>IF(ISERROR(IF(BQ3="","",VLOOKUP(($BH3&amp;BQ3&amp;"Template de desconto FLAT bundle - Velox XDSL - Varejo"),[6]BENEFICIOS!$A:$E,5,0))),"Criar",IF(BQ3="","",VLOOKUP(($BH3&amp;BQ3&amp;"Template de desconto FLAT bundle - Velox XDSL - Varejo"),[6]BENEFICIOS!$A:$E,5,0)))</f>
        <v>MKT-1-9865126733</v>
      </c>
      <c r="BS3" s="68" t="s">
        <v>164</v>
      </c>
      <c r="BT3" s="69">
        <v>44.9</v>
      </c>
      <c r="BU3" s="64">
        <f>IF(BT3=0,"",IF(BT3=VLOOKUP("PCS-30577g",[6]ARBOR!$A:$C,3,0),0.0001,IF(BT3&gt;VLOOKUP("PCS-30577g",[6]ARBOR!$A:$C,3,0),"Maior que CAP!",IF((DOLLAR(BT3+(VLOOKUP("PCS-30577g",[6]ARBOR!$A:$C,3,0)*-TRUNC(BT3/VLOOKUP("PCS-30577g",[6]ARBOR!$A:$C,3,0)-1,4)),6))&lt;&gt;(DOLLAR(VLOOKUP("PCS-30577g",[6]ARBOR!$A:$C,3,0),6)),-TRUNC(BT3/VLOOKUP("PCS-30577g",[6]ARBOR!$A:$C,3,0)-1,4)+0.0001,-TRUNC(BT3/VLOOKUP("PCS-30577g",[6]ARBOR!$A:$C,3,0)-1,4)))))</f>
        <v>0.53679999999999994</v>
      </c>
      <c r="BV3" s="65" t="str">
        <f>IF(ISERROR(IF(BU3="","",VLOOKUP(($BH3&amp;BU3&amp;"Template de desconto FLAT bundle - Velox XDSL - Varejo"),[6]BENEFICIOS!$A:$E,5,0))),"Criar",IF(BU3="","",VLOOKUP(($BH3&amp;BU3&amp;"Template de desconto FLAT bundle - Velox XDSL - Varejo"),[6]BENEFICIOS!$A:$E,5,0)))</f>
        <v>MKT-1-9865126733</v>
      </c>
      <c r="BW3" s="68" t="s">
        <v>164</v>
      </c>
      <c r="BX3" s="69">
        <v>44.9</v>
      </c>
      <c r="BY3" s="64">
        <f>IF(BX3=0,"",IF(BX3=VLOOKUP("PCS-30604g",[6]ARBOR!$A:$C,3,0),0.0001,IF(BX3&gt;VLOOKUP("PCS-30604g",[6]ARBOR!$A:$C,3,0),"Maior que CAP!",IF((DOLLAR(BX3+(VLOOKUP("PCS-30604g",[6]ARBOR!$A:$C,3,0)*-TRUNC(BX3/VLOOKUP("PCS-30604g",[6]ARBOR!$A:$C,3,0)-1,4)),6))&lt;&gt;(DOLLAR(VLOOKUP("PCS-30604g",[6]ARBOR!$A:$C,3,0),6)),-TRUNC(BX3/VLOOKUP("PCS-30604g",[6]ARBOR!$A:$C,3,0)-1,4)+0.0001,-TRUNC(BX3/VLOOKUP("PCS-30604g",[6]ARBOR!$A:$C,3,0)-1,4)))))</f>
        <v>0.53679999999999994</v>
      </c>
      <c r="BZ3" s="65" t="str">
        <f>IF(ISERROR(IF(BY3="","",VLOOKUP(($BH3&amp;BY3&amp;"Template de desconto FLAT bundle - Velox XDSL - Varejo"),[6]BENEFICIOS!$A:$E,5,0))),"Criar",IF(BY3="","",VLOOKUP(($BH3&amp;BY3&amp;"Template de desconto FLAT bundle - Velox XDSL - Varejo"),[6]BENEFICIOS!$A:$E,5,0)))</f>
        <v>MKT-1-9865126733</v>
      </c>
      <c r="CA3" s="68" t="s">
        <v>164</v>
      </c>
      <c r="CB3" s="69">
        <v>44.9</v>
      </c>
      <c r="CC3" s="64">
        <f>IF(CB3=0,"",IF(CB3=VLOOKUP("PCS-30631g",[6]ARBOR!$A:$C,3,0),0.0001,IF(CB3&gt;VLOOKUP("PCS-30631g",[6]ARBOR!$A:$C,3,0),"Maior que CAP!",IF((DOLLAR(CB3+(VLOOKUP("PCS-30631g",[6]ARBOR!$A:$C,3,0)*-TRUNC(CB3/VLOOKUP("PCS-30631g",[6]ARBOR!$A:$C,3,0)-1,4)),6))&lt;&gt;(DOLLAR(VLOOKUP("PCS-30631g",[6]ARBOR!$A:$C,3,0),6)),-TRUNC(CB3/VLOOKUP("PCS-30631g",[6]ARBOR!$A:$C,3,0)-1,4)+0.0001,-TRUNC(CB3/VLOOKUP("PCS-30631g",[6]ARBOR!$A:$C,3,0)-1,4)))))</f>
        <v>0.54310000000000003</v>
      </c>
      <c r="CD3" s="65" t="str">
        <f>IF(ISERROR(IF(CC3="","",VLOOKUP(($BH3&amp;CC3&amp;"Template de desconto FLAT bundle - Velox XDSL - Varejo"),[6]BENEFICIOS!$A:$E,5,0))),"Criar",IF(CC3="","",VLOOKUP(($BH3&amp;CC3&amp;"Template de desconto FLAT bundle - Velox XDSL - Varejo"),[6]BENEFICIOS!$A:$E,5,0)))</f>
        <v>MKT-1-9865126826</v>
      </c>
      <c r="CE3" s="68"/>
      <c r="CF3" s="69"/>
      <c r="CG3" s="64" t="str">
        <f>IF(CF3=0,"",IF(CF3=VLOOKUP("PCS-30658g",[6]ARBOR!$A:$C,3,0),0.0001,IF(CF3&gt;VLOOKUP("PCS-30658g",[6]ARBOR!$A:$C,3,0),"Maior que CAP!",IF((DOLLAR(CF3+(VLOOKUP("PCS-30658g",[6]ARBOR!$A:$C,3,0)*-TRUNC(CF3/VLOOKUP("PCS-30658g",[6]ARBOR!$A:$C,3,0)-1,4)),6))&lt;&gt;(DOLLAR(VLOOKUP("PCS-30658g",[6]ARBOR!$A:$C,3,0),6)),-TRUNC(CF3/VLOOKUP("PCS-30658g",[6]ARBOR!$A:$C,3,0)-1,4)+0.0001,-TRUNC(CF3/VLOOKUP("PCS-30658g",[6]ARBOR!$A:$C,3,0)-1,4)))))</f>
        <v/>
      </c>
      <c r="CH3" s="65" t="str">
        <f>IF(ISERROR(IF(CG3="","",VLOOKUP(($BH3&amp;CG3&amp;"Template de desconto FLAT bundle - Velox XDSL - Varejo"),[6]BENEFICIOS!$A:$E,5,0))),"Criar",IF(CG3="","",VLOOKUP(($BH3&amp;CG3&amp;"Template de desconto FLAT bundle - Velox XDSL - Varejo"),[6]BENEFICIOS!$A:$E,5,0)))</f>
        <v/>
      </c>
      <c r="CI3" s="68"/>
      <c r="CJ3" s="69"/>
      <c r="CK3" s="64" t="str">
        <f>IF(CJ3=0,"",IF(CJ3=VLOOKUP("PCS-30685g",[6]ARBOR!$A:$C,3,0),0.0001,IF(CJ3&gt;VLOOKUP("PCS-30685g",[6]ARBOR!$A:$C,3,0),"Maior que CAP!",IF((DOLLAR(CJ3+(VLOOKUP("PCS-30685g",[6]ARBOR!$A:$C,3,0)*-TRUNC(CJ3/VLOOKUP("PCS-30685g",[6]ARBOR!$A:$C,3,0)-1,4)),6))&lt;&gt;(DOLLAR(VLOOKUP("PCS-30685g",[6]ARBOR!$A:$C,3,0),6)),-TRUNC(CJ3/VLOOKUP("PCS-30685g",[6]ARBOR!$A:$C,3,0)-1,4)+0.0001,-TRUNC(CJ3/VLOOKUP("PCS-30685g",[6]ARBOR!$A:$C,3,0)-1,4)))))</f>
        <v/>
      </c>
      <c r="CL3" s="65" t="str">
        <f>IF(ISERROR(IF(CK3="","",VLOOKUP(($BH3&amp;CK3&amp;"Template de desconto FLAT bundle - Velox XDSL - Varejo"),[6]BENEFICIOS!$A:$E,5,0))),"Criar",IF(CK3="","",VLOOKUP(($BH3&amp;CK3&amp;"Template de desconto FLAT bundle - Velox XDSL - Varejo"),[6]BENEFICIOS!$A:$E,5,0)))</f>
        <v/>
      </c>
      <c r="CM3" s="68"/>
      <c r="CN3" s="69"/>
      <c r="CO3" s="64" t="str">
        <f>IF(CN3=0,"",IF(CN3=VLOOKUP("PCS-30712g",[6]ARBOR!$A:$C,3,0),0.0001,IF(CN3&gt;VLOOKUP("PCS-30712g",[6]ARBOR!$A:$C,3,0),"Maior que CAP!",IF((DOLLAR(CN3+(VLOOKUP("PCS-30712g",[6]ARBOR!$A:$C,3,0)*-TRUNC(CN3/VLOOKUP("PCS-30712g",[6]ARBOR!$A:$C,3,0)-1,4)),6))&lt;&gt;(DOLLAR(VLOOKUP("PCS-30712g",[6]ARBOR!$A:$C,3,0),6)),-TRUNC(CN3/VLOOKUP("PCS-30712g",[6]ARBOR!$A:$C,3,0)-1,4)+0.0001,-TRUNC(CN3/VLOOKUP("PCS-30712g",[6]ARBOR!$A:$C,3,0)-1,4)))))</f>
        <v/>
      </c>
      <c r="CP3" s="65" t="str">
        <f>IF(ISERROR(IF(CO3="","",VLOOKUP(($BH3&amp;CO3&amp;"Template de desconto FLAT bundle - Velox XDSL - Varejo"),[6]BENEFICIOS!$A:$E,5,0))),"Criar",IF(CO3="","",VLOOKUP(($BH3&amp;CO3&amp;"Template de desconto FLAT bundle - Velox XDSL - Varejo"),[6]BENEFICIOS!$A:$E,5,0)))</f>
        <v/>
      </c>
      <c r="CQ3" s="68"/>
      <c r="CR3" s="69"/>
      <c r="CS3" s="64" t="str">
        <f>IF(CR3=0,"",IF(CR3=VLOOKUP("PCS-30739g",[6]ARBOR!$A:$C,3,0),0.0001,IF(CR3&gt;VLOOKUP("PCS-30739g",[6]ARBOR!$A:$C,3,0),"Maior que CAP!",IF((DOLLAR(CR3+(VLOOKUP("PCS-30739g",[6]ARBOR!$A:$C,3,0)*-TRUNC(CR3/VLOOKUP("PCS-30739g",[6]ARBOR!$A:$C,3,0)-1,4)),6))&lt;&gt;(DOLLAR(VLOOKUP("PCS-30739g",[6]ARBOR!$A:$C,3,0),6)),-TRUNC(CR3/VLOOKUP("PCS-30739g",[6]ARBOR!$A:$C,3,0)-1,4)+0.0001,-TRUNC(CR3/VLOOKUP("PCS-30739g",[6]ARBOR!$A:$C,3,0)-1,4)))))</f>
        <v/>
      </c>
      <c r="CT3" s="65" t="str">
        <f>IF(ISERROR(IF(CS3="","",VLOOKUP(($BH3&amp;CS3&amp;"Template de desconto FLAT bundle - Velox XDSL - Varejo"),[6]BENEFICIOS!$A:$E,5,0))),"Criar",IF(CS3="","",VLOOKUP(($BH3&amp;CS3&amp;"Template de desconto FLAT bundle - Velox XDSL - Varejo"),[6]BENEFICIOS!$A:$E,5,0)))</f>
        <v/>
      </c>
      <c r="CU3" s="69"/>
      <c r="CV3" s="70"/>
      <c r="CW3" s="64"/>
      <c r="CX3" s="65"/>
      <c r="CY3" s="68"/>
      <c r="CZ3" s="69"/>
      <c r="DA3" s="64" t="str">
        <f>IF(CZ3=0,"",IF(CZ3=VLOOKUP("PCS-30766g",[6]ARBOR!$A:$C,3,0),0.0001,IF(CZ3&gt;VLOOKUP("PCS-30766g",[6]ARBOR!$A:$C,3,0),"Maior que CAP!",IF((DOLLAR(CZ3+(VLOOKUP("PCS-30766g",[6]ARBOR!$A:$C,3,0)*-TRUNC(CZ3/VLOOKUP("PCS-30766g",[6]ARBOR!$A:$C,3,0)-1,4)),6))&lt;&gt;(DOLLAR(VLOOKUP("PCS-30766g",[6]ARBOR!$A:$C,3,0),6)),-TRUNC(CZ3/VLOOKUP("PCS-30766g",[6]ARBOR!$A:$C,3,0)-1,4)+0.0001,-TRUNC(CZ3/VLOOKUP("PCS-30766g",[6]ARBOR!$A:$C,3,0)-1,4)))))</f>
        <v/>
      </c>
      <c r="DB3" s="65" t="str">
        <f>IF(ISERROR(IF(DA3="","",VLOOKUP(($BH3&amp;DA3&amp;"Template de desconto FLAT bundle - Velox XDSL - Varejo"),[6]BENEFICIOS!$A:$E,5,0))),"Criar",IF(DA3="","",VLOOKUP(($BH3&amp;DA3&amp;"Template de desconto FLAT bundle - Velox XDSL - Varejo"),[6]BENEFICIOS!$A:$E,5,0)))</f>
        <v/>
      </c>
      <c r="DC3" s="69"/>
      <c r="DD3" s="70"/>
      <c r="DE3" s="64"/>
      <c r="DF3" s="65"/>
      <c r="DG3" s="68"/>
      <c r="DH3" s="69"/>
      <c r="DI3" s="64" t="str">
        <f>IF(DH3=0,"",IF(DH3=VLOOKUP("PCS-30793g",[6]ARBOR!$A:$C,3,0),0.0001,IF(DH3&gt;VLOOKUP("PCS-30793g",[6]ARBOR!$A:$C,3,0),"Maior que CAP!",IF((DOLLAR(DH3+(VLOOKUP("PCS-30793g",[6]ARBOR!$A:$C,3,0)*-TRUNC(DH3/VLOOKUP("PCS-30793g",[6]ARBOR!$A:$C,3,0)-1,4)),6))&lt;&gt;(DOLLAR(VLOOKUP("PCS-30793g",[6]ARBOR!$A:$C,3,0),6)),-TRUNC(DH3/VLOOKUP("PCS-30793g",[6]ARBOR!$A:$C,3,0)-1,4)+0.0001,-TRUNC(DH3/VLOOKUP("PCS-30793g",[6]ARBOR!$A:$C,3,0)-1,4)))))</f>
        <v/>
      </c>
      <c r="DJ3" s="65" t="str">
        <f>IF(ISERROR(IF(DI3="","",VLOOKUP(($BH3&amp;DI3&amp;"Template de desconto FLAT bundle - Velox XDSL - Varejo"),[6]BENEFICIOS!$A:$E,5,0))),"Criar",IF(DI3="","",VLOOKUP(($BH3&amp;DI3&amp;"Template de desconto FLAT bundle - Velox XDSL - Varejo"),[6]BENEFICIOS!$A:$E,5,0)))</f>
        <v/>
      </c>
      <c r="DK3" s="69"/>
      <c r="DL3" s="70"/>
      <c r="DM3" s="64"/>
      <c r="DN3" s="65"/>
      <c r="DO3" s="68"/>
      <c r="DP3" s="69"/>
      <c r="DQ3" s="64" t="str">
        <f>IF(DP3=0,"",IF(DP3=VLOOKUP("PCS-30820g",[6]ARBOR!$A:$C,3,0),0.0001,IF(DP3&gt;VLOOKUP("PCS-30820g",[6]ARBOR!$A:$C,3,0),"Maior que CAP!",IF((DOLLAR(DP3+(VLOOKUP("PCS-30820g",[6]ARBOR!$A:$C,3,0)*-TRUNC(DP3/VLOOKUP("PCS-30820g",[6]ARBOR!$A:$C,3,0)-1,4)),6))&lt;&gt;(DOLLAR(VLOOKUP("PCS-30820g",[6]ARBOR!$A:$C,3,0),6)),-TRUNC(DP3/VLOOKUP("PCS-30820g",[6]ARBOR!$A:$C,3,0)-1,4)+0.0001,-TRUNC(DP3/VLOOKUP("PCS-30820g",[6]ARBOR!$A:$C,3,0)-1,4)))))</f>
        <v/>
      </c>
      <c r="DR3" s="65" t="str">
        <f>IF(ISERROR(IF(DQ3="","",VLOOKUP(($BH3&amp;DQ3&amp;"Template de desconto FLAT bundle - Velox XDSL - Varejo"),[6]BENEFICIOS!$A:$E,5,0))),"Criar",IF(DQ3="","",VLOOKUP(($BH3&amp;DQ3&amp;"Template de desconto FLAT bundle - Velox XDSL - Varejo"),[6]BENEFICIOS!$A:$E,5,0)))</f>
        <v/>
      </c>
      <c r="DS3" s="69"/>
      <c r="DT3" s="70"/>
      <c r="DU3" s="64"/>
      <c r="DV3" s="65"/>
      <c r="DW3" s="71">
        <v>44.9</v>
      </c>
      <c r="DX3" s="64">
        <f>IF(DW3=0,"",IF(DW3=VLOOKUP("PCS-21448p2",[6]ARBOR!$A:$C,3,0),0.0001,IF(DW3&gt;VLOOKUP("PCS-21448p2",[6]ARBOR!$A:$C,3,0),"Maior que CAP!",IF((DOLLAR(DW3+(VLOOKUP("PCS-21448p2",[6]ARBOR!$A:$C,3,0)*-TRUNC(DW3/VLOOKUP("PCS-21448p2",[6]ARBOR!$A:$C,3,0)-1,4)),6))&lt;&gt;(DOLLAR(VLOOKUP("PCS-21448p2",[6]ARBOR!$A:$C,3,0),6)),-TRUNC(DW3/VLOOKUP("PCS-21448p2",[6]ARBOR!$A:$C,3,0)-1,4)+0.0001,-TRUNC(DW3/VLOOKUP("PCS-21448p2",[6]ARBOR!$A:$C,3,0)-1,4)))))</f>
        <v>0.64900000000000002</v>
      </c>
      <c r="DY3" s="65" t="str">
        <f>IF(ISERROR(IF(DX3="","",VLOOKUP(("Oi Conta Total Plug 10GB Downgrade"&amp;DX3&amp;"Template de desconto percentual BL Móvel - Internet Total - Varejo"),[6]BENEFICIOS!$A:$E,5,0))),"Criar",IF(DX3="","",VLOOKUP(("Oi Conta Total Plug 10GB Downgrade"&amp;DX3&amp;"Template de desconto percentual BL Móvel - Internet Total - Varejo"),[6]BENEFICIOS!$A:$E,5,0)))</f>
        <v>MKT-1-9825544790</v>
      </c>
      <c r="DZ3" s="71">
        <v>16.5</v>
      </c>
      <c r="EA3" s="72">
        <f>IF(DZ3=0,"",IF(DZ3=VLOOKUP("SVA",[6]ARBOR!$A:$C,3,0),0.0001,IF(DZ3&gt;VLOOKUP("SVA",[6]ARBOR!$A:$C,3,0),"Maior que CAP!",IF((DOLLAR(DZ3+(VLOOKUP("SVA",[6]ARBOR!$A:$C,3,0)*-TRUNC(DZ3/VLOOKUP("SVA",[6]ARBOR!$A:$C,3,0)-1,4)),6))&lt;&gt;(DOLLAR(VLOOKUP("SVA",[6]ARBOR!$A:$C,3,0),6)),-TRUNC(DZ3/VLOOKUP("SVA",[6]ARBOR!$A:$C,3,0)-1,4)+0.0001,-TRUNC(DZ3/VLOOKUP("SVA",[6]ARBOR!$A:$C,3,0)-1,4)))))</f>
        <v>0.2301</v>
      </c>
      <c r="EB3" s="65" t="s">
        <v>226</v>
      </c>
      <c r="EC3" s="69"/>
      <c r="ED3" s="73"/>
      <c r="EE3" s="74"/>
      <c r="EF3" s="65"/>
      <c r="EG3" s="75">
        <f>IF(BI3="","",VLOOKUP(BI3,[6]ARBOR!A:C,3,0))</f>
        <v>479.46</v>
      </c>
      <c r="EH3" s="69">
        <v>15</v>
      </c>
      <c r="EI3" s="76">
        <f>IF(EH3="","",1-(EH3/VLOOKUP(BI3&amp;"ASS",[6]ARBOR!A:C,3,0)))</f>
        <v>0.34725848563968664</v>
      </c>
      <c r="EJ3" s="77" t="s">
        <v>227</v>
      </c>
      <c r="EK3" s="78" t="s">
        <v>228</v>
      </c>
      <c r="EL3" s="69">
        <v>145.9</v>
      </c>
      <c r="EM3" s="64">
        <f>ROUND(IF(EL3=0,"",IF(EL3=EG3,0.0001,1-((EL3+(VLOOKUP(BI3&amp;"ASS",[6]ARBOR!A:C,3,0)-EH3))/EG3))),4)</f>
        <v>0.67910000000000004</v>
      </c>
      <c r="EN3" s="65" t="str">
        <f>IF(ISERROR(IF(EM3="","",VLOOKUP(($BH3&amp;EM3&amp;"Template de desconto percentual FLAT Móvel - Conta Total - Varejo - Ganho Tributário Cross"),[6]BENEFICIOS!$A:$E,5,0))),"Criar",IF(EM3="","",VLOOKUP(($BH3&amp;EM3&amp;"Template de desconto percentual FLAT Móvel - Conta Total - Varejo - Ganho Tributário Cross"),[6]BENEFICIOS!$A:$E,5,0)))</f>
        <v>Criar</v>
      </c>
      <c r="EO3" s="79"/>
      <c r="EP3" s="64"/>
      <c r="EQ3" s="72"/>
      <c r="ER3" s="72"/>
      <c r="ES3" s="64"/>
      <c r="ET3" s="80"/>
      <c r="EU3" s="81"/>
      <c r="EV3" s="81"/>
      <c r="EW3" s="82"/>
      <c r="EX3" s="83"/>
      <c r="EY3" s="84"/>
      <c r="EZ3" s="82"/>
      <c r="FA3" s="83"/>
      <c r="FB3" s="84"/>
      <c r="FC3" s="82">
        <v>0</v>
      </c>
      <c r="FD3" s="83" t="str">
        <f>IF(FC3=0,"",IF(FC3=VLOOKUP("PCS-10357",[6]ARBOR!$A:$C,3,0),0.0001,IF(FC3&gt;VLOOKUP("PCS-10357",[6]ARBOR!$A:$C,3,0),"Maior que CAP!",ROUND(-1*(FC3/VLOOKUP("PCS-10357",[6]ARBOR!$A:$C,3,0)-1),4))))</f>
        <v/>
      </c>
      <c r="FE3" s="84" t="str">
        <f>IF(ISERROR(IF(FD3="","",VLOOKUP(("Oi Internet Pra Celular 1GB"&amp;FD3&amp;"Template Flat Instância Dados"),[6]BENEFICIOS!$A:$E,5,0))),"Criar",IF(FD3="","",VLOOKUP(("Oi Internet Pra Celular 1GB"&amp;FD3&amp;"Template Flat Instância Dados"),[6]BENEFICIOS!$A:$E,5,0)))</f>
        <v/>
      </c>
      <c r="FF3" s="82"/>
      <c r="FG3" s="83" t="str">
        <f>IF(FF3=0,"",IF(FF3=VLOOKUP("PCS-813565",[6]ARBOR!$A:$C,3,0),0.0001,IF(FF3&gt;VLOOKUP("PCS-813565",[6]ARBOR!$A:$C,3,0),"Maior que CAP!",ROUND(-1*(FF3/VLOOKUP("PCS-813565",[6]ARBOR!$A:$C,3,0)-1),4))))</f>
        <v/>
      </c>
      <c r="FH3" s="84" t="str">
        <f>IF(ISERROR(IF(FG3="","",VLOOKUP(("Oi Internet Pra Celular 2GB"&amp;FG3&amp;"Template Flat Instância Dados"),[6]BENEFICIOS!$A:$E,5,0))),"Criar",IF(FG3="","",VLOOKUP(("Oi Internet Pra Celular 2GB"&amp;FG3&amp;"Template Flat Instância Dados"),[6]BENEFICIOS!$A:$E,5,0)))</f>
        <v/>
      </c>
      <c r="FI3" s="82"/>
      <c r="FJ3" s="83" t="str">
        <f>IF(FI3=0,"",IF(FI3=VLOOKUP("PCS-7171B",[6]ARBOR!$A:$C,3,0),0.0001,IF(FI3&gt;VLOOKUP("PCS-7171B",[6]ARBOR!$A:$C,3,0),"Maior que CAP!",ROUND(-1*(FI3/VLOOKUP("PCS-7171B",[6]ARBOR!$A:$C,3,0)-1),4))))</f>
        <v/>
      </c>
      <c r="FK3" s="84" t="str">
        <f>IF(ISERROR(IF(FJ3="","",VLOOKUP(("Oi Internet Pra Celular 3GB"&amp;FJ3&amp;"Template Flat Instância Dados"),[6]BENEFICIOS!$A:$E,5,0))),"Criar",IF(FJ3="","",VLOOKUP(("Oi Internet Pra Celular 3GB"&amp;FJ3&amp;"Template Flat Instância Dados"),[6]BENEFICIOS!$A:$E,5,0)))</f>
        <v/>
      </c>
      <c r="FL3" s="82"/>
      <c r="FM3" s="83" t="str">
        <f>IF(FL3=0,"",IF(FL3=VLOOKUP("PCS-51793o08",[6]ARBOR!$A:$C,3,0),0.0001,IF(FL3&gt;VLOOKUP("PCS-51793o08",[6]ARBOR!$A:$C,3,0),"Maior que CAP!",ROUND(-1*(FL3/VLOOKUP("PCS-51793o08",[6]ARBOR!$A:$C,3,0)-1),4))))</f>
        <v/>
      </c>
      <c r="FN3" s="84" t="str">
        <f>IF(ISERROR(IF(FM3="","",VLOOKUP(("Oi Internet Pra Celular 5GB"&amp;FM3&amp;"Template Flat Instância Dados"),[6]BENEFICIOS!$A:$E,5,0))),"Criar",IF(FM3="","",VLOOKUP(("Oi Internet Pra Celular 5GB"&amp;FM3&amp;"Template Flat Instância Dados"),[6]BENEFICIOS!$A:$E,5,0)))</f>
        <v/>
      </c>
      <c r="FO3" s="82"/>
      <c r="FP3" s="83" t="str">
        <f>IF(FO3=0,"",IF(FO3=VLOOKUP("PCS-7171A",[6]ARBOR!$A:$C,3,0),0.0001,IF(FO3&gt;VLOOKUP("PCS-7171A",[6]ARBOR!$A:$C,3,0),"Maior que CAP!",ROUND(-1*(FO3/VLOOKUP("PCS-7171A",[6]ARBOR!$A:$C,3,0)-1),4))))</f>
        <v/>
      </c>
      <c r="FQ3" s="84" t="str">
        <f>IF(ISERROR(IF(FP3="","",VLOOKUP(("Oi Internet Pra Celular 10GB"&amp;FP3&amp;"Template Flat Instância Dados"),[6]BENEFICIOS!$A:$E,5,0))),"Criar",IF(FP3="","",VLOOKUP(("Oi Internet Pra Celular 10GB"&amp;FP3&amp;"Template Flat Instância Dados"),[6]BENEFICIOS!$A:$E,5,0)))</f>
        <v/>
      </c>
      <c r="FR3" s="85"/>
      <c r="FS3" s="86"/>
      <c r="FT3" s="48"/>
      <c r="FU3" s="87"/>
      <c r="FV3" s="88" t="s">
        <v>224</v>
      </c>
      <c r="FW3" s="49" t="s">
        <v>229</v>
      </c>
      <c r="FX3" s="89">
        <v>999</v>
      </c>
      <c r="FY3" s="49">
        <v>12</v>
      </c>
      <c r="FZ3" s="90" t="s">
        <v>230</v>
      </c>
      <c r="GA3" s="91" t="str">
        <f t="shared" ref="GA3:GA26" si="1">IF(FW3="Benefício","PCS-Fk83324","")</f>
        <v>PCS-Fk83324</v>
      </c>
      <c r="GB3" s="92" t="str">
        <f t="shared" ref="GB3:GB26" si="2">IF(FV3="Sim","PCS-SBL553142","")</f>
        <v>PCS-SBL553142</v>
      </c>
      <c r="GC3" s="93" t="s">
        <v>231</v>
      </c>
      <c r="GD3" s="90" t="s">
        <v>232</v>
      </c>
      <c r="GE3" s="92" t="s">
        <v>233</v>
      </c>
      <c r="GF3" s="93" t="s">
        <v>234</v>
      </c>
      <c r="GG3" s="90" t="s">
        <v>235</v>
      </c>
      <c r="GH3" s="92" t="s">
        <v>236</v>
      </c>
      <c r="GI3" s="94" t="s">
        <v>237</v>
      </c>
      <c r="GJ3" s="95">
        <f>FC3+EL3+DW3+BJ3</f>
        <v>240.9</v>
      </c>
      <c r="GK3" s="96"/>
      <c r="GL3" s="97" t="s">
        <v>238</v>
      </c>
      <c r="GM3" s="98" t="s">
        <v>239</v>
      </c>
      <c r="GN3" s="97">
        <f>VLOOKUP($A3,'[6]TABELA COM TUDO'!$A:$AB,25,0)</f>
        <v>0</v>
      </c>
      <c r="GO3" s="99">
        <f>VLOOKUP($A3,'[6]TABELA COM TUDO'!$A:$AB,26,0)</f>
        <v>0</v>
      </c>
      <c r="GP3" s="100">
        <f t="shared" ref="GP3:GP4" si="3">IFERROR(TRUNC(GO3/GN3-1,4),100%)</f>
        <v>1</v>
      </c>
      <c r="GQ3" s="97">
        <f t="shared" ref="GQ3:GQ14" si="4">TRUNC(GN3*GP3,2)</f>
        <v>0</v>
      </c>
      <c r="GR3" s="97">
        <f t="shared" ref="GR3:GR14" si="5">GN3-GQ3</f>
        <v>0</v>
      </c>
      <c r="GS3" s="101"/>
      <c r="GT3" s="101"/>
      <c r="GU3" s="102" t="b">
        <f t="shared" ref="GU3:GU14" si="6">IF(GR3&lt;=GO3,TRUE,FALSE)</f>
        <v>1</v>
      </c>
      <c r="GV3" s="103">
        <f t="shared" ref="GV3:GV14" si="7">GR3-GO3</f>
        <v>0</v>
      </c>
      <c r="GW3" s="44" t="s">
        <v>240</v>
      </c>
      <c r="GX3" s="44" t="s">
        <v>241</v>
      </c>
    </row>
    <row r="4" spans="1:206" s="44" customFormat="1" x14ac:dyDescent="0.25">
      <c r="A4" s="44" t="str">
        <f t="shared" si="0"/>
        <v>Oi Total Fixo + Pós 800 + Banda LargaN1MG</v>
      </c>
      <c r="B4" s="45" t="s">
        <v>214</v>
      </c>
      <c r="C4" s="46" t="s">
        <v>130</v>
      </c>
      <c r="D4" s="46" t="s">
        <v>215</v>
      </c>
      <c r="E4" s="47" t="s">
        <v>216</v>
      </c>
      <c r="F4" s="48" t="s">
        <v>217</v>
      </c>
      <c r="G4" s="49"/>
      <c r="H4" s="49"/>
      <c r="I4" s="49"/>
      <c r="J4" s="49" t="s">
        <v>217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 t="s">
        <v>217</v>
      </c>
      <c r="AC4" s="49" t="s">
        <v>217</v>
      </c>
      <c r="AD4" s="49" t="s">
        <v>217</v>
      </c>
      <c r="AE4" s="49" t="s">
        <v>217</v>
      </c>
      <c r="AF4" s="49" t="s">
        <v>217</v>
      </c>
      <c r="AG4" s="49" t="s">
        <v>217</v>
      </c>
      <c r="AH4" s="50"/>
      <c r="AI4" s="49" t="s">
        <v>217</v>
      </c>
      <c r="AJ4" s="49" t="s">
        <v>217</v>
      </c>
      <c r="AK4" s="49" t="s">
        <v>217</v>
      </c>
      <c r="AL4" s="49" t="s">
        <v>217</v>
      </c>
      <c r="AM4" s="49" t="s">
        <v>217</v>
      </c>
      <c r="AN4" s="49" t="s">
        <v>217</v>
      </c>
      <c r="AO4" s="49" t="s">
        <v>217</v>
      </c>
      <c r="AP4" s="49"/>
      <c r="AQ4" s="51"/>
      <c r="AR4" s="52" t="s">
        <v>242</v>
      </c>
      <c r="AS4" s="46" t="s">
        <v>219</v>
      </c>
      <c r="AT4" s="53" t="s">
        <v>220</v>
      </c>
      <c r="AU4" s="54">
        <v>42972</v>
      </c>
      <c r="AV4" s="55">
        <v>43038</v>
      </c>
      <c r="AW4" s="56" t="s">
        <v>221</v>
      </c>
      <c r="AX4" s="57" t="s">
        <v>221</v>
      </c>
      <c r="AY4" s="58"/>
      <c r="AZ4" s="58" t="s">
        <v>222</v>
      </c>
      <c r="BA4" s="58">
        <v>20</v>
      </c>
      <c r="BB4" s="58">
        <v>10000</v>
      </c>
      <c r="BC4" s="59" t="s">
        <v>223</v>
      </c>
      <c r="BD4" s="60" t="s">
        <v>224</v>
      </c>
      <c r="BE4" s="58" t="s">
        <v>216</v>
      </c>
      <c r="BF4" s="51" t="s">
        <v>216</v>
      </c>
      <c r="BG4" s="45" t="s">
        <v>242</v>
      </c>
      <c r="BH4" s="61" t="s">
        <v>225</v>
      </c>
      <c r="BI4" s="62" t="str">
        <f>IF(ISERROR(VLOOKUP(BH4,[6]PLANOS!B:C,2,0)),"",VLOOKUP(BH4,[6]PLANOS!B:C,2,0))</f>
        <v>PCS-4P6pi</v>
      </c>
      <c r="BJ4" s="63">
        <v>50.1</v>
      </c>
      <c r="BK4" s="64">
        <f>IF(BJ4=0,"",IF(BJ4=VLOOKUP("FIXO",[6]ARBOR!$A:$C,3,0),0.0001,IF(BJ4&gt;VLOOKUP("FIXO",[6]ARBOR!$A:$C,3,0),"Maior que CAP!",IF((DOLLAR(BJ4+(VLOOKUP("FIXO",[6]ARBOR!$A:$C,3,0)*-TRUNC(BJ4/VLOOKUP("FIXO",[6]ARBOR!$A:$C,3,0)-1,4)),6))&lt;&gt;(DOLLAR(VLOOKUP("FIXO",[6]ARBOR!$A:$C,3,0),6)),-TRUNC(BJ4/VLOOKUP("FIXO",[6]ARBOR!$A:$C,3,0)-1,4)+0.0001,-TRUNC(BJ4/VLOOKUP("FIXO",[6]ARBOR!$A:$C,3,0)-1,4)))))</f>
        <v>0.33939999999999998</v>
      </c>
      <c r="BL4" s="65" t="str">
        <f>IF(ISERROR(IF(BK4="","",VLOOKUP(($BH4&amp;BK4&amp;"Template de desconto FLAT bundle - Fixo - Varejo - Ganho Tributário Cross"),[6]BENEFICIOS!$A:$E,5,0))),"Criar",IF(BK4="","",VLOOKUP(($BH4&amp;BK4&amp;"Template de desconto FLAT bundle - Fixo - Varejo - Ganho Tributário Cross"),[6]BENEFICIOS!$A:$E,5,0)))</f>
        <v>MKT-1-9856472058</v>
      </c>
      <c r="BM4" s="66"/>
      <c r="BN4" s="67"/>
      <c r="BO4" s="104" t="s">
        <v>243</v>
      </c>
      <c r="BP4" s="69">
        <v>44.9</v>
      </c>
      <c r="BQ4" s="64">
        <f>IF(BP4=0,"",IF(BP4=VLOOKUP("PCS-30874g",[6]ARBOR!$A:$C,3,0),0.0001,IF(BP4&gt;VLOOKUP("PCS-30874g",[6]ARBOR!$A:$C,3,0),"Maior que CAP!",IF((DOLLAR(BP4+(VLOOKUP("PCS-30874g",[6]ARBOR!$A:$C,3,0)*-TRUNC(BP4/VLOOKUP("PCS-30874g",[6]ARBOR!$A:$C,3,0)-1,4)),6))&lt;&gt;(DOLLAR(VLOOKUP("PCS-30874g",[6]ARBOR!$A:$C,3,0),6)),-TRUNC(BP4/VLOOKUP("PCS-30874g",[6]ARBOR!$A:$C,3,0)-1,4)+0.0001,-TRUNC(BP4/VLOOKUP("PCS-30874g",[6]ARBOR!$A:$C,3,0)-1,4)))))</f>
        <v>0.53679999999999994</v>
      </c>
      <c r="BR4" s="65" t="str">
        <f>IF(ISERROR(IF(BQ4="","",VLOOKUP(($BH4&amp;BQ4&amp;"Template de desconto FLAT bundle - Velox XDSL - Varejo"),[6]BENEFICIOS!$A:$E,5,0))),"Criar",IF(BQ4="","",VLOOKUP(($BH4&amp;BQ4&amp;"Template de desconto FLAT bundle - Velox XDSL - Varejo"),[6]BENEFICIOS!$A:$E,5,0)))</f>
        <v>MKT-1-9865126733</v>
      </c>
      <c r="BS4" s="104" t="s">
        <v>243</v>
      </c>
      <c r="BT4" s="69">
        <v>44.9</v>
      </c>
      <c r="BU4" s="64">
        <f>IF(BT4=0,"",IF(BT4=VLOOKUP("PCS-30577g",[6]ARBOR!$A:$C,3,0),0.0001,IF(BT4&gt;VLOOKUP("PCS-30577g",[6]ARBOR!$A:$C,3,0),"Maior que CAP!",IF((DOLLAR(BT4+(VLOOKUP("PCS-30577g",[6]ARBOR!$A:$C,3,0)*-TRUNC(BT4/VLOOKUP("PCS-30577g",[6]ARBOR!$A:$C,3,0)-1,4)),6))&lt;&gt;(DOLLAR(VLOOKUP("PCS-30577g",[6]ARBOR!$A:$C,3,0),6)),-TRUNC(BT4/VLOOKUP("PCS-30577g",[6]ARBOR!$A:$C,3,0)-1,4)+0.0001,-TRUNC(BT4/VLOOKUP("PCS-30577g",[6]ARBOR!$A:$C,3,0)-1,4)))))</f>
        <v>0.53679999999999994</v>
      </c>
      <c r="BV4" s="65" t="str">
        <f>IF(ISERROR(IF(BU4="","",VLOOKUP(($BH4&amp;BU4&amp;"Template de desconto FLAT bundle - Velox XDSL - Varejo"),[6]BENEFICIOS!$A:$E,5,0))),"Criar",IF(BU4="","",VLOOKUP(($BH4&amp;BU4&amp;"Template de desconto FLAT bundle - Velox XDSL - Varejo"),[6]BENEFICIOS!$A:$E,5,0)))</f>
        <v>MKT-1-9865126733</v>
      </c>
      <c r="BW4" s="104" t="s">
        <v>243</v>
      </c>
      <c r="BX4" s="69">
        <v>44.9</v>
      </c>
      <c r="BY4" s="64">
        <f>IF(BX4=0,"",IF(BX4=VLOOKUP("PCS-30604g",[6]ARBOR!$A:$C,3,0),0.0001,IF(BX4&gt;VLOOKUP("PCS-30604g",[6]ARBOR!$A:$C,3,0),"Maior que CAP!",IF((DOLLAR(BX4+(VLOOKUP("PCS-30604g",[6]ARBOR!$A:$C,3,0)*-TRUNC(BX4/VLOOKUP("PCS-30604g",[6]ARBOR!$A:$C,3,0)-1,4)),6))&lt;&gt;(DOLLAR(VLOOKUP("PCS-30604g",[6]ARBOR!$A:$C,3,0),6)),-TRUNC(BX4/VLOOKUP("PCS-30604g",[6]ARBOR!$A:$C,3,0)-1,4)+0.0001,-TRUNC(BX4/VLOOKUP("PCS-30604g",[6]ARBOR!$A:$C,3,0)-1,4)))))</f>
        <v>0.53679999999999994</v>
      </c>
      <c r="BZ4" s="65" t="str">
        <f>IF(ISERROR(IF(BY4="","",VLOOKUP(($BH4&amp;BY4&amp;"Template de desconto FLAT bundle - Velox XDSL - Varejo"),[6]BENEFICIOS!$A:$E,5,0))),"Criar",IF(BY4="","",VLOOKUP(($BH4&amp;BY4&amp;"Template de desconto FLAT bundle - Velox XDSL - Varejo"),[6]BENEFICIOS!$A:$E,5,0)))</f>
        <v>MKT-1-9865126733</v>
      </c>
      <c r="CA4" s="104" t="s">
        <v>243</v>
      </c>
      <c r="CB4" s="69">
        <v>44.9</v>
      </c>
      <c r="CC4" s="64">
        <f>IF(CB4=0,"",IF(CB4=VLOOKUP("PCS-30631g",[6]ARBOR!$A:$C,3,0),0.0001,IF(CB4&gt;VLOOKUP("PCS-30631g",[6]ARBOR!$A:$C,3,0),"Maior que CAP!",IF((DOLLAR(CB4+(VLOOKUP("PCS-30631g",[6]ARBOR!$A:$C,3,0)*-TRUNC(CB4/VLOOKUP("PCS-30631g",[6]ARBOR!$A:$C,3,0)-1,4)),6))&lt;&gt;(DOLLAR(VLOOKUP("PCS-30631g",[6]ARBOR!$A:$C,3,0),6)),-TRUNC(CB4/VLOOKUP("PCS-30631g",[6]ARBOR!$A:$C,3,0)-1,4)+0.0001,-TRUNC(CB4/VLOOKUP("PCS-30631g",[6]ARBOR!$A:$C,3,0)-1,4)))))</f>
        <v>0.54310000000000003</v>
      </c>
      <c r="CD4" s="65" t="str">
        <f>IF(ISERROR(IF(CC4="","",VLOOKUP(($BH4&amp;CC4&amp;"Template de desconto FLAT bundle - Velox XDSL - Varejo"),[6]BENEFICIOS!$A:$E,5,0))),"Criar",IF(CC4="","",VLOOKUP(($BH4&amp;CC4&amp;"Template de desconto FLAT bundle - Velox XDSL - Varejo"),[6]BENEFICIOS!$A:$E,5,0)))</f>
        <v>MKT-1-9865126826</v>
      </c>
      <c r="CE4" s="68" t="s">
        <v>164</v>
      </c>
      <c r="CF4" s="69">
        <v>49.9</v>
      </c>
      <c r="CG4" s="64">
        <f>IF(CF4=0,"",IF(CF4=VLOOKUP("PCS-30658g",[6]ARBOR!$A:$C,3,0),0.0001,IF(CF4&gt;VLOOKUP("PCS-30658g",[6]ARBOR!$A:$C,3,0),"Maior que CAP!",IF((DOLLAR(CF4+(VLOOKUP("PCS-30658g",[6]ARBOR!$A:$C,3,0)*-TRUNC(CF4/VLOOKUP("PCS-30658g",[6]ARBOR!$A:$C,3,0)-1,4)),6))&lt;&gt;(DOLLAR(VLOOKUP("PCS-30658g",[6]ARBOR!$A:$C,3,0),6)),-TRUNC(CF4/VLOOKUP("PCS-30658g",[6]ARBOR!$A:$C,3,0)-1,4)+0.0001,-TRUNC(CF4/VLOOKUP("PCS-30658g",[6]ARBOR!$A:$C,3,0)-1,4)))))</f>
        <v>0.55569999999999997</v>
      </c>
      <c r="CH4" s="65" t="str">
        <f>IF(ISERROR(IF(CG4="","",VLOOKUP(($BH4&amp;CG4&amp;"Template de desconto FLAT bundle - Velox XDSL - Varejo"),[6]BENEFICIOS!$A:$E,5,0))),"Criar",IF(CG4="","",VLOOKUP(($BH4&amp;CG4&amp;"Template de desconto FLAT bundle - Velox XDSL - Varejo"),[6]BENEFICIOS!$A:$E,5,0)))</f>
        <v>MKT-1-9865126919</v>
      </c>
      <c r="CI4" s="68" t="s">
        <v>164</v>
      </c>
      <c r="CJ4" s="69">
        <v>49.9</v>
      </c>
      <c r="CK4" s="64">
        <f>IF(CJ4=0,"",IF(CJ4=VLOOKUP("PCS-30685g",[6]ARBOR!$A:$C,3,0),0.0001,IF(CJ4&gt;VLOOKUP("PCS-30685g",[6]ARBOR!$A:$C,3,0),"Maior que CAP!",IF((DOLLAR(CJ4+(VLOOKUP("PCS-30685g",[6]ARBOR!$A:$C,3,0)*-TRUNC(CJ4/VLOOKUP("PCS-30685g",[6]ARBOR!$A:$C,3,0)-1,4)),6))&lt;&gt;(DOLLAR(VLOOKUP("PCS-30685g",[6]ARBOR!$A:$C,3,0),6)),-TRUNC(CJ4/VLOOKUP("PCS-30685g",[6]ARBOR!$A:$C,3,0)-1,4)+0.0001,-TRUNC(CJ4/VLOOKUP("PCS-30685g",[6]ARBOR!$A:$C,3,0)-1,4)))))</f>
        <v>0.60509999999999997</v>
      </c>
      <c r="CL4" s="65" t="str">
        <f>IF(ISERROR(IF(CK4="","",VLOOKUP(($BH4&amp;CK4&amp;"Template de desconto FLAT bundle - Velox XDSL - Varejo"),[6]BENEFICIOS!$A:$E,5,0))),"Criar",IF(CK4="","",VLOOKUP(($BH4&amp;CK4&amp;"Template de desconto FLAT bundle - Velox XDSL - Varejo"),[6]BENEFICIOS!$A:$E,5,0)))</f>
        <v>MKT-1-9865694381</v>
      </c>
      <c r="CM4" s="68" t="s">
        <v>164</v>
      </c>
      <c r="CN4" s="69">
        <v>49.9</v>
      </c>
      <c r="CO4" s="64">
        <f>IF(CN4=0,"",IF(CN4=VLOOKUP("PCS-30712g",[6]ARBOR!$A:$C,3,0),0.0001,IF(CN4&gt;VLOOKUP("PCS-30712g",[6]ARBOR!$A:$C,3,0),"Maior que CAP!",IF((DOLLAR(CN4+(VLOOKUP("PCS-30712g",[6]ARBOR!$A:$C,3,0)*-TRUNC(CN4/VLOOKUP("PCS-30712g",[6]ARBOR!$A:$C,3,0)-1,4)),6))&lt;&gt;(DOLLAR(VLOOKUP("PCS-30712g",[6]ARBOR!$A:$C,3,0),6)),-TRUNC(CN4/VLOOKUP("PCS-30712g",[6]ARBOR!$A:$C,3,0)-1,4)+0.0001,-TRUNC(CN4/VLOOKUP("PCS-30712g",[6]ARBOR!$A:$C,3,0)-1,4)))))</f>
        <v>0.64459999999999995</v>
      </c>
      <c r="CP4" s="65" t="str">
        <f>IF(ISERROR(IF(CO4="","",VLOOKUP(($BH4&amp;CO4&amp;"Template de desconto FLAT bundle - Velox XDSL - Varejo"),[6]BENEFICIOS!$A:$E,5,0))),"Criar",IF(CO4="","",VLOOKUP(($BH4&amp;CO4&amp;"Template de desconto FLAT bundle - Velox XDSL - Varejo"),[6]BENEFICIOS!$A:$E,5,0)))</f>
        <v>MKT-1-9865191105</v>
      </c>
      <c r="CQ4" s="68" t="s">
        <v>164</v>
      </c>
      <c r="CR4" s="69">
        <v>59.9</v>
      </c>
      <c r="CS4" s="64">
        <f>IF(CR4=0,"",IF(CR4=VLOOKUP("PCS-30739g",[6]ARBOR!$A:$C,3,0),0.0001,IF(CR4&gt;VLOOKUP("PCS-30739g",[6]ARBOR!$A:$C,3,0),"Maior que CAP!",IF((DOLLAR(CR4+(VLOOKUP("PCS-30739g",[6]ARBOR!$A:$C,3,0)*-TRUNC(CR4/VLOOKUP("PCS-30739g",[6]ARBOR!$A:$C,3,0)-1,4)),6))&lt;&gt;(DOLLAR(VLOOKUP("PCS-30739g",[6]ARBOR!$A:$C,3,0),6)),-TRUNC(CR4/VLOOKUP("PCS-30739g",[6]ARBOR!$A:$C,3,0)-1,4)+0.0001,-TRUNC(CR4/VLOOKUP("PCS-30739g",[6]ARBOR!$A:$C,3,0)-1,4)))))</f>
        <v>0.71560000000000001</v>
      </c>
      <c r="CT4" s="65" t="str">
        <f>IF(ISERROR(IF(CS4="","",VLOOKUP(($BH4&amp;CS4&amp;"Template de desconto FLAT bundle - Velox XDSL - Varejo"),[6]BENEFICIOS!$A:$E,5,0))),"Criar",IF(CS4="","",VLOOKUP(($BH4&amp;CS4&amp;"Template de desconto FLAT bundle - Velox XDSL - Varejo"),[6]BENEFICIOS!$A:$E,5,0)))</f>
        <v>MKT-1-9865191198</v>
      </c>
      <c r="CU4" s="69"/>
      <c r="CV4" s="70"/>
      <c r="CW4" s="64"/>
      <c r="CX4" s="65"/>
      <c r="CY4" s="68" t="s">
        <v>164</v>
      </c>
      <c r="CZ4" s="69">
        <v>59.9</v>
      </c>
      <c r="DA4" s="64">
        <f>IF(CZ4=0,"",IF(CZ4=VLOOKUP("PCS-30766g",[6]ARBOR!$A:$C,3,0),0.0001,IF(CZ4&gt;VLOOKUP("PCS-30766g",[6]ARBOR!$A:$C,3,0),"Maior que CAP!",IF((DOLLAR(CZ4+(VLOOKUP("PCS-30766g",[6]ARBOR!$A:$C,3,0)*-TRUNC(CZ4/VLOOKUP("PCS-30766g",[6]ARBOR!$A:$C,3,0)-1,4)),6))&lt;&gt;(DOLLAR(VLOOKUP("PCS-30766g",[6]ARBOR!$A:$C,3,0),6)),-TRUNC(CZ4/VLOOKUP("PCS-30766g",[6]ARBOR!$A:$C,3,0)-1,4)+0.0001,-TRUNC(CZ4/VLOOKUP("PCS-30766g",[6]ARBOR!$A:$C,3,0)-1,4)))))</f>
        <v>0.78669999999999995</v>
      </c>
      <c r="DB4" s="65" t="str">
        <f>IF(ISERROR(IF(DA4="","",VLOOKUP(($BH4&amp;DA4&amp;"Template de desconto FLAT bundle - Velox XDSL - Varejo"),[6]BENEFICIOS!$A:$E,5,0))),"Criar",IF(DA4="","",VLOOKUP(($BH4&amp;DA4&amp;"Template de desconto FLAT bundle - Velox XDSL - Varejo"),[6]BENEFICIOS!$A:$E,5,0)))</f>
        <v>MKT-1-9865191291</v>
      </c>
      <c r="DC4" s="69"/>
      <c r="DD4" s="70"/>
      <c r="DE4" s="64"/>
      <c r="DF4" s="65"/>
      <c r="DG4" s="68" t="s">
        <v>243</v>
      </c>
      <c r="DH4" s="69">
        <v>69.900000000000006</v>
      </c>
      <c r="DI4" s="64">
        <f>IF(DH4=0,"",IF(DH4=VLOOKUP("PCS-30793g",[6]ARBOR!$A:$C,3,0),0.0001,IF(DH4&gt;VLOOKUP("PCS-30793g",[6]ARBOR!$A:$C,3,0),"Maior que CAP!",IF((DOLLAR(DH4+(VLOOKUP("PCS-30793g",[6]ARBOR!$A:$C,3,0)*-TRUNC(DH4/VLOOKUP("PCS-30793g",[6]ARBOR!$A:$C,3,0)-1,4)),6))&lt;&gt;(DOLLAR(VLOOKUP("PCS-30793g",[6]ARBOR!$A:$C,3,0),6)),-TRUNC(DH4/VLOOKUP("PCS-30793g",[6]ARBOR!$A:$C,3,0)-1,4)+0.0001,-TRUNC(DH4/VLOOKUP("PCS-30793g",[6]ARBOR!$A:$C,3,0)-1,4)))))</f>
        <v>0.75109999999999999</v>
      </c>
      <c r="DJ4" s="65" t="str">
        <f>IF(ISERROR(IF(DI4="","",VLOOKUP(($BH4&amp;DI4&amp;"Template de desconto FLAT bundle - Velox XDSL - Varejo"),[6]BENEFICIOS!$A:$E,5,0))),"Criar",IF(DI4="","",VLOOKUP(($BH4&amp;DI4&amp;"Template de desconto FLAT bundle - Velox XDSL - Varejo"),[6]BENEFICIOS!$A:$E,5,0)))</f>
        <v>MKT-1-9865191384</v>
      </c>
      <c r="DK4" s="69"/>
      <c r="DL4" s="70"/>
      <c r="DM4" s="64"/>
      <c r="DN4" s="65"/>
      <c r="DO4" s="68" t="s">
        <v>164</v>
      </c>
      <c r="DP4" s="69">
        <v>69.900000000000006</v>
      </c>
      <c r="DQ4" s="64">
        <f>IF(DP4=0,"",IF(DP4=VLOOKUP("PCS-30820g",[6]ARBOR!$A:$C,3,0),0.0001,IF(DP4&gt;VLOOKUP("PCS-30820g",[6]ARBOR!$A:$C,3,0),"Maior que CAP!",IF((DOLLAR(DP4+(VLOOKUP("PCS-30820g",[6]ARBOR!$A:$C,3,0)*-TRUNC(DP4/VLOOKUP("PCS-30820g",[6]ARBOR!$A:$C,3,0)-1,4)),6))&lt;&gt;(DOLLAR(VLOOKUP("PCS-30820g",[6]ARBOR!$A:$C,3,0),6)),-TRUNC(DP4/VLOOKUP("PCS-30820g",[6]ARBOR!$A:$C,3,0)-1,4)+0.0001,-TRUNC(DP4/VLOOKUP("PCS-30820g",[6]ARBOR!$A:$C,3,0)-1,4)))))</f>
        <v>0.75109999999999999</v>
      </c>
      <c r="DR4" s="65" t="str">
        <f>IF(ISERROR(IF(DQ4="","",VLOOKUP(($BH4&amp;DQ4&amp;"Template de desconto FLAT bundle - Velox XDSL - Varejo"),[6]BENEFICIOS!$A:$E,5,0))),"Criar",IF(DQ4="","",VLOOKUP(($BH4&amp;DQ4&amp;"Template de desconto FLAT bundle - Velox XDSL - Varejo"),[6]BENEFICIOS!$A:$E,5,0)))</f>
        <v>MKT-1-9865191384</v>
      </c>
      <c r="DS4" s="69"/>
      <c r="DT4" s="70"/>
      <c r="DU4" s="64"/>
      <c r="DV4" s="65"/>
      <c r="DW4" s="71"/>
      <c r="DX4" s="64" t="str">
        <f>IF(DW4=0,"",IF(DW4=VLOOKUP("PCS-21448p2",[6]ARBOR!$A:$C,3,0),0.0001,IF(DW4&gt;VLOOKUP("PCS-21448p2",[6]ARBOR!$A:$C,3,0),"Maior que CAP!",IF((DOLLAR(DW4+(VLOOKUP("PCS-21448p2",[6]ARBOR!$A:$C,3,0)*-TRUNC(DW4/VLOOKUP("PCS-21448p2",[6]ARBOR!$A:$C,3,0)-1,4)),6))&lt;&gt;(DOLLAR(VLOOKUP("PCS-21448p2",[6]ARBOR!$A:$C,3,0),6)),-TRUNC(DW4/VLOOKUP("PCS-21448p2",[6]ARBOR!$A:$C,3,0)-1,4)+0.0001,-TRUNC(DW4/VLOOKUP("PCS-21448p2",[6]ARBOR!$A:$C,3,0)-1,4)))))</f>
        <v/>
      </c>
      <c r="DY4" s="65" t="str">
        <f>IF(ISERROR(IF(DX4="","",VLOOKUP(("Oi Conta Total Plug 10GB Downgrade"&amp;DX4&amp;"Template de desconto percentual BL Móvel - Internet Total - Varejo"),[6]BENEFICIOS!$A:$E,5,0))),"Criar",IF(DX4="","",VLOOKUP(("Oi Conta Total Plug 10GB Downgrade"&amp;DX4&amp;"Template de desconto percentual BL Móvel - Internet Total - Varejo"),[6]BENEFICIOS!$A:$E,5,0)))</f>
        <v/>
      </c>
      <c r="DZ4" s="71">
        <v>19.899999999999999</v>
      </c>
      <c r="EA4" s="72">
        <f>IF(DZ4=0,"",IF(DZ4=VLOOKUP("SVA",[6]ARBOR!$A:$C,3,0),0.0001,IF(DZ4&gt;VLOOKUP("SVA",[6]ARBOR!$A:$C,3,0),"Maior que CAP!",IF((DOLLAR(DZ4+(VLOOKUP("SVA",[6]ARBOR!$A:$C,3,0)*-TRUNC(DZ4/VLOOKUP("SVA",[6]ARBOR!$A:$C,3,0)-1,4)),6))&lt;&gt;(DOLLAR(VLOOKUP("SVA",[6]ARBOR!$A:$C,3,0),6)),-TRUNC(DZ4/VLOOKUP("SVA",[6]ARBOR!$A:$C,3,0)-1,4)+0.0001,-TRUNC(DZ4/VLOOKUP("SVA",[6]ARBOR!$A:$C,3,0)-1,4)))))</f>
        <v>7.1400000000000005E-2</v>
      </c>
      <c r="EB4" s="65" t="s">
        <v>244</v>
      </c>
      <c r="EC4" s="69"/>
      <c r="ED4" s="73"/>
      <c r="EE4" s="74"/>
      <c r="EF4" s="65"/>
      <c r="EG4" s="75">
        <f>IF(BI4="","",VLOOKUP(BI4,[6]ARBOR!A:C,3,0))</f>
        <v>479.46</v>
      </c>
      <c r="EH4" s="69">
        <v>15</v>
      </c>
      <c r="EI4" s="76">
        <f>IF(EH4="","",1-(EH4/VLOOKUP(BI4&amp;"ASS",[6]ARBOR!A:C,3,0)))</f>
        <v>0.34725848563968664</v>
      </c>
      <c r="EJ4" s="77" t="s">
        <v>227</v>
      </c>
      <c r="EK4" s="78" t="s">
        <v>228</v>
      </c>
      <c r="EL4" s="69">
        <v>145.9</v>
      </c>
      <c r="EM4" s="64">
        <f>ROUND(IF(EL4=0,"",IF(EL4=EG4,0.0001,1-((EL4+(VLOOKUP(BI4&amp;"ASS",[6]ARBOR!A:C,3,0)-EH4))/EG4))),4)</f>
        <v>0.67910000000000004</v>
      </c>
      <c r="EN4" s="65" t="str">
        <f>IF(ISERROR(IF(EM4="","",VLOOKUP(($BH4&amp;EM4&amp;"Template de desconto percentual FLAT Móvel - Conta Total - Varejo - Ganho Tributário Cross"),[6]BENEFICIOS!$A:$E,5,0))),"Criar",IF(EM4="","",VLOOKUP(($BH4&amp;EM4&amp;"Template de desconto percentual FLAT Móvel - Conta Total - Varejo - Ganho Tributário Cross"),[6]BENEFICIOS!$A:$E,5,0)))</f>
        <v>Criar</v>
      </c>
      <c r="EO4" s="79"/>
      <c r="EP4" s="64"/>
      <c r="EQ4" s="72"/>
      <c r="ER4" s="72"/>
      <c r="ES4" s="64"/>
      <c r="ET4" s="80"/>
      <c r="EU4" s="81"/>
      <c r="EV4" s="81"/>
      <c r="EW4" s="82"/>
      <c r="EX4" s="83"/>
      <c r="EY4" s="84"/>
      <c r="EZ4" s="82"/>
      <c r="FA4" s="83"/>
      <c r="FB4" s="84"/>
      <c r="FC4" s="82">
        <v>0</v>
      </c>
      <c r="FD4" s="83" t="str">
        <f>IF(FC4=0,"",IF(FC4=VLOOKUP("PCS-10357",[6]ARBOR!$A:$C,3,0),0.0001,IF(FC4&gt;VLOOKUP("PCS-10357",[6]ARBOR!$A:$C,3,0),"Maior que CAP!",ROUND(-1*(FC4/VLOOKUP("PCS-10357",[6]ARBOR!$A:$C,3,0)-1),4))))</f>
        <v/>
      </c>
      <c r="FE4" s="84" t="str">
        <f>IF(ISERROR(IF(FD4="","",VLOOKUP(("Oi Internet Pra Celular 1GB"&amp;FD4&amp;"Template Flat Instância Dados"),[6]BENEFICIOS!$A:$E,5,0))),"Criar",IF(FD4="","",VLOOKUP(("Oi Internet Pra Celular 1GB"&amp;FD4&amp;"Template Flat Instância Dados"),[6]BENEFICIOS!$A:$E,5,0)))</f>
        <v/>
      </c>
      <c r="FF4" s="82"/>
      <c r="FG4" s="83" t="str">
        <f>IF(FF4=0,"",IF(FF4=VLOOKUP("PCS-813565",[6]ARBOR!$A:$C,3,0),0.0001,IF(FF4&gt;VLOOKUP("PCS-813565",[6]ARBOR!$A:$C,3,0),"Maior que CAP!",ROUND(-1*(FF4/VLOOKUP("PCS-813565",[6]ARBOR!$A:$C,3,0)-1),4))))</f>
        <v/>
      </c>
      <c r="FH4" s="84" t="str">
        <f>IF(ISERROR(IF(FG4="","",VLOOKUP(("Oi Internet Pra Celular 2GB"&amp;FG4&amp;"Template Flat Instância Dados"),[6]BENEFICIOS!$A:$E,5,0))),"Criar",IF(FG4="","",VLOOKUP(("Oi Internet Pra Celular 2GB"&amp;FG4&amp;"Template Flat Instância Dados"),[6]BENEFICIOS!$A:$E,5,0)))</f>
        <v/>
      </c>
      <c r="FI4" s="82"/>
      <c r="FJ4" s="83" t="str">
        <f>IF(FI4=0,"",IF(FI4=VLOOKUP("PCS-7171B",[6]ARBOR!$A:$C,3,0),0.0001,IF(FI4&gt;VLOOKUP("PCS-7171B",[6]ARBOR!$A:$C,3,0),"Maior que CAP!",ROUND(-1*(FI4/VLOOKUP("PCS-7171B",[6]ARBOR!$A:$C,3,0)-1),4))))</f>
        <v/>
      </c>
      <c r="FK4" s="84" t="str">
        <f>IF(ISERROR(IF(FJ4="","",VLOOKUP(("Oi Internet Pra Celular 3GB"&amp;FJ4&amp;"Template Flat Instância Dados"),[6]BENEFICIOS!$A:$E,5,0))),"Criar",IF(FJ4="","",VLOOKUP(("Oi Internet Pra Celular 3GB"&amp;FJ4&amp;"Template Flat Instância Dados"),[6]BENEFICIOS!$A:$E,5,0)))</f>
        <v/>
      </c>
      <c r="FL4" s="82"/>
      <c r="FM4" s="83" t="str">
        <f>IF(FL4=0,"",IF(FL4=VLOOKUP("PCS-51793o08",[6]ARBOR!$A:$C,3,0),0.0001,IF(FL4&gt;VLOOKUP("PCS-51793o08",[6]ARBOR!$A:$C,3,0),"Maior que CAP!",ROUND(-1*(FL4/VLOOKUP("PCS-51793o08",[6]ARBOR!$A:$C,3,0)-1),4))))</f>
        <v/>
      </c>
      <c r="FN4" s="84" t="str">
        <f>IF(ISERROR(IF(FM4="","",VLOOKUP(("Oi Internet Pra Celular 5GB"&amp;FM4&amp;"Template Flat Instância Dados"),[6]BENEFICIOS!$A:$E,5,0))),"Criar",IF(FM4="","",VLOOKUP(("Oi Internet Pra Celular 5GB"&amp;FM4&amp;"Template Flat Instância Dados"),[6]BENEFICIOS!$A:$E,5,0)))</f>
        <v/>
      </c>
      <c r="FO4" s="82"/>
      <c r="FP4" s="83" t="str">
        <f>IF(FO4=0,"",IF(FO4=VLOOKUP("PCS-7171A",[6]ARBOR!$A:$C,3,0),0.0001,IF(FO4&gt;VLOOKUP("PCS-7171A",[6]ARBOR!$A:$C,3,0),"Maior que CAP!",ROUND(-1*(FO4/VLOOKUP("PCS-7171A",[6]ARBOR!$A:$C,3,0)-1),4))))</f>
        <v/>
      </c>
      <c r="FQ4" s="84" t="str">
        <f>IF(ISERROR(IF(FP4="","",VLOOKUP(("Oi Internet Pra Celular 10GB"&amp;FP4&amp;"Template Flat Instância Dados"),[6]BENEFICIOS!$A:$E,5,0))),"Criar",IF(FP4="","",VLOOKUP(("Oi Internet Pra Celular 10GB"&amp;FP4&amp;"Template Flat Instância Dados"),[6]BENEFICIOS!$A:$E,5,0)))</f>
        <v/>
      </c>
      <c r="FR4" s="85"/>
      <c r="FS4" s="86"/>
      <c r="FT4" s="48"/>
      <c r="FU4" s="87"/>
      <c r="FV4" s="88" t="s">
        <v>224</v>
      </c>
      <c r="FW4" s="49" t="s">
        <v>229</v>
      </c>
      <c r="FX4" s="89">
        <v>999</v>
      </c>
      <c r="FY4" s="49">
        <v>12</v>
      </c>
      <c r="FZ4" s="90" t="s">
        <v>230</v>
      </c>
      <c r="GA4" s="91" t="str">
        <f t="shared" si="1"/>
        <v>PCS-Fk83324</v>
      </c>
      <c r="GB4" s="92" t="str">
        <f t="shared" si="2"/>
        <v>PCS-SBL553142</v>
      </c>
      <c r="GC4" s="93" t="s">
        <v>231</v>
      </c>
      <c r="GD4" s="90" t="s">
        <v>232</v>
      </c>
      <c r="GE4" s="92" t="s">
        <v>233</v>
      </c>
      <c r="GF4" s="93" t="s">
        <v>234</v>
      </c>
      <c r="GG4" s="90" t="s">
        <v>235</v>
      </c>
      <c r="GH4" s="92" t="s">
        <v>236</v>
      </c>
      <c r="GI4" s="94" t="s">
        <v>237</v>
      </c>
      <c r="GJ4" s="95">
        <f>FC4+EL4+CN4+BJ4</f>
        <v>245.9</v>
      </c>
      <c r="GK4" s="96"/>
      <c r="GL4" s="97" t="s">
        <v>238</v>
      </c>
      <c r="GM4" s="98" t="s">
        <v>239</v>
      </c>
      <c r="GN4" s="97">
        <f>VLOOKUP($A4,'[6]TABELA COM TUDO'!$A:$AB,25,0)</f>
        <v>0</v>
      </c>
      <c r="GO4" s="99">
        <f>VLOOKUP($A4,'[6]TABELA COM TUDO'!$A:$AB,26,0)</f>
        <v>0</v>
      </c>
      <c r="GP4" s="100">
        <f t="shared" si="3"/>
        <v>1</v>
      </c>
      <c r="GQ4" s="97">
        <f t="shared" si="4"/>
        <v>0</v>
      </c>
      <c r="GR4" s="97">
        <f t="shared" si="5"/>
        <v>0</v>
      </c>
      <c r="GS4" s="101"/>
      <c r="GT4" s="101"/>
      <c r="GU4" s="102" t="b">
        <f t="shared" si="6"/>
        <v>1</v>
      </c>
      <c r="GV4" s="103">
        <f t="shared" si="7"/>
        <v>0</v>
      </c>
      <c r="GW4" s="44" t="s">
        <v>245</v>
      </c>
      <c r="GX4" s="44" t="s">
        <v>241</v>
      </c>
    </row>
    <row r="5" spans="1:206" s="44" customFormat="1" x14ac:dyDescent="0.25">
      <c r="A5" s="44" t="str">
        <f t="shared" si="0"/>
        <v>Oi Total Fixo + Pós 800 + Banda LargaN11GBMG</v>
      </c>
      <c r="B5" s="45" t="s">
        <v>214</v>
      </c>
      <c r="C5" s="46" t="s">
        <v>130</v>
      </c>
      <c r="D5" s="46" t="s">
        <v>215</v>
      </c>
      <c r="E5" s="47" t="s">
        <v>216</v>
      </c>
      <c r="F5" s="48" t="s">
        <v>217</v>
      </c>
      <c r="G5" s="49"/>
      <c r="H5" s="49"/>
      <c r="I5" s="49"/>
      <c r="J5" s="49" t="s">
        <v>217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 t="s">
        <v>217</v>
      </c>
      <c r="AC5" s="49" t="s">
        <v>217</v>
      </c>
      <c r="AD5" s="49" t="s">
        <v>217</v>
      </c>
      <c r="AE5" s="49" t="s">
        <v>217</v>
      </c>
      <c r="AF5" s="49" t="s">
        <v>217</v>
      </c>
      <c r="AG5" s="49" t="s">
        <v>217</v>
      </c>
      <c r="AH5" s="50"/>
      <c r="AI5" s="49" t="s">
        <v>217</v>
      </c>
      <c r="AJ5" s="49" t="s">
        <v>217</v>
      </c>
      <c r="AK5" s="49" t="s">
        <v>217</v>
      </c>
      <c r="AL5" s="49" t="s">
        <v>217</v>
      </c>
      <c r="AM5" s="49" t="s">
        <v>217</v>
      </c>
      <c r="AN5" s="49" t="s">
        <v>217</v>
      </c>
      <c r="AO5" s="49" t="s">
        <v>217</v>
      </c>
      <c r="AP5" s="49"/>
      <c r="AQ5" s="51"/>
      <c r="AR5" s="52" t="s">
        <v>246</v>
      </c>
      <c r="AS5" s="46" t="s">
        <v>219</v>
      </c>
      <c r="AT5" s="53" t="s">
        <v>220</v>
      </c>
      <c r="AU5" s="54">
        <v>42972</v>
      </c>
      <c r="AV5" s="55">
        <v>43038</v>
      </c>
      <c r="AW5" s="56" t="s">
        <v>221</v>
      </c>
      <c r="AX5" s="57" t="s">
        <v>221</v>
      </c>
      <c r="AY5" s="58"/>
      <c r="AZ5" s="58" t="s">
        <v>222</v>
      </c>
      <c r="BA5" s="58">
        <v>20</v>
      </c>
      <c r="BB5" s="58">
        <v>10000</v>
      </c>
      <c r="BC5" s="59" t="s">
        <v>223</v>
      </c>
      <c r="BD5" s="60" t="s">
        <v>224</v>
      </c>
      <c r="BE5" s="58" t="s">
        <v>216</v>
      </c>
      <c r="BF5" s="51" t="s">
        <v>216</v>
      </c>
      <c r="BG5" s="45" t="s">
        <v>246</v>
      </c>
      <c r="BH5" s="61" t="s">
        <v>225</v>
      </c>
      <c r="BI5" s="62" t="str">
        <f>IF(ISERROR(VLOOKUP(BH5,[6]PLANOS!B:C,2,0)),"",VLOOKUP(BH5,[6]PLANOS!B:C,2,0))</f>
        <v>PCS-4P6pi</v>
      </c>
      <c r="BJ5" s="63">
        <v>50.1</v>
      </c>
      <c r="BK5" s="64">
        <f>IF(BJ5=0,"",IF(BJ5=VLOOKUP("FIXO",[6]ARBOR!$A:$C,3,0),0.0001,IF(BJ5&gt;VLOOKUP("FIXO",[6]ARBOR!$A:$C,3,0),"Maior que CAP!",IF((DOLLAR(BJ5+(VLOOKUP("FIXO",[6]ARBOR!$A:$C,3,0)*-TRUNC(BJ5/VLOOKUP("FIXO",[6]ARBOR!$A:$C,3,0)-1,4)),6))&lt;&gt;(DOLLAR(VLOOKUP("FIXO",[6]ARBOR!$A:$C,3,0),6)),-TRUNC(BJ5/VLOOKUP("FIXO",[6]ARBOR!$A:$C,3,0)-1,4)+0.0001,-TRUNC(BJ5/VLOOKUP("FIXO",[6]ARBOR!$A:$C,3,0)-1,4)))))</f>
        <v>0.33939999999999998</v>
      </c>
      <c r="BL5" s="65" t="str">
        <f>IF(ISERROR(IF(BK5="","",VLOOKUP(($BH5&amp;BK5&amp;"Template de desconto FLAT bundle - Fixo - Varejo - Ganho Tributário Cross"),[6]BENEFICIOS!$A:$E,5,0))),"Criar",IF(BK5="","",VLOOKUP(($BH5&amp;BK5&amp;"Template de desconto FLAT bundle - Fixo - Varejo - Ganho Tributário Cross"),[6]BENEFICIOS!$A:$E,5,0)))</f>
        <v>MKT-1-9856472058</v>
      </c>
      <c r="BM5" s="66"/>
      <c r="BN5" s="67"/>
      <c r="BO5" s="68" t="s">
        <v>164</v>
      </c>
      <c r="BP5" s="69">
        <v>44.9</v>
      </c>
      <c r="BQ5" s="64">
        <f>IF(BP5=0,"",IF(BP5=VLOOKUP("PCS-30874g",[6]ARBOR!$A:$C,3,0),0.0001,IF(BP5&gt;VLOOKUP("PCS-30874g",[6]ARBOR!$A:$C,3,0),"Maior que CAP!",IF((DOLLAR(BP5+(VLOOKUP("PCS-30874g",[6]ARBOR!$A:$C,3,0)*-TRUNC(BP5/VLOOKUP("PCS-30874g",[6]ARBOR!$A:$C,3,0)-1,4)),6))&lt;&gt;(DOLLAR(VLOOKUP("PCS-30874g",[6]ARBOR!$A:$C,3,0),6)),-TRUNC(BP5/VLOOKUP("PCS-30874g",[6]ARBOR!$A:$C,3,0)-1,4)+0.0001,-TRUNC(BP5/VLOOKUP("PCS-30874g",[6]ARBOR!$A:$C,3,0)-1,4)))))</f>
        <v>0.53679999999999994</v>
      </c>
      <c r="BR5" s="65" t="str">
        <f>IF(ISERROR(IF(BQ5="","",VLOOKUP(($BH5&amp;BQ5&amp;"Template de desconto FLAT bundle - Velox XDSL - Varejo"),[6]BENEFICIOS!$A:$E,5,0))),"Criar",IF(BQ5="","",VLOOKUP(($BH5&amp;BQ5&amp;"Template de desconto FLAT bundle - Velox XDSL - Varejo"),[6]BENEFICIOS!$A:$E,5,0)))</f>
        <v>MKT-1-9865126733</v>
      </c>
      <c r="BS5" s="68" t="s">
        <v>164</v>
      </c>
      <c r="BT5" s="69">
        <v>44.9</v>
      </c>
      <c r="BU5" s="64">
        <f>IF(BT5=0,"",IF(BT5=VLOOKUP("PCS-30577g",[6]ARBOR!$A:$C,3,0),0.0001,IF(BT5&gt;VLOOKUP("PCS-30577g",[6]ARBOR!$A:$C,3,0),"Maior que CAP!",IF((DOLLAR(BT5+(VLOOKUP("PCS-30577g",[6]ARBOR!$A:$C,3,0)*-TRUNC(BT5/VLOOKUP("PCS-30577g",[6]ARBOR!$A:$C,3,0)-1,4)),6))&lt;&gt;(DOLLAR(VLOOKUP("PCS-30577g",[6]ARBOR!$A:$C,3,0),6)),-TRUNC(BT5/VLOOKUP("PCS-30577g",[6]ARBOR!$A:$C,3,0)-1,4)+0.0001,-TRUNC(BT5/VLOOKUP("PCS-30577g",[6]ARBOR!$A:$C,3,0)-1,4)))))</f>
        <v>0.53679999999999994</v>
      </c>
      <c r="BV5" s="65" t="str">
        <f>IF(ISERROR(IF(BU5="","",VLOOKUP(($BH5&amp;BU5&amp;"Template de desconto FLAT bundle - Velox XDSL - Varejo"),[6]BENEFICIOS!$A:$E,5,0))),"Criar",IF(BU5="","",VLOOKUP(($BH5&amp;BU5&amp;"Template de desconto FLAT bundle - Velox XDSL - Varejo"),[6]BENEFICIOS!$A:$E,5,0)))</f>
        <v>MKT-1-9865126733</v>
      </c>
      <c r="BW5" s="68" t="s">
        <v>164</v>
      </c>
      <c r="BX5" s="69">
        <v>44.9</v>
      </c>
      <c r="BY5" s="64">
        <f>IF(BX5=0,"",IF(BX5=VLOOKUP("PCS-30604g",[6]ARBOR!$A:$C,3,0),0.0001,IF(BX5&gt;VLOOKUP("PCS-30604g",[6]ARBOR!$A:$C,3,0),"Maior que CAP!",IF((DOLLAR(BX5+(VLOOKUP("PCS-30604g",[6]ARBOR!$A:$C,3,0)*-TRUNC(BX5/VLOOKUP("PCS-30604g",[6]ARBOR!$A:$C,3,0)-1,4)),6))&lt;&gt;(DOLLAR(VLOOKUP("PCS-30604g",[6]ARBOR!$A:$C,3,0),6)),-TRUNC(BX5/VLOOKUP("PCS-30604g",[6]ARBOR!$A:$C,3,0)-1,4)+0.0001,-TRUNC(BX5/VLOOKUP("PCS-30604g",[6]ARBOR!$A:$C,3,0)-1,4)))))</f>
        <v>0.53679999999999994</v>
      </c>
      <c r="BZ5" s="65" t="str">
        <f>IF(ISERROR(IF(BY5="","",VLOOKUP(($BH5&amp;BY5&amp;"Template de desconto FLAT bundle - Velox XDSL - Varejo"),[6]BENEFICIOS!$A:$E,5,0))),"Criar",IF(BY5="","",VLOOKUP(($BH5&amp;BY5&amp;"Template de desconto FLAT bundle - Velox XDSL - Varejo"),[6]BENEFICIOS!$A:$E,5,0)))</f>
        <v>MKT-1-9865126733</v>
      </c>
      <c r="CA5" s="68" t="s">
        <v>164</v>
      </c>
      <c r="CB5" s="69">
        <v>44.9</v>
      </c>
      <c r="CC5" s="64">
        <f>IF(CB5=0,"",IF(CB5=VLOOKUP("PCS-30631g",[6]ARBOR!$A:$C,3,0),0.0001,IF(CB5&gt;VLOOKUP("PCS-30631g",[6]ARBOR!$A:$C,3,0),"Maior que CAP!",IF((DOLLAR(CB5+(VLOOKUP("PCS-30631g",[6]ARBOR!$A:$C,3,0)*-TRUNC(CB5/VLOOKUP("PCS-30631g",[6]ARBOR!$A:$C,3,0)-1,4)),6))&lt;&gt;(DOLLAR(VLOOKUP("PCS-30631g",[6]ARBOR!$A:$C,3,0),6)),-TRUNC(CB5/VLOOKUP("PCS-30631g",[6]ARBOR!$A:$C,3,0)-1,4)+0.0001,-TRUNC(CB5/VLOOKUP("PCS-30631g",[6]ARBOR!$A:$C,3,0)-1,4)))))</f>
        <v>0.54310000000000003</v>
      </c>
      <c r="CD5" s="65" t="str">
        <f>IF(ISERROR(IF(CC5="","",VLOOKUP(($BH5&amp;CC5&amp;"Template de desconto FLAT bundle - Velox XDSL - Varejo"),[6]BENEFICIOS!$A:$E,5,0))),"Criar",IF(CC5="","",VLOOKUP(($BH5&amp;CC5&amp;"Template de desconto FLAT bundle - Velox XDSL - Varejo"),[6]BENEFICIOS!$A:$E,5,0)))</f>
        <v>MKT-1-9865126826</v>
      </c>
      <c r="CE5" s="68"/>
      <c r="CF5" s="69"/>
      <c r="CG5" s="64" t="str">
        <f>IF(CF5=0,"",IF(CF5=VLOOKUP("PCS-30658g",[6]ARBOR!$A:$C,3,0),0.0001,IF(CF5&gt;VLOOKUP("PCS-30658g",[6]ARBOR!$A:$C,3,0),"Maior que CAP!",IF((DOLLAR(CF5+(VLOOKUP("PCS-30658g",[6]ARBOR!$A:$C,3,0)*-TRUNC(CF5/VLOOKUP("PCS-30658g",[6]ARBOR!$A:$C,3,0)-1,4)),6))&lt;&gt;(DOLLAR(VLOOKUP("PCS-30658g",[6]ARBOR!$A:$C,3,0),6)),-TRUNC(CF5/VLOOKUP("PCS-30658g",[6]ARBOR!$A:$C,3,0)-1,4)+0.0001,-TRUNC(CF5/VLOOKUP("PCS-30658g",[6]ARBOR!$A:$C,3,0)-1,4)))))</f>
        <v/>
      </c>
      <c r="CH5" s="65" t="str">
        <f>IF(ISERROR(IF(CG5="","",VLOOKUP(($BH5&amp;CG5&amp;"Template de desconto FLAT bundle - Velox XDSL - Varejo"),[6]BENEFICIOS!$A:$E,5,0))),"Criar",IF(CG5="","",VLOOKUP(($BH5&amp;CG5&amp;"Template de desconto FLAT bundle - Velox XDSL - Varejo"),[6]BENEFICIOS!$A:$E,5,0)))</f>
        <v/>
      </c>
      <c r="CI5" s="68"/>
      <c r="CJ5" s="69"/>
      <c r="CK5" s="64" t="str">
        <f>IF(CJ5=0,"",IF(CJ5=VLOOKUP("PCS-30685g",[6]ARBOR!$A:$C,3,0),0.0001,IF(CJ5&gt;VLOOKUP("PCS-30685g",[6]ARBOR!$A:$C,3,0),"Maior que CAP!",IF((DOLLAR(CJ5+(VLOOKUP("PCS-30685g",[6]ARBOR!$A:$C,3,0)*-TRUNC(CJ5/VLOOKUP("PCS-30685g",[6]ARBOR!$A:$C,3,0)-1,4)),6))&lt;&gt;(DOLLAR(VLOOKUP("PCS-30685g",[6]ARBOR!$A:$C,3,0),6)),-TRUNC(CJ5/VLOOKUP("PCS-30685g",[6]ARBOR!$A:$C,3,0)-1,4)+0.0001,-TRUNC(CJ5/VLOOKUP("PCS-30685g",[6]ARBOR!$A:$C,3,0)-1,4)))))</f>
        <v/>
      </c>
      <c r="CL5" s="65" t="str">
        <f>IF(ISERROR(IF(CK5="","",VLOOKUP(($BH5&amp;CK5&amp;"Template de desconto FLAT bundle - Velox XDSL - Varejo"),[6]BENEFICIOS!$A:$E,5,0))),"Criar",IF(CK5="","",VLOOKUP(($BH5&amp;CK5&amp;"Template de desconto FLAT bundle - Velox XDSL - Varejo"),[6]BENEFICIOS!$A:$E,5,0)))</f>
        <v/>
      </c>
      <c r="CM5" s="68"/>
      <c r="CN5" s="69"/>
      <c r="CO5" s="64" t="str">
        <f>IF(CN5=0,"",IF(CN5=VLOOKUP("PCS-30712g",[6]ARBOR!$A:$C,3,0),0.0001,IF(CN5&gt;VLOOKUP("PCS-30712g",[6]ARBOR!$A:$C,3,0),"Maior que CAP!",IF((DOLLAR(CN5+(VLOOKUP("PCS-30712g",[6]ARBOR!$A:$C,3,0)*-TRUNC(CN5/VLOOKUP("PCS-30712g",[6]ARBOR!$A:$C,3,0)-1,4)),6))&lt;&gt;(DOLLAR(VLOOKUP("PCS-30712g",[6]ARBOR!$A:$C,3,0),6)),-TRUNC(CN5/VLOOKUP("PCS-30712g",[6]ARBOR!$A:$C,3,0)-1,4)+0.0001,-TRUNC(CN5/VLOOKUP("PCS-30712g",[6]ARBOR!$A:$C,3,0)-1,4)))))</f>
        <v/>
      </c>
      <c r="CP5" s="65" t="str">
        <f>IF(ISERROR(IF(CO5="","",VLOOKUP(($BH5&amp;CO5&amp;"Template de desconto FLAT bundle - Velox XDSL - Varejo"),[6]BENEFICIOS!$A:$E,5,0))),"Criar",IF(CO5="","",VLOOKUP(($BH5&amp;CO5&amp;"Template de desconto FLAT bundle - Velox XDSL - Varejo"),[6]BENEFICIOS!$A:$E,5,0)))</f>
        <v/>
      </c>
      <c r="CQ5" s="68"/>
      <c r="CR5" s="69"/>
      <c r="CS5" s="64" t="str">
        <f>IF(CR5=0,"",IF(CR5=VLOOKUP("PCS-30739g",[6]ARBOR!$A:$C,3,0),0.0001,IF(CR5&gt;VLOOKUP("PCS-30739g",[6]ARBOR!$A:$C,3,0),"Maior que CAP!",IF((DOLLAR(CR5+(VLOOKUP("PCS-30739g",[6]ARBOR!$A:$C,3,0)*-TRUNC(CR5/VLOOKUP("PCS-30739g",[6]ARBOR!$A:$C,3,0)-1,4)),6))&lt;&gt;(DOLLAR(VLOOKUP("PCS-30739g",[6]ARBOR!$A:$C,3,0),6)),-TRUNC(CR5/VLOOKUP("PCS-30739g",[6]ARBOR!$A:$C,3,0)-1,4)+0.0001,-TRUNC(CR5/VLOOKUP("PCS-30739g",[6]ARBOR!$A:$C,3,0)-1,4)))))</f>
        <v/>
      </c>
      <c r="CT5" s="65" t="str">
        <f>IF(ISERROR(IF(CS5="","",VLOOKUP(($BH5&amp;CS5&amp;"Template de desconto FLAT bundle - Velox XDSL - Varejo"),[6]BENEFICIOS!$A:$E,5,0))),"Criar",IF(CS5="","",VLOOKUP(($BH5&amp;CS5&amp;"Template de desconto FLAT bundle - Velox XDSL - Varejo"),[6]BENEFICIOS!$A:$E,5,0)))</f>
        <v/>
      </c>
      <c r="CU5" s="69"/>
      <c r="CV5" s="70"/>
      <c r="CW5" s="64"/>
      <c r="CX5" s="65"/>
      <c r="CY5" s="68"/>
      <c r="CZ5" s="69"/>
      <c r="DA5" s="64" t="str">
        <f>IF(CZ5=0,"",IF(CZ5=VLOOKUP("PCS-30766g",[6]ARBOR!$A:$C,3,0),0.0001,IF(CZ5&gt;VLOOKUP("PCS-30766g",[6]ARBOR!$A:$C,3,0),"Maior que CAP!",IF((DOLLAR(CZ5+(VLOOKUP("PCS-30766g",[6]ARBOR!$A:$C,3,0)*-TRUNC(CZ5/VLOOKUP("PCS-30766g",[6]ARBOR!$A:$C,3,0)-1,4)),6))&lt;&gt;(DOLLAR(VLOOKUP("PCS-30766g",[6]ARBOR!$A:$C,3,0),6)),-TRUNC(CZ5/VLOOKUP("PCS-30766g",[6]ARBOR!$A:$C,3,0)-1,4)+0.0001,-TRUNC(CZ5/VLOOKUP("PCS-30766g",[6]ARBOR!$A:$C,3,0)-1,4)))))</f>
        <v/>
      </c>
      <c r="DB5" s="65" t="str">
        <f>IF(ISERROR(IF(DA5="","",VLOOKUP(($BH5&amp;DA5&amp;"Template de desconto FLAT bundle - Velox XDSL - Varejo"),[6]BENEFICIOS!$A:$E,5,0))),"Criar",IF(DA5="","",VLOOKUP(($BH5&amp;DA5&amp;"Template de desconto FLAT bundle - Velox XDSL - Varejo"),[6]BENEFICIOS!$A:$E,5,0)))</f>
        <v/>
      </c>
      <c r="DC5" s="69"/>
      <c r="DD5" s="70"/>
      <c r="DE5" s="64"/>
      <c r="DF5" s="65"/>
      <c r="DG5" s="68"/>
      <c r="DH5" s="69"/>
      <c r="DI5" s="64" t="str">
        <f>IF(DH5=0,"",IF(DH5=VLOOKUP("PCS-30793g",[6]ARBOR!$A:$C,3,0),0.0001,IF(DH5&gt;VLOOKUP("PCS-30793g",[6]ARBOR!$A:$C,3,0),"Maior que CAP!",IF((DOLLAR(DH5+(VLOOKUP("PCS-30793g",[6]ARBOR!$A:$C,3,0)*-TRUNC(DH5/VLOOKUP("PCS-30793g",[6]ARBOR!$A:$C,3,0)-1,4)),6))&lt;&gt;(DOLLAR(VLOOKUP("PCS-30793g",[6]ARBOR!$A:$C,3,0),6)),-TRUNC(DH5/VLOOKUP("PCS-30793g",[6]ARBOR!$A:$C,3,0)-1,4)+0.0001,-TRUNC(DH5/VLOOKUP("PCS-30793g",[6]ARBOR!$A:$C,3,0)-1,4)))))</f>
        <v/>
      </c>
      <c r="DJ5" s="65" t="str">
        <f>IF(ISERROR(IF(DI5="","",VLOOKUP(($BH5&amp;DI5&amp;"Template de desconto FLAT bundle - Velox XDSL - Varejo"),[6]BENEFICIOS!$A:$E,5,0))),"Criar",IF(DI5="","",VLOOKUP(($BH5&amp;DI5&amp;"Template de desconto FLAT bundle - Velox XDSL - Varejo"),[6]BENEFICIOS!$A:$E,5,0)))</f>
        <v/>
      </c>
      <c r="DK5" s="69"/>
      <c r="DL5" s="70"/>
      <c r="DM5" s="64"/>
      <c r="DN5" s="65"/>
      <c r="DO5" s="68"/>
      <c r="DP5" s="69"/>
      <c r="DQ5" s="64" t="str">
        <f>IF(DP5=0,"",IF(DP5=VLOOKUP("PCS-30820g",[6]ARBOR!$A:$C,3,0),0.0001,IF(DP5&gt;VLOOKUP("PCS-30820g",[6]ARBOR!$A:$C,3,0),"Maior que CAP!",IF((DOLLAR(DP5+(VLOOKUP("PCS-30820g",[6]ARBOR!$A:$C,3,0)*-TRUNC(DP5/VLOOKUP("PCS-30820g",[6]ARBOR!$A:$C,3,0)-1,4)),6))&lt;&gt;(DOLLAR(VLOOKUP("PCS-30820g",[6]ARBOR!$A:$C,3,0),6)),-TRUNC(DP5/VLOOKUP("PCS-30820g",[6]ARBOR!$A:$C,3,0)-1,4)+0.0001,-TRUNC(DP5/VLOOKUP("PCS-30820g",[6]ARBOR!$A:$C,3,0)-1,4)))))</f>
        <v/>
      </c>
      <c r="DR5" s="65" t="str">
        <f>IF(ISERROR(IF(DQ5="","",VLOOKUP(($BH5&amp;DQ5&amp;"Template de desconto FLAT bundle - Velox XDSL - Varejo"),[6]BENEFICIOS!$A:$E,5,0))),"Criar",IF(DQ5="","",VLOOKUP(($BH5&amp;DQ5&amp;"Template de desconto FLAT bundle - Velox XDSL - Varejo"),[6]BENEFICIOS!$A:$E,5,0)))</f>
        <v/>
      </c>
      <c r="DS5" s="69"/>
      <c r="DT5" s="70"/>
      <c r="DU5" s="64"/>
      <c r="DV5" s="65"/>
      <c r="DW5" s="71">
        <v>44.9</v>
      </c>
      <c r="DX5" s="64">
        <f>IF(DW5=0,"",IF(DW5=VLOOKUP("PCS-21448p2",[6]ARBOR!$A:$C,3,0),0.0001,IF(DW5&gt;VLOOKUP("PCS-21448p2",[6]ARBOR!$A:$C,3,0),"Maior que CAP!",IF((DOLLAR(DW5+(VLOOKUP("PCS-21448p2",[6]ARBOR!$A:$C,3,0)*-TRUNC(DW5/VLOOKUP("PCS-21448p2",[6]ARBOR!$A:$C,3,0)-1,4)),6))&lt;&gt;(DOLLAR(VLOOKUP("PCS-21448p2",[6]ARBOR!$A:$C,3,0),6)),-TRUNC(DW5/VLOOKUP("PCS-21448p2",[6]ARBOR!$A:$C,3,0)-1,4)+0.0001,-TRUNC(DW5/VLOOKUP("PCS-21448p2",[6]ARBOR!$A:$C,3,0)-1,4)))))</f>
        <v>0.64900000000000002</v>
      </c>
      <c r="DY5" s="65" t="str">
        <f>IF(ISERROR(IF(DX5="","",VLOOKUP(("Oi Conta Total Plug 10GB Downgrade"&amp;DX5&amp;"Template de desconto percentual BL Móvel - Internet Total - Varejo"),[6]BENEFICIOS!$A:$E,5,0))),"Criar",IF(DX5="","",VLOOKUP(("Oi Conta Total Plug 10GB Downgrade"&amp;DX5&amp;"Template de desconto percentual BL Móvel - Internet Total - Varejo"),[6]BENEFICIOS!$A:$E,5,0)))</f>
        <v>MKT-1-9825544790</v>
      </c>
      <c r="DZ5" s="71">
        <v>16.5</v>
      </c>
      <c r="EA5" s="72">
        <f>IF(DZ5=0,"",IF(DZ5=VLOOKUP("SVA",[6]ARBOR!$A:$C,3,0),0.0001,IF(DZ5&gt;VLOOKUP("SVA",[6]ARBOR!$A:$C,3,0),"Maior que CAP!",IF((DOLLAR(DZ5+(VLOOKUP("SVA",[6]ARBOR!$A:$C,3,0)*-TRUNC(DZ5/VLOOKUP("SVA",[6]ARBOR!$A:$C,3,0)-1,4)),6))&lt;&gt;(DOLLAR(VLOOKUP("SVA",[6]ARBOR!$A:$C,3,0),6)),-TRUNC(DZ5/VLOOKUP("SVA",[6]ARBOR!$A:$C,3,0)-1,4)+0.0001,-TRUNC(DZ5/VLOOKUP("SVA",[6]ARBOR!$A:$C,3,0)-1,4)))))</f>
        <v>0.2301</v>
      </c>
      <c r="EB5" s="65" t="s">
        <v>226</v>
      </c>
      <c r="EC5" s="69"/>
      <c r="ED5" s="73"/>
      <c r="EE5" s="74"/>
      <c r="EF5" s="65"/>
      <c r="EG5" s="75">
        <f>IF(BI5="","",VLOOKUP(BI5,[6]ARBOR!A:C,3,0))</f>
        <v>479.46</v>
      </c>
      <c r="EH5" s="69">
        <v>15</v>
      </c>
      <c r="EI5" s="76">
        <f>IF(EH5="","",1-(EH5/VLOOKUP(BI5&amp;"ASS",[6]ARBOR!A:C,3,0)))</f>
        <v>0.34725848563968664</v>
      </c>
      <c r="EJ5" s="77" t="s">
        <v>227</v>
      </c>
      <c r="EK5" s="78" t="s">
        <v>228</v>
      </c>
      <c r="EL5" s="69">
        <v>137.16</v>
      </c>
      <c r="EM5" s="64">
        <f>ROUND(IF(EL5=0,"",IF(EL5=EG5,0.0001,1-((EL5+(VLOOKUP(BI5&amp;"ASS",[6]ARBOR!A:C,3,0)-EH5))/EG5))),4)</f>
        <v>0.69730000000000003</v>
      </c>
      <c r="EN5" s="65" t="str">
        <f>IF(ISERROR(IF(EM5="","",VLOOKUP(($BH5&amp;EM5&amp;"Template de desconto percentual FLAT Móvel - Conta Total - Varejo - Ganho Tributário Cross"),[6]BENEFICIOS!$A:$E,5,0))),"Criar",IF(EM5="","",VLOOKUP(($BH5&amp;EM5&amp;"Template de desconto percentual FLAT Móvel - Conta Total - Varejo - Ganho Tributário Cross"),[6]BENEFICIOS!$A:$E,5,0)))</f>
        <v>Criar</v>
      </c>
      <c r="EO5" s="79"/>
      <c r="EP5" s="64"/>
      <c r="EQ5" s="72"/>
      <c r="ER5" s="72"/>
      <c r="ES5" s="64"/>
      <c r="ET5" s="80"/>
      <c r="EU5" s="81" t="s">
        <v>247</v>
      </c>
      <c r="EV5" s="81" t="s">
        <v>248</v>
      </c>
      <c r="EW5" s="82"/>
      <c r="EX5" s="83"/>
      <c r="EY5" s="84"/>
      <c r="EZ5" s="82"/>
      <c r="FA5" s="83"/>
      <c r="FB5" s="84"/>
      <c r="FC5" s="82">
        <v>8.74</v>
      </c>
      <c r="FD5" s="83">
        <f>IF(FC5=0,"",IF(FC5=VLOOKUP("PCS-10357",[6]ARBOR!$A:$C,3,0),0.0001,IF(FC5&gt;VLOOKUP("PCS-10357",[6]ARBOR!$A:$C,3,0),"Maior que CAP!",ROUND(-1*(FC5/VLOOKUP("PCS-10357",[6]ARBOR!$A:$C,3,0)-1),4))))</f>
        <v>0.8669</v>
      </c>
      <c r="FE5" s="84" t="str">
        <f>IF(ISERROR(IF(FD5="","",VLOOKUP(("Oi Internet Pra Celular 1GB"&amp;FD5&amp;"Template Flat Instância Dados"),[6]BENEFICIOS!$A:$E,5,0))),"Criar",IF(FD5="","",VLOOKUP(("Oi Internet Pra Celular 1GB"&amp;FD5&amp;"Template Flat Instância Dados"),[6]BENEFICIOS!$A:$E,5,0)))</f>
        <v>MKT-1-9869952543</v>
      </c>
      <c r="FF5" s="82"/>
      <c r="FG5" s="83" t="str">
        <f>IF(FF5=0,"",IF(FF5=VLOOKUP("PCS-813565",[6]ARBOR!$A:$C,3,0),0.0001,IF(FF5&gt;VLOOKUP("PCS-813565",[6]ARBOR!$A:$C,3,0),"Maior que CAP!",ROUND(-1*(FF5/VLOOKUP("PCS-813565",[6]ARBOR!$A:$C,3,0)-1),4))))</f>
        <v/>
      </c>
      <c r="FH5" s="84" t="str">
        <f>IF(ISERROR(IF(FG5="","",VLOOKUP(("Oi Internet Pra Celular 2GB"&amp;FG5&amp;"Template Flat Instância Dados"),[6]BENEFICIOS!$A:$E,5,0))),"Criar",IF(FG5="","",VLOOKUP(("Oi Internet Pra Celular 2GB"&amp;FG5&amp;"Template Flat Instância Dados"),[6]BENEFICIOS!$A:$E,5,0)))</f>
        <v/>
      </c>
      <c r="FI5" s="82"/>
      <c r="FJ5" s="83" t="str">
        <f>IF(FI5=0,"",IF(FI5=VLOOKUP("PCS-7171B",[6]ARBOR!$A:$C,3,0),0.0001,IF(FI5&gt;VLOOKUP("PCS-7171B",[6]ARBOR!$A:$C,3,0),"Maior que CAP!",ROUND(-1*(FI5/VLOOKUP("PCS-7171B",[6]ARBOR!$A:$C,3,0)-1),4))))</f>
        <v/>
      </c>
      <c r="FK5" s="84" t="str">
        <f>IF(ISERROR(IF(FJ5="","",VLOOKUP(("Oi Internet Pra Celular 3GB"&amp;FJ5&amp;"Template Flat Instância Dados"),[6]BENEFICIOS!$A:$E,5,0))),"Criar",IF(FJ5="","",VLOOKUP(("Oi Internet Pra Celular 3GB"&amp;FJ5&amp;"Template Flat Instância Dados"),[6]BENEFICIOS!$A:$E,5,0)))</f>
        <v/>
      </c>
      <c r="FL5" s="82"/>
      <c r="FM5" s="83" t="str">
        <f>IF(FL5=0,"",IF(FL5=VLOOKUP("PCS-51793o08",[6]ARBOR!$A:$C,3,0),0.0001,IF(FL5&gt;VLOOKUP("PCS-51793o08",[6]ARBOR!$A:$C,3,0),"Maior que CAP!",ROUND(-1*(FL5/VLOOKUP("PCS-51793o08",[6]ARBOR!$A:$C,3,0)-1),4))))</f>
        <v/>
      </c>
      <c r="FN5" s="84" t="str">
        <f>IF(ISERROR(IF(FM5="","",VLOOKUP(("Oi Internet Pra Celular 5GB"&amp;FM5&amp;"Template Flat Instância Dados"),[6]BENEFICIOS!$A:$E,5,0))),"Criar",IF(FM5="","",VLOOKUP(("Oi Internet Pra Celular 5GB"&amp;FM5&amp;"Template Flat Instância Dados"),[6]BENEFICIOS!$A:$E,5,0)))</f>
        <v/>
      </c>
      <c r="FO5" s="82"/>
      <c r="FP5" s="83" t="str">
        <f>IF(FO5=0,"",IF(FO5=VLOOKUP("PCS-7171A",[6]ARBOR!$A:$C,3,0),0.0001,IF(FO5&gt;VLOOKUP("PCS-7171A",[6]ARBOR!$A:$C,3,0),"Maior que CAP!",ROUND(-1*(FO5/VLOOKUP("PCS-7171A",[6]ARBOR!$A:$C,3,0)-1),4))))</f>
        <v/>
      </c>
      <c r="FQ5" s="84" t="str">
        <f>IF(ISERROR(IF(FP5="","",VLOOKUP(("Oi Internet Pra Celular 10GB"&amp;FP5&amp;"Template Flat Instância Dados"),[6]BENEFICIOS!$A:$E,5,0))),"Criar",IF(FP5="","",VLOOKUP(("Oi Internet Pra Celular 10GB"&amp;FP5&amp;"Template Flat Instância Dados"),[6]BENEFICIOS!$A:$E,5,0)))</f>
        <v/>
      </c>
      <c r="FR5" s="85">
        <v>0.74219999999999997</v>
      </c>
      <c r="FS5" s="86" t="s">
        <v>249</v>
      </c>
      <c r="FT5" s="48"/>
      <c r="FU5" s="87"/>
      <c r="FV5" s="88" t="s">
        <v>224</v>
      </c>
      <c r="FW5" s="49" t="s">
        <v>229</v>
      </c>
      <c r="FX5" s="89">
        <v>999</v>
      </c>
      <c r="FY5" s="49">
        <v>12</v>
      </c>
      <c r="FZ5" s="90" t="s">
        <v>230</v>
      </c>
      <c r="GA5" s="91" t="str">
        <f t="shared" si="1"/>
        <v>PCS-Fk83324</v>
      </c>
      <c r="GB5" s="92" t="str">
        <f t="shared" si="2"/>
        <v>PCS-SBL553142</v>
      </c>
      <c r="GC5" s="93" t="s">
        <v>231</v>
      </c>
      <c r="GD5" s="90" t="s">
        <v>232</v>
      </c>
      <c r="GE5" s="92" t="s">
        <v>233</v>
      </c>
      <c r="GF5" s="93" t="s">
        <v>234</v>
      </c>
      <c r="GG5" s="90" t="s">
        <v>235</v>
      </c>
      <c r="GH5" s="92" t="s">
        <v>236</v>
      </c>
      <c r="GI5" s="94" t="s">
        <v>237</v>
      </c>
      <c r="GJ5" s="95">
        <f>FC5+EL5+DW5+BJ5</f>
        <v>240.9</v>
      </c>
      <c r="GK5" s="96"/>
      <c r="GL5" s="97" t="s">
        <v>238</v>
      </c>
      <c r="GM5" s="98" t="s">
        <v>239</v>
      </c>
      <c r="GN5" s="97">
        <f>VLOOKUP($A5,'[6]TABELA COM TUDO'!$A:$AB,25,0)</f>
        <v>14</v>
      </c>
      <c r="GO5" s="99">
        <f>VLOOKUP($A5,'[6]TABELA COM TUDO'!$A:$AB,26,0)</f>
        <v>3.61</v>
      </c>
      <c r="GP5" s="100">
        <f t="shared" ref="GP5:GP14" si="8">-IFERROR(TRUNC(GO5/GN5-1,4),100%)</f>
        <v>0.74209999999999998</v>
      </c>
      <c r="GQ5" s="97">
        <f t="shared" si="4"/>
        <v>10.38</v>
      </c>
      <c r="GR5" s="97">
        <f t="shared" si="5"/>
        <v>3.6199999999999992</v>
      </c>
      <c r="GS5" s="101"/>
      <c r="GT5" s="101"/>
      <c r="GU5" s="102" t="b">
        <f t="shared" si="6"/>
        <v>0</v>
      </c>
      <c r="GV5" s="103">
        <f t="shared" si="7"/>
        <v>9.9999999999993427E-3</v>
      </c>
      <c r="GW5" s="44" t="s">
        <v>250</v>
      </c>
      <c r="GX5" s="44" t="s">
        <v>241</v>
      </c>
    </row>
    <row r="6" spans="1:206" s="44" customFormat="1" x14ac:dyDescent="0.25">
      <c r="A6" s="44" t="str">
        <f t="shared" si="0"/>
        <v>Oi Total Fixo + Pós 800 + Banda LargaN11GBMG</v>
      </c>
      <c r="B6" s="45" t="s">
        <v>214</v>
      </c>
      <c r="C6" s="46" t="s">
        <v>130</v>
      </c>
      <c r="D6" s="46" t="s">
        <v>215</v>
      </c>
      <c r="E6" s="47" t="s">
        <v>216</v>
      </c>
      <c r="F6" s="48" t="s">
        <v>217</v>
      </c>
      <c r="G6" s="49"/>
      <c r="H6" s="49"/>
      <c r="I6" s="49"/>
      <c r="J6" s="49" t="s">
        <v>217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 t="s">
        <v>217</v>
      </c>
      <c r="AC6" s="49" t="s">
        <v>217</v>
      </c>
      <c r="AD6" s="49" t="s">
        <v>217</v>
      </c>
      <c r="AE6" s="49" t="s">
        <v>217</v>
      </c>
      <c r="AF6" s="49" t="s">
        <v>217</v>
      </c>
      <c r="AG6" s="49" t="s">
        <v>217</v>
      </c>
      <c r="AH6" s="50"/>
      <c r="AI6" s="49" t="s">
        <v>217</v>
      </c>
      <c r="AJ6" s="49" t="s">
        <v>217</v>
      </c>
      <c r="AK6" s="49" t="s">
        <v>217</v>
      </c>
      <c r="AL6" s="49" t="s">
        <v>217</v>
      </c>
      <c r="AM6" s="49" t="s">
        <v>217</v>
      </c>
      <c r="AN6" s="49" t="s">
        <v>217</v>
      </c>
      <c r="AO6" s="49" t="s">
        <v>217</v>
      </c>
      <c r="AP6" s="49"/>
      <c r="AQ6" s="51"/>
      <c r="AR6" s="52" t="s">
        <v>251</v>
      </c>
      <c r="AS6" s="46" t="s">
        <v>219</v>
      </c>
      <c r="AT6" s="53" t="s">
        <v>220</v>
      </c>
      <c r="AU6" s="54">
        <v>42972</v>
      </c>
      <c r="AV6" s="55">
        <v>43038</v>
      </c>
      <c r="AW6" s="56" t="s">
        <v>221</v>
      </c>
      <c r="AX6" s="57" t="s">
        <v>221</v>
      </c>
      <c r="AY6" s="58"/>
      <c r="AZ6" s="58" t="s">
        <v>222</v>
      </c>
      <c r="BA6" s="58">
        <v>20</v>
      </c>
      <c r="BB6" s="58">
        <v>10000</v>
      </c>
      <c r="BC6" s="59" t="s">
        <v>223</v>
      </c>
      <c r="BD6" s="60" t="s">
        <v>224</v>
      </c>
      <c r="BE6" s="58" t="s">
        <v>216</v>
      </c>
      <c r="BF6" s="51" t="s">
        <v>216</v>
      </c>
      <c r="BG6" s="45" t="s">
        <v>251</v>
      </c>
      <c r="BH6" s="61" t="s">
        <v>225</v>
      </c>
      <c r="BI6" s="62" t="str">
        <f>IF(ISERROR(VLOOKUP(BH6,[6]PLANOS!B:C,2,0)),"",VLOOKUP(BH6,[6]PLANOS!B:C,2,0))</f>
        <v>PCS-4P6pi</v>
      </c>
      <c r="BJ6" s="63">
        <v>50.1</v>
      </c>
      <c r="BK6" s="64">
        <f>IF(BJ6=0,"",IF(BJ6=VLOOKUP("FIXO",[6]ARBOR!$A:$C,3,0),0.0001,IF(BJ6&gt;VLOOKUP("FIXO",[6]ARBOR!$A:$C,3,0),"Maior que CAP!",IF((DOLLAR(BJ6+(VLOOKUP("FIXO",[6]ARBOR!$A:$C,3,0)*-TRUNC(BJ6/VLOOKUP("FIXO",[6]ARBOR!$A:$C,3,0)-1,4)),6))&lt;&gt;(DOLLAR(VLOOKUP("FIXO",[6]ARBOR!$A:$C,3,0),6)),-TRUNC(BJ6/VLOOKUP("FIXO",[6]ARBOR!$A:$C,3,0)-1,4)+0.0001,-TRUNC(BJ6/VLOOKUP("FIXO",[6]ARBOR!$A:$C,3,0)-1,4)))))</f>
        <v>0.33939999999999998</v>
      </c>
      <c r="BL6" s="65" t="str">
        <f>IF(ISERROR(IF(BK6="","",VLOOKUP(($BH6&amp;BK6&amp;"Template de desconto FLAT bundle - Fixo - Varejo - Ganho Tributário Cross"),[6]BENEFICIOS!$A:$E,5,0))),"Criar",IF(BK6="","",VLOOKUP(($BH6&amp;BK6&amp;"Template de desconto FLAT bundle - Fixo - Varejo - Ganho Tributário Cross"),[6]BENEFICIOS!$A:$E,5,0)))</f>
        <v>MKT-1-9856472058</v>
      </c>
      <c r="BM6" s="66"/>
      <c r="BN6" s="67"/>
      <c r="BO6" s="104" t="s">
        <v>243</v>
      </c>
      <c r="BP6" s="69">
        <v>44.9</v>
      </c>
      <c r="BQ6" s="64">
        <f>IF(BP6=0,"",IF(BP6=VLOOKUP("PCS-30874g",[6]ARBOR!$A:$C,3,0),0.0001,IF(BP6&gt;VLOOKUP("PCS-30874g",[6]ARBOR!$A:$C,3,0),"Maior que CAP!",IF((DOLLAR(BP6+(VLOOKUP("PCS-30874g",[6]ARBOR!$A:$C,3,0)*-TRUNC(BP6/VLOOKUP("PCS-30874g",[6]ARBOR!$A:$C,3,0)-1,4)),6))&lt;&gt;(DOLLAR(VLOOKUP("PCS-30874g",[6]ARBOR!$A:$C,3,0),6)),-TRUNC(BP6/VLOOKUP("PCS-30874g",[6]ARBOR!$A:$C,3,0)-1,4)+0.0001,-TRUNC(BP6/VLOOKUP("PCS-30874g",[6]ARBOR!$A:$C,3,0)-1,4)))))</f>
        <v>0.53679999999999994</v>
      </c>
      <c r="BR6" s="65" t="str">
        <f>IF(ISERROR(IF(BQ6="","",VLOOKUP(($BH6&amp;BQ6&amp;"Template de desconto FLAT bundle - Velox XDSL - Varejo"),[6]BENEFICIOS!$A:$E,5,0))),"Criar",IF(BQ6="","",VLOOKUP(($BH6&amp;BQ6&amp;"Template de desconto FLAT bundle - Velox XDSL - Varejo"),[6]BENEFICIOS!$A:$E,5,0)))</f>
        <v>MKT-1-9865126733</v>
      </c>
      <c r="BS6" s="104" t="s">
        <v>243</v>
      </c>
      <c r="BT6" s="69">
        <v>44.9</v>
      </c>
      <c r="BU6" s="64">
        <f>IF(BT6=0,"",IF(BT6=VLOOKUP("PCS-30577g",[6]ARBOR!$A:$C,3,0),0.0001,IF(BT6&gt;VLOOKUP("PCS-30577g",[6]ARBOR!$A:$C,3,0),"Maior que CAP!",IF((DOLLAR(BT6+(VLOOKUP("PCS-30577g",[6]ARBOR!$A:$C,3,0)*-TRUNC(BT6/VLOOKUP("PCS-30577g",[6]ARBOR!$A:$C,3,0)-1,4)),6))&lt;&gt;(DOLLAR(VLOOKUP("PCS-30577g",[6]ARBOR!$A:$C,3,0),6)),-TRUNC(BT6/VLOOKUP("PCS-30577g",[6]ARBOR!$A:$C,3,0)-1,4)+0.0001,-TRUNC(BT6/VLOOKUP("PCS-30577g",[6]ARBOR!$A:$C,3,0)-1,4)))))</f>
        <v>0.53679999999999994</v>
      </c>
      <c r="BV6" s="65" t="str">
        <f>IF(ISERROR(IF(BU6="","",VLOOKUP(($BH6&amp;BU6&amp;"Template de desconto FLAT bundle - Velox XDSL - Varejo"),[6]BENEFICIOS!$A:$E,5,0))),"Criar",IF(BU6="","",VLOOKUP(($BH6&amp;BU6&amp;"Template de desconto FLAT bundle - Velox XDSL - Varejo"),[6]BENEFICIOS!$A:$E,5,0)))</f>
        <v>MKT-1-9865126733</v>
      </c>
      <c r="BW6" s="104" t="s">
        <v>243</v>
      </c>
      <c r="BX6" s="69">
        <v>44.9</v>
      </c>
      <c r="BY6" s="64">
        <f>IF(BX6=0,"",IF(BX6=VLOOKUP("PCS-30604g",[6]ARBOR!$A:$C,3,0),0.0001,IF(BX6&gt;VLOOKUP("PCS-30604g",[6]ARBOR!$A:$C,3,0),"Maior que CAP!",IF((DOLLAR(BX6+(VLOOKUP("PCS-30604g",[6]ARBOR!$A:$C,3,0)*-TRUNC(BX6/VLOOKUP("PCS-30604g",[6]ARBOR!$A:$C,3,0)-1,4)),6))&lt;&gt;(DOLLAR(VLOOKUP("PCS-30604g",[6]ARBOR!$A:$C,3,0),6)),-TRUNC(BX6/VLOOKUP("PCS-30604g",[6]ARBOR!$A:$C,3,0)-1,4)+0.0001,-TRUNC(BX6/VLOOKUP("PCS-30604g",[6]ARBOR!$A:$C,3,0)-1,4)))))</f>
        <v>0.53679999999999994</v>
      </c>
      <c r="BZ6" s="65" t="str">
        <f>IF(ISERROR(IF(BY6="","",VLOOKUP(($BH6&amp;BY6&amp;"Template de desconto FLAT bundle - Velox XDSL - Varejo"),[6]BENEFICIOS!$A:$E,5,0))),"Criar",IF(BY6="","",VLOOKUP(($BH6&amp;BY6&amp;"Template de desconto FLAT bundle - Velox XDSL - Varejo"),[6]BENEFICIOS!$A:$E,5,0)))</f>
        <v>MKT-1-9865126733</v>
      </c>
      <c r="CA6" s="104" t="s">
        <v>243</v>
      </c>
      <c r="CB6" s="69">
        <v>44.9</v>
      </c>
      <c r="CC6" s="64">
        <f>IF(CB6=0,"",IF(CB6=VLOOKUP("PCS-30631g",[6]ARBOR!$A:$C,3,0),0.0001,IF(CB6&gt;VLOOKUP("PCS-30631g",[6]ARBOR!$A:$C,3,0),"Maior que CAP!",IF((DOLLAR(CB6+(VLOOKUP("PCS-30631g",[6]ARBOR!$A:$C,3,0)*-TRUNC(CB6/VLOOKUP("PCS-30631g",[6]ARBOR!$A:$C,3,0)-1,4)),6))&lt;&gt;(DOLLAR(VLOOKUP("PCS-30631g",[6]ARBOR!$A:$C,3,0),6)),-TRUNC(CB6/VLOOKUP("PCS-30631g",[6]ARBOR!$A:$C,3,0)-1,4)+0.0001,-TRUNC(CB6/VLOOKUP("PCS-30631g",[6]ARBOR!$A:$C,3,0)-1,4)))))</f>
        <v>0.54310000000000003</v>
      </c>
      <c r="CD6" s="65" t="str">
        <f>IF(ISERROR(IF(CC6="","",VLOOKUP(($BH6&amp;CC6&amp;"Template de desconto FLAT bundle - Velox XDSL - Varejo"),[6]BENEFICIOS!$A:$E,5,0))),"Criar",IF(CC6="","",VLOOKUP(($BH6&amp;CC6&amp;"Template de desconto FLAT bundle - Velox XDSL - Varejo"),[6]BENEFICIOS!$A:$E,5,0)))</f>
        <v>MKT-1-9865126826</v>
      </c>
      <c r="CE6" s="68" t="s">
        <v>164</v>
      </c>
      <c r="CF6" s="69">
        <v>49.9</v>
      </c>
      <c r="CG6" s="64">
        <f>IF(CF6=0,"",IF(CF6=VLOOKUP("PCS-30658g",[6]ARBOR!$A:$C,3,0),0.0001,IF(CF6&gt;VLOOKUP("PCS-30658g",[6]ARBOR!$A:$C,3,0),"Maior que CAP!",IF((DOLLAR(CF6+(VLOOKUP("PCS-30658g",[6]ARBOR!$A:$C,3,0)*-TRUNC(CF6/VLOOKUP("PCS-30658g",[6]ARBOR!$A:$C,3,0)-1,4)),6))&lt;&gt;(DOLLAR(VLOOKUP("PCS-30658g",[6]ARBOR!$A:$C,3,0),6)),-TRUNC(CF6/VLOOKUP("PCS-30658g",[6]ARBOR!$A:$C,3,0)-1,4)+0.0001,-TRUNC(CF6/VLOOKUP("PCS-30658g",[6]ARBOR!$A:$C,3,0)-1,4)))))</f>
        <v>0.55569999999999997</v>
      </c>
      <c r="CH6" s="65" t="str">
        <f>IF(ISERROR(IF(CG6="","",VLOOKUP(($BH6&amp;CG6&amp;"Template de desconto FLAT bundle - Velox XDSL - Varejo"),[6]BENEFICIOS!$A:$E,5,0))),"Criar",IF(CG6="","",VLOOKUP(($BH6&amp;CG6&amp;"Template de desconto FLAT bundle - Velox XDSL - Varejo"),[6]BENEFICIOS!$A:$E,5,0)))</f>
        <v>MKT-1-9865126919</v>
      </c>
      <c r="CI6" s="68" t="s">
        <v>164</v>
      </c>
      <c r="CJ6" s="69">
        <v>49.9</v>
      </c>
      <c r="CK6" s="64">
        <f>IF(CJ6=0,"",IF(CJ6=VLOOKUP("PCS-30685g",[6]ARBOR!$A:$C,3,0),0.0001,IF(CJ6&gt;VLOOKUP("PCS-30685g",[6]ARBOR!$A:$C,3,0),"Maior que CAP!",IF((DOLLAR(CJ6+(VLOOKUP("PCS-30685g",[6]ARBOR!$A:$C,3,0)*-TRUNC(CJ6/VLOOKUP("PCS-30685g",[6]ARBOR!$A:$C,3,0)-1,4)),6))&lt;&gt;(DOLLAR(VLOOKUP("PCS-30685g",[6]ARBOR!$A:$C,3,0),6)),-TRUNC(CJ6/VLOOKUP("PCS-30685g",[6]ARBOR!$A:$C,3,0)-1,4)+0.0001,-TRUNC(CJ6/VLOOKUP("PCS-30685g",[6]ARBOR!$A:$C,3,0)-1,4)))))</f>
        <v>0.60509999999999997</v>
      </c>
      <c r="CL6" s="65" t="str">
        <f>IF(ISERROR(IF(CK6="","",VLOOKUP(($BH6&amp;CK6&amp;"Template de desconto FLAT bundle - Velox XDSL - Varejo"),[6]BENEFICIOS!$A:$E,5,0))),"Criar",IF(CK6="","",VLOOKUP(($BH6&amp;CK6&amp;"Template de desconto FLAT bundle - Velox XDSL - Varejo"),[6]BENEFICIOS!$A:$E,5,0)))</f>
        <v>MKT-1-9865694381</v>
      </c>
      <c r="CM6" s="68" t="s">
        <v>164</v>
      </c>
      <c r="CN6" s="69">
        <v>49.9</v>
      </c>
      <c r="CO6" s="64">
        <f>IF(CN6=0,"",IF(CN6=VLOOKUP("PCS-30712g",[6]ARBOR!$A:$C,3,0),0.0001,IF(CN6&gt;VLOOKUP("PCS-30712g",[6]ARBOR!$A:$C,3,0),"Maior que CAP!",IF((DOLLAR(CN6+(VLOOKUP("PCS-30712g",[6]ARBOR!$A:$C,3,0)*-TRUNC(CN6/VLOOKUP("PCS-30712g",[6]ARBOR!$A:$C,3,0)-1,4)),6))&lt;&gt;(DOLLAR(VLOOKUP("PCS-30712g",[6]ARBOR!$A:$C,3,0),6)),-TRUNC(CN6/VLOOKUP("PCS-30712g",[6]ARBOR!$A:$C,3,0)-1,4)+0.0001,-TRUNC(CN6/VLOOKUP("PCS-30712g",[6]ARBOR!$A:$C,3,0)-1,4)))))</f>
        <v>0.64459999999999995</v>
      </c>
      <c r="CP6" s="65" t="str">
        <f>IF(ISERROR(IF(CO6="","",VLOOKUP(($BH6&amp;CO6&amp;"Template de desconto FLAT bundle - Velox XDSL - Varejo"),[6]BENEFICIOS!$A:$E,5,0))),"Criar",IF(CO6="","",VLOOKUP(($BH6&amp;CO6&amp;"Template de desconto FLAT bundle - Velox XDSL - Varejo"),[6]BENEFICIOS!$A:$E,5,0)))</f>
        <v>MKT-1-9865191105</v>
      </c>
      <c r="CQ6" s="68" t="s">
        <v>164</v>
      </c>
      <c r="CR6" s="69">
        <v>59.9</v>
      </c>
      <c r="CS6" s="64">
        <f>IF(CR6=0,"",IF(CR6=VLOOKUP("PCS-30739g",[6]ARBOR!$A:$C,3,0),0.0001,IF(CR6&gt;VLOOKUP("PCS-30739g",[6]ARBOR!$A:$C,3,0),"Maior que CAP!",IF((DOLLAR(CR6+(VLOOKUP("PCS-30739g",[6]ARBOR!$A:$C,3,0)*-TRUNC(CR6/VLOOKUP("PCS-30739g",[6]ARBOR!$A:$C,3,0)-1,4)),6))&lt;&gt;(DOLLAR(VLOOKUP("PCS-30739g",[6]ARBOR!$A:$C,3,0),6)),-TRUNC(CR6/VLOOKUP("PCS-30739g",[6]ARBOR!$A:$C,3,0)-1,4)+0.0001,-TRUNC(CR6/VLOOKUP("PCS-30739g",[6]ARBOR!$A:$C,3,0)-1,4)))))</f>
        <v>0.71560000000000001</v>
      </c>
      <c r="CT6" s="65" t="str">
        <f>IF(ISERROR(IF(CS6="","",VLOOKUP(($BH6&amp;CS6&amp;"Template de desconto FLAT bundle - Velox XDSL - Varejo"),[6]BENEFICIOS!$A:$E,5,0))),"Criar",IF(CS6="","",VLOOKUP(($BH6&amp;CS6&amp;"Template de desconto FLAT bundle - Velox XDSL - Varejo"),[6]BENEFICIOS!$A:$E,5,0)))</f>
        <v>MKT-1-9865191198</v>
      </c>
      <c r="CU6" s="69"/>
      <c r="CV6" s="70"/>
      <c r="CW6" s="64"/>
      <c r="CX6" s="65"/>
      <c r="CY6" s="68" t="s">
        <v>164</v>
      </c>
      <c r="CZ6" s="69">
        <v>59.9</v>
      </c>
      <c r="DA6" s="64">
        <f>IF(CZ6=0,"",IF(CZ6=VLOOKUP("PCS-30766g",[6]ARBOR!$A:$C,3,0),0.0001,IF(CZ6&gt;VLOOKUP("PCS-30766g",[6]ARBOR!$A:$C,3,0),"Maior que CAP!",IF((DOLLAR(CZ6+(VLOOKUP("PCS-30766g",[6]ARBOR!$A:$C,3,0)*-TRUNC(CZ6/VLOOKUP("PCS-30766g",[6]ARBOR!$A:$C,3,0)-1,4)),6))&lt;&gt;(DOLLAR(VLOOKUP("PCS-30766g",[6]ARBOR!$A:$C,3,0),6)),-TRUNC(CZ6/VLOOKUP("PCS-30766g",[6]ARBOR!$A:$C,3,0)-1,4)+0.0001,-TRUNC(CZ6/VLOOKUP("PCS-30766g",[6]ARBOR!$A:$C,3,0)-1,4)))))</f>
        <v>0.78669999999999995</v>
      </c>
      <c r="DB6" s="65" t="str">
        <f>IF(ISERROR(IF(DA6="","",VLOOKUP(($BH6&amp;DA6&amp;"Template de desconto FLAT bundle - Velox XDSL - Varejo"),[6]BENEFICIOS!$A:$E,5,0))),"Criar",IF(DA6="","",VLOOKUP(($BH6&amp;DA6&amp;"Template de desconto FLAT bundle - Velox XDSL - Varejo"),[6]BENEFICIOS!$A:$E,5,0)))</f>
        <v>MKT-1-9865191291</v>
      </c>
      <c r="DC6" s="69"/>
      <c r="DD6" s="70"/>
      <c r="DE6" s="64"/>
      <c r="DF6" s="65"/>
      <c r="DG6" s="68" t="s">
        <v>243</v>
      </c>
      <c r="DH6" s="69">
        <v>69.900000000000006</v>
      </c>
      <c r="DI6" s="64">
        <f>IF(DH6=0,"",IF(DH6=VLOOKUP("PCS-30793g",[6]ARBOR!$A:$C,3,0),0.0001,IF(DH6&gt;VLOOKUP("PCS-30793g",[6]ARBOR!$A:$C,3,0),"Maior que CAP!",IF((DOLLAR(DH6+(VLOOKUP("PCS-30793g",[6]ARBOR!$A:$C,3,0)*-TRUNC(DH6/VLOOKUP("PCS-30793g",[6]ARBOR!$A:$C,3,0)-1,4)),6))&lt;&gt;(DOLLAR(VLOOKUP("PCS-30793g",[6]ARBOR!$A:$C,3,0),6)),-TRUNC(DH6/VLOOKUP("PCS-30793g",[6]ARBOR!$A:$C,3,0)-1,4)+0.0001,-TRUNC(DH6/VLOOKUP("PCS-30793g",[6]ARBOR!$A:$C,3,0)-1,4)))))</f>
        <v>0.75109999999999999</v>
      </c>
      <c r="DJ6" s="65" t="str">
        <f>IF(ISERROR(IF(DI6="","",VLOOKUP(($BH6&amp;DI6&amp;"Template de desconto FLAT bundle - Velox XDSL - Varejo"),[6]BENEFICIOS!$A:$E,5,0))),"Criar",IF(DI6="","",VLOOKUP(($BH6&amp;DI6&amp;"Template de desconto FLAT bundle - Velox XDSL - Varejo"),[6]BENEFICIOS!$A:$E,5,0)))</f>
        <v>MKT-1-9865191384</v>
      </c>
      <c r="DK6" s="69"/>
      <c r="DL6" s="70"/>
      <c r="DM6" s="64"/>
      <c r="DN6" s="65"/>
      <c r="DO6" s="68" t="s">
        <v>164</v>
      </c>
      <c r="DP6" s="69">
        <v>69.900000000000006</v>
      </c>
      <c r="DQ6" s="64">
        <f>IF(DP6=0,"",IF(DP6=VLOOKUP("PCS-30820g",[6]ARBOR!$A:$C,3,0),0.0001,IF(DP6&gt;VLOOKUP("PCS-30820g",[6]ARBOR!$A:$C,3,0),"Maior que CAP!",IF((DOLLAR(DP6+(VLOOKUP("PCS-30820g",[6]ARBOR!$A:$C,3,0)*-TRUNC(DP6/VLOOKUP("PCS-30820g",[6]ARBOR!$A:$C,3,0)-1,4)),6))&lt;&gt;(DOLLAR(VLOOKUP("PCS-30820g",[6]ARBOR!$A:$C,3,0),6)),-TRUNC(DP6/VLOOKUP("PCS-30820g",[6]ARBOR!$A:$C,3,0)-1,4)+0.0001,-TRUNC(DP6/VLOOKUP("PCS-30820g",[6]ARBOR!$A:$C,3,0)-1,4)))))</f>
        <v>0.75109999999999999</v>
      </c>
      <c r="DR6" s="65" t="str">
        <f>IF(ISERROR(IF(DQ6="","",VLOOKUP(($BH6&amp;DQ6&amp;"Template de desconto FLAT bundle - Velox XDSL - Varejo"),[6]BENEFICIOS!$A:$E,5,0))),"Criar",IF(DQ6="","",VLOOKUP(($BH6&amp;DQ6&amp;"Template de desconto FLAT bundle - Velox XDSL - Varejo"),[6]BENEFICIOS!$A:$E,5,0)))</f>
        <v>MKT-1-9865191384</v>
      </c>
      <c r="DS6" s="69"/>
      <c r="DT6" s="70"/>
      <c r="DU6" s="64"/>
      <c r="DV6" s="65"/>
      <c r="DW6" s="71"/>
      <c r="DX6" s="64" t="str">
        <f>IF(DW6=0,"",IF(DW6=VLOOKUP("PCS-21448p2",[6]ARBOR!$A:$C,3,0),0.0001,IF(DW6&gt;VLOOKUP("PCS-21448p2",[6]ARBOR!$A:$C,3,0),"Maior que CAP!",IF((DOLLAR(DW6+(VLOOKUP("PCS-21448p2",[6]ARBOR!$A:$C,3,0)*-TRUNC(DW6/VLOOKUP("PCS-21448p2",[6]ARBOR!$A:$C,3,0)-1,4)),6))&lt;&gt;(DOLLAR(VLOOKUP("PCS-21448p2",[6]ARBOR!$A:$C,3,0),6)),-TRUNC(DW6/VLOOKUP("PCS-21448p2",[6]ARBOR!$A:$C,3,0)-1,4)+0.0001,-TRUNC(DW6/VLOOKUP("PCS-21448p2",[6]ARBOR!$A:$C,3,0)-1,4)))))</f>
        <v/>
      </c>
      <c r="DY6" s="65" t="str">
        <f>IF(ISERROR(IF(DX6="","",VLOOKUP(("Oi Conta Total Plug 10GB Downgrade"&amp;DX6&amp;"Template de desconto percentual BL Móvel - Internet Total - Varejo"),[6]BENEFICIOS!$A:$E,5,0))),"Criar",IF(DX6="","",VLOOKUP(("Oi Conta Total Plug 10GB Downgrade"&amp;DX6&amp;"Template de desconto percentual BL Móvel - Internet Total - Varejo"),[6]BENEFICIOS!$A:$E,5,0)))</f>
        <v/>
      </c>
      <c r="DZ6" s="71">
        <v>19.899999999999999</v>
      </c>
      <c r="EA6" s="72">
        <f>IF(DZ6=0,"",IF(DZ6=VLOOKUP("SVA",[6]ARBOR!$A:$C,3,0),0.0001,IF(DZ6&gt;VLOOKUP("SVA",[6]ARBOR!$A:$C,3,0),"Maior que CAP!",IF((DOLLAR(DZ6+(VLOOKUP("SVA",[6]ARBOR!$A:$C,3,0)*-TRUNC(DZ6/VLOOKUP("SVA",[6]ARBOR!$A:$C,3,0)-1,4)),6))&lt;&gt;(DOLLAR(VLOOKUP("SVA",[6]ARBOR!$A:$C,3,0),6)),-TRUNC(DZ6/VLOOKUP("SVA",[6]ARBOR!$A:$C,3,0)-1,4)+0.0001,-TRUNC(DZ6/VLOOKUP("SVA",[6]ARBOR!$A:$C,3,0)-1,4)))))</f>
        <v>7.1400000000000005E-2</v>
      </c>
      <c r="EB6" s="65" t="s">
        <v>244</v>
      </c>
      <c r="EC6" s="69"/>
      <c r="ED6" s="73"/>
      <c r="EE6" s="74"/>
      <c r="EF6" s="65"/>
      <c r="EG6" s="75">
        <f>IF(BI6="","",VLOOKUP(BI6,[6]ARBOR!A:C,3,0))</f>
        <v>479.46</v>
      </c>
      <c r="EH6" s="69">
        <v>15</v>
      </c>
      <c r="EI6" s="76">
        <f>IF(EH6="","",1-(EH6/VLOOKUP(BI6&amp;"ASS",[6]ARBOR!A:C,3,0)))</f>
        <v>0.34725848563968664</v>
      </c>
      <c r="EJ6" s="77" t="s">
        <v>227</v>
      </c>
      <c r="EK6" s="78" t="s">
        <v>228</v>
      </c>
      <c r="EL6" s="69">
        <v>137.16</v>
      </c>
      <c r="EM6" s="64">
        <f>ROUND(IF(EL6=0,"",IF(EL6=EG6,0.0001,1-((EL6+(VLOOKUP(BI6&amp;"ASS",[6]ARBOR!A:C,3,0)-EH6))/EG6))),4)</f>
        <v>0.69730000000000003</v>
      </c>
      <c r="EN6" s="65" t="str">
        <f>IF(ISERROR(IF(EM6="","",VLOOKUP(($BH6&amp;EM6&amp;"Template de desconto percentual FLAT Móvel - Conta Total - Varejo - Ganho Tributário Cross"),[6]BENEFICIOS!$A:$E,5,0))),"Criar",IF(EM6="","",VLOOKUP(($BH6&amp;EM6&amp;"Template de desconto percentual FLAT Móvel - Conta Total - Varejo - Ganho Tributário Cross"),[6]BENEFICIOS!$A:$E,5,0)))</f>
        <v>Criar</v>
      </c>
      <c r="EO6" s="79"/>
      <c r="EP6" s="64"/>
      <c r="EQ6" s="72"/>
      <c r="ER6" s="72"/>
      <c r="ES6" s="64"/>
      <c r="ET6" s="80"/>
      <c r="EU6" s="81" t="s">
        <v>247</v>
      </c>
      <c r="EV6" s="81" t="s">
        <v>248</v>
      </c>
      <c r="EW6" s="82"/>
      <c r="EX6" s="83"/>
      <c r="EY6" s="84"/>
      <c r="EZ6" s="82"/>
      <c r="FA6" s="83"/>
      <c r="FB6" s="84"/>
      <c r="FC6" s="82">
        <v>8.74</v>
      </c>
      <c r="FD6" s="83">
        <f>IF(FC6=0,"",IF(FC6=VLOOKUP("PCS-10357",[6]ARBOR!$A:$C,3,0),0.0001,IF(FC6&gt;VLOOKUP("PCS-10357",[6]ARBOR!$A:$C,3,0),"Maior que CAP!",ROUND(-1*(FC6/VLOOKUP("PCS-10357",[6]ARBOR!$A:$C,3,0)-1),4))))</f>
        <v>0.8669</v>
      </c>
      <c r="FE6" s="84" t="str">
        <f>IF(ISERROR(IF(FD6="","",VLOOKUP(("Oi Internet Pra Celular 1GB"&amp;FD6&amp;"Template Flat Instância Dados"),[6]BENEFICIOS!$A:$E,5,0))),"Criar",IF(FD6="","",VLOOKUP(("Oi Internet Pra Celular 1GB"&amp;FD6&amp;"Template Flat Instância Dados"),[6]BENEFICIOS!$A:$E,5,0)))</f>
        <v>MKT-1-9869952543</v>
      </c>
      <c r="FF6" s="82"/>
      <c r="FG6" s="83" t="str">
        <f>IF(FF6=0,"",IF(FF6=VLOOKUP("PCS-813565",[6]ARBOR!$A:$C,3,0),0.0001,IF(FF6&gt;VLOOKUP("PCS-813565",[6]ARBOR!$A:$C,3,0),"Maior que CAP!",ROUND(-1*(FF6/VLOOKUP("PCS-813565",[6]ARBOR!$A:$C,3,0)-1),4))))</f>
        <v/>
      </c>
      <c r="FH6" s="84" t="str">
        <f>IF(ISERROR(IF(FG6="","",VLOOKUP(("Oi Internet Pra Celular 2GB"&amp;FG6&amp;"Template Flat Instância Dados"),[6]BENEFICIOS!$A:$E,5,0))),"Criar",IF(FG6="","",VLOOKUP(("Oi Internet Pra Celular 2GB"&amp;FG6&amp;"Template Flat Instância Dados"),[6]BENEFICIOS!$A:$E,5,0)))</f>
        <v/>
      </c>
      <c r="FI6" s="82"/>
      <c r="FJ6" s="83" t="str">
        <f>IF(FI6=0,"",IF(FI6=VLOOKUP("PCS-7171B",[6]ARBOR!$A:$C,3,0),0.0001,IF(FI6&gt;VLOOKUP("PCS-7171B",[6]ARBOR!$A:$C,3,0),"Maior que CAP!",ROUND(-1*(FI6/VLOOKUP("PCS-7171B",[6]ARBOR!$A:$C,3,0)-1),4))))</f>
        <v/>
      </c>
      <c r="FK6" s="84" t="str">
        <f>IF(ISERROR(IF(FJ6="","",VLOOKUP(("Oi Internet Pra Celular 3GB"&amp;FJ6&amp;"Template Flat Instância Dados"),[6]BENEFICIOS!$A:$E,5,0))),"Criar",IF(FJ6="","",VLOOKUP(("Oi Internet Pra Celular 3GB"&amp;FJ6&amp;"Template Flat Instância Dados"),[6]BENEFICIOS!$A:$E,5,0)))</f>
        <v/>
      </c>
      <c r="FL6" s="82"/>
      <c r="FM6" s="83" t="str">
        <f>IF(FL6=0,"",IF(FL6=VLOOKUP("PCS-51793o08",[6]ARBOR!$A:$C,3,0),0.0001,IF(FL6&gt;VLOOKUP("PCS-51793o08",[6]ARBOR!$A:$C,3,0),"Maior que CAP!",ROUND(-1*(FL6/VLOOKUP("PCS-51793o08",[6]ARBOR!$A:$C,3,0)-1),4))))</f>
        <v/>
      </c>
      <c r="FN6" s="84" t="str">
        <f>IF(ISERROR(IF(FM6="","",VLOOKUP(("Oi Internet Pra Celular 5GB"&amp;FM6&amp;"Template Flat Instância Dados"),[6]BENEFICIOS!$A:$E,5,0))),"Criar",IF(FM6="","",VLOOKUP(("Oi Internet Pra Celular 5GB"&amp;FM6&amp;"Template Flat Instância Dados"),[6]BENEFICIOS!$A:$E,5,0)))</f>
        <v/>
      </c>
      <c r="FO6" s="82"/>
      <c r="FP6" s="83" t="str">
        <f>IF(FO6=0,"",IF(FO6=VLOOKUP("PCS-7171A",[6]ARBOR!$A:$C,3,0),0.0001,IF(FO6&gt;VLOOKUP("PCS-7171A",[6]ARBOR!$A:$C,3,0),"Maior que CAP!",ROUND(-1*(FO6/VLOOKUP("PCS-7171A",[6]ARBOR!$A:$C,3,0)-1),4))))</f>
        <v/>
      </c>
      <c r="FQ6" s="84" t="str">
        <f>IF(ISERROR(IF(FP6="","",VLOOKUP(("Oi Internet Pra Celular 10GB"&amp;FP6&amp;"Template Flat Instância Dados"),[6]BENEFICIOS!$A:$E,5,0))),"Criar",IF(FP6="","",VLOOKUP(("Oi Internet Pra Celular 10GB"&amp;FP6&amp;"Template Flat Instância Dados"),[6]BENEFICIOS!$A:$E,5,0)))</f>
        <v/>
      </c>
      <c r="FR6" s="85">
        <v>0.74219999999999997</v>
      </c>
      <c r="FS6" s="86" t="s">
        <v>249</v>
      </c>
      <c r="FT6" s="48"/>
      <c r="FU6" s="87"/>
      <c r="FV6" s="88" t="s">
        <v>224</v>
      </c>
      <c r="FW6" s="49" t="s">
        <v>229</v>
      </c>
      <c r="FX6" s="89">
        <v>999</v>
      </c>
      <c r="FY6" s="49">
        <v>12</v>
      </c>
      <c r="FZ6" s="90" t="s">
        <v>230</v>
      </c>
      <c r="GA6" s="91" t="str">
        <f t="shared" si="1"/>
        <v>PCS-Fk83324</v>
      </c>
      <c r="GB6" s="92" t="str">
        <f t="shared" si="2"/>
        <v>PCS-SBL553142</v>
      </c>
      <c r="GC6" s="93" t="s">
        <v>231</v>
      </c>
      <c r="GD6" s="90" t="s">
        <v>232</v>
      </c>
      <c r="GE6" s="92" t="s">
        <v>233</v>
      </c>
      <c r="GF6" s="93" t="s">
        <v>234</v>
      </c>
      <c r="GG6" s="90" t="s">
        <v>235</v>
      </c>
      <c r="GH6" s="92" t="s">
        <v>236</v>
      </c>
      <c r="GI6" s="94" t="s">
        <v>237</v>
      </c>
      <c r="GJ6" s="95">
        <f>FC6+EL6+CN6+BJ6</f>
        <v>245.9</v>
      </c>
      <c r="GK6" s="96"/>
      <c r="GL6" s="97" t="s">
        <v>238</v>
      </c>
      <c r="GM6" s="98" t="s">
        <v>239</v>
      </c>
      <c r="GN6" s="97">
        <f>VLOOKUP($A6,'[6]TABELA COM TUDO'!$A:$AB,25,0)</f>
        <v>14</v>
      </c>
      <c r="GO6" s="99">
        <f>VLOOKUP($A6,'[6]TABELA COM TUDO'!$A:$AB,26,0)</f>
        <v>3.61</v>
      </c>
      <c r="GP6" s="100">
        <f t="shared" si="8"/>
        <v>0.74209999999999998</v>
      </c>
      <c r="GQ6" s="97">
        <f t="shared" si="4"/>
        <v>10.38</v>
      </c>
      <c r="GR6" s="97">
        <f t="shared" si="5"/>
        <v>3.6199999999999992</v>
      </c>
      <c r="GS6" s="101"/>
      <c r="GT6" s="101"/>
      <c r="GU6" s="102" t="b">
        <f t="shared" si="6"/>
        <v>0</v>
      </c>
      <c r="GV6" s="103">
        <f t="shared" si="7"/>
        <v>9.9999999999993427E-3</v>
      </c>
      <c r="GW6" s="44" t="s">
        <v>252</v>
      </c>
      <c r="GX6" s="44" t="s">
        <v>241</v>
      </c>
    </row>
    <row r="7" spans="1:206" s="44" customFormat="1" x14ac:dyDescent="0.25">
      <c r="A7" s="44" t="str">
        <f t="shared" si="0"/>
        <v>Oi Total Fixo + Pós 800 + Banda LargaN12GBMG</v>
      </c>
      <c r="B7" s="45" t="s">
        <v>214</v>
      </c>
      <c r="C7" s="46" t="s">
        <v>130</v>
      </c>
      <c r="D7" s="46" t="s">
        <v>215</v>
      </c>
      <c r="E7" s="47" t="s">
        <v>216</v>
      </c>
      <c r="F7" s="48" t="s">
        <v>217</v>
      </c>
      <c r="G7" s="49"/>
      <c r="H7" s="49"/>
      <c r="I7" s="49"/>
      <c r="J7" s="49" t="s">
        <v>217</v>
      </c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 t="s">
        <v>217</v>
      </c>
      <c r="AC7" s="49" t="s">
        <v>217</v>
      </c>
      <c r="AD7" s="49" t="s">
        <v>217</v>
      </c>
      <c r="AE7" s="49" t="s">
        <v>217</v>
      </c>
      <c r="AF7" s="49" t="s">
        <v>217</v>
      </c>
      <c r="AG7" s="49" t="s">
        <v>217</v>
      </c>
      <c r="AH7" s="50"/>
      <c r="AI7" s="49" t="s">
        <v>217</v>
      </c>
      <c r="AJ7" s="49" t="s">
        <v>217</v>
      </c>
      <c r="AK7" s="49" t="s">
        <v>217</v>
      </c>
      <c r="AL7" s="49" t="s">
        <v>217</v>
      </c>
      <c r="AM7" s="49" t="s">
        <v>217</v>
      </c>
      <c r="AN7" s="49" t="s">
        <v>217</v>
      </c>
      <c r="AO7" s="49" t="s">
        <v>217</v>
      </c>
      <c r="AP7" s="49"/>
      <c r="AQ7" s="51"/>
      <c r="AR7" s="52" t="s">
        <v>253</v>
      </c>
      <c r="AS7" s="46" t="s">
        <v>219</v>
      </c>
      <c r="AT7" s="53" t="s">
        <v>220</v>
      </c>
      <c r="AU7" s="54">
        <v>42972</v>
      </c>
      <c r="AV7" s="55">
        <v>43038</v>
      </c>
      <c r="AW7" s="56" t="s">
        <v>221</v>
      </c>
      <c r="AX7" s="57" t="s">
        <v>221</v>
      </c>
      <c r="AY7" s="58"/>
      <c r="AZ7" s="58" t="s">
        <v>222</v>
      </c>
      <c r="BA7" s="58">
        <v>20</v>
      </c>
      <c r="BB7" s="58">
        <v>10000</v>
      </c>
      <c r="BC7" s="59" t="s">
        <v>223</v>
      </c>
      <c r="BD7" s="60" t="s">
        <v>224</v>
      </c>
      <c r="BE7" s="58" t="s">
        <v>216</v>
      </c>
      <c r="BF7" s="51" t="s">
        <v>216</v>
      </c>
      <c r="BG7" s="45" t="s">
        <v>253</v>
      </c>
      <c r="BH7" s="61" t="s">
        <v>225</v>
      </c>
      <c r="BI7" s="62" t="str">
        <f>IF(ISERROR(VLOOKUP(BH7,[6]PLANOS!B:C,2,0)),"",VLOOKUP(BH7,[6]PLANOS!B:C,2,0))</f>
        <v>PCS-4P6pi</v>
      </c>
      <c r="BJ7" s="63">
        <v>50.1</v>
      </c>
      <c r="BK7" s="64">
        <f>IF(BJ7=0,"",IF(BJ7=VLOOKUP("FIXO",[6]ARBOR!$A:$C,3,0),0.0001,IF(BJ7&gt;VLOOKUP("FIXO",[6]ARBOR!$A:$C,3,0),"Maior que CAP!",IF((DOLLAR(BJ7+(VLOOKUP("FIXO",[6]ARBOR!$A:$C,3,0)*-TRUNC(BJ7/VLOOKUP("FIXO",[6]ARBOR!$A:$C,3,0)-1,4)),6))&lt;&gt;(DOLLAR(VLOOKUP("FIXO",[6]ARBOR!$A:$C,3,0),6)),-TRUNC(BJ7/VLOOKUP("FIXO",[6]ARBOR!$A:$C,3,0)-1,4)+0.0001,-TRUNC(BJ7/VLOOKUP("FIXO",[6]ARBOR!$A:$C,3,0)-1,4)))))</f>
        <v>0.33939999999999998</v>
      </c>
      <c r="BL7" s="65" t="str">
        <f>IF(ISERROR(IF(BK7="","",VLOOKUP(($BH7&amp;BK7&amp;"Template de desconto FLAT bundle - Fixo - Varejo - Ganho Tributário Cross"),[6]BENEFICIOS!$A:$E,5,0))),"Criar",IF(BK7="","",VLOOKUP(($BH7&amp;BK7&amp;"Template de desconto FLAT bundle - Fixo - Varejo - Ganho Tributário Cross"),[6]BENEFICIOS!$A:$E,5,0)))</f>
        <v>MKT-1-9856472058</v>
      </c>
      <c r="BM7" s="66"/>
      <c r="BN7" s="67"/>
      <c r="BO7" s="68" t="s">
        <v>164</v>
      </c>
      <c r="BP7" s="69">
        <v>44.9</v>
      </c>
      <c r="BQ7" s="64">
        <f>IF(BP7=0,"",IF(BP7=VLOOKUP("PCS-30874g",[6]ARBOR!$A:$C,3,0),0.0001,IF(BP7&gt;VLOOKUP("PCS-30874g",[6]ARBOR!$A:$C,3,0),"Maior que CAP!",IF((DOLLAR(BP7+(VLOOKUP("PCS-30874g",[6]ARBOR!$A:$C,3,0)*-TRUNC(BP7/VLOOKUP("PCS-30874g",[6]ARBOR!$A:$C,3,0)-1,4)),6))&lt;&gt;(DOLLAR(VLOOKUP("PCS-30874g",[6]ARBOR!$A:$C,3,0),6)),-TRUNC(BP7/VLOOKUP("PCS-30874g",[6]ARBOR!$A:$C,3,0)-1,4)+0.0001,-TRUNC(BP7/VLOOKUP("PCS-30874g",[6]ARBOR!$A:$C,3,0)-1,4)))))</f>
        <v>0.53679999999999994</v>
      </c>
      <c r="BR7" s="65" t="str">
        <f>IF(ISERROR(IF(BQ7="","",VLOOKUP(($BH7&amp;BQ7&amp;"Template de desconto FLAT bundle - Velox XDSL - Varejo"),[6]BENEFICIOS!$A:$E,5,0))),"Criar",IF(BQ7="","",VLOOKUP(($BH7&amp;BQ7&amp;"Template de desconto FLAT bundle - Velox XDSL - Varejo"),[6]BENEFICIOS!$A:$E,5,0)))</f>
        <v>MKT-1-9865126733</v>
      </c>
      <c r="BS7" s="68" t="s">
        <v>164</v>
      </c>
      <c r="BT7" s="69">
        <v>44.9</v>
      </c>
      <c r="BU7" s="64">
        <f>IF(BT7=0,"",IF(BT7=VLOOKUP("PCS-30577g",[6]ARBOR!$A:$C,3,0),0.0001,IF(BT7&gt;VLOOKUP("PCS-30577g",[6]ARBOR!$A:$C,3,0),"Maior que CAP!",IF((DOLLAR(BT7+(VLOOKUP("PCS-30577g",[6]ARBOR!$A:$C,3,0)*-TRUNC(BT7/VLOOKUP("PCS-30577g",[6]ARBOR!$A:$C,3,0)-1,4)),6))&lt;&gt;(DOLLAR(VLOOKUP("PCS-30577g",[6]ARBOR!$A:$C,3,0),6)),-TRUNC(BT7/VLOOKUP("PCS-30577g",[6]ARBOR!$A:$C,3,0)-1,4)+0.0001,-TRUNC(BT7/VLOOKUP("PCS-30577g",[6]ARBOR!$A:$C,3,0)-1,4)))))</f>
        <v>0.53679999999999994</v>
      </c>
      <c r="BV7" s="65" t="str">
        <f>IF(ISERROR(IF(BU7="","",VLOOKUP(($BH7&amp;BU7&amp;"Template de desconto FLAT bundle - Velox XDSL - Varejo"),[6]BENEFICIOS!$A:$E,5,0))),"Criar",IF(BU7="","",VLOOKUP(($BH7&amp;BU7&amp;"Template de desconto FLAT bundle - Velox XDSL - Varejo"),[6]BENEFICIOS!$A:$E,5,0)))</f>
        <v>MKT-1-9865126733</v>
      </c>
      <c r="BW7" s="68" t="s">
        <v>164</v>
      </c>
      <c r="BX7" s="69">
        <v>44.9</v>
      </c>
      <c r="BY7" s="64">
        <f>IF(BX7=0,"",IF(BX7=VLOOKUP("PCS-30604g",[6]ARBOR!$A:$C,3,0),0.0001,IF(BX7&gt;VLOOKUP("PCS-30604g",[6]ARBOR!$A:$C,3,0),"Maior que CAP!",IF((DOLLAR(BX7+(VLOOKUP("PCS-30604g",[6]ARBOR!$A:$C,3,0)*-TRUNC(BX7/VLOOKUP("PCS-30604g",[6]ARBOR!$A:$C,3,0)-1,4)),6))&lt;&gt;(DOLLAR(VLOOKUP("PCS-30604g",[6]ARBOR!$A:$C,3,0),6)),-TRUNC(BX7/VLOOKUP("PCS-30604g",[6]ARBOR!$A:$C,3,0)-1,4)+0.0001,-TRUNC(BX7/VLOOKUP("PCS-30604g",[6]ARBOR!$A:$C,3,0)-1,4)))))</f>
        <v>0.53679999999999994</v>
      </c>
      <c r="BZ7" s="65" t="str">
        <f>IF(ISERROR(IF(BY7="","",VLOOKUP(($BH7&amp;BY7&amp;"Template de desconto FLAT bundle - Velox XDSL - Varejo"),[6]BENEFICIOS!$A:$E,5,0))),"Criar",IF(BY7="","",VLOOKUP(($BH7&amp;BY7&amp;"Template de desconto FLAT bundle - Velox XDSL - Varejo"),[6]BENEFICIOS!$A:$E,5,0)))</f>
        <v>MKT-1-9865126733</v>
      </c>
      <c r="CA7" s="68" t="s">
        <v>164</v>
      </c>
      <c r="CB7" s="69">
        <v>44.9</v>
      </c>
      <c r="CC7" s="64">
        <f>IF(CB7=0,"",IF(CB7=VLOOKUP("PCS-30631g",[6]ARBOR!$A:$C,3,0),0.0001,IF(CB7&gt;VLOOKUP("PCS-30631g",[6]ARBOR!$A:$C,3,0),"Maior que CAP!",IF((DOLLAR(CB7+(VLOOKUP("PCS-30631g",[6]ARBOR!$A:$C,3,0)*-TRUNC(CB7/VLOOKUP("PCS-30631g",[6]ARBOR!$A:$C,3,0)-1,4)),6))&lt;&gt;(DOLLAR(VLOOKUP("PCS-30631g",[6]ARBOR!$A:$C,3,0),6)),-TRUNC(CB7/VLOOKUP("PCS-30631g",[6]ARBOR!$A:$C,3,0)-1,4)+0.0001,-TRUNC(CB7/VLOOKUP("PCS-30631g",[6]ARBOR!$A:$C,3,0)-1,4)))))</f>
        <v>0.54310000000000003</v>
      </c>
      <c r="CD7" s="65" t="str">
        <f>IF(ISERROR(IF(CC7="","",VLOOKUP(($BH7&amp;CC7&amp;"Template de desconto FLAT bundle - Velox XDSL - Varejo"),[6]BENEFICIOS!$A:$E,5,0))),"Criar",IF(CC7="","",VLOOKUP(($BH7&amp;CC7&amp;"Template de desconto FLAT bundle - Velox XDSL - Varejo"),[6]BENEFICIOS!$A:$E,5,0)))</f>
        <v>MKT-1-9865126826</v>
      </c>
      <c r="CE7" s="68"/>
      <c r="CF7" s="69"/>
      <c r="CG7" s="64" t="str">
        <f>IF(CF7=0,"",IF(CF7=VLOOKUP("PCS-30658g",[6]ARBOR!$A:$C,3,0),0.0001,IF(CF7&gt;VLOOKUP("PCS-30658g",[6]ARBOR!$A:$C,3,0),"Maior que CAP!",IF((DOLLAR(CF7+(VLOOKUP("PCS-30658g",[6]ARBOR!$A:$C,3,0)*-TRUNC(CF7/VLOOKUP("PCS-30658g",[6]ARBOR!$A:$C,3,0)-1,4)),6))&lt;&gt;(DOLLAR(VLOOKUP("PCS-30658g",[6]ARBOR!$A:$C,3,0),6)),-TRUNC(CF7/VLOOKUP("PCS-30658g",[6]ARBOR!$A:$C,3,0)-1,4)+0.0001,-TRUNC(CF7/VLOOKUP("PCS-30658g",[6]ARBOR!$A:$C,3,0)-1,4)))))</f>
        <v/>
      </c>
      <c r="CH7" s="65" t="str">
        <f>IF(ISERROR(IF(CG7="","",VLOOKUP(($BH7&amp;CG7&amp;"Template de desconto FLAT bundle - Velox XDSL - Varejo"),[6]BENEFICIOS!$A:$E,5,0))),"Criar",IF(CG7="","",VLOOKUP(($BH7&amp;CG7&amp;"Template de desconto FLAT bundle - Velox XDSL - Varejo"),[6]BENEFICIOS!$A:$E,5,0)))</f>
        <v/>
      </c>
      <c r="CI7" s="68"/>
      <c r="CJ7" s="69"/>
      <c r="CK7" s="64" t="str">
        <f>IF(CJ7=0,"",IF(CJ7=VLOOKUP("PCS-30685g",[6]ARBOR!$A:$C,3,0),0.0001,IF(CJ7&gt;VLOOKUP("PCS-30685g",[6]ARBOR!$A:$C,3,0),"Maior que CAP!",IF((DOLLAR(CJ7+(VLOOKUP("PCS-30685g",[6]ARBOR!$A:$C,3,0)*-TRUNC(CJ7/VLOOKUP("PCS-30685g",[6]ARBOR!$A:$C,3,0)-1,4)),6))&lt;&gt;(DOLLAR(VLOOKUP("PCS-30685g",[6]ARBOR!$A:$C,3,0),6)),-TRUNC(CJ7/VLOOKUP("PCS-30685g",[6]ARBOR!$A:$C,3,0)-1,4)+0.0001,-TRUNC(CJ7/VLOOKUP("PCS-30685g",[6]ARBOR!$A:$C,3,0)-1,4)))))</f>
        <v/>
      </c>
      <c r="CL7" s="65" t="str">
        <f>IF(ISERROR(IF(CK7="","",VLOOKUP(($BH7&amp;CK7&amp;"Template de desconto FLAT bundle - Velox XDSL - Varejo"),[6]BENEFICIOS!$A:$E,5,0))),"Criar",IF(CK7="","",VLOOKUP(($BH7&amp;CK7&amp;"Template de desconto FLAT bundle - Velox XDSL - Varejo"),[6]BENEFICIOS!$A:$E,5,0)))</f>
        <v/>
      </c>
      <c r="CM7" s="68"/>
      <c r="CN7" s="69"/>
      <c r="CO7" s="64" t="str">
        <f>IF(CN7=0,"",IF(CN7=VLOOKUP("PCS-30712g",[6]ARBOR!$A:$C,3,0),0.0001,IF(CN7&gt;VLOOKUP("PCS-30712g",[6]ARBOR!$A:$C,3,0),"Maior que CAP!",IF((DOLLAR(CN7+(VLOOKUP("PCS-30712g",[6]ARBOR!$A:$C,3,0)*-TRUNC(CN7/VLOOKUP("PCS-30712g",[6]ARBOR!$A:$C,3,0)-1,4)),6))&lt;&gt;(DOLLAR(VLOOKUP("PCS-30712g",[6]ARBOR!$A:$C,3,0),6)),-TRUNC(CN7/VLOOKUP("PCS-30712g",[6]ARBOR!$A:$C,3,0)-1,4)+0.0001,-TRUNC(CN7/VLOOKUP("PCS-30712g",[6]ARBOR!$A:$C,3,0)-1,4)))))</f>
        <v/>
      </c>
      <c r="CP7" s="65" t="str">
        <f>IF(ISERROR(IF(CO7="","",VLOOKUP(($BH7&amp;CO7&amp;"Template de desconto FLAT bundle - Velox XDSL - Varejo"),[6]BENEFICIOS!$A:$E,5,0))),"Criar",IF(CO7="","",VLOOKUP(($BH7&amp;CO7&amp;"Template de desconto FLAT bundle - Velox XDSL - Varejo"),[6]BENEFICIOS!$A:$E,5,0)))</f>
        <v/>
      </c>
      <c r="CQ7" s="68"/>
      <c r="CR7" s="69"/>
      <c r="CS7" s="64" t="str">
        <f>IF(CR7=0,"",IF(CR7=VLOOKUP("PCS-30739g",[6]ARBOR!$A:$C,3,0),0.0001,IF(CR7&gt;VLOOKUP("PCS-30739g",[6]ARBOR!$A:$C,3,0),"Maior que CAP!",IF((DOLLAR(CR7+(VLOOKUP("PCS-30739g",[6]ARBOR!$A:$C,3,0)*-TRUNC(CR7/VLOOKUP("PCS-30739g",[6]ARBOR!$A:$C,3,0)-1,4)),6))&lt;&gt;(DOLLAR(VLOOKUP("PCS-30739g",[6]ARBOR!$A:$C,3,0),6)),-TRUNC(CR7/VLOOKUP("PCS-30739g",[6]ARBOR!$A:$C,3,0)-1,4)+0.0001,-TRUNC(CR7/VLOOKUP("PCS-30739g",[6]ARBOR!$A:$C,3,0)-1,4)))))</f>
        <v/>
      </c>
      <c r="CT7" s="65" t="str">
        <f>IF(ISERROR(IF(CS7="","",VLOOKUP(($BH7&amp;CS7&amp;"Template de desconto FLAT bundle - Velox XDSL - Varejo"),[6]BENEFICIOS!$A:$E,5,0))),"Criar",IF(CS7="","",VLOOKUP(($BH7&amp;CS7&amp;"Template de desconto FLAT bundle - Velox XDSL - Varejo"),[6]BENEFICIOS!$A:$E,5,0)))</f>
        <v/>
      </c>
      <c r="CU7" s="69"/>
      <c r="CV7" s="70"/>
      <c r="CW7" s="64"/>
      <c r="CX7" s="65"/>
      <c r="CY7" s="68"/>
      <c r="CZ7" s="69"/>
      <c r="DA7" s="64" t="str">
        <f>IF(CZ7=0,"",IF(CZ7=VLOOKUP("PCS-30766g",[6]ARBOR!$A:$C,3,0),0.0001,IF(CZ7&gt;VLOOKUP("PCS-30766g",[6]ARBOR!$A:$C,3,0),"Maior que CAP!",IF((DOLLAR(CZ7+(VLOOKUP("PCS-30766g",[6]ARBOR!$A:$C,3,0)*-TRUNC(CZ7/VLOOKUP("PCS-30766g",[6]ARBOR!$A:$C,3,0)-1,4)),6))&lt;&gt;(DOLLAR(VLOOKUP("PCS-30766g",[6]ARBOR!$A:$C,3,0),6)),-TRUNC(CZ7/VLOOKUP("PCS-30766g",[6]ARBOR!$A:$C,3,0)-1,4)+0.0001,-TRUNC(CZ7/VLOOKUP("PCS-30766g",[6]ARBOR!$A:$C,3,0)-1,4)))))</f>
        <v/>
      </c>
      <c r="DB7" s="65" t="str">
        <f>IF(ISERROR(IF(DA7="","",VLOOKUP(($BH7&amp;DA7&amp;"Template de desconto FLAT bundle - Velox XDSL - Varejo"),[6]BENEFICIOS!$A:$E,5,0))),"Criar",IF(DA7="","",VLOOKUP(($BH7&amp;DA7&amp;"Template de desconto FLAT bundle - Velox XDSL - Varejo"),[6]BENEFICIOS!$A:$E,5,0)))</f>
        <v/>
      </c>
      <c r="DC7" s="69"/>
      <c r="DD7" s="70"/>
      <c r="DE7" s="64"/>
      <c r="DF7" s="65"/>
      <c r="DG7" s="68"/>
      <c r="DH7" s="69"/>
      <c r="DI7" s="64" t="str">
        <f>IF(DH7=0,"",IF(DH7=VLOOKUP("PCS-30793g",[6]ARBOR!$A:$C,3,0),0.0001,IF(DH7&gt;VLOOKUP("PCS-30793g",[6]ARBOR!$A:$C,3,0),"Maior que CAP!",IF((DOLLAR(DH7+(VLOOKUP("PCS-30793g",[6]ARBOR!$A:$C,3,0)*-TRUNC(DH7/VLOOKUP("PCS-30793g",[6]ARBOR!$A:$C,3,0)-1,4)),6))&lt;&gt;(DOLLAR(VLOOKUP("PCS-30793g",[6]ARBOR!$A:$C,3,0),6)),-TRUNC(DH7/VLOOKUP("PCS-30793g",[6]ARBOR!$A:$C,3,0)-1,4)+0.0001,-TRUNC(DH7/VLOOKUP("PCS-30793g",[6]ARBOR!$A:$C,3,0)-1,4)))))</f>
        <v/>
      </c>
      <c r="DJ7" s="65" t="str">
        <f>IF(ISERROR(IF(DI7="","",VLOOKUP(($BH7&amp;DI7&amp;"Template de desconto FLAT bundle - Velox XDSL - Varejo"),[6]BENEFICIOS!$A:$E,5,0))),"Criar",IF(DI7="","",VLOOKUP(($BH7&amp;DI7&amp;"Template de desconto FLAT bundle - Velox XDSL - Varejo"),[6]BENEFICIOS!$A:$E,5,0)))</f>
        <v/>
      </c>
      <c r="DK7" s="69"/>
      <c r="DL7" s="70"/>
      <c r="DM7" s="64"/>
      <c r="DN7" s="65"/>
      <c r="DO7" s="68"/>
      <c r="DP7" s="69"/>
      <c r="DQ7" s="64" t="str">
        <f>IF(DP7=0,"",IF(DP7=VLOOKUP("PCS-30820g",[6]ARBOR!$A:$C,3,0),0.0001,IF(DP7&gt;VLOOKUP("PCS-30820g",[6]ARBOR!$A:$C,3,0),"Maior que CAP!",IF((DOLLAR(DP7+(VLOOKUP("PCS-30820g",[6]ARBOR!$A:$C,3,0)*-TRUNC(DP7/VLOOKUP("PCS-30820g",[6]ARBOR!$A:$C,3,0)-1,4)),6))&lt;&gt;(DOLLAR(VLOOKUP("PCS-30820g",[6]ARBOR!$A:$C,3,0),6)),-TRUNC(DP7/VLOOKUP("PCS-30820g",[6]ARBOR!$A:$C,3,0)-1,4)+0.0001,-TRUNC(DP7/VLOOKUP("PCS-30820g",[6]ARBOR!$A:$C,3,0)-1,4)))))</f>
        <v/>
      </c>
      <c r="DR7" s="65" t="str">
        <f>IF(ISERROR(IF(DQ7="","",VLOOKUP(($BH7&amp;DQ7&amp;"Template de desconto FLAT bundle - Velox XDSL - Varejo"),[6]BENEFICIOS!$A:$E,5,0))),"Criar",IF(DQ7="","",VLOOKUP(($BH7&amp;DQ7&amp;"Template de desconto FLAT bundle - Velox XDSL - Varejo"),[6]BENEFICIOS!$A:$E,5,0)))</f>
        <v/>
      </c>
      <c r="DS7" s="69"/>
      <c r="DT7" s="70"/>
      <c r="DU7" s="64"/>
      <c r="DV7" s="65"/>
      <c r="DW7" s="71">
        <v>44.9</v>
      </c>
      <c r="DX7" s="64">
        <f>IF(DW7=0,"",IF(DW7=VLOOKUP("PCS-21448p2",[6]ARBOR!$A:$C,3,0),0.0001,IF(DW7&gt;VLOOKUP("PCS-21448p2",[6]ARBOR!$A:$C,3,0),"Maior que CAP!",IF((DOLLAR(DW7+(VLOOKUP("PCS-21448p2",[6]ARBOR!$A:$C,3,0)*-TRUNC(DW7/VLOOKUP("PCS-21448p2",[6]ARBOR!$A:$C,3,0)-1,4)),6))&lt;&gt;(DOLLAR(VLOOKUP("PCS-21448p2",[6]ARBOR!$A:$C,3,0),6)),-TRUNC(DW7/VLOOKUP("PCS-21448p2",[6]ARBOR!$A:$C,3,0)-1,4)+0.0001,-TRUNC(DW7/VLOOKUP("PCS-21448p2",[6]ARBOR!$A:$C,3,0)-1,4)))))</f>
        <v>0.64900000000000002</v>
      </c>
      <c r="DY7" s="65" t="str">
        <f>IF(ISERROR(IF(DX7="","",VLOOKUP(("Oi Conta Total Plug 10GB Downgrade"&amp;DX7&amp;"Template de desconto percentual BL Móvel - Internet Total - Varejo"),[6]BENEFICIOS!$A:$E,5,0))),"Criar",IF(DX7="","",VLOOKUP(("Oi Conta Total Plug 10GB Downgrade"&amp;DX7&amp;"Template de desconto percentual BL Móvel - Internet Total - Varejo"),[6]BENEFICIOS!$A:$E,5,0)))</f>
        <v>MKT-1-9825544790</v>
      </c>
      <c r="DZ7" s="71">
        <v>16.5</v>
      </c>
      <c r="EA7" s="72">
        <f>IF(DZ7=0,"",IF(DZ7=VLOOKUP("SVA",[6]ARBOR!$A:$C,3,0),0.0001,IF(DZ7&gt;VLOOKUP("SVA",[6]ARBOR!$A:$C,3,0),"Maior que CAP!",IF((DOLLAR(DZ7+(VLOOKUP("SVA",[6]ARBOR!$A:$C,3,0)*-TRUNC(DZ7/VLOOKUP("SVA",[6]ARBOR!$A:$C,3,0)-1,4)),6))&lt;&gt;(DOLLAR(VLOOKUP("SVA",[6]ARBOR!$A:$C,3,0),6)),-TRUNC(DZ7/VLOOKUP("SVA",[6]ARBOR!$A:$C,3,0)-1,4)+0.0001,-TRUNC(DZ7/VLOOKUP("SVA",[6]ARBOR!$A:$C,3,0)-1,4)))))</f>
        <v>0.2301</v>
      </c>
      <c r="EB7" s="65" t="s">
        <v>226</v>
      </c>
      <c r="EC7" s="69"/>
      <c r="ED7" s="73"/>
      <c r="EE7" s="74"/>
      <c r="EF7" s="65"/>
      <c r="EG7" s="75">
        <f>IF(BI7="","",VLOOKUP(BI7,[6]ARBOR!A:C,3,0))</f>
        <v>479.46</v>
      </c>
      <c r="EH7" s="69">
        <v>15</v>
      </c>
      <c r="EI7" s="76">
        <f>IF(EH7="","",1-(EH7/VLOOKUP(BI7&amp;"ASS",[6]ARBOR!A:C,3,0)))</f>
        <v>0.34725848563968664</v>
      </c>
      <c r="EJ7" s="77" t="s">
        <v>227</v>
      </c>
      <c r="EK7" s="78" t="s">
        <v>228</v>
      </c>
      <c r="EL7" s="69">
        <v>147.12999999999997</v>
      </c>
      <c r="EM7" s="64">
        <f>ROUND(IF(EL7=0,"",IF(EL7=EG7,0.0001,1-((EL7+(VLOOKUP(BI7&amp;"ASS",[6]ARBOR!A:C,3,0)-EH7))/EG7))),4)</f>
        <v>0.67649999999999999</v>
      </c>
      <c r="EN7" s="65" t="str">
        <f>IF(ISERROR(IF(EM7="","",VLOOKUP(($BH7&amp;EM7&amp;"Template de desconto percentual FLAT Móvel - Conta Total - Varejo - Ganho Tributário Cross"),[6]BENEFICIOS!$A:$E,5,0))),"Criar",IF(EM7="","",VLOOKUP(($BH7&amp;EM7&amp;"Template de desconto percentual FLAT Móvel - Conta Total - Varejo - Ganho Tributário Cross"),[6]BENEFICIOS!$A:$E,5,0)))</f>
        <v>Criar</v>
      </c>
      <c r="EO7" s="79"/>
      <c r="EP7" s="64"/>
      <c r="EQ7" s="72"/>
      <c r="ER7" s="72"/>
      <c r="ES7" s="64"/>
      <c r="ET7" s="80"/>
      <c r="EU7" s="81" t="s">
        <v>247</v>
      </c>
      <c r="EV7" s="81" t="s">
        <v>254</v>
      </c>
      <c r="EW7" s="82"/>
      <c r="EX7" s="83"/>
      <c r="EY7" s="84"/>
      <c r="EZ7" s="82"/>
      <c r="FA7" s="83"/>
      <c r="FB7" s="84"/>
      <c r="FC7" s="82"/>
      <c r="FD7" s="83" t="str">
        <f>IF(FC7=0,"",IF(FC7=VLOOKUP("PCS-10357",[6]ARBOR!$A:$C,3,0),0.0001,IF(FC7&gt;VLOOKUP("PCS-10357",[6]ARBOR!$A:$C,3,0),"Maior que CAP!",ROUND(-1*(FC7/VLOOKUP("PCS-10357",[6]ARBOR!$A:$C,3,0)-1),4))))</f>
        <v/>
      </c>
      <c r="FE7" s="84" t="str">
        <f>IF(ISERROR(IF(FD7="","",VLOOKUP(("Oi Internet Pra Celular 1GB"&amp;FD7&amp;"Template Flat Instância Dados"),[6]BENEFICIOS!$A:$E,5,0))),"Criar",IF(FD7="","",VLOOKUP(("Oi Internet Pra Celular 1GB"&amp;FD7&amp;"Template Flat Instância Dados"),[6]BENEFICIOS!$A:$E,5,0)))</f>
        <v/>
      </c>
      <c r="FF7" s="82">
        <v>9.77</v>
      </c>
      <c r="FG7" s="83">
        <f>IF(FF7=0,"",IF(FF7=VLOOKUP("PCS-813565",[6]ARBOR!$A:$C,3,0),0.0001,IF(FF7&gt;VLOOKUP("PCS-813565",[6]ARBOR!$A:$C,3,0),"Maior que CAP!",ROUND(-1*(FF7/VLOOKUP("PCS-813565",[6]ARBOR!$A:$C,3,0)-1),4))))</f>
        <v>0.74260000000000004</v>
      </c>
      <c r="FH7" s="84" t="str">
        <f>IF(ISERROR(IF(FG7="","",VLOOKUP(("Oi Internet Pra Celular 2GB"&amp;FG7&amp;"Template Flat Instância Dados"),[6]BENEFICIOS!$A:$E,5,0))),"Criar",IF(FG7="","",VLOOKUP(("Oi Internet Pra Celular 2GB"&amp;FG7&amp;"Template Flat Instância Dados"),[6]BENEFICIOS!$A:$E,5,0)))</f>
        <v>MKT-1-9870023571</v>
      </c>
      <c r="FI7" s="82"/>
      <c r="FJ7" s="83" t="str">
        <f>IF(FI7=0,"",IF(FI7=VLOOKUP("PCS-7171B",[6]ARBOR!$A:$C,3,0),0.0001,IF(FI7&gt;VLOOKUP("PCS-7171B",[6]ARBOR!$A:$C,3,0),"Maior que CAP!",ROUND(-1*(FI7/VLOOKUP("PCS-7171B",[6]ARBOR!$A:$C,3,0)-1),4))))</f>
        <v/>
      </c>
      <c r="FK7" s="84" t="str">
        <f>IF(ISERROR(IF(FJ7="","",VLOOKUP(("Oi Internet Pra Celular 3GB"&amp;FJ7&amp;"Template Flat Instância Dados"),[6]BENEFICIOS!$A:$E,5,0))),"Criar",IF(FJ7="","",VLOOKUP(("Oi Internet Pra Celular 3GB"&amp;FJ7&amp;"Template Flat Instância Dados"),[6]BENEFICIOS!$A:$E,5,0)))</f>
        <v/>
      </c>
      <c r="FL7" s="82"/>
      <c r="FM7" s="83" t="str">
        <f>IF(FL7=0,"",IF(FL7=VLOOKUP("PCS-51793o08",[6]ARBOR!$A:$C,3,0),0.0001,IF(FL7&gt;VLOOKUP("PCS-51793o08",[6]ARBOR!$A:$C,3,0),"Maior que CAP!",ROUND(-1*(FL7/VLOOKUP("PCS-51793o08",[6]ARBOR!$A:$C,3,0)-1),4))))</f>
        <v/>
      </c>
      <c r="FN7" s="84" t="str">
        <f>IF(ISERROR(IF(FM7="","",VLOOKUP(("Oi Internet Pra Celular 5GB"&amp;FM7&amp;"Template Flat Instância Dados"),[6]BENEFICIOS!$A:$E,5,0))),"Criar",IF(FM7="","",VLOOKUP(("Oi Internet Pra Celular 5GB"&amp;FM7&amp;"Template Flat Instância Dados"),[6]BENEFICIOS!$A:$E,5,0)))</f>
        <v/>
      </c>
      <c r="FO7" s="82"/>
      <c r="FP7" s="83" t="str">
        <f>IF(FO7=0,"",IF(FO7=VLOOKUP("PCS-7171A",[6]ARBOR!$A:$C,3,0),0.0001,IF(FO7&gt;VLOOKUP("PCS-7171A",[6]ARBOR!$A:$C,3,0),"Maior que CAP!",ROUND(-1*(FO7/VLOOKUP("PCS-7171A",[6]ARBOR!$A:$C,3,0)-1),4))))</f>
        <v/>
      </c>
      <c r="FQ7" s="84" t="str">
        <f>IF(ISERROR(IF(FP7="","",VLOOKUP(("Oi Internet Pra Celular 10GB"&amp;FP7&amp;"Template Flat Instância Dados"),[6]BENEFICIOS!$A:$E,5,0))),"Criar",IF(FP7="","",VLOOKUP(("Oi Internet Pra Celular 10GB"&amp;FP7&amp;"Template Flat Instância Dados"),[6]BENEFICIOS!$A:$E,5,0)))</f>
        <v/>
      </c>
      <c r="FR7" s="85">
        <v>0.74219999999999997</v>
      </c>
      <c r="FS7" s="86" t="s">
        <v>249</v>
      </c>
      <c r="FT7" s="48"/>
      <c r="FU7" s="87"/>
      <c r="FV7" s="88" t="s">
        <v>224</v>
      </c>
      <c r="FW7" s="49" t="s">
        <v>229</v>
      </c>
      <c r="FX7" s="89">
        <v>999</v>
      </c>
      <c r="FY7" s="49">
        <v>12</v>
      </c>
      <c r="FZ7" s="90" t="s">
        <v>230</v>
      </c>
      <c r="GA7" s="91" t="str">
        <f t="shared" si="1"/>
        <v>PCS-Fk83324</v>
      </c>
      <c r="GB7" s="92" t="str">
        <f t="shared" si="2"/>
        <v>PCS-SBL553142</v>
      </c>
      <c r="GC7" s="93" t="s">
        <v>231</v>
      </c>
      <c r="GD7" s="90" t="s">
        <v>232</v>
      </c>
      <c r="GE7" s="92" t="s">
        <v>233</v>
      </c>
      <c r="GF7" s="93" t="s">
        <v>234</v>
      </c>
      <c r="GG7" s="90" t="s">
        <v>235</v>
      </c>
      <c r="GH7" s="92" t="s">
        <v>236</v>
      </c>
      <c r="GI7" s="94" t="s">
        <v>237</v>
      </c>
      <c r="GJ7" s="95">
        <f>FF7+EL7+CB7+BJ7</f>
        <v>251.89999999999998</v>
      </c>
      <c r="GK7" s="96"/>
      <c r="GL7" s="97" t="s">
        <v>238</v>
      </c>
      <c r="GM7" s="98" t="s">
        <v>239</v>
      </c>
      <c r="GN7" s="97">
        <f>VLOOKUP($A7,'[6]TABELA COM TUDO'!$A:$AB,25,0)</f>
        <v>14</v>
      </c>
      <c r="GO7" s="99">
        <f>VLOOKUP($A7,'[6]TABELA COM TUDO'!$A:$AB,26,0)</f>
        <v>3.61</v>
      </c>
      <c r="GP7" s="100">
        <f t="shared" si="8"/>
        <v>0.74209999999999998</v>
      </c>
      <c r="GQ7" s="97">
        <f t="shared" si="4"/>
        <v>10.38</v>
      </c>
      <c r="GR7" s="97">
        <f t="shared" si="5"/>
        <v>3.6199999999999992</v>
      </c>
      <c r="GS7" s="101"/>
      <c r="GT7" s="101"/>
      <c r="GU7" s="102" t="b">
        <f t="shared" si="6"/>
        <v>0</v>
      </c>
      <c r="GV7" s="103">
        <f t="shared" si="7"/>
        <v>9.9999999999993427E-3</v>
      </c>
      <c r="GW7" s="44" t="s">
        <v>255</v>
      </c>
      <c r="GX7" s="44" t="s">
        <v>241</v>
      </c>
    </row>
    <row r="8" spans="1:206" s="44" customFormat="1" x14ac:dyDescent="0.25">
      <c r="A8" s="44" t="str">
        <f t="shared" si="0"/>
        <v>Oi Total Fixo + Pós 800 + Banda LargaN12GBMG</v>
      </c>
      <c r="B8" s="45" t="s">
        <v>214</v>
      </c>
      <c r="C8" s="46" t="s">
        <v>130</v>
      </c>
      <c r="D8" s="46" t="s">
        <v>215</v>
      </c>
      <c r="E8" s="47" t="s">
        <v>216</v>
      </c>
      <c r="F8" s="48" t="s">
        <v>217</v>
      </c>
      <c r="G8" s="49"/>
      <c r="H8" s="49"/>
      <c r="I8" s="49"/>
      <c r="J8" s="49" t="s">
        <v>217</v>
      </c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 t="s">
        <v>217</v>
      </c>
      <c r="AC8" s="49" t="s">
        <v>217</v>
      </c>
      <c r="AD8" s="49" t="s">
        <v>217</v>
      </c>
      <c r="AE8" s="49" t="s">
        <v>217</v>
      </c>
      <c r="AF8" s="49" t="s">
        <v>217</v>
      </c>
      <c r="AG8" s="49" t="s">
        <v>217</v>
      </c>
      <c r="AH8" s="50"/>
      <c r="AI8" s="49" t="s">
        <v>217</v>
      </c>
      <c r="AJ8" s="49" t="s">
        <v>217</v>
      </c>
      <c r="AK8" s="49" t="s">
        <v>217</v>
      </c>
      <c r="AL8" s="49" t="s">
        <v>217</v>
      </c>
      <c r="AM8" s="49" t="s">
        <v>217</v>
      </c>
      <c r="AN8" s="49" t="s">
        <v>217</v>
      </c>
      <c r="AO8" s="49" t="s">
        <v>217</v>
      </c>
      <c r="AP8" s="49"/>
      <c r="AQ8" s="51"/>
      <c r="AR8" s="52" t="s">
        <v>256</v>
      </c>
      <c r="AS8" s="46" t="s">
        <v>219</v>
      </c>
      <c r="AT8" s="53" t="s">
        <v>220</v>
      </c>
      <c r="AU8" s="54">
        <v>42972</v>
      </c>
      <c r="AV8" s="55">
        <v>43038</v>
      </c>
      <c r="AW8" s="56" t="s">
        <v>221</v>
      </c>
      <c r="AX8" s="57" t="s">
        <v>221</v>
      </c>
      <c r="AY8" s="58"/>
      <c r="AZ8" s="58" t="s">
        <v>222</v>
      </c>
      <c r="BA8" s="58">
        <v>20</v>
      </c>
      <c r="BB8" s="58">
        <v>10000</v>
      </c>
      <c r="BC8" s="59" t="s">
        <v>223</v>
      </c>
      <c r="BD8" s="60" t="s">
        <v>224</v>
      </c>
      <c r="BE8" s="58" t="s">
        <v>216</v>
      </c>
      <c r="BF8" s="51" t="s">
        <v>216</v>
      </c>
      <c r="BG8" s="45" t="s">
        <v>256</v>
      </c>
      <c r="BH8" s="61" t="s">
        <v>225</v>
      </c>
      <c r="BI8" s="62" t="str">
        <f>IF(ISERROR(VLOOKUP(BH8,[6]PLANOS!B:C,2,0)),"",VLOOKUP(BH8,[6]PLANOS!B:C,2,0))</f>
        <v>PCS-4P6pi</v>
      </c>
      <c r="BJ8" s="63">
        <v>50.1</v>
      </c>
      <c r="BK8" s="64">
        <f>IF(BJ8=0,"",IF(BJ8=VLOOKUP("FIXO",[6]ARBOR!$A:$C,3,0),0.0001,IF(BJ8&gt;VLOOKUP("FIXO",[6]ARBOR!$A:$C,3,0),"Maior que CAP!",IF((DOLLAR(BJ8+(VLOOKUP("FIXO",[6]ARBOR!$A:$C,3,0)*-TRUNC(BJ8/VLOOKUP("FIXO",[6]ARBOR!$A:$C,3,0)-1,4)),6))&lt;&gt;(DOLLAR(VLOOKUP("FIXO",[6]ARBOR!$A:$C,3,0),6)),-TRUNC(BJ8/VLOOKUP("FIXO",[6]ARBOR!$A:$C,3,0)-1,4)+0.0001,-TRUNC(BJ8/VLOOKUP("FIXO",[6]ARBOR!$A:$C,3,0)-1,4)))))</f>
        <v>0.33939999999999998</v>
      </c>
      <c r="BL8" s="65" t="str">
        <f>IF(ISERROR(IF(BK8="","",VLOOKUP(($BH8&amp;BK8&amp;"Template de desconto FLAT bundle - Fixo - Varejo - Ganho Tributário Cross"),[6]BENEFICIOS!$A:$E,5,0))),"Criar",IF(BK8="","",VLOOKUP(($BH8&amp;BK8&amp;"Template de desconto FLAT bundle - Fixo - Varejo - Ganho Tributário Cross"),[6]BENEFICIOS!$A:$E,5,0)))</f>
        <v>MKT-1-9856472058</v>
      </c>
      <c r="BM8" s="66"/>
      <c r="BN8" s="67"/>
      <c r="BO8" s="104" t="s">
        <v>243</v>
      </c>
      <c r="BP8" s="69">
        <v>44.9</v>
      </c>
      <c r="BQ8" s="64">
        <f>IF(BP8=0,"",IF(BP8=VLOOKUP("PCS-30874g",[6]ARBOR!$A:$C,3,0),0.0001,IF(BP8&gt;VLOOKUP("PCS-30874g",[6]ARBOR!$A:$C,3,0),"Maior que CAP!",IF((DOLLAR(BP8+(VLOOKUP("PCS-30874g",[6]ARBOR!$A:$C,3,0)*-TRUNC(BP8/VLOOKUP("PCS-30874g",[6]ARBOR!$A:$C,3,0)-1,4)),6))&lt;&gt;(DOLLAR(VLOOKUP("PCS-30874g",[6]ARBOR!$A:$C,3,0),6)),-TRUNC(BP8/VLOOKUP("PCS-30874g",[6]ARBOR!$A:$C,3,0)-1,4)+0.0001,-TRUNC(BP8/VLOOKUP("PCS-30874g",[6]ARBOR!$A:$C,3,0)-1,4)))))</f>
        <v>0.53679999999999994</v>
      </c>
      <c r="BR8" s="65" t="str">
        <f>IF(ISERROR(IF(BQ8="","",VLOOKUP(($BH8&amp;BQ8&amp;"Template de desconto FLAT bundle - Velox XDSL - Varejo"),[6]BENEFICIOS!$A:$E,5,0))),"Criar",IF(BQ8="","",VLOOKUP(($BH8&amp;BQ8&amp;"Template de desconto FLAT bundle - Velox XDSL - Varejo"),[6]BENEFICIOS!$A:$E,5,0)))</f>
        <v>MKT-1-9865126733</v>
      </c>
      <c r="BS8" s="104" t="s">
        <v>243</v>
      </c>
      <c r="BT8" s="69">
        <v>44.9</v>
      </c>
      <c r="BU8" s="64">
        <f>IF(BT8=0,"",IF(BT8=VLOOKUP("PCS-30577g",[6]ARBOR!$A:$C,3,0),0.0001,IF(BT8&gt;VLOOKUP("PCS-30577g",[6]ARBOR!$A:$C,3,0),"Maior que CAP!",IF((DOLLAR(BT8+(VLOOKUP("PCS-30577g",[6]ARBOR!$A:$C,3,0)*-TRUNC(BT8/VLOOKUP("PCS-30577g",[6]ARBOR!$A:$C,3,0)-1,4)),6))&lt;&gt;(DOLLAR(VLOOKUP("PCS-30577g",[6]ARBOR!$A:$C,3,0),6)),-TRUNC(BT8/VLOOKUP("PCS-30577g",[6]ARBOR!$A:$C,3,0)-1,4)+0.0001,-TRUNC(BT8/VLOOKUP("PCS-30577g",[6]ARBOR!$A:$C,3,0)-1,4)))))</f>
        <v>0.53679999999999994</v>
      </c>
      <c r="BV8" s="65" t="str">
        <f>IF(ISERROR(IF(BU8="","",VLOOKUP(($BH8&amp;BU8&amp;"Template de desconto FLAT bundle - Velox XDSL - Varejo"),[6]BENEFICIOS!$A:$E,5,0))),"Criar",IF(BU8="","",VLOOKUP(($BH8&amp;BU8&amp;"Template de desconto FLAT bundle - Velox XDSL - Varejo"),[6]BENEFICIOS!$A:$E,5,0)))</f>
        <v>MKT-1-9865126733</v>
      </c>
      <c r="BW8" s="104" t="s">
        <v>243</v>
      </c>
      <c r="BX8" s="69">
        <v>44.9</v>
      </c>
      <c r="BY8" s="64">
        <f>IF(BX8=0,"",IF(BX8=VLOOKUP("PCS-30604g",[6]ARBOR!$A:$C,3,0),0.0001,IF(BX8&gt;VLOOKUP("PCS-30604g",[6]ARBOR!$A:$C,3,0),"Maior que CAP!",IF((DOLLAR(BX8+(VLOOKUP("PCS-30604g",[6]ARBOR!$A:$C,3,0)*-TRUNC(BX8/VLOOKUP("PCS-30604g",[6]ARBOR!$A:$C,3,0)-1,4)),6))&lt;&gt;(DOLLAR(VLOOKUP("PCS-30604g",[6]ARBOR!$A:$C,3,0),6)),-TRUNC(BX8/VLOOKUP("PCS-30604g",[6]ARBOR!$A:$C,3,0)-1,4)+0.0001,-TRUNC(BX8/VLOOKUP("PCS-30604g",[6]ARBOR!$A:$C,3,0)-1,4)))))</f>
        <v>0.53679999999999994</v>
      </c>
      <c r="BZ8" s="65" t="str">
        <f>IF(ISERROR(IF(BY8="","",VLOOKUP(($BH8&amp;BY8&amp;"Template de desconto FLAT bundle - Velox XDSL - Varejo"),[6]BENEFICIOS!$A:$E,5,0))),"Criar",IF(BY8="","",VLOOKUP(($BH8&amp;BY8&amp;"Template de desconto FLAT bundle - Velox XDSL - Varejo"),[6]BENEFICIOS!$A:$E,5,0)))</f>
        <v>MKT-1-9865126733</v>
      </c>
      <c r="CA8" s="104" t="s">
        <v>243</v>
      </c>
      <c r="CB8" s="69">
        <v>44.9</v>
      </c>
      <c r="CC8" s="64">
        <f>IF(CB8=0,"",IF(CB8=VLOOKUP("PCS-30631g",[6]ARBOR!$A:$C,3,0),0.0001,IF(CB8&gt;VLOOKUP("PCS-30631g",[6]ARBOR!$A:$C,3,0),"Maior que CAP!",IF((DOLLAR(CB8+(VLOOKUP("PCS-30631g",[6]ARBOR!$A:$C,3,0)*-TRUNC(CB8/VLOOKUP("PCS-30631g",[6]ARBOR!$A:$C,3,0)-1,4)),6))&lt;&gt;(DOLLAR(VLOOKUP("PCS-30631g",[6]ARBOR!$A:$C,3,0),6)),-TRUNC(CB8/VLOOKUP("PCS-30631g",[6]ARBOR!$A:$C,3,0)-1,4)+0.0001,-TRUNC(CB8/VLOOKUP("PCS-30631g",[6]ARBOR!$A:$C,3,0)-1,4)))))</f>
        <v>0.54310000000000003</v>
      </c>
      <c r="CD8" s="65" t="str">
        <f>IF(ISERROR(IF(CC8="","",VLOOKUP(($BH8&amp;CC8&amp;"Template de desconto FLAT bundle - Velox XDSL - Varejo"),[6]BENEFICIOS!$A:$E,5,0))),"Criar",IF(CC8="","",VLOOKUP(($BH8&amp;CC8&amp;"Template de desconto FLAT bundle - Velox XDSL - Varejo"),[6]BENEFICIOS!$A:$E,5,0)))</f>
        <v>MKT-1-9865126826</v>
      </c>
      <c r="CE8" s="68" t="s">
        <v>164</v>
      </c>
      <c r="CF8" s="69">
        <v>49.9</v>
      </c>
      <c r="CG8" s="64">
        <f>IF(CF8=0,"",IF(CF8=VLOOKUP("PCS-30658g",[6]ARBOR!$A:$C,3,0),0.0001,IF(CF8&gt;VLOOKUP("PCS-30658g",[6]ARBOR!$A:$C,3,0),"Maior que CAP!",IF((DOLLAR(CF8+(VLOOKUP("PCS-30658g",[6]ARBOR!$A:$C,3,0)*-TRUNC(CF8/VLOOKUP("PCS-30658g",[6]ARBOR!$A:$C,3,0)-1,4)),6))&lt;&gt;(DOLLAR(VLOOKUP("PCS-30658g",[6]ARBOR!$A:$C,3,0),6)),-TRUNC(CF8/VLOOKUP("PCS-30658g",[6]ARBOR!$A:$C,3,0)-1,4)+0.0001,-TRUNC(CF8/VLOOKUP("PCS-30658g",[6]ARBOR!$A:$C,3,0)-1,4)))))</f>
        <v>0.55569999999999997</v>
      </c>
      <c r="CH8" s="65" t="str">
        <f>IF(ISERROR(IF(CG8="","",VLOOKUP(($BH8&amp;CG8&amp;"Template de desconto FLAT bundle - Velox XDSL - Varejo"),[6]BENEFICIOS!$A:$E,5,0))),"Criar",IF(CG8="","",VLOOKUP(($BH8&amp;CG8&amp;"Template de desconto FLAT bundle - Velox XDSL - Varejo"),[6]BENEFICIOS!$A:$E,5,0)))</f>
        <v>MKT-1-9865126919</v>
      </c>
      <c r="CI8" s="68" t="s">
        <v>164</v>
      </c>
      <c r="CJ8" s="69">
        <v>49.9</v>
      </c>
      <c r="CK8" s="64">
        <f>IF(CJ8=0,"",IF(CJ8=VLOOKUP("PCS-30685g",[6]ARBOR!$A:$C,3,0),0.0001,IF(CJ8&gt;VLOOKUP("PCS-30685g",[6]ARBOR!$A:$C,3,0),"Maior que CAP!",IF((DOLLAR(CJ8+(VLOOKUP("PCS-30685g",[6]ARBOR!$A:$C,3,0)*-TRUNC(CJ8/VLOOKUP("PCS-30685g",[6]ARBOR!$A:$C,3,0)-1,4)),6))&lt;&gt;(DOLLAR(VLOOKUP("PCS-30685g",[6]ARBOR!$A:$C,3,0),6)),-TRUNC(CJ8/VLOOKUP("PCS-30685g",[6]ARBOR!$A:$C,3,0)-1,4)+0.0001,-TRUNC(CJ8/VLOOKUP("PCS-30685g",[6]ARBOR!$A:$C,3,0)-1,4)))))</f>
        <v>0.60509999999999997</v>
      </c>
      <c r="CL8" s="65" t="str">
        <f>IF(ISERROR(IF(CK8="","",VLOOKUP(($BH8&amp;CK8&amp;"Template de desconto FLAT bundle - Velox XDSL - Varejo"),[6]BENEFICIOS!$A:$E,5,0))),"Criar",IF(CK8="","",VLOOKUP(($BH8&amp;CK8&amp;"Template de desconto FLAT bundle - Velox XDSL - Varejo"),[6]BENEFICIOS!$A:$E,5,0)))</f>
        <v>MKT-1-9865694381</v>
      </c>
      <c r="CM8" s="68" t="s">
        <v>164</v>
      </c>
      <c r="CN8" s="69">
        <v>49.9</v>
      </c>
      <c r="CO8" s="64">
        <f>IF(CN8=0,"",IF(CN8=VLOOKUP("PCS-30712g",[6]ARBOR!$A:$C,3,0),0.0001,IF(CN8&gt;VLOOKUP("PCS-30712g",[6]ARBOR!$A:$C,3,0),"Maior que CAP!",IF((DOLLAR(CN8+(VLOOKUP("PCS-30712g",[6]ARBOR!$A:$C,3,0)*-TRUNC(CN8/VLOOKUP("PCS-30712g",[6]ARBOR!$A:$C,3,0)-1,4)),6))&lt;&gt;(DOLLAR(VLOOKUP("PCS-30712g",[6]ARBOR!$A:$C,3,0),6)),-TRUNC(CN8/VLOOKUP("PCS-30712g",[6]ARBOR!$A:$C,3,0)-1,4)+0.0001,-TRUNC(CN8/VLOOKUP("PCS-30712g",[6]ARBOR!$A:$C,3,0)-1,4)))))</f>
        <v>0.64459999999999995</v>
      </c>
      <c r="CP8" s="65" t="str">
        <f>IF(ISERROR(IF(CO8="","",VLOOKUP(($BH8&amp;CO8&amp;"Template de desconto FLAT bundle - Velox XDSL - Varejo"),[6]BENEFICIOS!$A:$E,5,0))),"Criar",IF(CO8="","",VLOOKUP(($BH8&amp;CO8&amp;"Template de desconto FLAT bundle - Velox XDSL - Varejo"),[6]BENEFICIOS!$A:$E,5,0)))</f>
        <v>MKT-1-9865191105</v>
      </c>
      <c r="CQ8" s="68" t="s">
        <v>164</v>
      </c>
      <c r="CR8" s="69">
        <v>59.9</v>
      </c>
      <c r="CS8" s="64">
        <f>IF(CR8=0,"",IF(CR8=VLOOKUP("PCS-30739g",[6]ARBOR!$A:$C,3,0),0.0001,IF(CR8&gt;VLOOKUP("PCS-30739g",[6]ARBOR!$A:$C,3,0),"Maior que CAP!",IF((DOLLAR(CR8+(VLOOKUP("PCS-30739g",[6]ARBOR!$A:$C,3,0)*-TRUNC(CR8/VLOOKUP("PCS-30739g",[6]ARBOR!$A:$C,3,0)-1,4)),6))&lt;&gt;(DOLLAR(VLOOKUP("PCS-30739g",[6]ARBOR!$A:$C,3,0),6)),-TRUNC(CR8/VLOOKUP("PCS-30739g",[6]ARBOR!$A:$C,3,0)-1,4)+0.0001,-TRUNC(CR8/VLOOKUP("PCS-30739g",[6]ARBOR!$A:$C,3,0)-1,4)))))</f>
        <v>0.71560000000000001</v>
      </c>
      <c r="CT8" s="65" t="str">
        <f>IF(ISERROR(IF(CS8="","",VLOOKUP(($BH8&amp;CS8&amp;"Template de desconto FLAT bundle - Velox XDSL - Varejo"),[6]BENEFICIOS!$A:$E,5,0))),"Criar",IF(CS8="","",VLOOKUP(($BH8&amp;CS8&amp;"Template de desconto FLAT bundle - Velox XDSL - Varejo"),[6]BENEFICIOS!$A:$E,5,0)))</f>
        <v>MKT-1-9865191198</v>
      </c>
      <c r="CU8" s="69"/>
      <c r="CV8" s="70"/>
      <c r="CW8" s="64"/>
      <c r="CX8" s="65"/>
      <c r="CY8" s="68" t="s">
        <v>164</v>
      </c>
      <c r="CZ8" s="69">
        <v>59.9</v>
      </c>
      <c r="DA8" s="64">
        <f>IF(CZ8=0,"",IF(CZ8=VLOOKUP("PCS-30766g",[6]ARBOR!$A:$C,3,0),0.0001,IF(CZ8&gt;VLOOKUP("PCS-30766g",[6]ARBOR!$A:$C,3,0),"Maior que CAP!",IF((DOLLAR(CZ8+(VLOOKUP("PCS-30766g",[6]ARBOR!$A:$C,3,0)*-TRUNC(CZ8/VLOOKUP("PCS-30766g",[6]ARBOR!$A:$C,3,0)-1,4)),6))&lt;&gt;(DOLLAR(VLOOKUP("PCS-30766g",[6]ARBOR!$A:$C,3,0),6)),-TRUNC(CZ8/VLOOKUP("PCS-30766g",[6]ARBOR!$A:$C,3,0)-1,4)+0.0001,-TRUNC(CZ8/VLOOKUP("PCS-30766g",[6]ARBOR!$A:$C,3,0)-1,4)))))</f>
        <v>0.78669999999999995</v>
      </c>
      <c r="DB8" s="65" t="str">
        <f>IF(ISERROR(IF(DA8="","",VLOOKUP(($BH8&amp;DA8&amp;"Template de desconto FLAT bundle - Velox XDSL - Varejo"),[6]BENEFICIOS!$A:$E,5,0))),"Criar",IF(DA8="","",VLOOKUP(($BH8&amp;DA8&amp;"Template de desconto FLAT bundle - Velox XDSL - Varejo"),[6]BENEFICIOS!$A:$E,5,0)))</f>
        <v>MKT-1-9865191291</v>
      </c>
      <c r="DC8" s="69"/>
      <c r="DD8" s="70"/>
      <c r="DE8" s="64"/>
      <c r="DF8" s="65"/>
      <c r="DG8" s="68" t="s">
        <v>243</v>
      </c>
      <c r="DH8" s="69">
        <v>69.900000000000006</v>
      </c>
      <c r="DI8" s="64">
        <f>IF(DH8=0,"",IF(DH8=VLOOKUP("PCS-30793g",[6]ARBOR!$A:$C,3,0),0.0001,IF(DH8&gt;VLOOKUP("PCS-30793g",[6]ARBOR!$A:$C,3,0),"Maior que CAP!",IF((DOLLAR(DH8+(VLOOKUP("PCS-30793g",[6]ARBOR!$A:$C,3,0)*-TRUNC(DH8/VLOOKUP("PCS-30793g",[6]ARBOR!$A:$C,3,0)-1,4)),6))&lt;&gt;(DOLLAR(VLOOKUP("PCS-30793g",[6]ARBOR!$A:$C,3,0),6)),-TRUNC(DH8/VLOOKUP("PCS-30793g",[6]ARBOR!$A:$C,3,0)-1,4)+0.0001,-TRUNC(DH8/VLOOKUP("PCS-30793g",[6]ARBOR!$A:$C,3,0)-1,4)))))</f>
        <v>0.75109999999999999</v>
      </c>
      <c r="DJ8" s="65" t="str">
        <f>IF(ISERROR(IF(DI8="","",VLOOKUP(($BH8&amp;DI8&amp;"Template de desconto FLAT bundle - Velox XDSL - Varejo"),[6]BENEFICIOS!$A:$E,5,0))),"Criar",IF(DI8="","",VLOOKUP(($BH8&amp;DI8&amp;"Template de desconto FLAT bundle - Velox XDSL - Varejo"),[6]BENEFICIOS!$A:$E,5,0)))</f>
        <v>MKT-1-9865191384</v>
      </c>
      <c r="DK8" s="69"/>
      <c r="DL8" s="70"/>
      <c r="DM8" s="64"/>
      <c r="DN8" s="65"/>
      <c r="DO8" s="68" t="s">
        <v>164</v>
      </c>
      <c r="DP8" s="69">
        <v>69.900000000000006</v>
      </c>
      <c r="DQ8" s="64">
        <f>IF(DP8=0,"",IF(DP8=VLOOKUP("PCS-30820g",[6]ARBOR!$A:$C,3,0),0.0001,IF(DP8&gt;VLOOKUP("PCS-30820g",[6]ARBOR!$A:$C,3,0),"Maior que CAP!",IF((DOLLAR(DP8+(VLOOKUP("PCS-30820g",[6]ARBOR!$A:$C,3,0)*-TRUNC(DP8/VLOOKUP("PCS-30820g",[6]ARBOR!$A:$C,3,0)-1,4)),6))&lt;&gt;(DOLLAR(VLOOKUP("PCS-30820g",[6]ARBOR!$A:$C,3,0),6)),-TRUNC(DP8/VLOOKUP("PCS-30820g",[6]ARBOR!$A:$C,3,0)-1,4)+0.0001,-TRUNC(DP8/VLOOKUP("PCS-30820g",[6]ARBOR!$A:$C,3,0)-1,4)))))</f>
        <v>0.75109999999999999</v>
      </c>
      <c r="DR8" s="65" t="str">
        <f>IF(ISERROR(IF(DQ8="","",VLOOKUP(($BH8&amp;DQ8&amp;"Template de desconto FLAT bundle - Velox XDSL - Varejo"),[6]BENEFICIOS!$A:$E,5,0))),"Criar",IF(DQ8="","",VLOOKUP(($BH8&amp;DQ8&amp;"Template de desconto FLAT bundle - Velox XDSL - Varejo"),[6]BENEFICIOS!$A:$E,5,0)))</f>
        <v>MKT-1-9865191384</v>
      </c>
      <c r="DS8" s="69"/>
      <c r="DT8" s="70"/>
      <c r="DU8" s="64"/>
      <c r="DV8" s="65"/>
      <c r="DW8" s="71"/>
      <c r="DX8" s="64" t="str">
        <f>IF(DW8=0,"",IF(DW8=VLOOKUP("PCS-21448p2",[6]ARBOR!$A:$C,3,0),0.0001,IF(DW8&gt;VLOOKUP("PCS-21448p2",[6]ARBOR!$A:$C,3,0),"Maior que CAP!",IF((DOLLAR(DW8+(VLOOKUP("PCS-21448p2",[6]ARBOR!$A:$C,3,0)*-TRUNC(DW8/VLOOKUP("PCS-21448p2",[6]ARBOR!$A:$C,3,0)-1,4)),6))&lt;&gt;(DOLLAR(VLOOKUP("PCS-21448p2",[6]ARBOR!$A:$C,3,0),6)),-TRUNC(DW8/VLOOKUP("PCS-21448p2",[6]ARBOR!$A:$C,3,0)-1,4)+0.0001,-TRUNC(DW8/VLOOKUP("PCS-21448p2",[6]ARBOR!$A:$C,3,0)-1,4)))))</f>
        <v/>
      </c>
      <c r="DY8" s="65" t="str">
        <f>IF(ISERROR(IF(DX8="","",VLOOKUP(("Oi Conta Total Plug 10GB Downgrade"&amp;DX8&amp;"Template de desconto percentual BL Móvel - Internet Total - Varejo"),[6]BENEFICIOS!$A:$E,5,0))),"Criar",IF(DX8="","",VLOOKUP(("Oi Conta Total Plug 10GB Downgrade"&amp;DX8&amp;"Template de desconto percentual BL Móvel - Internet Total - Varejo"),[6]BENEFICIOS!$A:$E,5,0)))</f>
        <v/>
      </c>
      <c r="DZ8" s="71">
        <v>19.899999999999999</v>
      </c>
      <c r="EA8" s="72">
        <f>IF(DZ8=0,"",IF(DZ8=VLOOKUP("SVA",[6]ARBOR!$A:$C,3,0),0.0001,IF(DZ8&gt;VLOOKUP("SVA",[6]ARBOR!$A:$C,3,0),"Maior que CAP!",IF((DOLLAR(DZ8+(VLOOKUP("SVA",[6]ARBOR!$A:$C,3,0)*-TRUNC(DZ8/VLOOKUP("SVA",[6]ARBOR!$A:$C,3,0)-1,4)),6))&lt;&gt;(DOLLAR(VLOOKUP("SVA",[6]ARBOR!$A:$C,3,0),6)),-TRUNC(DZ8/VLOOKUP("SVA",[6]ARBOR!$A:$C,3,0)-1,4)+0.0001,-TRUNC(DZ8/VLOOKUP("SVA",[6]ARBOR!$A:$C,3,0)-1,4)))))</f>
        <v>7.1400000000000005E-2</v>
      </c>
      <c r="EB8" s="65" t="s">
        <v>244</v>
      </c>
      <c r="EC8" s="69"/>
      <c r="ED8" s="73"/>
      <c r="EE8" s="74"/>
      <c r="EF8" s="65"/>
      <c r="EG8" s="75">
        <f>IF(BI8="","",VLOOKUP(BI8,[6]ARBOR!A:C,3,0))</f>
        <v>479.46</v>
      </c>
      <c r="EH8" s="69">
        <v>15</v>
      </c>
      <c r="EI8" s="76">
        <f>IF(EH8="","",1-(EH8/VLOOKUP(BI8&amp;"ASS",[6]ARBOR!A:C,3,0)))</f>
        <v>0.34725848563968664</v>
      </c>
      <c r="EJ8" s="77" t="s">
        <v>227</v>
      </c>
      <c r="EK8" s="78" t="s">
        <v>228</v>
      </c>
      <c r="EL8" s="69">
        <v>147.12999999999997</v>
      </c>
      <c r="EM8" s="64">
        <f>ROUND(IF(EL8=0,"",IF(EL8=EG8,0.0001,1-((EL8+(VLOOKUP(BI8&amp;"ASS",[6]ARBOR!A:C,3,0)-EH8))/EG8))),4)</f>
        <v>0.67649999999999999</v>
      </c>
      <c r="EN8" s="65" t="str">
        <f>IF(ISERROR(IF(EM8="","",VLOOKUP(($BH8&amp;EM8&amp;"Template de desconto percentual FLAT Móvel - Conta Total - Varejo - Ganho Tributário Cross"),[6]BENEFICIOS!$A:$E,5,0))),"Criar",IF(EM8="","",VLOOKUP(($BH8&amp;EM8&amp;"Template de desconto percentual FLAT Móvel - Conta Total - Varejo - Ganho Tributário Cross"),[6]BENEFICIOS!$A:$E,5,0)))</f>
        <v>Criar</v>
      </c>
      <c r="EO8" s="79"/>
      <c r="EP8" s="64"/>
      <c r="EQ8" s="72"/>
      <c r="ER8" s="72"/>
      <c r="ES8" s="64"/>
      <c r="ET8" s="80"/>
      <c r="EU8" s="81" t="s">
        <v>247</v>
      </c>
      <c r="EV8" s="81" t="s">
        <v>254</v>
      </c>
      <c r="EW8" s="82"/>
      <c r="EX8" s="83"/>
      <c r="EY8" s="84"/>
      <c r="EZ8" s="82"/>
      <c r="FA8" s="83"/>
      <c r="FB8" s="84"/>
      <c r="FC8" s="82"/>
      <c r="FD8" s="83" t="str">
        <f>IF(FC8=0,"",IF(FC8=VLOOKUP("PCS-10357",[6]ARBOR!$A:$C,3,0),0.0001,IF(FC8&gt;VLOOKUP("PCS-10357",[6]ARBOR!$A:$C,3,0),"Maior que CAP!",ROUND(-1*(FC8/VLOOKUP("PCS-10357",[6]ARBOR!$A:$C,3,0)-1),4))))</f>
        <v/>
      </c>
      <c r="FE8" s="84" t="str">
        <f>IF(ISERROR(IF(FD8="","",VLOOKUP(("Oi Internet Pra Celular 1GB"&amp;FD8&amp;"Template Flat Instância Dados"),[6]BENEFICIOS!$A:$E,5,0))),"Criar",IF(FD8="","",VLOOKUP(("Oi Internet Pra Celular 1GB"&amp;FD8&amp;"Template Flat Instância Dados"),[6]BENEFICIOS!$A:$E,5,0)))</f>
        <v/>
      </c>
      <c r="FF8" s="82">
        <v>9.77</v>
      </c>
      <c r="FG8" s="83">
        <f>IF(FF8=0,"",IF(FF8=VLOOKUP("PCS-813565",[6]ARBOR!$A:$C,3,0),0.0001,IF(FF8&gt;VLOOKUP("PCS-813565",[6]ARBOR!$A:$C,3,0),"Maior que CAP!",ROUND(-1*(FF8/VLOOKUP("PCS-813565",[6]ARBOR!$A:$C,3,0)-1),4))))</f>
        <v>0.74260000000000004</v>
      </c>
      <c r="FH8" s="84" t="str">
        <f>IF(ISERROR(IF(FG8="","",VLOOKUP(("Oi Internet Pra Celular 2GB"&amp;FG8&amp;"Template Flat Instância Dados"),[6]BENEFICIOS!$A:$E,5,0))),"Criar",IF(FG8="","",VLOOKUP(("Oi Internet Pra Celular 2GB"&amp;FG8&amp;"Template Flat Instância Dados"),[6]BENEFICIOS!$A:$E,5,0)))</f>
        <v>MKT-1-9870023571</v>
      </c>
      <c r="FI8" s="82"/>
      <c r="FJ8" s="83" t="str">
        <f>IF(FI8=0,"",IF(FI8=VLOOKUP("PCS-7171B",[6]ARBOR!$A:$C,3,0),0.0001,IF(FI8&gt;VLOOKUP("PCS-7171B",[6]ARBOR!$A:$C,3,0),"Maior que CAP!",ROUND(-1*(FI8/VLOOKUP("PCS-7171B",[6]ARBOR!$A:$C,3,0)-1),4))))</f>
        <v/>
      </c>
      <c r="FK8" s="84" t="str">
        <f>IF(ISERROR(IF(FJ8="","",VLOOKUP(("Oi Internet Pra Celular 3GB"&amp;FJ8&amp;"Template Flat Instância Dados"),[6]BENEFICIOS!$A:$E,5,0))),"Criar",IF(FJ8="","",VLOOKUP(("Oi Internet Pra Celular 3GB"&amp;FJ8&amp;"Template Flat Instância Dados"),[6]BENEFICIOS!$A:$E,5,0)))</f>
        <v/>
      </c>
      <c r="FL8" s="82"/>
      <c r="FM8" s="83" t="str">
        <f>IF(FL8=0,"",IF(FL8=VLOOKUP("PCS-51793o08",[6]ARBOR!$A:$C,3,0),0.0001,IF(FL8&gt;VLOOKUP("PCS-51793o08",[6]ARBOR!$A:$C,3,0),"Maior que CAP!",ROUND(-1*(FL8/VLOOKUP("PCS-51793o08",[6]ARBOR!$A:$C,3,0)-1),4))))</f>
        <v/>
      </c>
      <c r="FN8" s="84" t="str">
        <f>IF(ISERROR(IF(FM8="","",VLOOKUP(("Oi Internet Pra Celular 5GB"&amp;FM8&amp;"Template Flat Instância Dados"),[6]BENEFICIOS!$A:$E,5,0))),"Criar",IF(FM8="","",VLOOKUP(("Oi Internet Pra Celular 5GB"&amp;FM8&amp;"Template Flat Instância Dados"),[6]BENEFICIOS!$A:$E,5,0)))</f>
        <v/>
      </c>
      <c r="FO8" s="82"/>
      <c r="FP8" s="83" t="str">
        <f>IF(FO8=0,"",IF(FO8=VLOOKUP("PCS-7171A",[6]ARBOR!$A:$C,3,0),0.0001,IF(FO8&gt;VLOOKUP("PCS-7171A",[6]ARBOR!$A:$C,3,0),"Maior que CAP!",ROUND(-1*(FO8/VLOOKUP("PCS-7171A",[6]ARBOR!$A:$C,3,0)-1),4))))</f>
        <v/>
      </c>
      <c r="FQ8" s="84" t="str">
        <f>IF(ISERROR(IF(FP8="","",VLOOKUP(("Oi Internet Pra Celular 10GB"&amp;FP8&amp;"Template Flat Instância Dados"),[6]BENEFICIOS!$A:$E,5,0))),"Criar",IF(FP8="","",VLOOKUP(("Oi Internet Pra Celular 10GB"&amp;FP8&amp;"Template Flat Instância Dados"),[6]BENEFICIOS!$A:$E,5,0)))</f>
        <v/>
      </c>
      <c r="FR8" s="85">
        <v>0.74219999999999997</v>
      </c>
      <c r="FS8" s="86" t="s">
        <v>249</v>
      </c>
      <c r="FT8" s="48"/>
      <c r="FU8" s="87"/>
      <c r="FV8" s="88" t="s">
        <v>224</v>
      </c>
      <c r="FW8" s="49" t="s">
        <v>229</v>
      </c>
      <c r="FX8" s="89">
        <v>999</v>
      </c>
      <c r="FY8" s="49">
        <v>12</v>
      </c>
      <c r="FZ8" s="90" t="s">
        <v>230</v>
      </c>
      <c r="GA8" s="91" t="str">
        <f t="shared" si="1"/>
        <v>PCS-Fk83324</v>
      </c>
      <c r="GB8" s="92" t="str">
        <f t="shared" si="2"/>
        <v>PCS-SBL553142</v>
      </c>
      <c r="GC8" s="93" t="s">
        <v>231</v>
      </c>
      <c r="GD8" s="90" t="s">
        <v>232</v>
      </c>
      <c r="GE8" s="92" t="s">
        <v>233</v>
      </c>
      <c r="GF8" s="93" t="s">
        <v>234</v>
      </c>
      <c r="GG8" s="90" t="s">
        <v>235</v>
      </c>
      <c r="GH8" s="92" t="s">
        <v>236</v>
      </c>
      <c r="GI8" s="94" t="s">
        <v>237</v>
      </c>
      <c r="GJ8" s="95">
        <f>FF8+EL8+CN8+BJ8</f>
        <v>256.89999999999998</v>
      </c>
      <c r="GK8" s="96"/>
      <c r="GL8" s="97" t="s">
        <v>238</v>
      </c>
      <c r="GM8" s="98" t="s">
        <v>239</v>
      </c>
      <c r="GN8" s="97">
        <f>VLOOKUP($A8,'[6]TABELA COM TUDO'!$A:$AB,25,0)</f>
        <v>14</v>
      </c>
      <c r="GO8" s="99">
        <f>VLOOKUP($A8,'[6]TABELA COM TUDO'!$A:$AB,26,0)</f>
        <v>3.61</v>
      </c>
      <c r="GP8" s="100">
        <f t="shared" si="8"/>
        <v>0.74209999999999998</v>
      </c>
      <c r="GQ8" s="97">
        <f t="shared" si="4"/>
        <v>10.38</v>
      </c>
      <c r="GR8" s="97">
        <f t="shared" si="5"/>
        <v>3.6199999999999992</v>
      </c>
      <c r="GS8" s="101"/>
      <c r="GT8" s="101"/>
      <c r="GU8" s="102" t="b">
        <f t="shared" si="6"/>
        <v>0</v>
      </c>
      <c r="GV8" s="103">
        <f t="shared" si="7"/>
        <v>9.9999999999993427E-3</v>
      </c>
      <c r="GW8" s="44" t="s">
        <v>257</v>
      </c>
      <c r="GX8" s="44" t="s">
        <v>241</v>
      </c>
    </row>
    <row r="9" spans="1:206" s="44" customFormat="1" x14ac:dyDescent="0.25">
      <c r="A9" s="44" t="str">
        <f t="shared" si="0"/>
        <v>Oi Total Fixo + Pós 800 + Banda LargaN13GBMG</v>
      </c>
      <c r="B9" s="45" t="s">
        <v>214</v>
      </c>
      <c r="C9" s="46" t="s">
        <v>130</v>
      </c>
      <c r="D9" s="46" t="s">
        <v>215</v>
      </c>
      <c r="E9" s="47" t="s">
        <v>216</v>
      </c>
      <c r="F9" s="48" t="s">
        <v>217</v>
      </c>
      <c r="G9" s="49"/>
      <c r="H9" s="49"/>
      <c r="I9" s="49"/>
      <c r="J9" s="49" t="s">
        <v>217</v>
      </c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 t="s">
        <v>217</v>
      </c>
      <c r="AC9" s="49" t="s">
        <v>217</v>
      </c>
      <c r="AD9" s="49" t="s">
        <v>217</v>
      </c>
      <c r="AE9" s="49" t="s">
        <v>217</v>
      </c>
      <c r="AF9" s="49" t="s">
        <v>217</v>
      </c>
      <c r="AG9" s="49" t="s">
        <v>217</v>
      </c>
      <c r="AH9" s="50"/>
      <c r="AI9" s="49" t="s">
        <v>217</v>
      </c>
      <c r="AJ9" s="49" t="s">
        <v>217</v>
      </c>
      <c r="AK9" s="49" t="s">
        <v>217</v>
      </c>
      <c r="AL9" s="49" t="s">
        <v>217</v>
      </c>
      <c r="AM9" s="49" t="s">
        <v>217</v>
      </c>
      <c r="AN9" s="49" t="s">
        <v>217</v>
      </c>
      <c r="AO9" s="49" t="s">
        <v>217</v>
      </c>
      <c r="AP9" s="49"/>
      <c r="AQ9" s="51"/>
      <c r="AR9" s="52" t="s">
        <v>258</v>
      </c>
      <c r="AS9" s="46" t="s">
        <v>219</v>
      </c>
      <c r="AT9" s="53" t="s">
        <v>220</v>
      </c>
      <c r="AU9" s="54">
        <v>42972</v>
      </c>
      <c r="AV9" s="55">
        <v>43038</v>
      </c>
      <c r="AW9" s="56" t="s">
        <v>221</v>
      </c>
      <c r="AX9" s="57" t="s">
        <v>221</v>
      </c>
      <c r="AY9" s="58"/>
      <c r="AZ9" s="58" t="s">
        <v>222</v>
      </c>
      <c r="BA9" s="58">
        <v>20</v>
      </c>
      <c r="BB9" s="58">
        <v>10000</v>
      </c>
      <c r="BC9" s="59" t="s">
        <v>223</v>
      </c>
      <c r="BD9" s="60" t="s">
        <v>224</v>
      </c>
      <c r="BE9" s="58" t="s">
        <v>216</v>
      </c>
      <c r="BF9" s="51" t="s">
        <v>216</v>
      </c>
      <c r="BG9" s="45" t="s">
        <v>258</v>
      </c>
      <c r="BH9" s="61" t="s">
        <v>225</v>
      </c>
      <c r="BI9" s="62" t="str">
        <f>IF(ISERROR(VLOOKUP(BH9,[6]PLANOS!B:C,2,0)),"",VLOOKUP(BH9,[6]PLANOS!B:C,2,0))</f>
        <v>PCS-4P6pi</v>
      </c>
      <c r="BJ9" s="63">
        <v>50.1</v>
      </c>
      <c r="BK9" s="64">
        <f>IF(BJ9=0,"",IF(BJ9=VLOOKUP("FIXO",[6]ARBOR!$A:$C,3,0),0.0001,IF(BJ9&gt;VLOOKUP("FIXO",[6]ARBOR!$A:$C,3,0),"Maior que CAP!",IF((DOLLAR(BJ9+(VLOOKUP("FIXO",[6]ARBOR!$A:$C,3,0)*-TRUNC(BJ9/VLOOKUP("FIXO",[6]ARBOR!$A:$C,3,0)-1,4)),6))&lt;&gt;(DOLLAR(VLOOKUP("FIXO",[6]ARBOR!$A:$C,3,0),6)),-TRUNC(BJ9/VLOOKUP("FIXO",[6]ARBOR!$A:$C,3,0)-1,4)+0.0001,-TRUNC(BJ9/VLOOKUP("FIXO",[6]ARBOR!$A:$C,3,0)-1,4)))))</f>
        <v>0.33939999999999998</v>
      </c>
      <c r="BL9" s="65" t="str">
        <f>IF(ISERROR(IF(BK9="","",VLOOKUP(($BH9&amp;BK9&amp;"Template de desconto FLAT bundle - Fixo - Varejo - Ganho Tributário Cross"),[6]BENEFICIOS!$A:$E,5,0))),"Criar",IF(BK9="","",VLOOKUP(($BH9&amp;BK9&amp;"Template de desconto FLAT bundle - Fixo - Varejo - Ganho Tributário Cross"),[6]BENEFICIOS!$A:$E,5,0)))</f>
        <v>MKT-1-9856472058</v>
      </c>
      <c r="BM9" s="66"/>
      <c r="BN9" s="67"/>
      <c r="BO9" s="68" t="s">
        <v>164</v>
      </c>
      <c r="BP9" s="69">
        <v>44.9</v>
      </c>
      <c r="BQ9" s="64">
        <f>IF(BP9=0,"",IF(BP9=VLOOKUP("PCS-30874g",[6]ARBOR!$A:$C,3,0),0.0001,IF(BP9&gt;VLOOKUP("PCS-30874g",[6]ARBOR!$A:$C,3,0),"Maior que CAP!",IF((DOLLAR(BP9+(VLOOKUP("PCS-30874g",[6]ARBOR!$A:$C,3,0)*-TRUNC(BP9/VLOOKUP("PCS-30874g",[6]ARBOR!$A:$C,3,0)-1,4)),6))&lt;&gt;(DOLLAR(VLOOKUP("PCS-30874g",[6]ARBOR!$A:$C,3,0),6)),-TRUNC(BP9/VLOOKUP("PCS-30874g",[6]ARBOR!$A:$C,3,0)-1,4)+0.0001,-TRUNC(BP9/VLOOKUP("PCS-30874g",[6]ARBOR!$A:$C,3,0)-1,4)))))</f>
        <v>0.53679999999999994</v>
      </c>
      <c r="BR9" s="65" t="str">
        <f>IF(ISERROR(IF(BQ9="","",VLOOKUP(($BH9&amp;BQ9&amp;"Template de desconto FLAT bundle - Velox XDSL - Varejo"),[6]BENEFICIOS!$A:$E,5,0))),"Criar",IF(BQ9="","",VLOOKUP(($BH9&amp;BQ9&amp;"Template de desconto FLAT bundle - Velox XDSL - Varejo"),[6]BENEFICIOS!$A:$E,5,0)))</f>
        <v>MKT-1-9865126733</v>
      </c>
      <c r="BS9" s="68" t="s">
        <v>164</v>
      </c>
      <c r="BT9" s="69">
        <v>44.9</v>
      </c>
      <c r="BU9" s="64">
        <f>IF(BT9=0,"",IF(BT9=VLOOKUP("PCS-30577g",[6]ARBOR!$A:$C,3,0),0.0001,IF(BT9&gt;VLOOKUP("PCS-30577g",[6]ARBOR!$A:$C,3,0),"Maior que CAP!",IF((DOLLAR(BT9+(VLOOKUP("PCS-30577g",[6]ARBOR!$A:$C,3,0)*-TRUNC(BT9/VLOOKUP("PCS-30577g",[6]ARBOR!$A:$C,3,0)-1,4)),6))&lt;&gt;(DOLLAR(VLOOKUP("PCS-30577g",[6]ARBOR!$A:$C,3,0),6)),-TRUNC(BT9/VLOOKUP("PCS-30577g",[6]ARBOR!$A:$C,3,0)-1,4)+0.0001,-TRUNC(BT9/VLOOKUP("PCS-30577g",[6]ARBOR!$A:$C,3,0)-1,4)))))</f>
        <v>0.53679999999999994</v>
      </c>
      <c r="BV9" s="65" t="str">
        <f>IF(ISERROR(IF(BU9="","",VLOOKUP(($BH9&amp;BU9&amp;"Template de desconto FLAT bundle - Velox XDSL - Varejo"),[6]BENEFICIOS!$A:$E,5,0))),"Criar",IF(BU9="","",VLOOKUP(($BH9&amp;BU9&amp;"Template de desconto FLAT bundle - Velox XDSL - Varejo"),[6]BENEFICIOS!$A:$E,5,0)))</f>
        <v>MKT-1-9865126733</v>
      </c>
      <c r="BW9" s="68" t="s">
        <v>164</v>
      </c>
      <c r="BX9" s="69">
        <v>44.9</v>
      </c>
      <c r="BY9" s="64">
        <f>IF(BX9=0,"",IF(BX9=VLOOKUP("PCS-30604g",[6]ARBOR!$A:$C,3,0),0.0001,IF(BX9&gt;VLOOKUP("PCS-30604g",[6]ARBOR!$A:$C,3,0),"Maior que CAP!",IF((DOLLAR(BX9+(VLOOKUP("PCS-30604g",[6]ARBOR!$A:$C,3,0)*-TRUNC(BX9/VLOOKUP("PCS-30604g",[6]ARBOR!$A:$C,3,0)-1,4)),6))&lt;&gt;(DOLLAR(VLOOKUP("PCS-30604g",[6]ARBOR!$A:$C,3,0),6)),-TRUNC(BX9/VLOOKUP("PCS-30604g",[6]ARBOR!$A:$C,3,0)-1,4)+0.0001,-TRUNC(BX9/VLOOKUP("PCS-30604g",[6]ARBOR!$A:$C,3,0)-1,4)))))</f>
        <v>0.53679999999999994</v>
      </c>
      <c r="BZ9" s="65" t="str">
        <f>IF(ISERROR(IF(BY9="","",VLOOKUP(($BH9&amp;BY9&amp;"Template de desconto FLAT bundle - Velox XDSL - Varejo"),[6]BENEFICIOS!$A:$E,5,0))),"Criar",IF(BY9="","",VLOOKUP(($BH9&amp;BY9&amp;"Template de desconto FLAT bundle - Velox XDSL - Varejo"),[6]BENEFICIOS!$A:$E,5,0)))</f>
        <v>MKT-1-9865126733</v>
      </c>
      <c r="CA9" s="68" t="s">
        <v>164</v>
      </c>
      <c r="CB9" s="69">
        <v>44.9</v>
      </c>
      <c r="CC9" s="64">
        <f>IF(CB9=0,"",IF(CB9=VLOOKUP("PCS-30631g",[6]ARBOR!$A:$C,3,0),0.0001,IF(CB9&gt;VLOOKUP("PCS-30631g",[6]ARBOR!$A:$C,3,0),"Maior que CAP!",IF((DOLLAR(CB9+(VLOOKUP("PCS-30631g",[6]ARBOR!$A:$C,3,0)*-TRUNC(CB9/VLOOKUP("PCS-30631g",[6]ARBOR!$A:$C,3,0)-1,4)),6))&lt;&gt;(DOLLAR(VLOOKUP("PCS-30631g",[6]ARBOR!$A:$C,3,0),6)),-TRUNC(CB9/VLOOKUP("PCS-30631g",[6]ARBOR!$A:$C,3,0)-1,4)+0.0001,-TRUNC(CB9/VLOOKUP("PCS-30631g",[6]ARBOR!$A:$C,3,0)-1,4)))))</f>
        <v>0.54310000000000003</v>
      </c>
      <c r="CD9" s="65" t="str">
        <f>IF(ISERROR(IF(CC9="","",VLOOKUP(($BH9&amp;CC9&amp;"Template de desconto FLAT bundle - Velox XDSL - Varejo"),[6]BENEFICIOS!$A:$E,5,0))),"Criar",IF(CC9="","",VLOOKUP(($BH9&amp;CC9&amp;"Template de desconto FLAT bundle - Velox XDSL - Varejo"),[6]BENEFICIOS!$A:$E,5,0)))</f>
        <v>MKT-1-9865126826</v>
      </c>
      <c r="CE9" s="68"/>
      <c r="CF9" s="69"/>
      <c r="CG9" s="64" t="str">
        <f>IF(CF9=0,"",IF(CF9=VLOOKUP("PCS-30658g",[6]ARBOR!$A:$C,3,0),0.0001,IF(CF9&gt;VLOOKUP("PCS-30658g",[6]ARBOR!$A:$C,3,0),"Maior que CAP!",IF((DOLLAR(CF9+(VLOOKUP("PCS-30658g",[6]ARBOR!$A:$C,3,0)*-TRUNC(CF9/VLOOKUP("PCS-30658g",[6]ARBOR!$A:$C,3,0)-1,4)),6))&lt;&gt;(DOLLAR(VLOOKUP("PCS-30658g",[6]ARBOR!$A:$C,3,0),6)),-TRUNC(CF9/VLOOKUP("PCS-30658g",[6]ARBOR!$A:$C,3,0)-1,4)+0.0001,-TRUNC(CF9/VLOOKUP("PCS-30658g",[6]ARBOR!$A:$C,3,0)-1,4)))))</f>
        <v/>
      </c>
      <c r="CH9" s="65" t="str">
        <f>IF(ISERROR(IF(CG9="","",VLOOKUP(($BH9&amp;CG9&amp;"Template de desconto FLAT bundle - Velox XDSL - Varejo"),[6]BENEFICIOS!$A:$E,5,0))),"Criar",IF(CG9="","",VLOOKUP(($BH9&amp;CG9&amp;"Template de desconto FLAT bundle - Velox XDSL - Varejo"),[6]BENEFICIOS!$A:$E,5,0)))</f>
        <v/>
      </c>
      <c r="CI9" s="68"/>
      <c r="CJ9" s="69"/>
      <c r="CK9" s="64" t="str">
        <f>IF(CJ9=0,"",IF(CJ9=VLOOKUP("PCS-30685g",[6]ARBOR!$A:$C,3,0),0.0001,IF(CJ9&gt;VLOOKUP("PCS-30685g",[6]ARBOR!$A:$C,3,0),"Maior que CAP!",IF((DOLLAR(CJ9+(VLOOKUP("PCS-30685g",[6]ARBOR!$A:$C,3,0)*-TRUNC(CJ9/VLOOKUP("PCS-30685g",[6]ARBOR!$A:$C,3,0)-1,4)),6))&lt;&gt;(DOLLAR(VLOOKUP("PCS-30685g",[6]ARBOR!$A:$C,3,0),6)),-TRUNC(CJ9/VLOOKUP("PCS-30685g",[6]ARBOR!$A:$C,3,0)-1,4)+0.0001,-TRUNC(CJ9/VLOOKUP("PCS-30685g",[6]ARBOR!$A:$C,3,0)-1,4)))))</f>
        <v/>
      </c>
      <c r="CL9" s="65" t="str">
        <f>IF(ISERROR(IF(CK9="","",VLOOKUP(($BH9&amp;CK9&amp;"Template de desconto FLAT bundle - Velox XDSL - Varejo"),[6]BENEFICIOS!$A:$E,5,0))),"Criar",IF(CK9="","",VLOOKUP(($BH9&amp;CK9&amp;"Template de desconto FLAT bundle - Velox XDSL - Varejo"),[6]BENEFICIOS!$A:$E,5,0)))</f>
        <v/>
      </c>
      <c r="CM9" s="68"/>
      <c r="CN9" s="69"/>
      <c r="CO9" s="64" t="str">
        <f>IF(CN9=0,"",IF(CN9=VLOOKUP("PCS-30712g",[6]ARBOR!$A:$C,3,0),0.0001,IF(CN9&gt;VLOOKUP("PCS-30712g",[6]ARBOR!$A:$C,3,0),"Maior que CAP!",IF((DOLLAR(CN9+(VLOOKUP("PCS-30712g",[6]ARBOR!$A:$C,3,0)*-TRUNC(CN9/VLOOKUP("PCS-30712g",[6]ARBOR!$A:$C,3,0)-1,4)),6))&lt;&gt;(DOLLAR(VLOOKUP("PCS-30712g",[6]ARBOR!$A:$C,3,0),6)),-TRUNC(CN9/VLOOKUP("PCS-30712g",[6]ARBOR!$A:$C,3,0)-1,4)+0.0001,-TRUNC(CN9/VLOOKUP("PCS-30712g",[6]ARBOR!$A:$C,3,0)-1,4)))))</f>
        <v/>
      </c>
      <c r="CP9" s="65" t="str">
        <f>IF(ISERROR(IF(CO9="","",VLOOKUP(($BH9&amp;CO9&amp;"Template de desconto FLAT bundle - Velox XDSL - Varejo"),[6]BENEFICIOS!$A:$E,5,0))),"Criar",IF(CO9="","",VLOOKUP(($BH9&amp;CO9&amp;"Template de desconto FLAT bundle - Velox XDSL - Varejo"),[6]BENEFICIOS!$A:$E,5,0)))</f>
        <v/>
      </c>
      <c r="CQ9" s="68"/>
      <c r="CR9" s="69"/>
      <c r="CS9" s="64" t="str">
        <f>IF(CR9=0,"",IF(CR9=VLOOKUP("PCS-30739g",[6]ARBOR!$A:$C,3,0),0.0001,IF(CR9&gt;VLOOKUP("PCS-30739g",[6]ARBOR!$A:$C,3,0),"Maior que CAP!",IF((DOLLAR(CR9+(VLOOKUP("PCS-30739g",[6]ARBOR!$A:$C,3,0)*-TRUNC(CR9/VLOOKUP("PCS-30739g",[6]ARBOR!$A:$C,3,0)-1,4)),6))&lt;&gt;(DOLLAR(VLOOKUP("PCS-30739g",[6]ARBOR!$A:$C,3,0),6)),-TRUNC(CR9/VLOOKUP("PCS-30739g",[6]ARBOR!$A:$C,3,0)-1,4)+0.0001,-TRUNC(CR9/VLOOKUP("PCS-30739g",[6]ARBOR!$A:$C,3,0)-1,4)))))</f>
        <v/>
      </c>
      <c r="CT9" s="65" t="str">
        <f>IF(ISERROR(IF(CS9="","",VLOOKUP(($BH9&amp;CS9&amp;"Template de desconto FLAT bundle - Velox XDSL - Varejo"),[6]BENEFICIOS!$A:$E,5,0))),"Criar",IF(CS9="","",VLOOKUP(($BH9&amp;CS9&amp;"Template de desconto FLAT bundle - Velox XDSL - Varejo"),[6]BENEFICIOS!$A:$E,5,0)))</f>
        <v/>
      </c>
      <c r="CU9" s="69"/>
      <c r="CV9" s="70"/>
      <c r="CW9" s="64"/>
      <c r="CX9" s="65"/>
      <c r="CY9" s="68"/>
      <c r="CZ9" s="69"/>
      <c r="DA9" s="64" t="str">
        <f>IF(CZ9=0,"",IF(CZ9=VLOOKUP("PCS-30766g",[6]ARBOR!$A:$C,3,0),0.0001,IF(CZ9&gt;VLOOKUP("PCS-30766g",[6]ARBOR!$A:$C,3,0),"Maior que CAP!",IF((DOLLAR(CZ9+(VLOOKUP("PCS-30766g",[6]ARBOR!$A:$C,3,0)*-TRUNC(CZ9/VLOOKUP("PCS-30766g",[6]ARBOR!$A:$C,3,0)-1,4)),6))&lt;&gt;(DOLLAR(VLOOKUP("PCS-30766g",[6]ARBOR!$A:$C,3,0),6)),-TRUNC(CZ9/VLOOKUP("PCS-30766g",[6]ARBOR!$A:$C,3,0)-1,4)+0.0001,-TRUNC(CZ9/VLOOKUP("PCS-30766g",[6]ARBOR!$A:$C,3,0)-1,4)))))</f>
        <v/>
      </c>
      <c r="DB9" s="65" t="str">
        <f>IF(ISERROR(IF(DA9="","",VLOOKUP(($BH9&amp;DA9&amp;"Template de desconto FLAT bundle - Velox XDSL - Varejo"),[6]BENEFICIOS!$A:$E,5,0))),"Criar",IF(DA9="","",VLOOKUP(($BH9&amp;DA9&amp;"Template de desconto FLAT bundle - Velox XDSL - Varejo"),[6]BENEFICIOS!$A:$E,5,0)))</f>
        <v/>
      </c>
      <c r="DC9" s="69"/>
      <c r="DD9" s="70"/>
      <c r="DE9" s="64"/>
      <c r="DF9" s="65"/>
      <c r="DG9" s="68"/>
      <c r="DH9" s="69"/>
      <c r="DI9" s="64" t="str">
        <f>IF(DH9=0,"",IF(DH9=VLOOKUP("PCS-30793g",[6]ARBOR!$A:$C,3,0),0.0001,IF(DH9&gt;VLOOKUP("PCS-30793g",[6]ARBOR!$A:$C,3,0),"Maior que CAP!",IF((DOLLAR(DH9+(VLOOKUP("PCS-30793g",[6]ARBOR!$A:$C,3,0)*-TRUNC(DH9/VLOOKUP("PCS-30793g",[6]ARBOR!$A:$C,3,0)-1,4)),6))&lt;&gt;(DOLLAR(VLOOKUP("PCS-30793g",[6]ARBOR!$A:$C,3,0),6)),-TRUNC(DH9/VLOOKUP("PCS-30793g",[6]ARBOR!$A:$C,3,0)-1,4)+0.0001,-TRUNC(DH9/VLOOKUP("PCS-30793g",[6]ARBOR!$A:$C,3,0)-1,4)))))</f>
        <v/>
      </c>
      <c r="DJ9" s="65" t="str">
        <f>IF(ISERROR(IF(DI9="","",VLOOKUP(($BH9&amp;DI9&amp;"Template de desconto FLAT bundle - Velox XDSL - Varejo"),[6]BENEFICIOS!$A:$E,5,0))),"Criar",IF(DI9="","",VLOOKUP(($BH9&amp;DI9&amp;"Template de desconto FLAT bundle - Velox XDSL - Varejo"),[6]BENEFICIOS!$A:$E,5,0)))</f>
        <v/>
      </c>
      <c r="DK9" s="69"/>
      <c r="DL9" s="70"/>
      <c r="DM9" s="64"/>
      <c r="DN9" s="65"/>
      <c r="DO9" s="68"/>
      <c r="DP9" s="69"/>
      <c r="DQ9" s="64" t="str">
        <f>IF(DP9=0,"",IF(DP9=VLOOKUP("PCS-30820g",[6]ARBOR!$A:$C,3,0),0.0001,IF(DP9&gt;VLOOKUP("PCS-30820g",[6]ARBOR!$A:$C,3,0),"Maior que CAP!",IF((DOLLAR(DP9+(VLOOKUP("PCS-30820g",[6]ARBOR!$A:$C,3,0)*-TRUNC(DP9/VLOOKUP("PCS-30820g",[6]ARBOR!$A:$C,3,0)-1,4)),6))&lt;&gt;(DOLLAR(VLOOKUP("PCS-30820g",[6]ARBOR!$A:$C,3,0),6)),-TRUNC(DP9/VLOOKUP("PCS-30820g",[6]ARBOR!$A:$C,3,0)-1,4)+0.0001,-TRUNC(DP9/VLOOKUP("PCS-30820g",[6]ARBOR!$A:$C,3,0)-1,4)))))</f>
        <v/>
      </c>
      <c r="DR9" s="65" t="str">
        <f>IF(ISERROR(IF(DQ9="","",VLOOKUP(($BH9&amp;DQ9&amp;"Template de desconto FLAT bundle - Velox XDSL - Varejo"),[6]BENEFICIOS!$A:$E,5,0))),"Criar",IF(DQ9="","",VLOOKUP(($BH9&amp;DQ9&amp;"Template de desconto FLAT bundle - Velox XDSL - Varejo"),[6]BENEFICIOS!$A:$E,5,0)))</f>
        <v/>
      </c>
      <c r="DS9" s="69"/>
      <c r="DT9" s="70"/>
      <c r="DU9" s="64"/>
      <c r="DV9" s="65"/>
      <c r="DW9" s="71">
        <v>44.9</v>
      </c>
      <c r="DX9" s="64">
        <f>IF(DW9=0,"",IF(DW9=VLOOKUP("PCS-21448p2",[6]ARBOR!$A:$C,3,0),0.0001,IF(DW9&gt;VLOOKUP("PCS-21448p2",[6]ARBOR!$A:$C,3,0),"Maior que CAP!",IF((DOLLAR(DW9+(VLOOKUP("PCS-21448p2",[6]ARBOR!$A:$C,3,0)*-TRUNC(DW9/VLOOKUP("PCS-21448p2",[6]ARBOR!$A:$C,3,0)-1,4)),6))&lt;&gt;(DOLLAR(VLOOKUP("PCS-21448p2",[6]ARBOR!$A:$C,3,0),6)),-TRUNC(DW9/VLOOKUP("PCS-21448p2",[6]ARBOR!$A:$C,3,0)-1,4)+0.0001,-TRUNC(DW9/VLOOKUP("PCS-21448p2",[6]ARBOR!$A:$C,3,0)-1,4)))))</f>
        <v>0.64900000000000002</v>
      </c>
      <c r="DY9" s="65" t="str">
        <f>IF(ISERROR(IF(DX9="","",VLOOKUP(("Oi Conta Total Plug 10GB Downgrade"&amp;DX9&amp;"Template de desconto percentual BL Móvel - Internet Total - Varejo"),[6]BENEFICIOS!$A:$E,5,0))),"Criar",IF(DX9="","",VLOOKUP(("Oi Conta Total Plug 10GB Downgrade"&amp;DX9&amp;"Template de desconto percentual BL Móvel - Internet Total - Varejo"),[6]BENEFICIOS!$A:$E,5,0)))</f>
        <v>MKT-1-9825544790</v>
      </c>
      <c r="DZ9" s="71">
        <v>16.5</v>
      </c>
      <c r="EA9" s="72">
        <f>IF(DZ9=0,"",IF(DZ9=VLOOKUP("SVA",[6]ARBOR!$A:$C,3,0),0.0001,IF(DZ9&gt;VLOOKUP("SVA",[6]ARBOR!$A:$C,3,0),"Maior que CAP!",IF((DOLLAR(DZ9+(VLOOKUP("SVA",[6]ARBOR!$A:$C,3,0)*-TRUNC(DZ9/VLOOKUP("SVA",[6]ARBOR!$A:$C,3,0)-1,4)),6))&lt;&gt;(DOLLAR(VLOOKUP("SVA",[6]ARBOR!$A:$C,3,0),6)),-TRUNC(DZ9/VLOOKUP("SVA",[6]ARBOR!$A:$C,3,0)-1,4)+0.0001,-TRUNC(DZ9/VLOOKUP("SVA",[6]ARBOR!$A:$C,3,0)-1,4)))))</f>
        <v>0.2301</v>
      </c>
      <c r="EB9" s="65" t="s">
        <v>226</v>
      </c>
      <c r="EC9" s="69"/>
      <c r="ED9" s="73"/>
      <c r="EE9" s="74"/>
      <c r="EF9" s="65"/>
      <c r="EG9" s="75">
        <f>IF(BI9="","",VLOOKUP(BI9,[6]ARBOR!A:C,3,0))</f>
        <v>479.46</v>
      </c>
      <c r="EH9" s="69">
        <v>15</v>
      </c>
      <c r="EI9" s="76">
        <f>IF(EH9="","",1-(EH9/VLOOKUP(BI9&amp;"ASS",[6]ARBOR!A:C,3,0)))</f>
        <v>0.34725848563968664</v>
      </c>
      <c r="EJ9" s="77" t="s">
        <v>227</v>
      </c>
      <c r="EK9" s="78" t="s">
        <v>228</v>
      </c>
      <c r="EL9" s="69">
        <v>154.54999999999998</v>
      </c>
      <c r="EM9" s="64">
        <f>ROUND(IF(EL9=0,"",IF(EL9=EG9,0.0001,1-((EL9+(VLOOKUP(BI9&amp;"ASS",[6]ARBOR!A:C,3,0)-EH9))/EG9))),4)</f>
        <v>0.66100000000000003</v>
      </c>
      <c r="EN9" s="65" t="str">
        <f>IF(ISERROR(IF(EM9="","",VLOOKUP(($BH9&amp;EM9&amp;"Template de desconto percentual FLAT Móvel - Conta Total - Varejo - Ganho Tributário Cross"),[6]BENEFICIOS!$A:$E,5,0))),"Criar",IF(EM9="","",VLOOKUP(($BH9&amp;EM9&amp;"Template de desconto percentual FLAT Móvel - Conta Total - Varejo - Ganho Tributário Cross"),[6]BENEFICIOS!$A:$E,5,0)))</f>
        <v>Criar</v>
      </c>
      <c r="EO9" s="79"/>
      <c r="EP9" s="64"/>
      <c r="EQ9" s="72"/>
      <c r="ER9" s="72"/>
      <c r="ES9" s="64"/>
      <c r="ET9" s="80"/>
      <c r="EU9" s="81" t="s">
        <v>247</v>
      </c>
      <c r="EV9" s="81" t="s">
        <v>259</v>
      </c>
      <c r="EW9" s="82"/>
      <c r="EX9" s="83"/>
      <c r="EY9" s="84"/>
      <c r="EZ9" s="82"/>
      <c r="FA9" s="83"/>
      <c r="FB9" s="84"/>
      <c r="FC9" s="82"/>
      <c r="FD9" s="83" t="str">
        <f>IF(FC9=0,"",IF(FC9=VLOOKUP("PCS-10357",[6]ARBOR!$A:$C,3,0),0.0001,IF(FC9&gt;VLOOKUP("PCS-10357",[6]ARBOR!$A:$C,3,0),"Maior que CAP!",ROUND(-1*(FC9/VLOOKUP("PCS-10357",[6]ARBOR!$A:$C,3,0)-1),4))))</f>
        <v/>
      </c>
      <c r="FE9" s="84" t="str">
        <f>IF(ISERROR(IF(FD9="","",VLOOKUP(("Oi Internet Pra Celular 1GB"&amp;FD9&amp;"Template Flat Instância Dados"),[6]BENEFICIOS!$A:$E,5,0))),"Criar",IF(FD9="","",VLOOKUP(("Oi Internet Pra Celular 1GB"&amp;FD9&amp;"Template Flat Instância Dados"),[6]BENEFICIOS!$A:$E,5,0)))</f>
        <v/>
      </c>
      <c r="FF9" s="82"/>
      <c r="FG9" s="83" t="str">
        <f>IF(FF9=0,"",IF(FF9=VLOOKUP("PCS-813565",[6]ARBOR!$A:$C,3,0),0.0001,IF(FF9&gt;VLOOKUP("PCS-813565",[6]ARBOR!$A:$C,3,0),"Maior que CAP!",ROUND(-1*(FF9/VLOOKUP("PCS-813565",[6]ARBOR!$A:$C,3,0)-1),4))))</f>
        <v/>
      </c>
      <c r="FH9" s="84" t="str">
        <f>IF(ISERROR(IF(FG9="","",VLOOKUP(("Oi Internet Pra Celular 2GB"&amp;FG9&amp;"Template Flat Instância Dados"),[6]BENEFICIOS!$A:$E,5,0))),"Criar",IF(FG9="","",VLOOKUP(("Oi Internet Pra Celular 2GB"&amp;FG9&amp;"Template Flat Instância Dados"),[6]BENEFICIOS!$A:$E,5,0)))</f>
        <v/>
      </c>
      <c r="FI9" s="82">
        <v>12.35</v>
      </c>
      <c r="FJ9" s="83">
        <f>IF(FI9=0,"",IF(FI9=VLOOKUP("PCS-7171B",[6]ARBOR!$A:$C,3,0),0.0001,IF(FI9&gt;VLOOKUP("PCS-7171B",[6]ARBOR!$A:$C,3,0),"Maior que CAP!",ROUND(-1*(FI9/VLOOKUP("PCS-7171B",[6]ARBOR!$A:$C,3,0)-1),4))))</f>
        <v>0.87419999999999998</v>
      </c>
      <c r="FK9" s="84" t="str">
        <f>IF(ISERROR(IF(FJ9="","",VLOOKUP(("Oi Internet Pra Celular 3GB"&amp;FJ9&amp;"Template Flat Instância Dados"),[6]BENEFICIOS!$A:$E,5,0))),"Criar",IF(FJ9="","",VLOOKUP(("Oi Internet Pra Celular 3GB"&amp;FJ9&amp;"Template Flat Instância Dados"),[6]BENEFICIOS!$A:$E,5,0)))</f>
        <v>MKT-1-9870092975</v>
      </c>
      <c r="FL9" s="82"/>
      <c r="FM9" s="83" t="str">
        <f>IF(FL9=0,"",IF(FL9=VLOOKUP("PCS-51793o08",[6]ARBOR!$A:$C,3,0),0.0001,IF(FL9&gt;VLOOKUP("PCS-51793o08",[6]ARBOR!$A:$C,3,0),"Maior que CAP!",ROUND(-1*(FL9/VLOOKUP("PCS-51793o08",[6]ARBOR!$A:$C,3,0)-1),4))))</f>
        <v/>
      </c>
      <c r="FN9" s="84" t="str">
        <f>IF(ISERROR(IF(FM9="","",VLOOKUP(("Oi Internet Pra Celular 5GB"&amp;FM9&amp;"Template Flat Instância Dados"),[6]BENEFICIOS!$A:$E,5,0))),"Criar",IF(FM9="","",VLOOKUP(("Oi Internet Pra Celular 5GB"&amp;FM9&amp;"Template Flat Instância Dados"),[6]BENEFICIOS!$A:$E,5,0)))</f>
        <v/>
      </c>
      <c r="FO9" s="82"/>
      <c r="FP9" s="83" t="str">
        <f>IF(FO9=0,"",IF(FO9=VLOOKUP("PCS-7171A",[6]ARBOR!$A:$C,3,0),0.0001,IF(FO9&gt;VLOOKUP("PCS-7171A",[6]ARBOR!$A:$C,3,0),"Maior que CAP!",ROUND(-1*(FO9/VLOOKUP("PCS-7171A",[6]ARBOR!$A:$C,3,0)-1),4))))</f>
        <v/>
      </c>
      <c r="FQ9" s="84" t="str">
        <f>IF(ISERROR(IF(FP9="","",VLOOKUP(("Oi Internet Pra Celular 10GB"&amp;FP9&amp;"Template Flat Instância Dados"),[6]BENEFICIOS!$A:$E,5,0))),"Criar",IF(FP9="","",VLOOKUP(("Oi Internet Pra Celular 10GB"&amp;FP9&amp;"Template Flat Instância Dados"),[6]BENEFICIOS!$A:$E,5,0)))</f>
        <v/>
      </c>
      <c r="FR9" s="85">
        <v>0.74219999999999997</v>
      </c>
      <c r="FS9" s="86" t="s">
        <v>249</v>
      </c>
      <c r="FT9" s="48"/>
      <c r="FU9" s="87"/>
      <c r="FV9" s="88" t="s">
        <v>224</v>
      </c>
      <c r="FW9" s="49" t="s">
        <v>229</v>
      </c>
      <c r="FX9" s="89">
        <v>999</v>
      </c>
      <c r="FY9" s="49">
        <v>12</v>
      </c>
      <c r="FZ9" s="90" t="s">
        <v>230</v>
      </c>
      <c r="GA9" s="91" t="str">
        <f t="shared" si="1"/>
        <v>PCS-Fk83324</v>
      </c>
      <c r="GB9" s="92" t="str">
        <f t="shared" si="2"/>
        <v>PCS-SBL553142</v>
      </c>
      <c r="GC9" s="93" t="s">
        <v>231</v>
      </c>
      <c r="GD9" s="90" t="s">
        <v>232</v>
      </c>
      <c r="GE9" s="92" t="s">
        <v>233</v>
      </c>
      <c r="GF9" s="93" t="s">
        <v>234</v>
      </c>
      <c r="GG9" s="90" t="s">
        <v>235</v>
      </c>
      <c r="GH9" s="92" t="s">
        <v>236</v>
      </c>
      <c r="GI9" s="94" t="s">
        <v>237</v>
      </c>
      <c r="GJ9" s="95">
        <f>FI9+EL9+DW9+BJ9</f>
        <v>261.89999999999998</v>
      </c>
      <c r="GK9" s="96"/>
      <c r="GL9" s="97" t="s">
        <v>238</v>
      </c>
      <c r="GM9" s="98" t="s">
        <v>239</v>
      </c>
      <c r="GN9" s="97">
        <f>VLOOKUP($A9,'[6]TABELA COM TUDO'!$A:$AB,25,0)</f>
        <v>14</v>
      </c>
      <c r="GO9" s="99">
        <f>VLOOKUP($A9,'[6]TABELA COM TUDO'!$A:$AB,26,0)</f>
        <v>3.61</v>
      </c>
      <c r="GP9" s="100">
        <f t="shared" si="8"/>
        <v>0.74209999999999998</v>
      </c>
      <c r="GQ9" s="97">
        <f t="shared" si="4"/>
        <v>10.38</v>
      </c>
      <c r="GR9" s="97">
        <f t="shared" si="5"/>
        <v>3.6199999999999992</v>
      </c>
      <c r="GS9" s="101"/>
      <c r="GT9" s="101"/>
      <c r="GU9" s="102" t="b">
        <f t="shared" si="6"/>
        <v>0</v>
      </c>
      <c r="GV9" s="103">
        <f t="shared" si="7"/>
        <v>9.9999999999993427E-3</v>
      </c>
      <c r="GW9" s="44" t="s">
        <v>260</v>
      </c>
      <c r="GX9" s="44" t="s">
        <v>241</v>
      </c>
    </row>
    <row r="10" spans="1:206" s="44" customFormat="1" x14ac:dyDescent="0.25">
      <c r="A10" s="44" t="str">
        <f t="shared" si="0"/>
        <v>Oi Total Fixo + Pós 800 + Banda LargaN13GBMG</v>
      </c>
      <c r="B10" s="45" t="s">
        <v>214</v>
      </c>
      <c r="C10" s="46" t="s">
        <v>130</v>
      </c>
      <c r="D10" s="46" t="s">
        <v>215</v>
      </c>
      <c r="E10" s="47" t="s">
        <v>216</v>
      </c>
      <c r="F10" s="48" t="s">
        <v>217</v>
      </c>
      <c r="G10" s="49"/>
      <c r="H10" s="49"/>
      <c r="I10" s="49"/>
      <c r="J10" s="49" t="s">
        <v>217</v>
      </c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 t="s">
        <v>217</v>
      </c>
      <c r="AC10" s="49" t="s">
        <v>217</v>
      </c>
      <c r="AD10" s="49" t="s">
        <v>217</v>
      </c>
      <c r="AE10" s="49" t="s">
        <v>217</v>
      </c>
      <c r="AF10" s="49" t="s">
        <v>217</v>
      </c>
      <c r="AG10" s="49" t="s">
        <v>217</v>
      </c>
      <c r="AH10" s="50"/>
      <c r="AI10" s="49" t="s">
        <v>217</v>
      </c>
      <c r="AJ10" s="49" t="s">
        <v>217</v>
      </c>
      <c r="AK10" s="49" t="s">
        <v>217</v>
      </c>
      <c r="AL10" s="49" t="s">
        <v>217</v>
      </c>
      <c r="AM10" s="49" t="s">
        <v>217</v>
      </c>
      <c r="AN10" s="49" t="s">
        <v>217</v>
      </c>
      <c r="AO10" s="49" t="s">
        <v>217</v>
      </c>
      <c r="AP10" s="49"/>
      <c r="AQ10" s="51"/>
      <c r="AR10" s="52" t="s">
        <v>261</v>
      </c>
      <c r="AS10" s="46" t="s">
        <v>219</v>
      </c>
      <c r="AT10" s="53" t="s">
        <v>220</v>
      </c>
      <c r="AU10" s="54">
        <v>42972</v>
      </c>
      <c r="AV10" s="55">
        <v>43038</v>
      </c>
      <c r="AW10" s="56" t="s">
        <v>221</v>
      </c>
      <c r="AX10" s="57" t="s">
        <v>221</v>
      </c>
      <c r="AY10" s="58"/>
      <c r="AZ10" s="58" t="s">
        <v>222</v>
      </c>
      <c r="BA10" s="58">
        <v>20</v>
      </c>
      <c r="BB10" s="58">
        <v>10000</v>
      </c>
      <c r="BC10" s="59" t="s">
        <v>223</v>
      </c>
      <c r="BD10" s="60" t="s">
        <v>224</v>
      </c>
      <c r="BE10" s="58" t="s">
        <v>216</v>
      </c>
      <c r="BF10" s="51" t="s">
        <v>216</v>
      </c>
      <c r="BG10" s="45" t="s">
        <v>261</v>
      </c>
      <c r="BH10" s="61" t="s">
        <v>225</v>
      </c>
      <c r="BI10" s="62" t="str">
        <f>IF(ISERROR(VLOOKUP(BH10,[6]PLANOS!B:C,2,0)),"",VLOOKUP(BH10,[6]PLANOS!B:C,2,0))</f>
        <v>PCS-4P6pi</v>
      </c>
      <c r="BJ10" s="63">
        <v>50.1</v>
      </c>
      <c r="BK10" s="64">
        <f>IF(BJ10=0,"",IF(BJ10=VLOOKUP("FIXO",[6]ARBOR!$A:$C,3,0),0.0001,IF(BJ10&gt;VLOOKUP("FIXO",[6]ARBOR!$A:$C,3,0),"Maior que CAP!",IF((DOLLAR(BJ10+(VLOOKUP("FIXO",[6]ARBOR!$A:$C,3,0)*-TRUNC(BJ10/VLOOKUP("FIXO",[6]ARBOR!$A:$C,3,0)-1,4)),6))&lt;&gt;(DOLLAR(VLOOKUP("FIXO",[6]ARBOR!$A:$C,3,0),6)),-TRUNC(BJ10/VLOOKUP("FIXO",[6]ARBOR!$A:$C,3,0)-1,4)+0.0001,-TRUNC(BJ10/VLOOKUP("FIXO",[6]ARBOR!$A:$C,3,0)-1,4)))))</f>
        <v>0.33939999999999998</v>
      </c>
      <c r="BL10" s="65" t="str">
        <f>IF(ISERROR(IF(BK10="","",VLOOKUP(($BH10&amp;BK10&amp;"Template de desconto FLAT bundle - Fixo - Varejo - Ganho Tributário Cross"),[6]BENEFICIOS!$A:$E,5,0))),"Criar",IF(BK10="","",VLOOKUP(($BH10&amp;BK10&amp;"Template de desconto FLAT bundle - Fixo - Varejo - Ganho Tributário Cross"),[6]BENEFICIOS!$A:$E,5,0)))</f>
        <v>MKT-1-9856472058</v>
      </c>
      <c r="BM10" s="66"/>
      <c r="BN10" s="67"/>
      <c r="BO10" s="104" t="s">
        <v>243</v>
      </c>
      <c r="BP10" s="69">
        <v>44.9</v>
      </c>
      <c r="BQ10" s="64">
        <f>IF(BP10=0,"",IF(BP10=VLOOKUP("PCS-30874g",[6]ARBOR!$A:$C,3,0),0.0001,IF(BP10&gt;VLOOKUP("PCS-30874g",[6]ARBOR!$A:$C,3,0),"Maior que CAP!",IF((DOLLAR(BP10+(VLOOKUP("PCS-30874g",[6]ARBOR!$A:$C,3,0)*-TRUNC(BP10/VLOOKUP("PCS-30874g",[6]ARBOR!$A:$C,3,0)-1,4)),6))&lt;&gt;(DOLLAR(VLOOKUP("PCS-30874g",[6]ARBOR!$A:$C,3,0),6)),-TRUNC(BP10/VLOOKUP("PCS-30874g",[6]ARBOR!$A:$C,3,0)-1,4)+0.0001,-TRUNC(BP10/VLOOKUP("PCS-30874g",[6]ARBOR!$A:$C,3,0)-1,4)))))</f>
        <v>0.53679999999999994</v>
      </c>
      <c r="BR10" s="65" t="str">
        <f>IF(ISERROR(IF(BQ10="","",VLOOKUP(($BH10&amp;BQ10&amp;"Template de desconto FLAT bundle - Velox XDSL - Varejo"),[6]BENEFICIOS!$A:$E,5,0))),"Criar",IF(BQ10="","",VLOOKUP(($BH10&amp;BQ10&amp;"Template de desconto FLAT bundle - Velox XDSL - Varejo"),[6]BENEFICIOS!$A:$E,5,0)))</f>
        <v>MKT-1-9865126733</v>
      </c>
      <c r="BS10" s="104" t="s">
        <v>243</v>
      </c>
      <c r="BT10" s="69">
        <v>44.9</v>
      </c>
      <c r="BU10" s="64">
        <f>IF(BT10=0,"",IF(BT10=VLOOKUP("PCS-30577g",[6]ARBOR!$A:$C,3,0),0.0001,IF(BT10&gt;VLOOKUP("PCS-30577g",[6]ARBOR!$A:$C,3,0),"Maior que CAP!",IF((DOLLAR(BT10+(VLOOKUP("PCS-30577g",[6]ARBOR!$A:$C,3,0)*-TRUNC(BT10/VLOOKUP("PCS-30577g",[6]ARBOR!$A:$C,3,0)-1,4)),6))&lt;&gt;(DOLLAR(VLOOKUP("PCS-30577g",[6]ARBOR!$A:$C,3,0),6)),-TRUNC(BT10/VLOOKUP("PCS-30577g",[6]ARBOR!$A:$C,3,0)-1,4)+0.0001,-TRUNC(BT10/VLOOKUP("PCS-30577g",[6]ARBOR!$A:$C,3,0)-1,4)))))</f>
        <v>0.53679999999999994</v>
      </c>
      <c r="BV10" s="65" t="str">
        <f>IF(ISERROR(IF(BU10="","",VLOOKUP(($BH10&amp;BU10&amp;"Template de desconto FLAT bundle - Velox XDSL - Varejo"),[6]BENEFICIOS!$A:$E,5,0))),"Criar",IF(BU10="","",VLOOKUP(($BH10&amp;BU10&amp;"Template de desconto FLAT bundle - Velox XDSL - Varejo"),[6]BENEFICIOS!$A:$E,5,0)))</f>
        <v>MKT-1-9865126733</v>
      </c>
      <c r="BW10" s="104" t="s">
        <v>243</v>
      </c>
      <c r="BX10" s="69">
        <v>44.9</v>
      </c>
      <c r="BY10" s="64">
        <f>IF(BX10=0,"",IF(BX10=VLOOKUP("PCS-30604g",[6]ARBOR!$A:$C,3,0),0.0001,IF(BX10&gt;VLOOKUP("PCS-30604g",[6]ARBOR!$A:$C,3,0),"Maior que CAP!",IF((DOLLAR(BX10+(VLOOKUP("PCS-30604g",[6]ARBOR!$A:$C,3,0)*-TRUNC(BX10/VLOOKUP("PCS-30604g",[6]ARBOR!$A:$C,3,0)-1,4)),6))&lt;&gt;(DOLLAR(VLOOKUP("PCS-30604g",[6]ARBOR!$A:$C,3,0),6)),-TRUNC(BX10/VLOOKUP("PCS-30604g",[6]ARBOR!$A:$C,3,0)-1,4)+0.0001,-TRUNC(BX10/VLOOKUP("PCS-30604g",[6]ARBOR!$A:$C,3,0)-1,4)))))</f>
        <v>0.53679999999999994</v>
      </c>
      <c r="BZ10" s="65" t="str">
        <f>IF(ISERROR(IF(BY10="","",VLOOKUP(($BH10&amp;BY10&amp;"Template de desconto FLAT bundle - Velox XDSL - Varejo"),[6]BENEFICIOS!$A:$E,5,0))),"Criar",IF(BY10="","",VLOOKUP(($BH10&amp;BY10&amp;"Template de desconto FLAT bundle - Velox XDSL - Varejo"),[6]BENEFICIOS!$A:$E,5,0)))</f>
        <v>MKT-1-9865126733</v>
      </c>
      <c r="CA10" s="104" t="s">
        <v>243</v>
      </c>
      <c r="CB10" s="69">
        <v>44.9</v>
      </c>
      <c r="CC10" s="64">
        <f>IF(CB10=0,"",IF(CB10=VLOOKUP("PCS-30631g",[6]ARBOR!$A:$C,3,0),0.0001,IF(CB10&gt;VLOOKUP("PCS-30631g",[6]ARBOR!$A:$C,3,0),"Maior que CAP!",IF((DOLLAR(CB10+(VLOOKUP("PCS-30631g",[6]ARBOR!$A:$C,3,0)*-TRUNC(CB10/VLOOKUP("PCS-30631g",[6]ARBOR!$A:$C,3,0)-1,4)),6))&lt;&gt;(DOLLAR(VLOOKUP("PCS-30631g",[6]ARBOR!$A:$C,3,0),6)),-TRUNC(CB10/VLOOKUP("PCS-30631g",[6]ARBOR!$A:$C,3,0)-1,4)+0.0001,-TRUNC(CB10/VLOOKUP("PCS-30631g",[6]ARBOR!$A:$C,3,0)-1,4)))))</f>
        <v>0.54310000000000003</v>
      </c>
      <c r="CD10" s="65" t="str">
        <f>IF(ISERROR(IF(CC10="","",VLOOKUP(($BH10&amp;CC10&amp;"Template de desconto FLAT bundle - Velox XDSL - Varejo"),[6]BENEFICIOS!$A:$E,5,0))),"Criar",IF(CC10="","",VLOOKUP(($BH10&amp;CC10&amp;"Template de desconto FLAT bundle - Velox XDSL - Varejo"),[6]BENEFICIOS!$A:$E,5,0)))</f>
        <v>MKT-1-9865126826</v>
      </c>
      <c r="CE10" s="68" t="s">
        <v>164</v>
      </c>
      <c r="CF10" s="69">
        <v>49.9</v>
      </c>
      <c r="CG10" s="64">
        <f>IF(CF10=0,"",IF(CF10=VLOOKUP("PCS-30658g",[6]ARBOR!$A:$C,3,0),0.0001,IF(CF10&gt;VLOOKUP("PCS-30658g",[6]ARBOR!$A:$C,3,0),"Maior que CAP!",IF((DOLLAR(CF10+(VLOOKUP("PCS-30658g",[6]ARBOR!$A:$C,3,0)*-TRUNC(CF10/VLOOKUP("PCS-30658g",[6]ARBOR!$A:$C,3,0)-1,4)),6))&lt;&gt;(DOLLAR(VLOOKUP("PCS-30658g",[6]ARBOR!$A:$C,3,0),6)),-TRUNC(CF10/VLOOKUP("PCS-30658g",[6]ARBOR!$A:$C,3,0)-1,4)+0.0001,-TRUNC(CF10/VLOOKUP("PCS-30658g",[6]ARBOR!$A:$C,3,0)-1,4)))))</f>
        <v>0.55569999999999997</v>
      </c>
      <c r="CH10" s="65" t="str">
        <f>IF(ISERROR(IF(CG10="","",VLOOKUP(($BH10&amp;CG10&amp;"Template de desconto FLAT bundle - Velox XDSL - Varejo"),[6]BENEFICIOS!$A:$E,5,0))),"Criar",IF(CG10="","",VLOOKUP(($BH10&amp;CG10&amp;"Template de desconto FLAT bundle - Velox XDSL - Varejo"),[6]BENEFICIOS!$A:$E,5,0)))</f>
        <v>MKT-1-9865126919</v>
      </c>
      <c r="CI10" s="68" t="s">
        <v>164</v>
      </c>
      <c r="CJ10" s="69">
        <v>49.9</v>
      </c>
      <c r="CK10" s="64">
        <f>IF(CJ10=0,"",IF(CJ10=VLOOKUP("PCS-30685g",[6]ARBOR!$A:$C,3,0),0.0001,IF(CJ10&gt;VLOOKUP("PCS-30685g",[6]ARBOR!$A:$C,3,0),"Maior que CAP!",IF((DOLLAR(CJ10+(VLOOKUP("PCS-30685g",[6]ARBOR!$A:$C,3,0)*-TRUNC(CJ10/VLOOKUP("PCS-30685g",[6]ARBOR!$A:$C,3,0)-1,4)),6))&lt;&gt;(DOLLAR(VLOOKUP("PCS-30685g",[6]ARBOR!$A:$C,3,0),6)),-TRUNC(CJ10/VLOOKUP("PCS-30685g",[6]ARBOR!$A:$C,3,0)-1,4)+0.0001,-TRUNC(CJ10/VLOOKUP("PCS-30685g",[6]ARBOR!$A:$C,3,0)-1,4)))))</f>
        <v>0.60509999999999997</v>
      </c>
      <c r="CL10" s="65" t="str">
        <f>IF(ISERROR(IF(CK10="","",VLOOKUP(($BH10&amp;CK10&amp;"Template de desconto FLAT bundle - Velox XDSL - Varejo"),[6]BENEFICIOS!$A:$E,5,0))),"Criar",IF(CK10="","",VLOOKUP(($BH10&amp;CK10&amp;"Template de desconto FLAT bundle - Velox XDSL - Varejo"),[6]BENEFICIOS!$A:$E,5,0)))</f>
        <v>MKT-1-9865694381</v>
      </c>
      <c r="CM10" s="68" t="s">
        <v>164</v>
      </c>
      <c r="CN10" s="69">
        <v>49.9</v>
      </c>
      <c r="CO10" s="64">
        <f>IF(CN10=0,"",IF(CN10=VLOOKUP("PCS-30712g",[6]ARBOR!$A:$C,3,0),0.0001,IF(CN10&gt;VLOOKUP("PCS-30712g",[6]ARBOR!$A:$C,3,0),"Maior que CAP!",IF((DOLLAR(CN10+(VLOOKUP("PCS-30712g",[6]ARBOR!$A:$C,3,0)*-TRUNC(CN10/VLOOKUP("PCS-30712g",[6]ARBOR!$A:$C,3,0)-1,4)),6))&lt;&gt;(DOLLAR(VLOOKUP("PCS-30712g",[6]ARBOR!$A:$C,3,0),6)),-TRUNC(CN10/VLOOKUP("PCS-30712g",[6]ARBOR!$A:$C,3,0)-1,4)+0.0001,-TRUNC(CN10/VLOOKUP("PCS-30712g",[6]ARBOR!$A:$C,3,0)-1,4)))))</f>
        <v>0.64459999999999995</v>
      </c>
      <c r="CP10" s="65" t="str">
        <f>IF(ISERROR(IF(CO10="","",VLOOKUP(($BH10&amp;CO10&amp;"Template de desconto FLAT bundle - Velox XDSL - Varejo"),[6]BENEFICIOS!$A:$E,5,0))),"Criar",IF(CO10="","",VLOOKUP(($BH10&amp;CO10&amp;"Template de desconto FLAT bundle - Velox XDSL - Varejo"),[6]BENEFICIOS!$A:$E,5,0)))</f>
        <v>MKT-1-9865191105</v>
      </c>
      <c r="CQ10" s="68" t="s">
        <v>164</v>
      </c>
      <c r="CR10" s="69">
        <v>59.9</v>
      </c>
      <c r="CS10" s="64">
        <f>IF(CR10=0,"",IF(CR10=VLOOKUP("PCS-30739g",[6]ARBOR!$A:$C,3,0),0.0001,IF(CR10&gt;VLOOKUP("PCS-30739g",[6]ARBOR!$A:$C,3,0),"Maior que CAP!",IF((DOLLAR(CR10+(VLOOKUP("PCS-30739g",[6]ARBOR!$A:$C,3,0)*-TRUNC(CR10/VLOOKUP("PCS-30739g",[6]ARBOR!$A:$C,3,0)-1,4)),6))&lt;&gt;(DOLLAR(VLOOKUP("PCS-30739g",[6]ARBOR!$A:$C,3,0),6)),-TRUNC(CR10/VLOOKUP("PCS-30739g",[6]ARBOR!$A:$C,3,0)-1,4)+0.0001,-TRUNC(CR10/VLOOKUP("PCS-30739g",[6]ARBOR!$A:$C,3,0)-1,4)))))</f>
        <v>0.71560000000000001</v>
      </c>
      <c r="CT10" s="65" t="str">
        <f>IF(ISERROR(IF(CS10="","",VLOOKUP(($BH10&amp;CS10&amp;"Template de desconto FLAT bundle - Velox XDSL - Varejo"),[6]BENEFICIOS!$A:$E,5,0))),"Criar",IF(CS10="","",VLOOKUP(($BH10&amp;CS10&amp;"Template de desconto FLAT bundle - Velox XDSL - Varejo"),[6]BENEFICIOS!$A:$E,5,0)))</f>
        <v>MKT-1-9865191198</v>
      </c>
      <c r="CU10" s="69"/>
      <c r="CV10" s="70"/>
      <c r="CW10" s="64"/>
      <c r="CX10" s="65"/>
      <c r="CY10" s="68" t="s">
        <v>164</v>
      </c>
      <c r="CZ10" s="69">
        <v>59.9</v>
      </c>
      <c r="DA10" s="64">
        <f>IF(CZ10=0,"",IF(CZ10=VLOOKUP("PCS-30766g",[6]ARBOR!$A:$C,3,0),0.0001,IF(CZ10&gt;VLOOKUP("PCS-30766g",[6]ARBOR!$A:$C,3,0),"Maior que CAP!",IF((DOLLAR(CZ10+(VLOOKUP("PCS-30766g",[6]ARBOR!$A:$C,3,0)*-TRUNC(CZ10/VLOOKUP("PCS-30766g",[6]ARBOR!$A:$C,3,0)-1,4)),6))&lt;&gt;(DOLLAR(VLOOKUP("PCS-30766g",[6]ARBOR!$A:$C,3,0),6)),-TRUNC(CZ10/VLOOKUP("PCS-30766g",[6]ARBOR!$A:$C,3,0)-1,4)+0.0001,-TRUNC(CZ10/VLOOKUP("PCS-30766g",[6]ARBOR!$A:$C,3,0)-1,4)))))</f>
        <v>0.78669999999999995</v>
      </c>
      <c r="DB10" s="65" t="str">
        <f>IF(ISERROR(IF(DA10="","",VLOOKUP(($BH10&amp;DA10&amp;"Template de desconto FLAT bundle - Velox XDSL - Varejo"),[6]BENEFICIOS!$A:$E,5,0))),"Criar",IF(DA10="","",VLOOKUP(($BH10&amp;DA10&amp;"Template de desconto FLAT bundle - Velox XDSL - Varejo"),[6]BENEFICIOS!$A:$E,5,0)))</f>
        <v>MKT-1-9865191291</v>
      </c>
      <c r="DC10" s="69"/>
      <c r="DD10" s="70"/>
      <c r="DE10" s="64"/>
      <c r="DF10" s="65"/>
      <c r="DG10" s="68" t="s">
        <v>243</v>
      </c>
      <c r="DH10" s="69">
        <v>69.900000000000006</v>
      </c>
      <c r="DI10" s="64">
        <f>IF(DH10=0,"",IF(DH10=VLOOKUP("PCS-30793g",[6]ARBOR!$A:$C,3,0),0.0001,IF(DH10&gt;VLOOKUP("PCS-30793g",[6]ARBOR!$A:$C,3,0),"Maior que CAP!",IF((DOLLAR(DH10+(VLOOKUP("PCS-30793g",[6]ARBOR!$A:$C,3,0)*-TRUNC(DH10/VLOOKUP("PCS-30793g",[6]ARBOR!$A:$C,3,0)-1,4)),6))&lt;&gt;(DOLLAR(VLOOKUP("PCS-30793g",[6]ARBOR!$A:$C,3,0),6)),-TRUNC(DH10/VLOOKUP("PCS-30793g",[6]ARBOR!$A:$C,3,0)-1,4)+0.0001,-TRUNC(DH10/VLOOKUP("PCS-30793g",[6]ARBOR!$A:$C,3,0)-1,4)))))</f>
        <v>0.75109999999999999</v>
      </c>
      <c r="DJ10" s="65" t="str">
        <f>IF(ISERROR(IF(DI10="","",VLOOKUP(($BH10&amp;DI10&amp;"Template de desconto FLAT bundle - Velox XDSL - Varejo"),[6]BENEFICIOS!$A:$E,5,0))),"Criar",IF(DI10="","",VLOOKUP(($BH10&amp;DI10&amp;"Template de desconto FLAT bundle - Velox XDSL - Varejo"),[6]BENEFICIOS!$A:$E,5,0)))</f>
        <v>MKT-1-9865191384</v>
      </c>
      <c r="DK10" s="69"/>
      <c r="DL10" s="70"/>
      <c r="DM10" s="64"/>
      <c r="DN10" s="65"/>
      <c r="DO10" s="68" t="s">
        <v>164</v>
      </c>
      <c r="DP10" s="69">
        <v>69.900000000000006</v>
      </c>
      <c r="DQ10" s="64">
        <f>IF(DP10=0,"",IF(DP10=VLOOKUP("PCS-30820g",[6]ARBOR!$A:$C,3,0),0.0001,IF(DP10&gt;VLOOKUP("PCS-30820g",[6]ARBOR!$A:$C,3,0),"Maior que CAP!",IF((DOLLAR(DP10+(VLOOKUP("PCS-30820g",[6]ARBOR!$A:$C,3,0)*-TRUNC(DP10/VLOOKUP("PCS-30820g",[6]ARBOR!$A:$C,3,0)-1,4)),6))&lt;&gt;(DOLLAR(VLOOKUP("PCS-30820g",[6]ARBOR!$A:$C,3,0),6)),-TRUNC(DP10/VLOOKUP("PCS-30820g",[6]ARBOR!$A:$C,3,0)-1,4)+0.0001,-TRUNC(DP10/VLOOKUP("PCS-30820g",[6]ARBOR!$A:$C,3,0)-1,4)))))</f>
        <v>0.75109999999999999</v>
      </c>
      <c r="DR10" s="65" t="str">
        <f>IF(ISERROR(IF(DQ10="","",VLOOKUP(($BH10&amp;DQ10&amp;"Template de desconto FLAT bundle - Velox XDSL - Varejo"),[6]BENEFICIOS!$A:$E,5,0))),"Criar",IF(DQ10="","",VLOOKUP(($BH10&amp;DQ10&amp;"Template de desconto FLAT bundle - Velox XDSL - Varejo"),[6]BENEFICIOS!$A:$E,5,0)))</f>
        <v>MKT-1-9865191384</v>
      </c>
      <c r="DS10" s="69"/>
      <c r="DT10" s="70"/>
      <c r="DU10" s="64"/>
      <c r="DV10" s="65"/>
      <c r="DW10" s="71"/>
      <c r="DX10" s="64" t="str">
        <f>IF(DW10=0,"",IF(DW10=VLOOKUP("PCS-21448p2",[6]ARBOR!$A:$C,3,0),0.0001,IF(DW10&gt;VLOOKUP("PCS-21448p2",[6]ARBOR!$A:$C,3,0),"Maior que CAP!",IF((DOLLAR(DW10+(VLOOKUP("PCS-21448p2",[6]ARBOR!$A:$C,3,0)*-TRUNC(DW10/VLOOKUP("PCS-21448p2",[6]ARBOR!$A:$C,3,0)-1,4)),6))&lt;&gt;(DOLLAR(VLOOKUP("PCS-21448p2",[6]ARBOR!$A:$C,3,0),6)),-TRUNC(DW10/VLOOKUP("PCS-21448p2",[6]ARBOR!$A:$C,3,0)-1,4)+0.0001,-TRUNC(DW10/VLOOKUP("PCS-21448p2",[6]ARBOR!$A:$C,3,0)-1,4)))))</f>
        <v/>
      </c>
      <c r="DY10" s="65" t="str">
        <f>IF(ISERROR(IF(DX10="","",VLOOKUP(("Oi Conta Total Plug 10GB Downgrade"&amp;DX10&amp;"Template de desconto percentual BL Móvel - Internet Total - Varejo"),[6]BENEFICIOS!$A:$E,5,0))),"Criar",IF(DX10="","",VLOOKUP(("Oi Conta Total Plug 10GB Downgrade"&amp;DX10&amp;"Template de desconto percentual BL Móvel - Internet Total - Varejo"),[6]BENEFICIOS!$A:$E,5,0)))</f>
        <v/>
      </c>
      <c r="DZ10" s="71">
        <v>19.899999999999999</v>
      </c>
      <c r="EA10" s="72">
        <f>IF(DZ10=0,"",IF(DZ10=VLOOKUP("SVA",[6]ARBOR!$A:$C,3,0),0.0001,IF(DZ10&gt;VLOOKUP("SVA",[6]ARBOR!$A:$C,3,0),"Maior que CAP!",IF((DOLLAR(DZ10+(VLOOKUP("SVA",[6]ARBOR!$A:$C,3,0)*-TRUNC(DZ10/VLOOKUP("SVA",[6]ARBOR!$A:$C,3,0)-1,4)),6))&lt;&gt;(DOLLAR(VLOOKUP("SVA",[6]ARBOR!$A:$C,3,0),6)),-TRUNC(DZ10/VLOOKUP("SVA",[6]ARBOR!$A:$C,3,0)-1,4)+0.0001,-TRUNC(DZ10/VLOOKUP("SVA",[6]ARBOR!$A:$C,3,0)-1,4)))))</f>
        <v>7.1400000000000005E-2</v>
      </c>
      <c r="EB10" s="65" t="s">
        <v>244</v>
      </c>
      <c r="EC10" s="69"/>
      <c r="ED10" s="73"/>
      <c r="EE10" s="74"/>
      <c r="EF10" s="65"/>
      <c r="EG10" s="75">
        <f>IF(BI10="","",VLOOKUP(BI10,[6]ARBOR!A:C,3,0))</f>
        <v>479.46</v>
      </c>
      <c r="EH10" s="69">
        <v>15</v>
      </c>
      <c r="EI10" s="76">
        <f>IF(EH10="","",1-(EH10/VLOOKUP(BI10&amp;"ASS",[6]ARBOR!A:C,3,0)))</f>
        <v>0.34725848563968664</v>
      </c>
      <c r="EJ10" s="77" t="s">
        <v>227</v>
      </c>
      <c r="EK10" s="78" t="s">
        <v>228</v>
      </c>
      <c r="EL10" s="69">
        <v>154.54999999999998</v>
      </c>
      <c r="EM10" s="64">
        <f>ROUND(IF(EL10=0,"",IF(EL10=EG10,0.0001,1-((EL10+(VLOOKUP(BI10&amp;"ASS",[6]ARBOR!A:C,3,0)-EH10))/EG10))),4)</f>
        <v>0.66100000000000003</v>
      </c>
      <c r="EN10" s="65" t="str">
        <f>IF(ISERROR(IF(EM10="","",VLOOKUP(($BH10&amp;EM10&amp;"Template de desconto percentual FLAT Móvel - Conta Total - Varejo - Ganho Tributário Cross"),[6]BENEFICIOS!$A:$E,5,0))),"Criar",IF(EM10="","",VLOOKUP(($BH10&amp;EM10&amp;"Template de desconto percentual FLAT Móvel - Conta Total - Varejo - Ganho Tributário Cross"),[6]BENEFICIOS!$A:$E,5,0)))</f>
        <v>Criar</v>
      </c>
      <c r="EO10" s="79"/>
      <c r="EP10" s="64"/>
      <c r="EQ10" s="72"/>
      <c r="ER10" s="72"/>
      <c r="ES10" s="64"/>
      <c r="ET10" s="80"/>
      <c r="EU10" s="81" t="s">
        <v>247</v>
      </c>
      <c r="EV10" s="81" t="s">
        <v>259</v>
      </c>
      <c r="EW10" s="82"/>
      <c r="EX10" s="83"/>
      <c r="EY10" s="84"/>
      <c r="EZ10" s="82"/>
      <c r="FA10" s="83"/>
      <c r="FB10" s="84"/>
      <c r="FC10" s="82"/>
      <c r="FD10" s="83" t="str">
        <f>IF(FC10=0,"",IF(FC10=VLOOKUP("PCS-10357",[6]ARBOR!$A:$C,3,0),0.0001,IF(FC10&gt;VLOOKUP("PCS-10357",[6]ARBOR!$A:$C,3,0),"Maior que CAP!",ROUND(-1*(FC10/VLOOKUP("PCS-10357",[6]ARBOR!$A:$C,3,0)-1),4))))</f>
        <v/>
      </c>
      <c r="FE10" s="84" t="str">
        <f>IF(ISERROR(IF(FD10="","",VLOOKUP(("Oi Internet Pra Celular 1GB"&amp;FD10&amp;"Template Flat Instância Dados"),[6]BENEFICIOS!$A:$E,5,0))),"Criar",IF(FD10="","",VLOOKUP(("Oi Internet Pra Celular 1GB"&amp;FD10&amp;"Template Flat Instância Dados"),[6]BENEFICIOS!$A:$E,5,0)))</f>
        <v/>
      </c>
      <c r="FF10" s="82"/>
      <c r="FG10" s="83" t="str">
        <f>IF(FF10=0,"",IF(FF10=VLOOKUP("PCS-813565",[6]ARBOR!$A:$C,3,0),0.0001,IF(FF10&gt;VLOOKUP("PCS-813565",[6]ARBOR!$A:$C,3,0),"Maior que CAP!",ROUND(-1*(FF10/VLOOKUP("PCS-813565",[6]ARBOR!$A:$C,3,0)-1),4))))</f>
        <v/>
      </c>
      <c r="FH10" s="84" t="str">
        <f>IF(ISERROR(IF(FG10="","",VLOOKUP(("Oi Internet Pra Celular 2GB"&amp;FG10&amp;"Template Flat Instância Dados"),[6]BENEFICIOS!$A:$E,5,0))),"Criar",IF(FG10="","",VLOOKUP(("Oi Internet Pra Celular 2GB"&amp;FG10&amp;"Template Flat Instância Dados"),[6]BENEFICIOS!$A:$E,5,0)))</f>
        <v/>
      </c>
      <c r="FI10" s="82">
        <v>12.35</v>
      </c>
      <c r="FJ10" s="83">
        <f>IF(FI10=0,"",IF(FI10=VLOOKUP("PCS-7171B",[6]ARBOR!$A:$C,3,0),0.0001,IF(FI10&gt;VLOOKUP("PCS-7171B",[6]ARBOR!$A:$C,3,0),"Maior que CAP!",ROUND(-1*(FI10/VLOOKUP("PCS-7171B",[6]ARBOR!$A:$C,3,0)-1),4))))</f>
        <v>0.87419999999999998</v>
      </c>
      <c r="FK10" s="84" t="str">
        <f>IF(ISERROR(IF(FJ10="","",VLOOKUP(("Oi Internet Pra Celular 3GB"&amp;FJ10&amp;"Template Flat Instância Dados"),[6]BENEFICIOS!$A:$E,5,0))),"Criar",IF(FJ10="","",VLOOKUP(("Oi Internet Pra Celular 3GB"&amp;FJ10&amp;"Template Flat Instância Dados"),[6]BENEFICIOS!$A:$E,5,0)))</f>
        <v>MKT-1-9870092975</v>
      </c>
      <c r="FL10" s="82"/>
      <c r="FM10" s="83" t="str">
        <f>IF(FL10=0,"",IF(FL10=VLOOKUP("PCS-51793o08",[6]ARBOR!$A:$C,3,0),0.0001,IF(FL10&gt;VLOOKUP("PCS-51793o08",[6]ARBOR!$A:$C,3,0),"Maior que CAP!",ROUND(-1*(FL10/VLOOKUP("PCS-51793o08",[6]ARBOR!$A:$C,3,0)-1),4))))</f>
        <v/>
      </c>
      <c r="FN10" s="84" t="str">
        <f>IF(ISERROR(IF(FM10="","",VLOOKUP(("Oi Internet Pra Celular 5GB"&amp;FM10&amp;"Template Flat Instância Dados"),[6]BENEFICIOS!$A:$E,5,0))),"Criar",IF(FM10="","",VLOOKUP(("Oi Internet Pra Celular 5GB"&amp;FM10&amp;"Template Flat Instância Dados"),[6]BENEFICIOS!$A:$E,5,0)))</f>
        <v/>
      </c>
      <c r="FO10" s="82"/>
      <c r="FP10" s="83" t="str">
        <f>IF(FO10=0,"",IF(FO10=VLOOKUP("PCS-7171A",[6]ARBOR!$A:$C,3,0),0.0001,IF(FO10&gt;VLOOKUP("PCS-7171A",[6]ARBOR!$A:$C,3,0),"Maior que CAP!",ROUND(-1*(FO10/VLOOKUP("PCS-7171A",[6]ARBOR!$A:$C,3,0)-1),4))))</f>
        <v/>
      </c>
      <c r="FQ10" s="84" t="str">
        <f>IF(ISERROR(IF(FP10="","",VLOOKUP(("Oi Internet Pra Celular 10GB"&amp;FP10&amp;"Template Flat Instância Dados"),[6]BENEFICIOS!$A:$E,5,0))),"Criar",IF(FP10="","",VLOOKUP(("Oi Internet Pra Celular 10GB"&amp;FP10&amp;"Template Flat Instância Dados"),[6]BENEFICIOS!$A:$E,5,0)))</f>
        <v/>
      </c>
      <c r="FR10" s="85">
        <v>0.74219999999999997</v>
      </c>
      <c r="FS10" s="86" t="s">
        <v>249</v>
      </c>
      <c r="FT10" s="48"/>
      <c r="FU10" s="87"/>
      <c r="FV10" s="88" t="s">
        <v>224</v>
      </c>
      <c r="FW10" s="49" t="s">
        <v>229</v>
      </c>
      <c r="FX10" s="89">
        <v>999</v>
      </c>
      <c r="FY10" s="49">
        <v>12</v>
      </c>
      <c r="FZ10" s="90" t="s">
        <v>230</v>
      </c>
      <c r="GA10" s="91" t="str">
        <f t="shared" si="1"/>
        <v>PCS-Fk83324</v>
      </c>
      <c r="GB10" s="92" t="str">
        <f t="shared" si="2"/>
        <v>PCS-SBL553142</v>
      </c>
      <c r="GC10" s="93" t="s">
        <v>231</v>
      </c>
      <c r="GD10" s="90" t="s">
        <v>232</v>
      </c>
      <c r="GE10" s="92" t="s">
        <v>233</v>
      </c>
      <c r="GF10" s="93" t="s">
        <v>234</v>
      </c>
      <c r="GG10" s="90" t="s">
        <v>235</v>
      </c>
      <c r="GH10" s="92" t="s">
        <v>236</v>
      </c>
      <c r="GI10" s="94" t="s">
        <v>237</v>
      </c>
      <c r="GJ10" s="95">
        <f>FI10+EL10+CN10+BJ10</f>
        <v>266.89999999999998</v>
      </c>
      <c r="GK10" s="96"/>
      <c r="GL10" s="97" t="s">
        <v>238</v>
      </c>
      <c r="GM10" s="98" t="s">
        <v>239</v>
      </c>
      <c r="GN10" s="97">
        <f>VLOOKUP($A10,'[6]TABELA COM TUDO'!$A:$AB,25,0)</f>
        <v>14</v>
      </c>
      <c r="GO10" s="99">
        <f>VLOOKUP($A10,'[6]TABELA COM TUDO'!$A:$AB,26,0)</f>
        <v>3.61</v>
      </c>
      <c r="GP10" s="100">
        <f t="shared" si="8"/>
        <v>0.74209999999999998</v>
      </c>
      <c r="GQ10" s="97">
        <f t="shared" si="4"/>
        <v>10.38</v>
      </c>
      <c r="GR10" s="97">
        <f t="shared" si="5"/>
        <v>3.6199999999999992</v>
      </c>
      <c r="GS10" s="101"/>
      <c r="GT10" s="101"/>
      <c r="GU10" s="102" t="b">
        <f t="shared" si="6"/>
        <v>0</v>
      </c>
      <c r="GV10" s="103">
        <f t="shared" si="7"/>
        <v>9.9999999999993427E-3</v>
      </c>
      <c r="GW10" s="44" t="s">
        <v>262</v>
      </c>
      <c r="GX10" s="44" t="s">
        <v>241</v>
      </c>
    </row>
    <row r="11" spans="1:206" s="44" customFormat="1" x14ac:dyDescent="0.25">
      <c r="A11" s="44" t="str">
        <f t="shared" si="0"/>
        <v>Oi Total Fixo + Pós 800 + Banda LargaN15GBMG</v>
      </c>
      <c r="B11" s="45" t="s">
        <v>214</v>
      </c>
      <c r="C11" s="46" t="s">
        <v>130</v>
      </c>
      <c r="D11" s="46" t="s">
        <v>215</v>
      </c>
      <c r="E11" s="47" t="s">
        <v>216</v>
      </c>
      <c r="F11" s="48" t="s">
        <v>217</v>
      </c>
      <c r="G11" s="49"/>
      <c r="H11" s="49"/>
      <c r="I11" s="49"/>
      <c r="J11" s="49" t="s">
        <v>217</v>
      </c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 t="s">
        <v>217</v>
      </c>
      <c r="AC11" s="49" t="s">
        <v>217</v>
      </c>
      <c r="AD11" s="49" t="s">
        <v>217</v>
      </c>
      <c r="AE11" s="49" t="s">
        <v>217</v>
      </c>
      <c r="AF11" s="49" t="s">
        <v>217</v>
      </c>
      <c r="AG11" s="49" t="s">
        <v>217</v>
      </c>
      <c r="AH11" s="50"/>
      <c r="AI11" s="49" t="s">
        <v>217</v>
      </c>
      <c r="AJ11" s="49" t="s">
        <v>217</v>
      </c>
      <c r="AK11" s="49" t="s">
        <v>217</v>
      </c>
      <c r="AL11" s="49" t="s">
        <v>217</v>
      </c>
      <c r="AM11" s="49" t="s">
        <v>217</v>
      </c>
      <c r="AN11" s="49" t="s">
        <v>217</v>
      </c>
      <c r="AO11" s="49" t="s">
        <v>217</v>
      </c>
      <c r="AP11" s="49"/>
      <c r="AQ11" s="51"/>
      <c r="AR11" s="52" t="s">
        <v>263</v>
      </c>
      <c r="AS11" s="46" t="s">
        <v>219</v>
      </c>
      <c r="AT11" s="53" t="s">
        <v>220</v>
      </c>
      <c r="AU11" s="54">
        <v>42972</v>
      </c>
      <c r="AV11" s="55">
        <v>43038</v>
      </c>
      <c r="AW11" s="56" t="s">
        <v>221</v>
      </c>
      <c r="AX11" s="57" t="s">
        <v>221</v>
      </c>
      <c r="AY11" s="58"/>
      <c r="AZ11" s="58" t="s">
        <v>222</v>
      </c>
      <c r="BA11" s="58">
        <v>20</v>
      </c>
      <c r="BB11" s="58">
        <v>10000</v>
      </c>
      <c r="BC11" s="59" t="s">
        <v>223</v>
      </c>
      <c r="BD11" s="60" t="s">
        <v>224</v>
      </c>
      <c r="BE11" s="58" t="s">
        <v>216</v>
      </c>
      <c r="BF11" s="51" t="s">
        <v>216</v>
      </c>
      <c r="BG11" s="45" t="s">
        <v>263</v>
      </c>
      <c r="BH11" s="61" t="s">
        <v>225</v>
      </c>
      <c r="BI11" s="62" t="str">
        <f>IF(ISERROR(VLOOKUP(BH11,[6]PLANOS!B:C,2,0)),"",VLOOKUP(BH11,[6]PLANOS!B:C,2,0))</f>
        <v>PCS-4P6pi</v>
      </c>
      <c r="BJ11" s="63">
        <v>50.1</v>
      </c>
      <c r="BK11" s="64">
        <f>IF(BJ11=0,"",IF(BJ11=VLOOKUP("FIXO",[6]ARBOR!$A:$C,3,0),0.0001,IF(BJ11&gt;VLOOKUP("FIXO",[6]ARBOR!$A:$C,3,0),"Maior que CAP!",IF((DOLLAR(BJ11+(VLOOKUP("FIXO",[6]ARBOR!$A:$C,3,0)*-TRUNC(BJ11/VLOOKUP("FIXO",[6]ARBOR!$A:$C,3,0)-1,4)),6))&lt;&gt;(DOLLAR(VLOOKUP("FIXO",[6]ARBOR!$A:$C,3,0),6)),-TRUNC(BJ11/VLOOKUP("FIXO",[6]ARBOR!$A:$C,3,0)-1,4)+0.0001,-TRUNC(BJ11/VLOOKUP("FIXO",[6]ARBOR!$A:$C,3,0)-1,4)))))</f>
        <v>0.33939999999999998</v>
      </c>
      <c r="BL11" s="65" t="str">
        <f>IF(ISERROR(IF(BK11="","",VLOOKUP(($BH11&amp;BK11&amp;"Template de desconto FLAT bundle - Fixo - Varejo - Ganho Tributário Cross"),[6]BENEFICIOS!$A:$E,5,0))),"Criar",IF(BK11="","",VLOOKUP(($BH11&amp;BK11&amp;"Template de desconto FLAT bundle - Fixo - Varejo - Ganho Tributário Cross"),[6]BENEFICIOS!$A:$E,5,0)))</f>
        <v>MKT-1-9856472058</v>
      </c>
      <c r="BM11" s="66"/>
      <c r="BN11" s="67"/>
      <c r="BO11" s="68" t="s">
        <v>164</v>
      </c>
      <c r="BP11" s="69">
        <v>44.9</v>
      </c>
      <c r="BQ11" s="64">
        <f>IF(BP11=0,"",IF(BP11=VLOOKUP("PCS-30874g",[6]ARBOR!$A:$C,3,0),0.0001,IF(BP11&gt;VLOOKUP("PCS-30874g",[6]ARBOR!$A:$C,3,0),"Maior que CAP!",IF((DOLLAR(BP11+(VLOOKUP("PCS-30874g",[6]ARBOR!$A:$C,3,0)*-TRUNC(BP11/VLOOKUP("PCS-30874g",[6]ARBOR!$A:$C,3,0)-1,4)),6))&lt;&gt;(DOLLAR(VLOOKUP("PCS-30874g",[6]ARBOR!$A:$C,3,0),6)),-TRUNC(BP11/VLOOKUP("PCS-30874g",[6]ARBOR!$A:$C,3,0)-1,4)+0.0001,-TRUNC(BP11/VLOOKUP("PCS-30874g",[6]ARBOR!$A:$C,3,0)-1,4)))))</f>
        <v>0.53679999999999994</v>
      </c>
      <c r="BR11" s="65" t="str">
        <f>IF(ISERROR(IF(BQ11="","",VLOOKUP(($BH11&amp;BQ11&amp;"Template de desconto FLAT bundle - Velox XDSL - Varejo"),[6]BENEFICIOS!$A:$E,5,0))),"Criar",IF(BQ11="","",VLOOKUP(($BH11&amp;BQ11&amp;"Template de desconto FLAT bundle - Velox XDSL - Varejo"),[6]BENEFICIOS!$A:$E,5,0)))</f>
        <v>MKT-1-9865126733</v>
      </c>
      <c r="BS11" s="68" t="s">
        <v>164</v>
      </c>
      <c r="BT11" s="69">
        <v>44.9</v>
      </c>
      <c r="BU11" s="64">
        <f>IF(BT11=0,"",IF(BT11=VLOOKUP("PCS-30577g",[6]ARBOR!$A:$C,3,0),0.0001,IF(BT11&gt;VLOOKUP("PCS-30577g",[6]ARBOR!$A:$C,3,0),"Maior que CAP!",IF((DOLLAR(BT11+(VLOOKUP("PCS-30577g",[6]ARBOR!$A:$C,3,0)*-TRUNC(BT11/VLOOKUP("PCS-30577g",[6]ARBOR!$A:$C,3,0)-1,4)),6))&lt;&gt;(DOLLAR(VLOOKUP("PCS-30577g",[6]ARBOR!$A:$C,3,0),6)),-TRUNC(BT11/VLOOKUP("PCS-30577g",[6]ARBOR!$A:$C,3,0)-1,4)+0.0001,-TRUNC(BT11/VLOOKUP("PCS-30577g",[6]ARBOR!$A:$C,3,0)-1,4)))))</f>
        <v>0.53679999999999994</v>
      </c>
      <c r="BV11" s="65" t="str">
        <f>IF(ISERROR(IF(BU11="","",VLOOKUP(($BH11&amp;BU11&amp;"Template de desconto FLAT bundle - Velox XDSL - Varejo"),[6]BENEFICIOS!$A:$E,5,0))),"Criar",IF(BU11="","",VLOOKUP(($BH11&amp;BU11&amp;"Template de desconto FLAT bundle - Velox XDSL - Varejo"),[6]BENEFICIOS!$A:$E,5,0)))</f>
        <v>MKT-1-9865126733</v>
      </c>
      <c r="BW11" s="68" t="s">
        <v>164</v>
      </c>
      <c r="BX11" s="69">
        <v>44.9</v>
      </c>
      <c r="BY11" s="64">
        <f>IF(BX11=0,"",IF(BX11=VLOOKUP("PCS-30604g",[6]ARBOR!$A:$C,3,0),0.0001,IF(BX11&gt;VLOOKUP("PCS-30604g",[6]ARBOR!$A:$C,3,0),"Maior que CAP!",IF((DOLLAR(BX11+(VLOOKUP("PCS-30604g",[6]ARBOR!$A:$C,3,0)*-TRUNC(BX11/VLOOKUP("PCS-30604g",[6]ARBOR!$A:$C,3,0)-1,4)),6))&lt;&gt;(DOLLAR(VLOOKUP("PCS-30604g",[6]ARBOR!$A:$C,3,0),6)),-TRUNC(BX11/VLOOKUP("PCS-30604g",[6]ARBOR!$A:$C,3,0)-1,4)+0.0001,-TRUNC(BX11/VLOOKUP("PCS-30604g",[6]ARBOR!$A:$C,3,0)-1,4)))))</f>
        <v>0.53679999999999994</v>
      </c>
      <c r="BZ11" s="65" t="str">
        <f>IF(ISERROR(IF(BY11="","",VLOOKUP(($BH11&amp;BY11&amp;"Template de desconto FLAT bundle - Velox XDSL - Varejo"),[6]BENEFICIOS!$A:$E,5,0))),"Criar",IF(BY11="","",VLOOKUP(($BH11&amp;BY11&amp;"Template de desconto FLAT bundle - Velox XDSL - Varejo"),[6]BENEFICIOS!$A:$E,5,0)))</f>
        <v>MKT-1-9865126733</v>
      </c>
      <c r="CA11" s="68" t="s">
        <v>164</v>
      </c>
      <c r="CB11" s="69">
        <v>44.9</v>
      </c>
      <c r="CC11" s="64">
        <f>IF(CB11=0,"",IF(CB11=VLOOKUP("PCS-30631g",[6]ARBOR!$A:$C,3,0),0.0001,IF(CB11&gt;VLOOKUP("PCS-30631g",[6]ARBOR!$A:$C,3,0),"Maior que CAP!",IF((DOLLAR(CB11+(VLOOKUP("PCS-30631g",[6]ARBOR!$A:$C,3,0)*-TRUNC(CB11/VLOOKUP("PCS-30631g",[6]ARBOR!$A:$C,3,0)-1,4)),6))&lt;&gt;(DOLLAR(VLOOKUP("PCS-30631g",[6]ARBOR!$A:$C,3,0),6)),-TRUNC(CB11/VLOOKUP("PCS-30631g",[6]ARBOR!$A:$C,3,0)-1,4)+0.0001,-TRUNC(CB11/VLOOKUP("PCS-30631g",[6]ARBOR!$A:$C,3,0)-1,4)))))</f>
        <v>0.54310000000000003</v>
      </c>
      <c r="CD11" s="65" t="str">
        <f>IF(ISERROR(IF(CC11="","",VLOOKUP(($BH11&amp;CC11&amp;"Template de desconto FLAT bundle - Velox XDSL - Varejo"),[6]BENEFICIOS!$A:$E,5,0))),"Criar",IF(CC11="","",VLOOKUP(($BH11&amp;CC11&amp;"Template de desconto FLAT bundle - Velox XDSL - Varejo"),[6]BENEFICIOS!$A:$E,5,0)))</f>
        <v>MKT-1-9865126826</v>
      </c>
      <c r="CE11" s="68"/>
      <c r="CF11" s="69"/>
      <c r="CG11" s="64" t="str">
        <f>IF(CF11=0,"",IF(CF11=VLOOKUP("PCS-30658g",[6]ARBOR!$A:$C,3,0),0.0001,IF(CF11&gt;VLOOKUP("PCS-30658g",[6]ARBOR!$A:$C,3,0),"Maior que CAP!",IF((DOLLAR(CF11+(VLOOKUP("PCS-30658g",[6]ARBOR!$A:$C,3,0)*-TRUNC(CF11/VLOOKUP("PCS-30658g",[6]ARBOR!$A:$C,3,0)-1,4)),6))&lt;&gt;(DOLLAR(VLOOKUP("PCS-30658g",[6]ARBOR!$A:$C,3,0),6)),-TRUNC(CF11/VLOOKUP("PCS-30658g",[6]ARBOR!$A:$C,3,0)-1,4)+0.0001,-TRUNC(CF11/VLOOKUP("PCS-30658g",[6]ARBOR!$A:$C,3,0)-1,4)))))</f>
        <v/>
      </c>
      <c r="CH11" s="65" t="str">
        <f>IF(ISERROR(IF(CG11="","",VLOOKUP(($BH11&amp;CG11&amp;"Template de desconto FLAT bundle - Velox XDSL - Varejo"),[6]BENEFICIOS!$A:$E,5,0))),"Criar",IF(CG11="","",VLOOKUP(($BH11&amp;CG11&amp;"Template de desconto FLAT bundle - Velox XDSL - Varejo"),[6]BENEFICIOS!$A:$E,5,0)))</f>
        <v/>
      </c>
      <c r="CI11" s="68"/>
      <c r="CJ11" s="69"/>
      <c r="CK11" s="64" t="str">
        <f>IF(CJ11=0,"",IF(CJ11=VLOOKUP("PCS-30685g",[6]ARBOR!$A:$C,3,0),0.0001,IF(CJ11&gt;VLOOKUP("PCS-30685g",[6]ARBOR!$A:$C,3,0),"Maior que CAP!",IF((DOLLAR(CJ11+(VLOOKUP("PCS-30685g",[6]ARBOR!$A:$C,3,0)*-TRUNC(CJ11/VLOOKUP("PCS-30685g",[6]ARBOR!$A:$C,3,0)-1,4)),6))&lt;&gt;(DOLLAR(VLOOKUP("PCS-30685g",[6]ARBOR!$A:$C,3,0),6)),-TRUNC(CJ11/VLOOKUP("PCS-30685g",[6]ARBOR!$A:$C,3,0)-1,4)+0.0001,-TRUNC(CJ11/VLOOKUP("PCS-30685g",[6]ARBOR!$A:$C,3,0)-1,4)))))</f>
        <v/>
      </c>
      <c r="CL11" s="65" t="str">
        <f>IF(ISERROR(IF(CK11="","",VLOOKUP(($BH11&amp;CK11&amp;"Template de desconto FLAT bundle - Velox XDSL - Varejo"),[6]BENEFICIOS!$A:$E,5,0))),"Criar",IF(CK11="","",VLOOKUP(($BH11&amp;CK11&amp;"Template de desconto FLAT bundle - Velox XDSL - Varejo"),[6]BENEFICIOS!$A:$E,5,0)))</f>
        <v/>
      </c>
      <c r="CM11" s="68"/>
      <c r="CN11" s="69"/>
      <c r="CO11" s="64" t="str">
        <f>IF(CN11=0,"",IF(CN11=VLOOKUP("PCS-30712g",[6]ARBOR!$A:$C,3,0),0.0001,IF(CN11&gt;VLOOKUP("PCS-30712g",[6]ARBOR!$A:$C,3,0),"Maior que CAP!",IF((DOLLAR(CN11+(VLOOKUP("PCS-30712g",[6]ARBOR!$A:$C,3,0)*-TRUNC(CN11/VLOOKUP("PCS-30712g",[6]ARBOR!$A:$C,3,0)-1,4)),6))&lt;&gt;(DOLLAR(VLOOKUP("PCS-30712g",[6]ARBOR!$A:$C,3,0),6)),-TRUNC(CN11/VLOOKUP("PCS-30712g",[6]ARBOR!$A:$C,3,0)-1,4)+0.0001,-TRUNC(CN11/VLOOKUP("PCS-30712g",[6]ARBOR!$A:$C,3,0)-1,4)))))</f>
        <v/>
      </c>
      <c r="CP11" s="65" t="str">
        <f>IF(ISERROR(IF(CO11="","",VLOOKUP(($BH11&amp;CO11&amp;"Template de desconto FLAT bundle - Velox XDSL - Varejo"),[6]BENEFICIOS!$A:$E,5,0))),"Criar",IF(CO11="","",VLOOKUP(($BH11&amp;CO11&amp;"Template de desconto FLAT bundle - Velox XDSL - Varejo"),[6]BENEFICIOS!$A:$E,5,0)))</f>
        <v/>
      </c>
      <c r="CQ11" s="68"/>
      <c r="CR11" s="69"/>
      <c r="CS11" s="64" t="str">
        <f>IF(CR11=0,"",IF(CR11=VLOOKUP("PCS-30739g",[6]ARBOR!$A:$C,3,0),0.0001,IF(CR11&gt;VLOOKUP("PCS-30739g",[6]ARBOR!$A:$C,3,0),"Maior que CAP!",IF((DOLLAR(CR11+(VLOOKUP("PCS-30739g",[6]ARBOR!$A:$C,3,0)*-TRUNC(CR11/VLOOKUP("PCS-30739g",[6]ARBOR!$A:$C,3,0)-1,4)),6))&lt;&gt;(DOLLAR(VLOOKUP("PCS-30739g",[6]ARBOR!$A:$C,3,0),6)),-TRUNC(CR11/VLOOKUP("PCS-30739g",[6]ARBOR!$A:$C,3,0)-1,4)+0.0001,-TRUNC(CR11/VLOOKUP("PCS-30739g",[6]ARBOR!$A:$C,3,0)-1,4)))))</f>
        <v/>
      </c>
      <c r="CT11" s="65" t="str">
        <f>IF(ISERROR(IF(CS11="","",VLOOKUP(($BH11&amp;CS11&amp;"Template de desconto FLAT bundle - Velox XDSL - Varejo"),[6]BENEFICIOS!$A:$E,5,0))),"Criar",IF(CS11="","",VLOOKUP(($BH11&amp;CS11&amp;"Template de desconto FLAT bundle - Velox XDSL - Varejo"),[6]BENEFICIOS!$A:$E,5,0)))</f>
        <v/>
      </c>
      <c r="CU11" s="69"/>
      <c r="CV11" s="70"/>
      <c r="CW11" s="64"/>
      <c r="CX11" s="65"/>
      <c r="CY11" s="68"/>
      <c r="CZ11" s="69"/>
      <c r="DA11" s="64" t="str">
        <f>IF(CZ11=0,"",IF(CZ11=VLOOKUP("PCS-30766g",[6]ARBOR!$A:$C,3,0),0.0001,IF(CZ11&gt;VLOOKUP("PCS-30766g",[6]ARBOR!$A:$C,3,0),"Maior que CAP!",IF((DOLLAR(CZ11+(VLOOKUP("PCS-30766g",[6]ARBOR!$A:$C,3,0)*-TRUNC(CZ11/VLOOKUP("PCS-30766g",[6]ARBOR!$A:$C,3,0)-1,4)),6))&lt;&gt;(DOLLAR(VLOOKUP("PCS-30766g",[6]ARBOR!$A:$C,3,0),6)),-TRUNC(CZ11/VLOOKUP("PCS-30766g",[6]ARBOR!$A:$C,3,0)-1,4)+0.0001,-TRUNC(CZ11/VLOOKUP("PCS-30766g",[6]ARBOR!$A:$C,3,0)-1,4)))))</f>
        <v/>
      </c>
      <c r="DB11" s="65" t="str">
        <f>IF(ISERROR(IF(DA11="","",VLOOKUP(($BH11&amp;DA11&amp;"Template de desconto FLAT bundle - Velox XDSL - Varejo"),[6]BENEFICIOS!$A:$E,5,0))),"Criar",IF(DA11="","",VLOOKUP(($BH11&amp;DA11&amp;"Template de desconto FLAT bundle - Velox XDSL - Varejo"),[6]BENEFICIOS!$A:$E,5,0)))</f>
        <v/>
      </c>
      <c r="DC11" s="69"/>
      <c r="DD11" s="70"/>
      <c r="DE11" s="64"/>
      <c r="DF11" s="65"/>
      <c r="DG11" s="68"/>
      <c r="DH11" s="69"/>
      <c r="DI11" s="64" t="str">
        <f>IF(DH11=0,"",IF(DH11=VLOOKUP("PCS-30793g",[6]ARBOR!$A:$C,3,0),0.0001,IF(DH11&gt;VLOOKUP("PCS-30793g",[6]ARBOR!$A:$C,3,0),"Maior que CAP!",IF((DOLLAR(DH11+(VLOOKUP("PCS-30793g",[6]ARBOR!$A:$C,3,0)*-TRUNC(DH11/VLOOKUP("PCS-30793g",[6]ARBOR!$A:$C,3,0)-1,4)),6))&lt;&gt;(DOLLAR(VLOOKUP("PCS-30793g",[6]ARBOR!$A:$C,3,0),6)),-TRUNC(DH11/VLOOKUP("PCS-30793g",[6]ARBOR!$A:$C,3,0)-1,4)+0.0001,-TRUNC(DH11/VLOOKUP("PCS-30793g",[6]ARBOR!$A:$C,3,0)-1,4)))))</f>
        <v/>
      </c>
      <c r="DJ11" s="65" t="str">
        <f>IF(ISERROR(IF(DI11="","",VLOOKUP(($BH11&amp;DI11&amp;"Template de desconto FLAT bundle - Velox XDSL - Varejo"),[6]BENEFICIOS!$A:$E,5,0))),"Criar",IF(DI11="","",VLOOKUP(($BH11&amp;DI11&amp;"Template de desconto FLAT bundle - Velox XDSL - Varejo"),[6]BENEFICIOS!$A:$E,5,0)))</f>
        <v/>
      </c>
      <c r="DK11" s="69"/>
      <c r="DL11" s="70"/>
      <c r="DM11" s="64"/>
      <c r="DN11" s="65"/>
      <c r="DO11" s="68"/>
      <c r="DP11" s="69"/>
      <c r="DQ11" s="64" t="str">
        <f>IF(DP11=0,"",IF(DP11=VLOOKUP("PCS-30820g",[6]ARBOR!$A:$C,3,0),0.0001,IF(DP11&gt;VLOOKUP("PCS-30820g",[6]ARBOR!$A:$C,3,0),"Maior que CAP!",IF((DOLLAR(DP11+(VLOOKUP("PCS-30820g",[6]ARBOR!$A:$C,3,0)*-TRUNC(DP11/VLOOKUP("PCS-30820g",[6]ARBOR!$A:$C,3,0)-1,4)),6))&lt;&gt;(DOLLAR(VLOOKUP("PCS-30820g",[6]ARBOR!$A:$C,3,0),6)),-TRUNC(DP11/VLOOKUP("PCS-30820g",[6]ARBOR!$A:$C,3,0)-1,4)+0.0001,-TRUNC(DP11/VLOOKUP("PCS-30820g",[6]ARBOR!$A:$C,3,0)-1,4)))))</f>
        <v/>
      </c>
      <c r="DR11" s="65" t="str">
        <f>IF(ISERROR(IF(DQ11="","",VLOOKUP(($BH11&amp;DQ11&amp;"Template de desconto FLAT bundle - Velox XDSL - Varejo"),[6]BENEFICIOS!$A:$E,5,0))),"Criar",IF(DQ11="","",VLOOKUP(($BH11&amp;DQ11&amp;"Template de desconto FLAT bundle - Velox XDSL - Varejo"),[6]BENEFICIOS!$A:$E,5,0)))</f>
        <v/>
      </c>
      <c r="DS11" s="69"/>
      <c r="DT11" s="70"/>
      <c r="DU11" s="64"/>
      <c r="DV11" s="65"/>
      <c r="DW11" s="71">
        <v>44.9</v>
      </c>
      <c r="DX11" s="64">
        <f>IF(DW11=0,"",IF(DW11=VLOOKUP("PCS-21448p2",[6]ARBOR!$A:$C,3,0),0.0001,IF(DW11&gt;VLOOKUP("PCS-21448p2",[6]ARBOR!$A:$C,3,0),"Maior que CAP!",IF((DOLLAR(DW11+(VLOOKUP("PCS-21448p2",[6]ARBOR!$A:$C,3,0)*-TRUNC(DW11/VLOOKUP("PCS-21448p2",[6]ARBOR!$A:$C,3,0)-1,4)),6))&lt;&gt;(DOLLAR(VLOOKUP("PCS-21448p2",[6]ARBOR!$A:$C,3,0),6)),-TRUNC(DW11/VLOOKUP("PCS-21448p2",[6]ARBOR!$A:$C,3,0)-1,4)+0.0001,-TRUNC(DW11/VLOOKUP("PCS-21448p2",[6]ARBOR!$A:$C,3,0)-1,4)))))</f>
        <v>0.64900000000000002</v>
      </c>
      <c r="DY11" s="65" t="str">
        <f>IF(ISERROR(IF(DX11="","",VLOOKUP(("Oi Conta Total Plug 10GB Downgrade"&amp;DX11&amp;"Template de desconto percentual BL Móvel - Internet Total - Varejo"),[6]BENEFICIOS!$A:$E,5,0))),"Criar",IF(DX11="","",VLOOKUP(("Oi Conta Total Plug 10GB Downgrade"&amp;DX11&amp;"Template de desconto percentual BL Móvel - Internet Total - Varejo"),[6]BENEFICIOS!$A:$E,5,0)))</f>
        <v>MKT-1-9825544790</v>
      </c>
      <c r="DZ11" s="71">
        <v>16.5</v>
      </c>
      <c r="EA11" s="72">
        <f>IF(DZ11=0,"",IF(DZ11=VLOOKUP("SVA",[6]ARBOR!$A:$C,3,0),0.0001,IF(DZ11&gt;VLOOKUP("SVA",[6]ARBOR!$A:$C,3,0),"Maior que CAP!",IF((DOLLAR(DZ11+(VLOOKUP("SVA",[6]ARBOR!$A:$C,3,0)*-TRUNC(DZ11/VLOOKUP("SVA",[6]ARBOR!$A:$C,3,0)-1,4)),6))&lt;&gt;(DOLLAR(VLOOKUP("SVA",[6]ARBOR!$A:$C,3,0),6)),-TRUNC(DZ11/VLOOKUP("SVA",[6]ARBOR!$A:$C,3,0)-1,4)+0.0001,-TRUNC(DZ11/VLOOKUP("SVA",[6]ARBOR!$A:$C,3,0)-1,4)))))</f>
        <v>0.2301</v>
      </c>
      <c r="EB11" s="65" t="s">
        <v>226</v>
      </c>
      <c r="EC11" s="69"/>
      <c r="ED11" s="73"/>
      <c r="EE11" s="74"/>
      <c r="EF11" s="65"/>
      <c r="EG11" s="75">
        <f>IF(BI11="","",VLOOKUP(BI11,[6]ARBOR!A:C,3,0))</f>
        <v>479.46</v>
      </c>
      <c r="EH11" s="69">
        <v>15</v>
      </c>
      <c r="EI11" s="76">
        <f>IF(EH11="","",1-(EH11/VLOOKUP(BI11&amp;"ASS",[6]ARBOR!A:C,3,0)))</f>
        <v>0.34725848563968664</v>
      </c>
      <c r="EJ11" s="77" t="s">
        <v>227</v>
      </c>
      <c r="EK11" s="78" t="s">
        <v>228</v>
      </c>
      <c r="EL11" s="69">
        <v>168.98</v>
      </c>
      <c r="EM11" s="64">
        <f>ROUND(IF(EL11=0,"",IF(EL11=EG11,0.0001,1-((EL11+(VLOOKUP(BI11&amp;"ASS",[6]ARBOR!A:C,3,0)-EH11))/EG11))),4)</f>
        <v>0.63090000000000002</v>
      </c>
      <c r="EN11" s="65" t="str">
        <f>IF(ISERROR(IF(EM11="","",VLOOKUP(($BH11&amp;EM11&amp;"Template de desconto percentual FLAT Móvel - Conta Total - Varejo - Ganho Tributário Cross"),[6]BENEFICIOS!$A:$E,5,0))),"Criar",IF(EM11="","",VLOOKUP(($BH11&amp;EM11&amp;"Template de desconto percentual FLAT Móvel - Conta Total - Varejo - Ganho Tributário Cross"),[6]BENEFICIOS!$A:$E,5,0)))</f>
        <v>Criar</v>
      </c>
      <c r="EO11" s="79"/>
      <c r="EP11" s="64"/>
      <c r="EQ11" s="72"/>
      <c r="ER11" s="72"/>
      <c r="ES11" s="64"/>
      <c r="ET11" s="80"/>
      <c r="EU11" s="81" t="s">
        <v>247</v>
      </c>
      <c r="EV11" s="81" t="s">
        <v>264</v>
      </c>
      <c r="EW11" s="82"/>
      <c r="EX11" s="83"/>
      <c r="EY11" s="84"/>
      <c r="EZ11" s="82"/>
      <c r="FA11" s="83"/>
      <c r="FB11" s="84"/>
      <c r="FC11" s="82"/>
      <c r="FD11" s="83" t="str">
        <f>IF(FC11=0,"",IF(FC11=VLOOKUP("PCS-10357",[6]ARBOR!$A:$C,3,0),0.0001,IF(FC11&gt;VLOOKUP("PCS-10357",[6]ARBOR!$A:$C,3,0),"Maior que CAP!",ROUND(-1*(FC11/VLOOKUP("PCS-10357",[6]ARBOR!$A:$C,3,0)-1),4))))</f>
        <v/>
      </c>
      <c r="FE11" s="84" t="str">
        <f>IF(ISERROR(IF(FD11="","",VLOOKUP(("Oi Internet Pra Celular 1GB"&amp;FD11&amp;"Template Flat Instância Dados"),[6]BENEFICIOS!$A:$E,5,0))),"Criar",IF(FD11="","",VLOOKUP(("Oi Internet Pra Celular 1GB"&amp;FD11&amp;"Template Flat Instância Dados"),[6]BENEFICIOS!$A:$E,5,0)))</f>
        <v/>
      </c>
      <c r="FF11" s="82"/>
      <c r="FG11" s="83" t="str">
        <f>IF(FF11=0,"",IF(FF11=VLOOKUP("PCS-813565",[6]ARBOR!$A:$C,3,0),0.0001,IF(FF11&gt;VLOOKUP("PCS-813565",[6]ARBOR!$A:$C,3,0),"Maior que CAP!",ROUND(-1*(FF11/VLOOKUP("PCS-813565",[6]ARBOR!$A:$C,3,0)-1),4))))</f>
        <v/>
      </c>
      <c r="FH11" s="84" t="str">
        <f>IF(ISERROR(IF(FG11="","",VLOOKUP(("Oi Internet Pra Celular 2GB"&amp;FG11&amp;"Template Flat Instância Dados"),[6]BENEFICIOS!$A:$E,5,0))),"Criar",IF(FG11="","",VLOOKUP(("Oi Internet Pra Celular 2GB"&amp;FG11&amp;"Template Flat Instância Dados"),[6]BENEFICIOS!$A:$E,5,0)))</f>
        <v/>
      </c>
      <c r="FI11" s="82"/>
      <c r="FJ11" s="83" t="str">
        <f>IF(FI11=0,"",IF(FI11=VLOOKUP("PCS-7171B",[6]ARBOR!$A:$C,3,0),0.0001,IF(FI11&gt;VLOOKUP("PCS-7171B",[6]ARBOR!$A:$C,3,0),"Maior que CAP!",ROUND(-1*(FI11/VLOOKUP("PCS-7171B",[6]ARBOR!$A:$C,3,0)-1),4))))</f>
        <v/>
      </c>
      <c r="FK11" s="84" t="str">
        <f>IF(ISERROR(IF(FJ11="","",VLOOKUP(("Oi Internet Pra Celular 3GB"&amp;FJ11&amp;"Template Flat Instância Dados"),[6]BENEFICIOS!$A:$E,5,0))),"Criar",IF(FJ11="","",VLOOKUP(("Oi Internet Pra Celular 3GB"&amp;FJ11&amp;"Template Flat Instância Dados"),[6]BENEFICIOS!$A:$E,5,0)))</f>
        <v/>
      </c>
      <c r="FL11" s="82">
        <v>14.92</v>
      </c>
      <c r="FM11" s="83">
        <f>IF(FL11=0,"",IF(FL11=VLOOKUP("PCS-51793o08",[6]ARBOR!$A:$C,3,0),0.0001,IF(FL11&gt;VLOOKUP("PCS-51793o08",[6]ARBOR!$A:$C,3,0),"Maior que CAP!",ROUND(-1*(FL11/VLOOKUP("PCS-51793o08",[6]ARBOR!$A:$C,3,0)-1),4))))</f>
        <v>0.89500000000000002</v>
      </c>
      <c r="FN11" s="84" t="str">
        <f>IF(ISERROR(IF(FM11="","",VLOOKUP(("Oi Internet Pra Celular 5GB"&amp;FM11&amp;"Template Flat Instância Dados"),[6]BENEFICIOS!$A:$E,5,0))),"Criar",IF(FM11="","",VLOOKUP(("Oi Internet Pra Celular 5GB"&amp;FM11&amp;"Template Flat Instância Dados"),[6]BENEFICIOS!$A:$E,5,0)))</f>
        <v>MKT-1-9870312709</v>
      </c>
      <c r="FO11" s="82"/>
      <c r="FP11" s="83" t="str">
        <f>IF(FO11=0,"",IF(FO11=VLOOKUP("PCS-7171A",[6]ARBOR!$A:$C,3,0),0.0001,IF(FO11&gt;VLOOKUP("PCS-7171A",[6]ARBOR!$A:$C,3,0),"Maior que CAP!",ROUND(-1*(FO11/VLOOKUP("PCS-7171A",[6]ARBOR!$A:$C,3,0)-1),4))))</f>
        <v/>
      </c>
      <c r="FQ11" s="84" t="str">
        <f>IF(ISERROR(IF(FP11="","",VLOOKUP(("Oi Internet Pra Celular 10GB"&amp;FP11&amp;"Template Flat Instância Dados"),[6]BENEFICIOS!$A:$E,5,0))),"Criar",IF(FP11="","",VLOOKUP(("Oi Internet Pra Celular 10GB"&amp;FP11&amp;"Template Flat Instância Dados"),[6]BENEFICIOS!$A:$E,5,0)))</f>
        <v/>
      </c>
      <c r="FR11" s="85">
        <v>0.74260000000000004</v>
      </c>
      <c r="FS11" s="86" t="s">
        <v>265</v>
      </c>
      <c r="FT11" s="48"/>
      <c r="FU11" s="87"/>
      <c r="FV11" s="88" t="s">
        <v>224</v>
      </c>
      <c r="FW11" s="49" t="s">
        <v>229</v>
      </c>
      <c r="FX11" s="89">
        <v>999</v>
      </c>
      <c r="FY11" s="49">
        <v>12</v>
      </c>
      <c r="FZ11" s="90" t="s">
        <v>230</v>
      </c>
      <c r="GA11" s="91" t="str">
        <f t="shared" si="1"/>
        <v>PCS-Fk83324</v>
      </c>
      <c r="GB11" s="92" t="str">
        <f t="shared" si="2"/>
        <v>PCS-SBL553142</v>
      </c>
      <c r="GC11" s="93" t="s">
        <v>231</v>
      </c>
      <c r="GD11" s="90" t="s">
        <v>232</v>
      </c>
      <c r="GE11" s="92" t="s">
        <v>233</v>
      </c>
      <c r="GF11" s="93" t="s">
        <v>234</v>
      </c>
      <c r="GG11" s="90" t="s">
        <v>235</v>
      </c>
      <c r="GH11" s="92" t="s">
        <v>236</v>
      </c>
      <c r="GI11" s="94" t="s">
        <v>237</v>
      </c>
      <c r="GJ11" s="95">
        <f>FL11+EL11+DW11+BJ11</f>
        <v>278.89999999999998</v>
      </c>
      <c r="GK11" s="96"/>
      <c r="GL11" s="97" t="s">
        <v>238</v>
      </c>
      <c r="GM11" s="98" t="s">
        <v>239</v>
      </c>
      <c r="GN11" s="97">
        <f>VLOOKUP($A11,'[6]TABELA COM TUDO'!$A:$AB,25,0)</f>
        <v>20.350000000000001</v>
      </c>
      <c r="GO11" s="99">
        <f>VLOOKUP($A11,'[6]TABELA COM TUDO'!$A:$AB,26,0)</f>
        <v>5.24</v>
      </c>
      <c r="GP11" s="100">
        <f t="shared" si="8"/>
        <v>0.74250000000000005</v>
      </c>
      <c r="GQ11" s="97">
        <f t="shared" si="4"/>
        <v>15.1</v>
      </c>
      <c r="GR11" s="97">
        <f t="shared" si="5"/>
        <v>5.2500000000000018</v>
      </c>
      <c r="GS11" s="101"/>
      <c r="GT11" s="101"/>
      <c r="GU11" s="102" t="b">
        <f t="shared" si="6"/>
        <v>0</v>
      </c>
      <c r="GV11" s="103">
        <f t="shared" si="7"/>
        <v>1.0000000000001563E-2</v>
      </c>
      <c r="GW11" s="44" t="s">
        <v>266</v>
      </c>
      <c r="GX11" s="44" t="s">
        <v>241</v>
      </c>
    </row>
    <row r="12" spans="1:206" s="44" customFormat="1" x14ac:dyDescent="0.25">
      <c r="A12" s="44" t="str">
        <f t="shared" si="0"/>
        <v>Oi Total Fixo + Pós 800 + Banda LargaN15GBMG</v>
      </c>
      <c r="B12" s="45" t="s">
        <v>214</v>
      </c>
      <c r="C12" s="46" t="s">
        <v>130</v>
      </c>
      <c r="D12" s="46" t="s">
        <v>215</v>
      </c>
      <c r="E12" s="47" t="s">
        <v>216</v>
      </c>
      <c r="F12" s="48" t="s">
        <v>217</v>
      </c>
      <c r="G12" s="49"/>
      <c r="H12" s="49"/>
      <c r="I12" s="49"/>
      <c r="J12" s="49" t="s">
        <v>217</v>
      </c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 t="s">
        <v>217</v>
      </c>
      <c r="AC12" s="49" t="s">
        <v>217</v>
      </c>
      <c r="AD12" s="49" t="s">
        <v>217</v>
      </c>
      <c r="AE12" s="49" t="s">
        <v>217</v>
      </c>
      <c r="AF12" s="49" t="s">
        <v>217</v>
      </c>
      <c r="AG12" s="49" t="s">
        <v>217</v>
      </c>
      <c r="AH12" s="50"/>
      <c r="AI12" s="49" t="s">
        <v>217</v>
      </c>
      <c r="AJ12" s="49" t="s">
        <v>217</v>
      </c>
      <c r="AK12" s="49" t="s">
        <v>217</v>
      </c>
      <c r="AL12" s="49" t="s">
        <v>217</v>
      </c>
      <c r="AM12" s="49" t="s">
        <v>217</v>
      </c>
      <c r="AN12" s="49" t="s">
        <v>217</v>
      </c>
      <c r="AO12" s="49" t="s">
        <v>217</v>
      </c>
      <c r="AP12" s="49"/>
      <c r="AQ12" s="51"/>
      <c r="AR12" s="52" t="s">
        <v>267</v>
      </c>
      <c r="AS12" s="46" t="s">
        <v>219</v>
      </c>
      <c r="AT12" s="53" t="s">
        <v>220</v>
      </c>
      <c r="AU12" s="54">
        <v>42972</v>
      </c>
      <c r="AV12" s="55">
        <v>43038</v>
      </c>
      <c r="AW12" s="56" t="s">
        <v>221</v>
      </c>
      <c r="AX12" s="57" t="s">
        <v>221</v>
      </c>
      <c r="AY12" s="58"/>
      <c r="AZ12" s="58" t="s">
        <v>222</v>
      </c>
      <c r="BA12" s="58">
        <v>20</v>
      </c>
      <c r="BB12" s="58">
        <v>10000</v>
      </c>
      <c r="BC12" s="59" t="s">
        <v>223</v>
      </c>
      <c r="BD12" s="60" t="s">
        <v>224</v>
      </c>
      <c r="BE12" s="58" t="s">
        <v>216</v>
      </c>
      <c r="BF12" s="51" t="s">
        <v>216</v>
      </c>
      <c r="BG12" s="45" t="s">
        <v>267</v>
      </c>
      <c r="BH12" s="61" t="s">
        <v>225</v>
      </c>
      <c r="BI12" s="62" t="str">
        <f>IF(ISERROR(VLOOKUP(BH12,[6]PLANOS!B:C,2,0)),"",VLOOKUP(BH12,[6]PLANOS!B:C,2,0))</f>
        <v>PCS-4P6pi</v>
      </c>
      <c r="BJ12" s="63">
        <v>50.1</v>
      </c>
      <c r="BK12" s="64">
        <f>IF(BJ12=0,"",IF(BJ12=VLOOKUP("FIXO",[6]ARBOR!$A:$C,3,0),0.0001,IF(BJ12&gt;VLOOKUP("FIXO",[6]ARBOR!$A:$C,3,0),"Maior que CAP!",IF((DOLLAR(BJ12+(VLOOKUP("FIXO",[6]ARBOR!$A:$C,3,0)*-TRUNC(BJ12/VLOOKUP("FIXO",[6]ARBOR!$A:$C,3,0)-1,4)),6))&lt;&gt;(DOLLAR(VLOOKUP("FIXO",[6]ARBOR!$A:$C,3,0),6)),-TRUNC(BJ12/VLOOKUP("FIXO",[6]ARBOR!$A:$C,3,0)-1,4)+0.0001,-TRUNC(BJ12/VLOOKUP("FIXO",[6]ARBOR!$A:$C,3,0)-1,4)))))</f>
        <v>0.33939999999999998</v>
      </c>
      <c r="BL12" s="65" t="str">
        <f>IF(ISERROR(IF(BK12="","",VLOOKUP(($BH12&amp;BK12&amp;"Template de desconto FLAT bundle - Fixo - Varejo - Ganho Tributário Cross"),[6]BENEFICIOS!$A:$E,5,0))),"Criar",IF(BK12="","",VLOOKUP(($BH12&amp;BK12&amp;"Template de desconto FLAT bundle - Fixo - Varejo - Ganho Tributário Cross"),[6]BENEFICIOS!$A:$E,5,0)))</f>
        <v>MKT-1-9856472058</v>
      </c>
      <c r="BM12" s="66"/>
      <c r="BN12" s="67"/>
      <c r="BO12" s="104" t="s">
        <v>243</v>
      </c>
      <c r="BP12" s="69">
        <v>44.9</v>
      </c>
      <c r="BQ12" s="64">
        <f>IF(BP12=0,"",IF(BP12=VLOOKUP("PCS-30874g",[6]ARBOR!$A:$C,3,0),0.0001,IF(BP12&gt;VLOOKUP("PCS-30874g",[6]ARBOR!$A:$C,3,0),"Maior que CAP!",IF((DOLLAR(BP12+(VLOOKUP("PCS-30874g",[6]ARBOR!$A:$C,3,0)*-TRUNC(BP12/VLOOKUP("PCS-30874g",[6]ARBOR!$A:$C,3,0)-1,4)),6))&lt;&gt;(DOLLAR(VLOOKUP("PCS-30874g",[6]ARBOR!$A:$C,3,0),6)),-TRUNC(BP12/VLOOKUP("PCS-30874g",[6]ARBOR!$A:$C,3,0)-1,4)+0.0001,-TRUNC(BP12/VLOOKUP("PCS-30874g",[6]ARBOR!$A:$C,3,0)-1,4)))))</f>
        <v>0.53679999999999994</v>
      </c>
      <c r="BR12" s="65" t="str">
        <f>IF(ISERROR(IF(BQ12="","",VLOOKUP(($BH12&amp;BQ12&amp;"Template de desconto FLAT bundle - Velox XDSL - Varejo"),[6]BENEFICIOS!$A:$E,5,0))),"Criar",IF(BQ12="","",VLOOKUP(($BH12&amp;BQ12&amp;"Template de desconto FLAT bundle - Velox XDSL - Varejo"),[6]BENEFICIOS!$A:$E,5,0)))</f>
        <v>MKT-1-9865126733</v>
      </c>
      <c r="BS12" s="104" t="s">
        <v>243</v>
      </c>
      <c r="BT12" s="69">
        <v>44.9</v>
      </c>
      <c r="BU12" s="64">
        <f>IF(BT12=0,"",IF(BT12=VLOOKUP("PCS-30577g",[6]ARBOR!$A:$C,3,0),0.0001,IF(BT12&gt;VLOOKUP("PCS-30577g",[6]ARBOR!$A:$C,3,0),"Maior que CAP!",IF((DOLLAR(BT12+(VLOOKUP("PCS-30577g",[6]ARBOR!$A:$C,3,0)*-TRUNC(BT12/VLOOKUP("PCS-30577g",[6]ARBOR!$A:$C,3,0)-1,4)),6))&lt;&gt;(DOLLAR(VLOOKUP("PCS-30577g",[6]ARBOR!$A:$C,3,0),6)),-TRUNC(BT12/VLOOKUP("PCS-30577g",[6]ARBOR!$A:$C,3,0)-1,4)+0.0001,-TRUNC(BT12/VLOOKUP("PCS-30577g",[6]ARBOR!$A:$C,3,0)-1,4)))))</f>
        <v>0.53679999999999994</v>
      </c>
      <c r="BV12" s="65" t="str">
        <f>IF(ISERROR(IF(BU12="","",VLOOKUP(($BH12&amp;BU12&amp;"Template de desconto FLAT bundle - Velox XDSL - Varejo"),[6]BENEFICIOS!$A:$E,5,0))),"Criar",IF(BU12="","",VLOOKUP(($BH12&amp;BU12&amp;"Template de desconto FLAT bundle - Velox XDSL - Varejo"),[6]BENEFICIOS!$A:$E,5,0)))</f>
        <v>MKT-1-9865126733</v>
      </c>
      <c r="BW12" s="104" t="s">
        <v>243</v>
      </c>
      <c r="BX12" s="69">
        <v>44.9</v>
      </c>
      <c r="BY12" s="64">
        <f>IF(BX12=0,"",IF(BX12=VLOOKUP("PCS-30604g",[6]ARBOR!$A:$C,3,0),0.0001,IF(BX12&gt;VLOOKUP("PCS-30604g",[6]ARBOR!$A:$C,3,0),"Maior que CAP!",IF((DOLLAR(BX12+(VLOOKUP("PCS-30604g",[6]ARBOR!$A:$C,3,0)*-TRUNC(BX12/VLOOKUP("PCS-30604g",[6]ARBOR!$A:$C,3,0)-1,4)),6))&lt;&gt;(DOLLAR(VLOOKUP("PCS-30604g",[6]ARBOR!$A:$C,3,0),6)),-TRUNC(BX12/VLOOKUP("PCS-30604g",[6]ARBOR!$A:$C,3,0)-1,4)+0.0001,-TRUNC(BX12/VLOOKUP("PCS-30604g",[6]ARBOR!$A:$C,3,0)-1,4)))))</f>
        <v>0.53679999999999994</v>
      </c>
      <c r="BZ12" s="65" t="str">
        <f>IF(ISERROR(IF(BY12="","",VLOOKUP(($BH12&amp;BY12&amp;"Template de desconto FLAT bundle - Velox XDSL - Varejo"),[6]BENEFICIOS!$A:$E,5,0))),"Criar",IF(BY12="","",VLOOKUP(($BH12&amp;BY12&amp;"Template de desconto FLAT bundle - Velox XDSL - Varejo"),[6]BENEFICIOS!$A:$E,5,0)))</f>
        <v>MKT-1-9865126733</v>
      </c>
      <c r="CA12" s="104" t="s">
        <v>243</v>
      </c>
      <c r="CB12" s="69">
        <v>44.9</v>
      </c>
      <c r="CC12" s="64">
        <f>IF(CB12=0,"",IF(CB12=VLOOKUP("PCS-30631g",[6]ARBOR!$A:$C,3,0),0.0001,IF(CB12&gt;VLOOKUP("PCS-30631g",[6]ARBOR!$A:$C,3,0),"Maior que CAP!",IF((DOLLAR(CB12+(VLOOKUP("PCS-30631g",[6]ARBOR!$A:$C,3,0)*-TRUNC(CB12/VLOOKUP("PCS-30631g",[6]ARBOR!$A:$C,3,0)-1,4)),6))&lt;&gt;(DOLLAR(VLOOKUP("PCS-30631g",[6]ARBOR!$A:$C,3,0),6)),-TRUNC(CB12/VLOOKUP("PCS-30631g",[6]ARBOR!$A:$C,3,0)-1,4)+0.0001,-TRUNC(CB12/VLOOKUP("PCS-30631g",[6]ARBOR!$A:$C,3,0)-1,4)))))</f>
        <v>0.54310000000000003</v>
      </c>
      <c r="CD12" s="65" t="str">
        <f>IF(ISERROR(IF(CC12="","",VLOOKUP(($BH12&amp;CC12&amp;"Template de desconto FLAT bundle - Velox XDSL - Varejo"),[6]BENEFICIOS!$A:$E,5,0))),"Criar",IF(CC12="","",VLOOKUP(($BH12&amp;CC12&amp;"Template de desconto FLAT bundle - Velox XDSL - Varejo"),[6]BENEFICIOS!$A:$E,5,0)))</f>
        <v>MKT-1-9865126826</v>
      </c>
      <c r="CE12" s="68" t="s">
        <v>164</v>
      </c>
      <c r="CF12" s="69">
        <v>49.9</v>
      </c>
      <c r="CG12" s="64">
        <f>IF(CF12=0,"",IF(CF12=VLOOKUP("PCS-30658g",[6]ARBOR!$A:$C,3,0),0.0001,IF(CF12&gt;VLOOKUP("PCS-30658g",[6]ARBOR!$A:$C,3,0),"Maior que CAP!",IF((DOLLAR(CF12+(VLOOKUP("PCS-30658g",[6]ARBOR!$A:$C,3,0)*-TRUNC(CF12/VLOOKUP("PCS-30658g",[6]ARBOR!$A:$C,3,0)-1,4)),6))&lt;&gt;(DOLLAR(VLOOKUP("PCS-30658g",[6]ARBOR!$A:$C,3,0),6)),-TRUNC(CF12/VLOOKUP("PCS-30658g",[6]ARBOR!$A:$C,3,0)-1,4)+0.0001,-TRUNC(CF12/VLOOKUP("PCS-30658g",[6]ARBOR!$A:$C,3,0)-1,4)))))</f>
        <v>0.55569999999999997</v>
      </c>
      <c r="CH12" s="65" t="str">
        <f>IF(ISERROR(IF(CG12="","",VLOOKUP(($BH12&amp;CG12&amp;"Template de desconto FLAT bundle - Velox XDSL - Varejo"),[6]BENEFICIOS!$A:$E,5,0))),"Criar",IF(CG12="","",VLOOKUP(($BH12&amp;CG12&amp;"Template de desconto FLAT bundle - Velox XDSL - Varejo"),[6]BENEFICIOS!$A:$E,5,0)))</f>
        <v>MKT-1-9865126919</v>
      </c>
      <c r="CI12" s="68" t="s">
        <v>164</v>
      </c>
      <c r="CJ12" s="69">
        <v>49.9</v>
      </c>
      <c r="CK12" s="64">
        <f>IF(CJ12=0,"",IF(CJ12=VLOOKUP("PCS-30685g",[6]ARBOR!$A:$C,3,0),0.0001,IF(CJ12&gt;VLOOKUP("PCS-30685g",[6]ARBOR!$A:$C,3,0),"Maior que CAP!",IF((DOLLAR(CJ12+(VLOOKUP("PCS-30685g",[6]ARBOR!$A:$C,3,0)*-TRUNC(CJ12/VLOOKUP("PCS-30685g",[6]ARBOR!$A:$C,3,0)-1,4)),6))&lt;&gt;(DOLLAR(VLOOKUP("PCS-30685g",[6]ARBOR!$A:$C,3,0),6)),-TRUNC(CJ12/VLOOKUP("PCS-30685g",[6]ARBOR!$A:$C,3,0)-1,4)+0.0001,-TRUNC(CJ12/VLOOKUP("PCS-30685g",[6]ARBOR!$A:$C,3,0)-1,4)))))</f>
        <v>0.60509999999999997</v>
      </c>
      <c r="CL12" s="65" t="str">
        <f>IF(ISERROR(IF(CK12="","",VLOOKUP(($BH12&amp;CK12&amp;"Template de desconto FLAT bundle - Velox XDSL - Varejo"),[6]BENEFICIOS!$A:$E,5,0))),"Criar",IF(CK12="","",VLOOKUP(($BH12&amp;CK12&amp;"Template de desconto FLAT bundle - Velox XDSL - Varejo"),[6]BENEFICIOS!$A:$E,5,0)))</f>
        <v>MKT-1-9865694381</v>
      </c>
      <c r="CM12" s="68" t="s">
        <v>164</v>
      </c>
      <c r="CN12" s="69">
        <v>49.9</v>
      </c>
      <c r="CO12" s="64">
        <f>IF(CN12=0,"",IF(CN12=VLOOKUP("PCS-30712g",[6]ARBOR!$A:$C,3,0),0.0001,IF(CN12&gt;VLOOKUP("PCS-30712g",[6]ARBOR!$A:$C,3,0),"Maior que CAP!",IF((DOLLAR(CN12+(VLOOKUP("PCS-30712g",[6]ARBOR!$A:$C,3,0)*-TRUNC(CN12/VLOOKUP("PCS-30712g",[6]ARBOR!$A:$C,3,0)-1,4)),6))&lt;&gt;(DOLLAR(VLOOKUP("PCS-30712g",[6]ARBOR!$A:$C,3,0),6)),-TRUNC(CN12/VLOOKUP("PCS-30712g",[6]ARBOR!$A:$C,3,0)-1,4)+0.0001,-TRUNC(CN12/VLOOKUP("PCS-30712g",[6]ARBOR!$A:$C,3,0)-1,4)))))</f>
        <v>0.64459999999999995</v>
      </c>
      <c r="CP12" s="65" t="str">
        <f>IF(ISERROR(IF(CO12="","",VLOOKUP(($BH12&amp;CO12&amp;"Template de desconto FLAT bundle - Velox XDSL - Varejo"),[6]BENEFICIOS!$A:$E,5,0))),"Criar",IF(CO12="","",VLOOKUP(($BH12&amp;CO12&amp;"Template de desconto FLAT bundle - Velox XDSL - Varejo"),[6]BENEFICIOS!$A:$E,5,0)))</f>
        <v>MKT-1-9865191105</v>
      </c>
      <c r="CQ12" s="68" t="s">
        <v>164</v>
      </c>
      <c r="CR12" s="69">
        <v>59.9</v>
      </c>
      <c r="CS12" s="64">
        <f>IF(CR12=0,"",IF(CR12=VLOOKUP("PCS-30739g",[6]ARBOR!$A:$C,3,0),0.0001,IF(CR12&gt;VLOOKUP("PCS-30739g",[6]ARBOR!$A:$C,3,0),"Maior que CAP!",IF((DOLLAR(CR12+(VLOOKUP("PCS-30739g",[6]ARBOR!$A:$C,3,0)*-TRUNC(CR12/VLOOKUP("PCS-30739g",[6]ARBOR!$A:$C,3,0)-1,4)),6))&lt;&gt;(DOLLAR(VLOOKUP("PCS-30739g",[6]ARBOR!$A:$C,3,0),6)),-TRUNC(CR12/VLOOKUP("PCS-30739g",[6]ARBOR!$A:$C,3,0)-1,4)+0.0001,-TRUNC(CR12/VLOOKUP("PCS-30739g",[6]ARBOR!$A:$C,3,0)-1,4)))))</f>
        <v>0.71560000000000001</v>
      </c>
      <c r="CT12" s="65" t="str">
        <f>IF(ISERROR(IF(CS12="","",VLOOKUP(($BH12&amp;CS12&amp;"Template de desconto FLAT bundle - Velox XDSL - Varejo"),[6]BENEFICIOS!$A:$E,5,0))),"Criar",IF(CS12="","",VLOOKUP(($BH12&amp;CS12&amp;"Template de desconto FLAT bundle - Velox XDSL - Varejo"),[6]BENEFICIOS!$A:$E,5,0)))</f>
        <v>MKT-1-9865191198</v>
      </c>
      <c r="CU12" s="69"/>
      <c r="CV12" s="70"/>
      <c r="CW12" s="64"/>
      <c r="CX12" s="65"/>
      <c r="CY12" s="68" t="s">
        <v>164</v>
      </c>
      <c r="CZ12" s="69">
        <v>59.9</v>
      </c>
      <c r="DA12" s="64">
        <f>IF(CZ12=0,"",IF(CZ12=VLOOKUP("PCS-30766g",[6]ARBOR!$A:$C,3,0),0.0001,IF(CZ12&gt;VLOOKUP("PCS-30766g",[6]ARBOR!$A:$C,3,0),"Maior que CAP!",IF((DOLLAR(CZ12+(VLOOKUP("PCS-30766g",[6]ARBOR!$A:$C,3,0)*-TRUNC(CZ12/VLOOKUP("PCS-30766g",[6]ARBOR!$A:$C,3,0)-1,4)),6))&lt;&gt;(DOLLAR(VLOOKUP("PCS-30766g",[6]ARBOR!$A:$C,3,0),6)),-TRUNC(CZ12/VLOOKUP("PCS-30766g",[6]ARBOR!$A:$C,3,0)-1,4)+0.0001,-TRUNC(CZ12/VLOOKUP("PCS-30766g",[6]ARBOR!$A:$C,3,0)-1,4)))))</f>
        <v>0.78669999999999995</v>
      </c>
      <c r="DB12" s="65" t="str">
        <f>IF(ISERROR(IF(DA12="","",VLOOKUP(($BH12&amp;DA12&amp;"Template de desconto FLAT bundle - Velox XDSL - Varejo"),[6]BENEFICIOS!$A:$E,5,0))),"Criar",IF(DA12="","",VLOOKUP(($BH12&amp;DA12&amp;"Template de desconto FLAT bundle - Velox XDSL - Varejo"),[6]BENEFICIOS!$A:$E,5,0)))</f>
        <v>MKT-1-9865191291</v>
      </c>
      <c r="DC12" s="69"/>
      <c r="DD12" s="70"/>
      <c r="DE12" s="64"/>
      <c r="DF12" s="65"/>
      <c r="DG12" s="68" t="s">
        <v>243</v>
      </c>
      <c r="DH12" s="69">
        <v>69.900000000000006</v>
      </c>
      <c r="DI12" s="64">
        <f>IF(DH12=0,"",IF(DH12=VLOOKUP("PCS-30793g",[6]ARBOR!$A:$C,3,0),0.0001,IF(DH12&gt;VLOOKUP("PCS-30793g",[6]ARBOR!$A:$C,3,0),"Maior que CAP!",IF((DOLLAR(DH12+(VLOOKUP("PCS-30793g",[6]ARBOR!$A:$C,3,0)*-TRUNC(DH12/VLOOKUP("PCS-30793g",[6]ARBOR!$A:$C,3,0)-1,4)),6))&lt;&gt;(DOLLAR(VLOOKUP("PCS-30793g",[6]ARBOR!$A:$C,3,0),6)),-TRUNC(DH12/VLOOKUP("PCS-30793g",[6]ARBOR!$A:$C,3,0)-1,4)+0.0001,-TRUNC(DH12/VLOOKUP("PCS-30793g",[6]ARBOR!$A:$C,3,0)-1,4)))))</f>
        <v>0.75109999999999999</v>
      </c>
      <c r="DJ12" s="65" t="str">
        <f>IF(ISERROR(IF(DI12="","",VLOOKUP(($BH12&amp;DI12&amp;"Template de desconto FLAT bundle - Velox XDSL - Varejo"),[6]BENEFICIOS!$A:$E,5,0))),"Criar",IF(DI12="","",VLOOKUP(($BH12&amp;DI12&amp;"Template de desconto FLAT bundle - Velox XDSL - Varejo"),[6]BENEFICIOS!$A:$E,5,0)))</f>
        <v>MKT-1-9865191384</v>
      </c>
      <c r="DK12" s="69"/>
      <c r="DL12" s="70"/>
      <c r="DM12" s="64"/>
      <c r="DN12" s="65"/>
      <c r="DO12" s="68" t="s">
        <v>164</v>
      </c>
      <c r="DP12" s="69">
        <v>69.900000000000006</v>
      </c>
      <c r="DQ12" s="64">
        <f>IF(DP12=0,"",IF(DP12=VLOOKUP("PCS-30820g",[6]ARBOR!$A:$C,3,0),0.0001,IF(DP12&gt;VLOOKUP("PCS-30820g",[6]ARBOR!$A:$C,3,0),"Maior que CAP!",IF((DOLLAR(DP12+(VLOOKUP("PCS-30820g",[6]ARBOR!$A:$C,3,0)*-TRUNC(DP12/VLOOKUP("PCS-30820g",[6]ARBOR!$A:$C,3,0)-1,4)),6))&lt;&gt;(DOLLAR(VLOOKUP("PCS-30820g",[6]ARBOR!$A:$C,3,0),6)),-TRUNC(DP12/VLOOKUP("PCS-30820g",[6]ARBOR!$A:$C,3,0)-1,4)+0.0001,-TRUNC(DP12/VLOOKUP("PCS-30820g",[6]ARBOR!$A:$C,3,0)-1,4)))))</f>
        <v>0.75109999999999999</v>
      </c>
      <c r="DR12" s="65" t="str">
        <f>IF(ISERROR(IF(DQ12="","",VLOOKUP(($BH12&amp;DQ12&amp;"Template de desconto FLAT bundle - Velox XDSL - Varejo"),[6]BENEFICIOS!$A:$E,5,0))),"Criar",IF(DQ12="","",VLOOKUP(($BH12&amp;DQ12&amp;"Template de desconto FLAT bundle - Velox XDSL - Varejo"),[6]BENEFICIOS!$A:$E,5,0)))</f>
        <v>MKT-1-9865191384</v>
      </c>
      <c r="DS12" s="69"/>
      <c r="DT12" s="70"/>
      <c r="DU12" s="64"/>
      <c r="DV12" s="65"/>
      <c r="DW12" s="71"/>
      <c r="DX12" s="64" t="str">
        <f>IF(DW12=0,"",IF(DW12=VLOOKUP("PCS-21448p2",[6]ARBOR!$A:$C,3,0),0.0001,IF(DW12&gt;VLOOKUP("PCS-21448p2",[6]ARBOR!$A:$C,3,0),"Maior que CAP!",IF((DOLLAR(DW12+(VLOOKUP("PCS-21448p2",[6]ARBOR!$A:$C,3,0)*-TRUNC(DW12/VLOOKUP("PCS-21448p2",[6]ARBOR!$A:$C,3,0)-1,4)),6))&lt;&gt;(DOLLAR(VLOOKUP("PCS-21448p2",[6]ARBOR!$A:$C,3,0),6)),-TRUNC(DW12/VLOOKUP("PCS-21448p2",[6]ARBOR!$A:$C,3,0)-1,4)+0.0001,-TRUNC(DW12/VLOOKUP("PCS-21448p2",[6]ARBOR!$A:$C,3,0)-1,4)))))</f>
        <v/>
      </c>
      <c r="DY12" s="65" t="str">
        <f>IF(ISERROR(IF(DX12="","",VLOOKUP(("Oi Conta Total Plug 10GB Downgrade"&amp;DX12&amp;"Template de desconto percentual BL Móvel - Internet Total - Varejo"),[6]BENEFICIOS!$A:$E,5,0))),"Criar",IF(DX12="","",VLOOKUP(("Oi Conta Total Plug 10GB Downgrade"&amp;DX12&amp;"Template de desconto percentual BL Móvel - Internet Total - Varejo"),[6]BENEFICIOS!$A:$E,5,0)))</f>
        <v/>
      </c>
      <c r="DZ12" s="71">
        <v>19.899999999999999</v>
      </c>
      <c r="EA12" s="72">
        <f>IF(DZ12=0,"",IF(DZ12=VLOOKUP("SVA",[6]ARBOR!$A:$C,3,0),0.0001,IF(DZ12&gt;VLOOKUP("SVA",[6]ARBOR!$A:$C,3,0),"Maior que CAP!",IF((DOLLAR(DZ12+(VLOOKUP("SVA",[6]ARBOR!$A:$C,3,0)*-TRUNC(DZ12/VLOOKUP("SVA",[6]ARBOR!$A:$C,3,0)-1,4)),6))&lt;&gt;(DOLLAR(VLOOKUP("SVA",[6]ARBOR!$A:$C,3,0),6)),-TRUNC(DZ12/VLOOKUP("SVA",[6]ARBOR!$A:$C,3,0)-1,4)+0.0001,-TRUNC(DZ12/VLOOKUP("SVA",[6]ARBOR!$A:$C,3,0)-1,4)))))</f>
        <v>7.1400000000000005E-2</v>
      </c>
      <c r="EB12" s="65" t="s">
        <v>244</v>
      </c>
      <c r="EC12" s="69"/>
      <c r="ED12" s="73"/>
      <c r="EE12" s="74"/>
      <c r="EF12" s="65"/>
      <c r="EG12" s="75">
        <f>IF(BI12="","",VLOOKUP(BI12,[6]ARBOR!A:C,3,0))</f>
        <v>479.46</v>
      </c>
      <c r="EH12" s="69">
        <v>15</v>
      </c>
      <c r="EI12" s="76">
        <f>IF(EH12="","",1-(EH12/VLOOKUP(BI12&amp;"ASS",[6]ARBOR!A:C,3,0)))</f>
        <v>0.34725848563968664</v>
      </c>
      <c r="EJ12" s="77" t="s">
        <v>227</v>
      </c>
      <c r="EK12" s="78" t="s">
        <v>228</v>
      </c>
      <c r="EL12" s="69">
        <v>168.98</v>
      </c>
      <c r="EM12" s="64">
        <f>ROUND(IF(EL12=0,"",IF(EL12=EG12,0.0001,1-((EL12+(VLOOKUP(BI12&amp;"ASS",[6]ARBOR!A:C,3,0)-EH12))/EG12))),4)</f>
        <v>0.63090000000000002</v>
      </c>
      <c r="EN12" s="65" t="str">
        <f>IF(ISERROR(IF(EM12="","",VLOOKUP(($BH12&amp;EM12&amp;"Template de desconto percentual FLAT Móvel - Conta Total - Varejo - Ganho Tributário Cross"),[6]BENEFICIOS!$A:$E,5,0))),"Criar",IF(EM12="","",VLOOKUP(($BH12&amp;EM12&amp;"Template de desconto percentual FLAT Móvel - Conta Total - Varejo - Ganho Tributário Cross"),[6]BENEFICIOS!$A:$E,5,0)))</f>
        <v>Criar</v>
      </c>
      <c r="EO12" s="79"/>
      <c r="EP12" s="64"/>
      <c r="EQ12" s="72"/>
      <c r="ER12" s="72"/>
      <c r="ES12" s="64"/>
      <c r="ET12" s="80"/>
      <c r="EU12" s="81" t="s">
        <v>247</v>
      </c>
      <c r="EV12" s="81" t="s">
        <v>264</v>
      </c>
      <c r="EW12" s="82"/>
      <c r="EX12" s="83"/>
      <c r="EY12" s="84"/>
      <c r="EZ12" s="82"/>
      <c r="FA12" s="83"/>
      <c r="FB12" s="84"/>
      <c r="FC12" s="82"/>
      <c r="FD12" s="83" t="str">
        <f>IF(FC12=0,"",IF(FC12=VLOOKUP("PCS-10357",[6]ARBOR!$A:$C,3,0),0.0001,IF(FC12&gt;VLOOKUP("PCS-10357",[6]ARBOR!$A:$C,3,0),"Maior que CAP!",ROUND(-1*(FC12/VLOOKUP("PCS-10357",[6]ARBOR!$A:$C,3,0)-1),4))))</f>
        <v/>
      </c>
      <c r="FE12" s="84" t="str">
        <f>IF(ISERROR(IF(FD12="","",VLOOKUP(("Oi Internet Pra Celular 1GB"&amp;FD12&amp;"Template Flat Instância Dados"),[6]BENEFICIOS!$A:$E,5,0))),"Criar",IF(FD12="","",VLOOKUP(("Oi Internet Pra Celular 1GB"&amp;FD12&amp;"Template Flat Instância Dados"),[6]BENEFICIOS!$A:$E,5,0)))</f>
        <v/>
      </c>
      <c r="FF12" s="82"/>
      <c r="FG12" s="83" t="str">
        <f>IF(FF12=0,"",IF(FF12=VLOOKUP("PCS-813565",[6]ARBOR!$A:$C,3,0),0.0001,IF(FF12&gt;VLOOKUP("PCS-813565",[6]ARBOR!$A:$C,3,0),"Maior que CAP!",ROUND(-1*(FF12/VLOOKUP("PCS-813565",[6]ARBOR!$A:$C,3,0)-1),4))))</f>
        <v/>
      </c>
      <c r="FH12" s="84" t="str">
        <f>IF(ISERROR(IF(FG12="","",VLOOKUP(("Oi Internet Pra Celular 2GB"&amp;FG12&amp;"Template Flat Instância Dados"),[6]BENEFICIOS!$A:$E,5,0))),"Criar",IF(FG12="","",VLOOKUP(("Oi Internet Pra Celular 2GB"&amp;FG12&amp;"Template Flat Instância Dados"),[6]BENEFICIOS!$A:$E,5,0)))</f>
        <v/>
      </c>
      <c r="FI12" s="82"/>
      <c r="FJ12" s="83" t="str">
        <f>IF(FI12=0,"",IF(FI12=VLOOKUP("PCS-7171B",[6]ARBOR!$A:$C,3,0),0.0001,IF(FI12&gt;VLOOKUP("PCS-7171B",[6]ARBOR!$A:$C,3,0),"Maior que CAP!",ROUND(-1*(FI12/VLOOKUP("PCS-7171B",[6]ARBOR!$A:$C,3,0)-1),4))))</f>
        <v/>
      </c>
      <c r="FK12" s="84" t="str">
        <f>IF(ISERROR(IF(FJ12="","",VLOOKUP(("Oi Internet Pra Celular 3GB"&amp;FJ12&amp;"Template Flat Instância Dados"),[6]BENEFICIOS!$A:$E,5,0))),"Criar",IF(FJ12="","",VLOOKUP(("Oi Internet Pra Celular 3GB"&amp;FJ12&amp;"Template Flat Instância Dados"),[6]BENEFICIOS!$A:$E,5,0)))</f>
        <v/>
      </c>
      <c r="FL12" s="82">
        <v>14.92</v>
      </c>
      <c r="FM12" s="83">
        <f>IF(FL12=0,"",IF(FL12=VLOOKUP("PCS-51793o08",[6]ARBOR!$A:$C,3,0),0.0001,IF(FL12&gt;VLOOKUP("PCS-51793o08",[6]ARBOR!$A:$C,3,0),"Maior que CAP!",ROUND(-1*(FL12/VLOOKUP("PCS-51793o08",[6]ARBOR!$A:$C,3,0)-1),4))))</f>
        <v>0.89500000000000002</v>
      </c>
      <c r="FN12" s="84" t="str">
        <f>IF(ISERROR(IF(FM12="","",VLOOKUP(("Oi Internet Pra Celular 5GB"&amp;FM12&amp;"Template Flat Instância Dados"),[6]BENEFICIOS!$A:$E,5,0))),"Criar",IF(FM12="","",VLOOKUP(("Oi Internet Pra Celular 5GB"&amp;FM12&amp;"Template Flat Instância Dados"),[6]BENEFICIOS!$A:$E,5,0)))</f>
        <v>MKT-1-9870312709</v>
      </c>
      <c r="FO12" s="82"/>
      <c r="FP12" s="83" t="str">
        <f>IF(FO12=0,"",IF(FO12=VLOOKUP("PCS-7171A",[6]ARBOR!$A:$C,3,0),0.0001,IF(FO12&gt;VLOOKUP("PCS-7171A",[6]ARBOR!$A:$C,3,0),"Maior que CAP!",ROUND(-1*(FO12/VLOOKUP("PCS-7171A",[6]ARBOR!$A:$C,3,0)-1),4))))</f>
        <v/>
      </c>
      <c r="FQ12" s="84" t="str">
        <f>IF(ISERROR(IF(FP12="","",VLOOKUP(("Oi Internet Pra Celular 10GB"&amp;FP12&amp;"Template Flat Instância Dados"),[6]BENEFICIOS!$A:$E,5,0))),"Criar",IF(FP12="","",VLOOKUP(("Oi Internet Pra Celular 10GB"&amp;FP12&amp;"Template Flat Instância Dados"),[6]BENEFICIOS!$A:$E,5,0)))</f>
        <v/>
      </c>
      <c r="FR12" s="85">
        <v>0.74260000000000004</v>
      </c>
      <c r="FS12" s="86" t="s">
        <v>265</v>
      </c>
      <c r="FT12" s="48"/>
      <c r="FU12" s="87"/>
      <c r="FV12" s="88" t="s">
        <v>224</v>
      </c>
      <c r="FW12" s="49" t="s">
        <v>229</v>
      </c>
      <c r="FX12" s="89">
        <v>999</v>
      </c>
      <c r="FY12" s="49">
        <v>12</v>
      </c>
      <c r="FZ12" s="90" t="s">
        <v>230</v>
      </c>
      <c r="GA12" s="91" t="str">
        <f t="shared" si="1"/>
        <v>PCS-Fk83324</v>
      </c>
      <c r="GB12" s="92" t="str">
        <f t="shared" si="2"/>
        <v>PCS-SBL553142</v>
      </c>
      <c r="GC12" s="93" t="s">
        <v>231</v>
      </c>
      <c r="GD12" s="90" t="s">
        <v>232</v>
      </c>
      <c r="GE12" s="92" t="s">
        <v>233</v>
      </c>
      <c r="GF12" s="93" t="s">
        <v>234</v>
      </c>
      <c r="GG12" s="90" t="s">
        <v>235</v>
      </c>
      <c r="GH12" s="92" t="s">
        <v>236</v>
      </c>
      <c r="GI12" s="94" t="s">
        <v>237</v>
      </c>
      <c r="GJ12" s="95">
        <f>FL12+EL12+CN12+BJ12</f>
        <v>283.89999999999998</v>
      </c>
      <c r="GK12" s="96"/>
      <c r="GL12" s="97" t="s">
        <v>238</v>
      </c>
      <c r="GM12" s="98" t="s">
        <v>239</v>
      </c>
      <c r="GN12" s="97">
        <f>VLOOKUP($A12,'[6]TABELA COM TUDO'!$A:$AB,25,0)</f>
        <v>20.350000000000001</v>
      </c>
      <c r="GO12" s="99">
        <f>VLOOKUP($A12,'[6]TABELA COM TUDO'!$A:$AB,26,0)</f>
        <v>5.24</v>
      </c>
      <c r="GP12" s="100">
        <f t="shared" si="8"/>
        <v>0.74250000000000005</v>
      </c>
      <c r="GQ12" s="97">
        <f t="shared" si="4"/>
        <v>15.1</v>
      </c>
      <c r="GR12" s="97">
        <f t="shared" si="5"/>
        <v>5.2500000000000018</v>
      </c>
      <c r="GS12" s="101"/>
      <c r="GT12" s="101"/>
      <c r="GU12" s="102" t="b">
        <f t="shared" si="6"/>
        <v>0</v>
      </c>
      <c r="GV12" s="103">
        <f t="shared" si="7"/>
        <v>1.0000000000001563E-2</v>
      </c>
      <c r="GW12" s="44" t="s">
        <v>268</v>
      </c>
      <c r="GX12" s="44" t="s">
        <v>241</v>
      </c>
    </row>
    <row r="13" spans="1:206" s="44" customFormat="1" x14ac:dyDescent="0.25">
      <c r="A13" s="44" t="str">
        <f t="shared" si="0"/>
        <v>Oi Total Fixo + Pós 800 + Banda LargaN110GBMG</v>
      </c>
      <c r="B13" s="45" t="s">
        <v>214</v>
      </c>
      <c r="C13" s="46" t="s">
        <v>130</v>
      </c>
      <c r="D13" s="46" t="s">
        <v>215</v>
      </c>
      <c r="E13" s="47" t="s">
        <v>216</v>
      </c>
      <c r="F13" s="48" t="s">
        <v>217</v>
      </c>
      <c r="G13" s="49"/>
      <c r="H13" s="49"/>
      <c r="I13" s="49"/>
      <c r="J13" s="49" t="s">
        <v>217</v>
      </c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 t="s">
        <v>217</v>
      </c>
      <c r="AC13" s="49" t="s">
        <v>217</v>
      </c>
      <c r="AD13" s="49" t="s">
        <v>217</v>
      </c>
      <c r="AE13" s="49" t="s">
        <v>217</v>
      </c>
      <c r="AF13" s="49" t="s">
        <v>217</v>
      </c>
      <c r="AG13" s="49" t="s">
        <v>217</v>
      </c>
      <c r="AH13" s="50"/>
      <c r="AI13" s="49" t="s">
        <v>217</v>
      </c>
      <c r="AJ13" s="49" t="s">
        <v>217</v>
      </c>
      <c r="AK13" s="49" t="s">
        <v>217</v>
      </c>
      <c r="AL13" s="49" t="s">
        <v>217</v>
      </c>
      <c r="AM13" s="49" t="s">
        <v>217</v>
      </c>
      <c r="AN13" s="49" t="s">
        <v>217</v>
      </c>
      <c r="AO13" s="49" t="s">
        <v>217</v>
      </c>
      <c r="AP13" s="49"/>
      <c r="AQ13" s="51"/>
      <c r="AR13" s="52" t="s">
        <v>269</v>
      </c>
      <c r="AS13" s="46" t="s">
        <v>219</v>
      </c>
      <c r="AT13" s="53" t="s">
        <v>220</v>
      </c>
      <c r="AU13" s="54">
        <v>42972</v>
      </c>
      <c r="AV13" s="55">
        <v>43038</v>
      </c>
      <c r="AW13" s="56" t="s">
        <v>221</v>
      </c>
      <c r="AX13" s="57" t="s">
        <v>221</v>
      </c>
      <c r="AY13" s="58"/>
      <c r="AZ13" s="58" t="s">
        <v>222</v>
      </c>
      <c r="BA13" s="58">
        <v>20</v>
      </c>
      <c r="BB13" s="58">
        <v>10000</v>
      </c>
      <c r="BC13" s="59" t="s">
        <v>223</v>
      </c>
      <c r="BD13" s="60" t="s">
        <v>224</v>
      </c>
      <c r="BE13" s="58" t="s">
        <v>216</v>
      </c>
      <c r="BF13" s="51" t="s">
        <v>216</v>
      </c>
      <c r="BG13" s="45" t="s">
        <v>269</v>
      </c>
      <c r="BH13" s="61" t="s">
        <v>225</v>
      </c>
      <c r="BI13" s="62" t="str">
        <f>IF(ISERROR(VLOOKUP(BH13,[6]PLANOS!B:C,2,0)),"",VLOOKUP(BH13,[6]PLANOS!B:C,2,0))</f>
        <v>PCS-4P6pi</v>
      </c>
      <c r="BJ13" s="63">
        <v>50.1</v>
      </c>
      <c r="BK13" s="64">
        <f>IF(BJ13=0,"",IF(BJ13=VLOOKUP("FIXO",[6]ARBOR!$A:$C,3,0),0.0001,IF(BJ13&gt;VLOOKUP("FIXO",[6]ARBOR!$A:$C,3,0),"Maior que CAP!",IF((DOLLAR(BJ13+(VLOOKUP("FIXO",[6]ARBOR!$A:$C,3,0)*-TRUNC(BJ13/VLOOKUP("FIXO",[6]ARBOR!$A:$C,3,0)-1,4)),6))&lt;&gt;(DOLLAR(VLOOKUP("FIXO",[6]ARBOR!$A:$C,3,0),6)),-TRUNC(BJ13/VLOOKUP("FIXO",[6]ARBOR!$A:$C,3,0)-1,4)+0.0001,-TRUNC(BJ13/VLOOKUP("FIXO",[6]ARBOR!$A:$C,3,0)-1,4)))))</f>
        <v>0.33939999999999998</v>
      </c>
      <c r="BL13" s="65" t="str">
        <f>IF(ISERROR(IF(BK13="","",VLOOKUP(($BH13&amp;BK13&amp;"Template de desconto FLAT bundle - Fixo - Varejo - Ganho Tributário Cross"),[6]BENEFICIOS!$A:$E,5,0))),"Criar",IF(BK13="","",VLOOKUP(($BH13&amp;BK13&amp;"Template de desconto FLAT bundle - Fixo - Varejo - Ganho Tributário Cross"),[6]BENEFICIOS!$A:$E,5,0)))</f>
        <v>MKT-1-9856472058</v>
      </c>
      <c r="BM13" s="66"/>
      <c r="BN13" s="67"/>
      <c r="BO13" s="68" t="s">
        <v>164</v>
      </c>
      <c r="BP13" s="69">
        <v>44.9</v>
      </c>
      <c r="BQ13" s="64">
        <f>IF(BP13=0,"",IF(BP13=VLOOKUP("PCS-30874g",[6]ARBOR!$A:$C,3,0),0.0001,IF(BP13&gt;VLOOKUP("PCS-30874g",[6]ARBOR!$A:$C,3,0),"Maior que CAP!",IF((DOLLAR(BP13+(VLOOKUP("PCS-30874g",[6]ARBOR!$A:$C,3,0)*-TRUNC(BP13/VLOOKUP("PCS-30874g",[6]ARBOR!$A:$C,3,0)-1,4)),6))&lt;&gt;(DOLLAR(VLOOKUP("PCS-30874g",[6]ARBOR!$A:$C,3,0),6)),-TRUNC(BP13/VLOOKUP("PCS-30874g",[6]ARBOR!$A:$C,3,0)-1,4)+0.0001,-TRUNC(BP13/VLOOKUP("PCS-30874g",[6]ARBOR!$A:$C,3,0)-1,4)))))</f>
        <v>0.53679999999999994</v>
      </c>
      <c r="BR13" s="65" t="str">
        <f>IF(ISERROR(IF(BQ13="","",VLOOKUP(($BH13&amp;BQ13&amp;"Template de desconto FLAT bundle - Velox XDSL - Varejo"),[6]BENEFICIOS!$A:$E,5,0))),"Criar",IF(BQ13="","",VLOOKUP(($BH13&amp;BQ13&amp;"Template de desconto FLAT bundle - Velox XDSL - Varejo"),[6]BENEFICIOS!$A:$E,5,0)))</f>
        <v>MKT-1-9865126733</v>
      </c>
      <c r="BS13" s="68" t="s">
        <v>164</v>
      </c>
      <c r="BT13" s="69">
        <v>44.9</v>
      </c>
      <c r="BU13" s="64">
        <f>IF(BT13=0,"",IF(BT13=VLOOKUP("PCS-30577g",[6]ARBOR!$A:$C,3,0),0.0001,IF(BT13&gt;VLOOKUP("PCS-30577g",[6]ARBOR!$A:$C,3,0),"Maior que CAP!",IF((DOLLAR(BT13+(VLOOKUP("PCS-30577g",[6]ARBOR!$A:$C,3,0)*-TRUNC(BT13/VLOOKUP("PCS-30577g",[6]ARBOR!$A:$C,3,0)-1,4)),6))&lt;&gt;(DOLLAR(VLOOKUP("PCS-30577g",[6]ARBOR!$A:$C,3,0),6)),-TRUNC(BT13/VLOOKUP("PCS-30577g",[6]ARBOR!$A:$C,3,0)-1,4)+0.0001,-TRUNC(BT13/VLOOKUP("PCS-30577g",[6]ARBOR!$A:$C,3,0)-1,4)))))</f>
        <v>0.53679999999999994</v>
      </c>
      <c r="BV13" s="65" t="str">
        <f>IF(ISERROR(IF(BU13="","",VLOOKUP(($BH13&amp;BU13&amp;"Template de desconto FLAT bundle - Velox XDSL - Varejo"),[6]BENEFICIOS!$A:$E,5,0))),"Criar",IF(BU13="","",VLOOKUP(($BH13&amp;BU13&amp;"Template de desconto FLAT bundle - Velox XDSL - Varejo"),[6]BENEFICIOS!$A:$E,5,0)))</f>
        <v>MKT-1-9865126733</v>
      </c>
      <c r="BW13" s="68" t="s">
        <v>164</v>
      </c>
      <c r="BX13" s="69">
        <v>44.9</v>
      </c>
      <c r="BY13" s="64">
        <f>IF(BX13=0,"",IF(BX13=VLOOKUP("PCS-30604g",[6]ARBOR!$A:$C,3,0),0.0001,IF(BX13&gt;VLOOKUP("PCS-30604g",[6]ARBOR!$A:$C,3,0),"Maior que CAP!",IF((DOLLAR(BX13+(VLOOKUP("PCS-30604g",[6]ARBOR!$A:$C,3,0)*-TRUNC(BX13/VLOOKUP("PCS-30604g",[6]ARBOR!$A:$C,3,0)-1,4)),6))&lt;&gt;(DOLLAR(VLOOKUP("PCS-30604g",[6]ARBOR!$A:$C,3,0),6)),-TRUNC(BX13/VLOOKUP("PCS-30604g",[6]ARBOR!$A:$C,3,0)-1,4)+0.0001,-TRUNC(BX13/VLOOKUP("PCS-30604g",[6]ARBOR!$A:$C,3,0)-1,4)))))</f>
        <v>0.53679999999999994</v>
      </c>
      <c r="BZ13" s="65" t="str">
        <f>IF(ISERROR(IF(BY13="","",VLOOKUP(($BH13&amp;BY13&amp;"Template de desconto FLAT bundle - Velox XDSL - Varejo"),[6]BENEFICIOS!$A:$E,5,0))),"Criar",IF(BY13="","",VLOOKUP(($BH13&amp;BY13&amp;"Template de desconto FLAT bundle - Velox XDSL - Varejo"),[6]BENEFICIOS!$A:$E,5,0)))</f>
        <v>MKT-1-9865126733</v>
      </c>
      <c r="CA13" s="68" t="s">
        <v>164</v>
      </c>
      <c r="CB13" s="69">
        <v>44.9</v>
      </c>
      <c r="CC13" s="64">
        <f>IF(CB13=0,"",IF(CB13=VLOOKUP("PCS-30631g",[6]ARBOR!$A:$C,3,0),0.0001,IF(CB13&gt;VLOOKUP("PCS-30631g",[6]ARBOR!$A:$C,3,0),"Maior que CAP!",IF((DOLLAR(CB13+(VLOOKUP("PCS-30631g",[6]ARBOR!$A:$C,3,0)*-TRUNC(CB13/VLOOKUP("PCS-30631g",[6]ARBOR!$A:$C,3,0)-1,4)),6))&lt;&gt;(DOLLAR(VLOOKUP("PCS-30631g",[6]ARBOR!$A:$C,3,0),6)),-TRUNC(CB13/VLOOKUP("PCS-30631g",[6]ARBOR!$A:$C,3,0)-1,4)+0.0001,-TRUNC(CB13/VLOOKUP("PCS-30631g",[6]ARBOR!$A:$C,3,0)-1,4)))))</f>
        <v>0.54310000000000003</v>
      </c>
      <c r="CD13" s="65" t="str">
        <f>IF(ISERROR(IF(CC13="","",VLOOKUP(($BH13&amp;CC13&amp;"Template de desconto FLAT bundle - Velox XDSL - Varejo"),[6]BENEFICIOS!$A:$E,5,0))),"Criar",IF(CC13="","",VLOOKUP(($BH13&amp;CC13&amp;"Template de desconto FLAT bundle - Velox XDSL - Varejo"),[6]BENEFICIOS!$A:$E,5,0)))</f>
        <v>MKT-1-9865126826</v>
      </c>
      <c r="CE13" s="68"/>
      <c r="CF13" s="69"/>
      <c r="CG13" s="64" t="str">
        <f>IF(CF13=0,"",IF(CF13=VLOOKUP("PCS-30658g",[6]ARBOR!$A:$C,3,0),0.0001,IF(CF13&gt;VLOOKUP("PCS-30658g",[6]ARBOR!$A:$C,3,0),"Maior que CAP!",IF((DOLLAR(CF13+(VLOOKUP("PCS-30658g",[6]ARBOR!$A:$C,3,0)*-TRUNC(CF13/VLOOKUP("PCS-30658g",[6]ARBOR!$A:$C,3,0)-1,4)),6))&lt;&gt;(DOLLAR(VLOOKUP("PCS-30658g",[6]ARBOR!$A:$C,3,0),6)),-TRUNC(CF13/VLOOKUP("PCS-30658g",[6]ARBOR!$A:$C,3,0)-1,4)+0.0001,-TRUNC(CF13/VLOOKUP("PCS-30658g",[6]ARBOR!$A:$C,3,0)-1,4)))))</f>
        <v/>
      </c>
      <c r="CH13" s="65" t="str">
        <f>IF(ISERROR(IF(CG13="","",VLOOKUP(($BH13&amp;CG13&amp;"Template de desconto FLAT bundle - Velox XDSL - Varejo"),[6]BENEFICIOS!$A:$E,5,0))),"Criar",IF(CG13="","",VLOOKUP(($BH13&amp;CG13&amp;"Template de desconto FLAT bundle - Velox XDSL - Varejo"),[6]BENEFICIOS!$A:$E,5,0)))</f>
        <v/>
      </c>
      <c r="CI13" s="68"/>
      <c r="CJ13" s="69"/>
      <c r="CK13" s="64" t="str">
        <f>IF(CJ13=0,"",IF(CJ13=VLOOKUP("PCS-30685g",[6]ARBOR!$A:$C,3,0),0.0001,IF(CJ13&gt;VLOOKUP("PCS-30685g",[6]ARBOR!$A:$C,3,0),"Maior que CAP!",IF((DOLLAR(CJ13+(VLOOKUP("PCS-30685g",[6]ARBOR!$A:$C,3,0)*-TRUNC(CJ13/VLOOKUP("PCS-30685g",[6]ARBOR!$A:$C,3,0)-1,4)),6))&lt;&gt;(DOLLAR(VLOOKUP("PCS-30685g",[6]ARBOR!$A:$C,3,0),6)),-TRUNC(CJ13/VLOOKUP("PCS-30685g",[6]ARBOR!$A:$C,3,0)-1,4)+0.0001,-TRUNC(CJ13/VLOOKUP("PCS-30685g",[6]ARBOR!$A:$C,3,0)-1,4)))))</f>
        <v/>
      </c>
      <c r="CL13" s="65" t="str">
        <f>IF(ISERROR(IF(CK13="","",VLOOKUP(($BH13&amp;CK13&amp;"Template de desconto FLAT bundle - Velox XDSL - Varejo"),[6]BENEFICIOS!$A:$E,5,0))),"Criar",IF(CK13="","",VLOOKUP(($BH13&amp;CK13&amp;"Template de desconto FLAT bundle - Velox XDSL - Varejo"),[6]BENEFICIOS!$A:$E,5,0)))</f>
        <v/>
      </c>
      <c r="CM13" s="68"/>
      <c r="CN13" s="69"/>
      <c r="CO13" s="64" t="str">
        <f>IF(CN13=0,"",IF(CN13=VLOOKUP("PCS-30712g",[6]ARBOR!$A:$C,3,0),0.0001,IF(CN13&gt;VLOOKUP("PCS-30712g",[6]ARBOR!$A:$C,3,0),"Maior que CAP!",IF((DOLLAR(CN13+(VLOOKUP("PCS-30712g",[6]ARBOR!$A:$C,3,0)*-TRUNC(CN13/VLOOKUP("PCS-30712g",[6]ARBOR!$A:$C,3,0)-1,4)),6))&lt;&gt;(DOLLAR(VLOOKUP("PCS-30712g",[6]ARBOR!$A:$C,3,0),6)),-TRUNC(CN13/VLOOKUP("PCS-30712g",[6]ARBOR!$A:$C,3,0)-1,4)+0.0001,-TRUNC(CN13/VLOOKUP("PCS-30712g",[6]ARBOR!$A:$C,3,0)-1,4)))))</f>
        <v/>
      </c>
      <c r="CP13" s="65" t="str">
        <f>IF(ISERROR(IF(CO13="","",VLOOKUP(($BH13&amp;CO13&amp;"Template de desconto FLAT bundle - Velox XDSL - Varejo"),[6]BENEFICIOS!$A:$E,5,0))),"Criar",IF(CO13="","",VLOOKUP(($BH13&amp;CO13&amp;"Template de desconto FLAT bundle - Velox XDSL - Varejo"),[6]BENEFICIOS!$A:$E,5,0)))</f>
        <v/>
      </c>
      <c r="CQ13" s="68"/>
      <c r="CR13" s="69"/>
      <c r="CS13" s="64" t="str">
        <f>IF(CR13=0,"",IF(CR13=VLOOKUP("PCS-30739g",[6]ARBOR!$A:$C,3,0),0.0001,IF(CR13&gt;VLOOKUP("PCS-30739g",[6]ARBOR!$A:$C,3,0),"Maior que CAP!",IF((DOLLAR(CR13+(VLOOKUP("PCS-30739g",[6]ARBOR!$A:$C,3,0)*-TRUNC(CR13/VLOOKUP("PCS-30739g",[6]ARBOR!$A:$C,3,0)-1,4)),6))&lt;&gt;(DOLLAR(VLOOKUP("PCS-30739g",[6]ARBOR!$A:$C,3,0),6)),-TRUNC(CR13/VLOOKUP("PCS-30739g",[6]ARBOR!$A:$C,3,0)-1,4)+0.0001,-TRUNC(CR13/VLOOKUP("PCS-30739g",[6]ARBOR!$A:$C,3,0)-1,4)))))</f>
        <v/>
      </c>
      <c r="CT13" s="65" t="str">
        <f>IF(ISERROR(IF(CS13="","",VLOOKUP(($BH13&amp;CS13&amp;"Template de desconto FLAT bundle - Velox XDSL - Varejo"),[6]BENEFICIOS!$A:$E,5,0))),"Criar",IF(CS13="","",VLOOKUP(($BH13&amp;CS13&amp;"Template de desconto FLAT bundle - Velox XDSL - Varejo"),[6]BENEFICIOS!$A:$E,5,0)))</f>
        <v/>
      </c>
      <c r="CU13" s="69"/>
      <c r="CV13" s="70"/>
      <c r="CW13" s="64"/>
      <c r="CX13" s="65"/>
      <c r="CY13" s="68"/>
      <c r="CZ13" s="69"/>
      <c r="DA13" s="64" t="str">
        <f>IF(CZ13=0,"",IF(CZ13=VLOOKUP("PCS-30766g",[6]ARBOR!$A:$C,3,0),0.0001,IF(CZ13&gt;VLOOKUP("PCS-30766g",[6]ARBOR!$A:$C,3,0),"Maior que CAP!",IF((DOLLAR(CZ13+(VLOOKUP("PCS-30766g",[6]ARBOR!$A:$C,3,0)*-TRUNC(CZ13/VLOOKUP("PCS-30766g",[6]ARBOR!$A:$C,3,0)-1,4)),6))&lt;&gt;(DOLLAR(VLOOKUP("PCS-30766g",[6]ARBOR!$A:$C,3,0),6)),-TRUNC(CZ13/VLOOKUP("PCS-30766g",[6]ARBOR!$A:$C,3,0)-1,4)+0.0001,-TRUNC(CZ13/VLOOKUP("PCS-30766g",[6]ARBOR!$A:$C,3,0)-1,4)))))</f>
        <v/>
      </c>
      <c r="DB13" s="65" t="str">
        <f>IF(ISERROR(IF(DA13="","",VLOOKUP(($BH13&amp;DA13&amp;"Template de desconto FLAT bundle - Velox XDSL - Varejo"),[6]BENEFICIOS!$A:$E,5,0))),"Criar",IF(DA13="","",VLOOKUP(($BH13&amp;DA13&amp;"Template de desconto FLAT bundle - Velox XDSL - Varejo"),[6]BENEFICIOS!$A:$E,5,0)))</f>
        <v/>
      </c>
      <c r="DC13" s="69"/>
      <c r="DD13" s="70"/>
      <c r="DE13" s="64"/>
      <c r="DF13" s="65"/>
      <c r="DG13" s="68"/>
      <c r="DH13" s="69"/>
      <c r="DI13" s="64" t="str">
        <f>IF(DH13=0,"",IF(DH13=VLOOKUP("PCS-30793g",[6]ARBOR!$A:$C,3,0),0.0001,IF(DH13&gt;VLOOKUP("PCS-30793g",[6]ARBOR!$A:$C,3,0),"Maior que CAP!",IF((DOLLAR(DH13+(VLOOKUP("PCS-30793g",[6]ARBOR!$A:$C,3,0)*-TRUNC(DH13/VLOOKUP("PCS-30793g",[6]ARBOR!$A:$C,3,0)-1,4)),6))&lt;&gt;(DOLLAR(VLOOKUP("PCS-30793g",[6]ARBOR!$A:$C,3,0),6)),-TRUNC(DH13/VLOOKUP("PCS-30793g",[6]ARBOR!$A:$C,3,0)-1,4)+0.0001,-TRUNC(DH13/VLOOKUP("PCS-30793g",[6]ARBOR!$A:$C,3,0)-1,4)))))</f>
        <v/>
      </c>
      <c r="DJ13" s="65" t="str">
        <f>IF(ISERROR(IF(DI13="","",VLOOKUP(($BH13&amp;DI13&amp;"Template de desconto FLAT bundle - Velox XDSL - Varejo"),[6]BENEFICIOS!$A:$E,5,0))),"Criar",IF(DI13="","",VLOOKUP(($BH13&amp;DI13&amp;"Template de desconto FLAT bundle - Velox XDSL - Varejo"),[6]BENEFICIOS!$A:$E,5,0)))</f>
        <v/>
      </c>
      <c r="DK13" s="69"/>
      <c r="DL13" s="70"/>
      <c r="DM13" s="64"/>
      <c r="DN13" s="65"/>
      <c r="DO13" s="68"/>
      <c r="DP13" s="69"/>
      <c r="DQ13" s="64" t="str">
        <f>IF(DP13=0,"",IF(DP13=VLOOKUP("PCS-30820g",[6]ARBOR!$A:$C,3,0),0.0001,IF(DP13&gt;VLOOKUP("PCS-30820g",[6]ARBOR!$A:$C,3,0),"Maior que CAP!",IF((DOLLAR(DP13+(VLOOKUP("PCS-30820g",[6]ARBOR!$A:$C,3,0)*-TRUNC(DP13/VLOOKUP("PCS-30820g",[6]ARBOR!$A:$C,3,0)-1,4)),6))&lt;&gt;(DOLLAR(VLOOKUP("PCS-30820g",[6]ARBOR!$A:$C,3,0),6)),-TRUNC(DP13/VLOOKUP("PCS-30820g",[6]ARBOR!$A:$C,3,0)-1,4)+0.0001,-TRUNC(DP13/VLOOKUP("PCS-30820g",[6]ARBOR!$A:$C,3,0)-1,4)))))</f>
        <v/>
      </c>
      <c r="DR13" s="65" t="str">
        <f>IF(ISERROR(IF(DQ13="","",VLOOKUP(($BH13&amp;DQ13&amp;"Template de desconto FLAT bundle - Velox XDSL - Varejo"),[6]BENEFICIOS!$A:$E,5,0))),"Criar",IF(DQ13="","",VLOOKUP(($BH13&amp;DQ13&amp;"Template de desconto FLAT bundle - Velox XDSL - Varejo"),[6]BENEFICIOS!$A:$E,5,0)))</f>
        <v/>
      </c>
      <c r="DS13" s="69"/>
      <c r="DT13" s="70"/>
      <c r="DU13" s="64"/>
      <c r="DV13" s="65"/>
      <c r="DW13" s="71">
        <v>44.9</v>
      </c>
      <c r="DX13" s="64">
        <f>IF(DW13=0,"",IF(DW13=VLOOKUP("PCS-21448p2",[6]ARBOR!$A:$C,3,0),0.0001,IF(DW13&gt;VLOOKUP("PCS-21448p2",[6]ARBOR!$A:$C,3,0),"Maior que CAP!",IF((DOLLAR(DW13+(VLOOKUP("PCS-21448p2",[6]ARBOR!$A:$C,3,0)*-TRUNC(DW13/VLOOKUP("PCS-21448p2",[6]ARBOR!$A:$C,3,0)-1,4)),6))&lt;&gt;(DOLLAR(VLOOKUP("PCS-21448p2",[6]ARBOR!$A:$C,3,0),6)),-TRUNC(DW13/VLOOKUP("PCS-21448p2",[6]ARBOR!$A:$C,3,0)-1,4)+0.0001,-TRUNC(DW13/VLOOKUP("PCS-21448p2",[6]ARBOR!$A:$C,3,0)-1,4)))))</f>
        <v>0.64900000000000002</v>
      </c>
      <c r="DY13" s="65" t="str">
        <f>IF(ISERROR(IF(DX13="","",VLOOKUP(("Oi Conta Total Plug 10GB Downgrade"&amp;DX13&amp;"Template de desconto percentual BL Móvel - Internet Total - Varejo"),[6]BENEFICIOS!$A:$E,5,0))),"Criar",IF(DX13="","",VLOOKUP(("Oi Conta Total Plug 10GB Downgrade"&amp;DX13&amp;"Template de desconto percentual BL Móvel - Internet Total - Varejo"),[6]BENEFICIOS!$A:$E,5,0)))</f>
        <v>MKT-1-9825544790</v>
      </c>
      <c r="DZ13" s="71">
        <v>16.5</v>
      </c>
      <c r="EA13" s="72">
        <f>IF(DZ13=0,"",IF(DZ13=VLOOKUP("SVA",[6]ARBOR!$A:$C,3,0),0.0001,IF(DZ13&gt;VLOOKUP("SVA",[6]ARBOR!$A:$C,3,0),"Maior que CAP!",IF((DOLLAR(DZ13+(VLOOKUP("SVA",[6]ARBOR!$A:$C,3,0)*-TRUNC(DZ13/VLOOKUP("SVA",[6]ARBOR!$A:$C,3,0)-1,4)),6))&lt;&gt;(DOLLAR(VLOOKUP("SVA",[6]ARBOR!$A:$C,3,0),6)),-TRUNC(DZ13/VLOOKUP("SVA",[6]ARBOR!$A:$C,3,0)-1,4)+0.0001,-TRUNC(DZ13/VLOOKUP("SVA",[6]ARBOR!$A:$C,3,0)-1,4)))))</f>
        <v>0.2301</v>
      </c>
      <c r="EB13" s="65" t="s">
        <v>226</v>
      </c>
      <c r="EC13" s="69"/>
      <c r="ED13" s="73"/>
      <c r="EE13" s="74"/>
      <c r="EF13" s="65"/>
      <c r="EG13" s="75">
        <f>IF(BI13="","",VLOOKUP(BI13,[6]ARBOR!A:C,3,0))</f>
        <v>479.46</v>
      </c>
      <c r="EH13" s="69">
        <v>15</v>
      </c>
      <c r="EI13" s="76">
        <f>IF(EH13="","",1-(EH13/VLOOKUP(BI13&amp;"ASS",[6]ARBOR!A:C,3,0)))</f>
        <v>0.34725848563968664</v>
      </c>
      <c r="EJ13" s="77" t="s">
        <v>227</v>
      </c>
      <c r="EK13" s="78" t="s">
        <v>228</v>
      </c>
      <c r="EL13" s="69">
        <v>180.36999999999998</v>
      </c>
      <c r="EM13" s="64">
        <f>ROUND(IF(EL13=0,"",IF(EL13=EG13,0.0001,1-((EL13+(VLOOKUP(BI13&amp;"ASS",[6]ARBOR!A:C,3,0)-EH13))/EG13))),4)</f>
        <v>0.60719999999999996</v>
      </c>
      <c r="EN13" s="65" t="str">
        <f>IF(ISERROR(IF(EM13="","",VLOOKUP(($BH13&amp;EM13&amp;"Template de desconto percentual FLAT Móvel - Conta Total - Varejo - Ganho Tributário Cross"),[6]BENEFICIOS!$A:$E,5,0))),"Criar",IF(EM13="","",VLOOKUP(($BH13&amp;EM13&amp;"Template de desconto percentual FLAT Móvel - Conta Total - Varejo - Ganho Tributário Cross"),[6]BENEFICIOS!$A:$E,5,0)))</f>
        <v>Criar</v>
      </c>
      <c r="EO13" s="79"/>
      <c r="EP13" s="64"/>
      <c r="EQ13" s="72"/>
      <c r="ER13" s="72"/>
      <c r="ES13" s="64"/>
      <c r="ET13" s="80"/>
      <c r="EU13" s="81" t="s">
        <v>247</v>
      </c>
      <c r="EV13" s="81" t="s">
        <v>270</v>
      </c>
      <c r="EW13" s="82"/>
      <c r="EX13" s="83"/>
      <c r="EY13" s="84"/>
      <c r="EZ13" s="82"/>
      <c r="FA13" s="83"/>
      <c r="FB13" s="84"/>
      <c r="FC13" s="82"/>
      <c r="FD13" s="83" t="str">
        <f>IF(FC13=0,"",IF(FC13=VLOOKUP("PCS-10357",[6]ARBOR!$A:$C,3,0),0.0001,IF(FC13&gt;VLOOKUP("PCS-10357",[6]ARBOR!$A:$C,3,0),"Maior que CAP!",ROUND(-1*(FC13/VLOOKUP("PCS-10357",[6]ARBOR!$A:$C,3,0)-1),4))))</f>
        <v/>
      </c>
      <c r="FE13" s="84" t="str">
        <f>IF(ISERROR(IF(FD13="","",VLOOKUP(("Oi Internet Pra Celular 1GB"&amp;FD13&amp;"Template Flat Instância Dados"),[6]BENEFICIOS!$A:$E,5,0))),"Criar",IF(FD13="","",VLOOKUP(("Oi Internet Pra Celular 1GB"&amp;FD13&amp;"Template Flat Instância Dados"),[6]BENEFICIOS!$A:$E,5,0)))</f>
        <v/>
      </c>
      <c r="FF13" s="82"/>
      <c r="FG13" s="83" t="str">
        <f>IF(FF13=0,"",IF(FF13=VLOOKUP("PCS-813565",[6]ARBOR!$A:$C,3,0),0.0001,IF(FF13&gt;VLOOKUP("PCS-813565",[6]ARBOR!$A:$C,3,0),"Maior que CAP!",ROUND(-1*(FF13/VLOOKUP("PCS-813565",[6]ARBOR!$A:$C,3,0)-1),4))))</f>
        <v/>
      </c>
      <c r="FH13" s="84" t="str">
        <f>IF(ISERROR(IF(FG13="","",VLOOKUP(("Oi Internet Pra Celular 2GB"&amp;FG13&amp;"Template Flat Instância Dados"),[6]BENEFICIOS!$A:$E,5,0))),"Criar",IF(FG13="","",VLOOKUP(("Oi Internet Pra Celular 2GB"&amp;FG13&amp;"Template Flat Instância Dados"),[6]BENEFICIOS!$A:$E,5,0)))</f>
        <v/>
      </c>
      <c r="FI13" s="82"/>
      <c r="FJ13" s="83" t="str">
        <f>IF(FI13=0,"",IF(FI13=VLOOKUP("PCS-7171B",[6]ARBOR!$A:$C,3,0),0.0001,IF(FI13&gt;VLOOKUP("PCS-7171B",[6]ARBOR!$A:$C,3,0),"Maior que CAP!",ROUND(-1*(FI13/VLOOKUP("PCS-7171B",[6]ARBOR!$A:$C,3,0)-1),4))))</f>
        <v/>
      </c>
      <c r="FK13" s="84" t="str">
        <f>IF(ISERROR(IF(FJ13="","",VLOOKUP(("Oi Internet Pra Celular 3GB"&amp;FJ13&amp;"Template Flat Instância Dados"),[6]BENEFICIOS!$A:$E,5,0))),"Criar",IF(FJ13="","",VLOOKUP(("Oi Internet Pra Celular 3GB"&amp;FJ13&amp;"Template Flat Instância Dados"),[6]BENEFICIOS!$A:$E,5,0)))</f>
        <v/>
      </c>
      <c r="FL13" s="82"/>
      <c r="FM13" s="83"/>
      <c r="FN13" s="84"/>
      <c r="FO13" s="82">
        <v>35.53</v>
      </c>
      <c r="FP13" s="83">
        <f>IF(FO13=0,"",IF(FO13=VLOOKUP("PCS-7171A",[6]ARBOR!$A:$C,3,0),0.0001,IF(FO13&gt;VLOOKUP("PCS-7171A",[6]ARBOR!$A:$C,3,0),"Maior que CAP!",ROUND(-1*(FO13/VLOOKUP("PCS-7171A",[6]ARBOR!$A:$C,3,0)-1),4))))</f>
        <v>0.81899999999999995</v>
      </c>
      <c r="FQ13" s="84" t="str">
        <f>IF(ISERROR(IF(FP13="","",VLOOKUP(("Oi Internet Pra Celular 10GB"&amp;FP13&amp;"Template Flat Instância Dados"),[6]BENEFICIOS!$A:$E,5,0))),"Criar",IF(FP13="","",VLOOKUP(("Oi Internet Pra Celular 10GB"&amp;FP13&amp;"Template Flat Instância Dados"),[6]BENEFICIOS!$A:$E,5,0)))</f>
        <v>MKT-1-9869971287</v>
      </c>
      <c r="FR13" s="85">
        <v>0.74260000000000004</v>
      </c>
      <c r="FS13" s="86" t="s">
        <v>265</v>
      </c>
      <c r="FT13" s="48"/>
      <c r="FU13" s="87"/>
      <c r="FV13" s="88" t="s">
        <v>224</v>
      </c>
      <c r="FW13" s="49" t="s">
        <v>229</v>
      </c>
      <c r="FX13" s="89">
        <v>999</v>
      </c>
      <c r="FY13" s="49">
        <v>12</v>
      </c>
      <c r="FZ13" s="90" t="s">
        <v>230</v>
      </c>
      <c r="GA13" s="91" t="str">
        <f t="shared" si="1"/>
        <v>PCS-Fk83324</v>
      </c>
      <c r="GB13" s="92" t="str">
        <f t="shared" si="2"/>
        <v>PCS-SBL553142</v>
      </c>
      <c r="GC13" s="93" t="s">
        <v>231</v>
      </c>
      <c r="GD13" s="90" t="s">
        <v>232</v>
      </c>
      <c r="GE13" s="92" t="s">
        <v>233</v>
      </c>
      <c r="GF13" s="93" t="s">
        <v>234</v>
      </c>
      <c r="GG13" s="90" t="s">
        <v>235</v>
      </c>
      <c r="GH13" s="92" t="s">
        <v>236</v>
      </c>
      <c r="GI13" s="94" t="s">
        <v>237</v>
      </c>
      <c r="GJ13" s="95">
        <f>FO13+EL13+DW13+BJ13</f>
        <v>310.89999999999998</v>
      </c>
      <c r="GK13" s="96"/>
      <c r="GL13" s="97" t="s">
        <v>238</v>
      </c>
      <c r="GM13" s="98" t="s">
        <v>239</v>
      </c>
      <c r="GN13" s="97">
        <f>VLOOKUP($A13,'[6]TABELA COM TUDO'!$A:$AB,25,0)</f>
        <v>20.350000000000001</v>
      </c>
      <c r="GO13" s="99">
        <f>VLOOKUP($A13,'[6]TABELA COM TUDO'!$A:$AB,26,0)</f>
        <v>5.24</v>
      </c>
      <c r="GP13" s="100">
        <f t="shared" si="8"/>
        <v>0.74250000000000005</v>
      </c>
      <c r="GQ13" s="97">
        <f t="shared" si="4"/>
        <v>15.1</v>
      </c>
      <c r="GR13" s="97">
        <f t="shared" si="5"/>
        <v>5.2500000000000018</v>
      </c>
      <c r="GS13" s="101"/>
      <c r="GT13" s="101"/>
      <c r="GU13" s="102" t="b">
        <f t="shared" si="6"/>
        <v>0</v>
      </c>
      <c r="GV13" s="103">
        <f t="shared" si="7"/>
        <v>1.0000000000001563E-2</v>
      </c>
      <c r="GW13" s="44" t="s">
        <v>271</v>
      </c>
      <c r="GX13" s="44" t="s">
        <v>241</v>
      </c>
    </row>
    <row r="14" spans="1:206" s="44" customFormat="1" x14ac:dyDescent="0.25">
      <c r="A14" s="44" t="str">
        <f t="shared" si="0"/>
        <v>Oi Total Fixo + Pós 800 + Banda LargaN110GBMG</v>
      </c>
      <c r="B14" s="45" t="s">
        <v>214</v>
      </c>
      <c r="C14" s="46" t="s">
        <v>130</v>
      </c>
      <c r="D14" s="46" t="s">
        <v>215</v>
      </c>
      <c r="E14" s="47" t="s">
        <v>216</v>
      </c>
      <c r="F14" s="48" t="s">
        <v>217</v>
      </c>
      <c r="G14" s="49"/>
      <c r="H14" s="49"/>
      <c r="I14" s="49"/>
      <c r="J14" s="49" t="s">
        <v>217</v>
      </c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 t="s">
        <v>217</v>
      </c>
      <c r="AC14" s="49" t="s">
        <v>217</v>
      </c>
      <c r="AD14" s="49" t="s">
        <v>217</v>
      </c>
      <c r="AE14" s="49" t="s">
        <v>217</v>
      </c>
      <c r="AF14" s="49" t="s">
        <v>217</v>
      </c>
      <c r="AG14" s="49" t="s">
        <v>217</v>
      </c>
      <c r="AH14" s="50"/>
      <c r="AI14" s="49" t="s">
        <v>217</v>
      </c>
      <c r="AJ14" s="49" t="s">
        <v>217</v>
      </c>
      <c r="AK14" s="49" t="s">
        <v>217</v>
      </c>
      <c r="AL14" s="49" t="s">
        <v>217</v>
      </c>
      <c r="AM14" s="49" t="s">
        <v>217</v>
      </c>
      <c r="AN14" s="49" t="s">
        <v>217</v>
      </c>
      <c r="AO14" s="49" t="s">
        <v>217</v>
      </c>
      <c r="AP14" s="49"/>
      <c r="AQ14" s="51"/>
      <c r="AR14" s="52" t="s">
        <v>272</v>
      </c>
      <c r="AS14" s="46" t="s">
        <v>219</v>
      </c>
      <c r="AT14" s="53" t="s">
        <v>220</v>
      </c>
      <c r="AU14" s="54">
        <v>42972</v>
      </c>
      <c r="AV14" s="55">
        <v>43038</v>
      </c>
      <c r="AW14" s="56" t="s">
        <v>221</v>
      </c>
      <c r="AX14" s="57" t="s">
        <v>221</v>
      </c>
      <c r="AY14" s="58"/>
      <c r="AZ14" s="58" t="s">
        <v>222</v>
      </c>
      <c r="BA14" s="58">
        <v>20</v>
      </c>
      <c r="BB14" s="58">
        <v>10000</v>
      </c>
      <c r="BC14" s="59" t="s">
        <v>223</v>
      </c>
      <c r="BD14" s="60" t="s">
        <v>224</v>
      </c>
      <c r="BE14" s="58" t="s">
        <v>216</v>
      </c>
      <c r="BF14" s="51" t="s">
        <v>216</v>
      </c>
      <c r="BG14" s="45" t="s">
        <v>272</v>
      </c>
      <c r="BH14" s="61" t="s">
        <v>225</v>
      </c>
      <c r="BI14" s="62" t="str">
        <f>IF(ISERROR(VLOOKUP(BH14,[6]PLANOS!B:C,2,0)),"",VLOOKUP(BH14,[6]PLANOS!B:C,2,0))</f>
        <v>PCS-4P6pi</v>
      </c>
      <c r="BJ14" s="63">
        <v>50.1</v>
      </c>
      <c r="BK14" s="64">
        <f>IF(BJ14=0,"",IF(BJ14=VLOOKUP("FIXO",[6]ARBOR!$A:$C,3,0),0.0001,IF(BJ14&gt;VLOOKUP("FIXO",[6]ARBOR!$A:$C,3,0),"Maior que CAP!",IF((DOLLAR(BJ14+(VLOOKUP("FIXO",[6]ARBOR!$A:$C,3,0)*-TRUNC(BJ14/VLOOKUP("FIXO",[6]ARBOR!$A:$C,3,0)-1,4)),6))&lt;&gt;(DOLLAR(VLOOKUP("FIXO",[6]ARBOR!$A:$C,3,0),6)),-TRUNC(BJ14/VLOOKUP("FIXO",[6]ARBOR!$A:$C,3,0)-1,4)+0.0001,-TRUNC(BJ14/VLOOKUP("FIXO",[6]ARBOR!$A:$C,3,0)-1,4)))))</f>
        <v>0.33939999999999998</v>
      </c>
      <c r="BL14" s="65" t="str">
        <f>IF(ISERROR(IF(BK14="","",VLOOKUP(($BH14&amp;BK14&amp;"Template de desconto FLAT bundle - Fixo - Varejo - Ganho Tributário Cross"),[6]BENEFICIOS!$A:$E,5,0))),"Criar",IF(BK14="","",VLOOKUP(($BH14&amp;BK14&amp;"Template de desconto FLAT bundle - Fixo - Varejo - Ganho Tributário Cross"),[6]BENEFICIOS!$A:$E,5,0)))</f>
        <v>MKT-1-9856472058</v>
      </c>
      <c r="BM14" s="66"/>
      <c r="BN14" s="67"/>
      <c r="BO14" s="104" t="s">
        <v>243</v>
      </c>
      <c r="BP14" s="69">
        <v>44.9</v>
      </c>
      <c r="BQ14" s="64">
        <f>IF(BP14=0,"",IF(BP14=VLOOKUP("PCS-30874g",[6]ARBOR!$A:$C,3,0),0.0001,IF(BP14&gt;VLOOKUP("PCS-30874g",[6]ARBOR!$A:$C,3,0),"Maior que CAP!",IF((DOLLAR(BP14+(VLOOKUP("PCS-30874g",[6]ARBOR!$A:$C,3,0)*-TRUNC(BP14/VLOOKUP("PCS-30874g",[6]ARBOR!$A:$C,3,0)-1,4)),6))&lt;&gt;(DOLLAR(VLOOKUP("PCS-30874g",[6]ARBOR!$A:$C,3,0),6)),-TRUNC(BP14/VLOOKUP("PCS-30874g",[6]ARBOR!$A:$C,3,0)-1,4)+0.0001,-TRUNC(BP14/VLOOKUP("PCS-30874g",[6]ARBOR!$A:$C,3,0)-1,4)))))</f>
        <v>0.53679999999999994</v>
      </c>
      <c r="BR14" s="65" t="str">
        <f>IF(ISERROR(IF(BQ14="","",VLOOKUP(($BH14&amp;BQ14&amp;"Template de desconto FLAT bundle - Velox XDSL - Varejo"),[6]BENEFICIOS!$A:$E,5,0))),"Criar",IF(BQ14="","",VLOOKUP(($BH14&amp;BQ14&amp;"Template de desconto FLAT bundle - Velox XDSL - Varejo"),[6]BENEFICIOS!$A:$E,5,0)))</f>
        <v>MKT-1-9865126733</v>
      </c>
      <c r="BS14" s="104" t="s">
        <v>243</v>
      </c>
      <c r="BT14" s="69">
        <v>44.9</v>
      </c>
      <c r="BU14" s="64">
        <f>IF(BT14=0,"",IF(BT14=VLOOKUP("PCS-30577g",[6]ARBOR!$A:$C,3,0),0.0001,IF(BT14&gt;VLOOKUP("PCS-30577g",[6]ARBOR!$A:$C,3,0),"Maior que CAP!",IF((DOLLAR(BT14+(VLOOKUP("PCS-30577g",[6]ARBOR!$A:$C,3,0)*-TRUNC(BT14/VLOOKUP("PCS-30577g",[6]ARBOR!$A:$C,3,0)-1,4)),6))&lt;&gt;(DOLLAR(VLOOKUP("PCS-30577g",[6]ARBOR!$A:$C,3,0),6)),-TRUNC(BT14/VLOOKUP("PCS-30577g",[6]ARBOR!$A:$C,3,0)-1,4)+0.0001,-TRUNC(BT14/VLOOKUP("PCS-30577g",[6]ARBOR!$A:$C,3,0)-1,4)))))</f>
        <v>0.53679999999999994</v>
      </c>
      <c r="BV14" s="65" t="str">
        <f>IF(ISERROR(IF(BU14="","",VLOOKUP(($BH14&amp;BU14&amp;"Template de desconto FLAT bundle - Velox XDSL - Varejo"),[6]BENEFICIOS!$A:$E,5,0))),"Criar",IF(BU14="","",VLOOKUP(($BH14&amp;BU14&amp;"Template de desconto FLAT bundle - Velox XDSL - Varejo"),[6]BENEFICIOS!$A:$E,5,0)))</f>
        <v>MKT-1-9865126733</v>
      </c>
      <c r="BW14" s="104" t="s">
        <v>243</v>
      </c>
      <c r="BX14" s="69">
        <v>44.9</v>
      </c>
      <c r="BY14" s="64">
        <f>IF(BX14=0,"",IF(BX14=VLOOKUP("PCS-30604g",[6]ARBOR!$A:$C,3,0),0.0001,IF(BX14&gt;VLOOKUP("PCS-30604g",[6]ARBOR!$A:$C,3,0),"Maior que CAP!",IF((DOLLAR(BX14+(VLOOKUP("PCS-30604g",[6]ARBOR!$A:$C,3,0)*-TRUNC(BX14/VLOOKUP("PCS-30604g",[6]ARBOR!$A:$C,3,0)-1,4)),6))&lt;&gt;(DOLLAR(VLOOKUP("PCS-30604g",[6]ARBOR!$A:$C,3,0),6)),-TRUNC(BX14/VLOOKUP("PCS-30604g",[6]ARBOR!$A:$C,3,0)-1,4)+0.0001,-TRUNC(BX14/VLOOKUP("PCS-30604g",[6]ARBOR!$A:$C,3,0)-1,4)))))</f>
        <v>0.53679999999999994</v>
      </c>
      <c r="BZ14" s="65" t="str">
        <f>IF(ISERROR(IF(BY14="","",VLOOKUP(($BH14&amp;BY14&amp;"Template de desconto FLAT bundle - Velox XDSL - Varejo"),[6]BENEFICIOS!$A:$E,5,0))),"Criar",IF(BY14="","",VLOOKUP(($BH14&amp;BY14&amp;"Template de desconto FLAT bundle - Velox XDSL - Varejo"),[6]BENEFICIOS!$A:$E,5,0)))</f>
        <v>MKT-1-9865126733</v>
      </c>
      <c r="CA14" s="104" t="s">
        <v>243</v>
      </c>
      <c r="CB14" s="69">
        <v>44.9</v>
      </c>
      <c r="CC14" s="64">
        <f>IF(CB14=0,"",IF(CB14=VLOOKUP("PCS-30631g",[6]ARBOR!$A:$C,3,0),0.0001,IF(CB14&gt;VLOOKUP("PCS-30631g",[6]ARBOR!$A:$C,3,0),"Maior que CAP!",IF((DOLLAR(CB14+(VLOOKUP("PCS-30631g",[6]ARBOR!$A:$C,3,0)*-TRUNC(CB14/VLOOKUP("PCS-30631g",[6]ARBOR!$A:$C,3,0)-1,4)),6))&lt;&gt;(DOLLAR(VLOOKUP("PCS-30631g",[6]ARBOR!$A:$C,3,0),6)),-TRUNC(CB14/VLOOKUP("PCS-30631g",[6]ARBOR!$A:$C,3,0)-1,4)+0.0001,-TRUNC(CB14/VLOOKUP("PCS-30631g",[6]ARBOR!$A:$C,3,0)-1,4)))))</f>
        <v>0.54310000000000003</v>
      </c>
      <c r="CD14" s="65" t="str">
        <f>IF(ISERROR(IF(CC14="","",VLOOKUP(($BH14&amp;CC14&amp;"Template de desconto FLAT bundle - Velox XDSL - Varejo"),[6]BENEFICIOS!$A:$E,5,0))),"Criar",IF(CC14="","",VLOOKUP(($BH14&amp;CC14&amp;"Template de desconto FLAT bundle - Velox XDSL - Varejo"),[6]BENEFICIOS!$A:$E,5,0)))</f>
        <v>MKT-1-9865126826</v>
      </c>
      <c r="CE14" s="68" t="s">
        <v>164</v>
      </c>
      <c r="CF14" s="69">
        <v>49.9</v>
      </c>
      <c r="CG14" s="64">
        <f>IF(CF14=0,"",IF(CF14=VLOOKUP("PCS-30658g",[6]ARBOR!$A:$C,3,0),0.0001,IF(CF14&gt;VLOOKUP("PCS-30658g",[6]ARBOR!$A:$C,3,0),"Maior que CAP!",IF((DOLLAR(CF14+(VLOOKUP("PCS-30658g",[6]ARBOR!$A:$C,3,0)*-TRUNC(CF14/VLOOKUP("PCS-30658g",[6]ARBOR!$A:$C,3,0)-1,4)),6))&lt;&gt;(DOLLAR(VLOOKUP("PCS-30658g",[6]ARBOR!$A:$C,3,0),6)),-TRUNC(CF14/VLOOKUP("PCS-30658g",[6]ARBOR!$A:$C,3,0)-1,4)+0.0001,-TRUNC(CF14/VLOOKUP("PCS-30658g",[6]ARBOR!$A:$C,3,0)-1,4)))))</f>
        <v>0.55569999999999997</v>
      </c>
      <c r="CH14" s="65" t="str">
        <f>IF(ISERROR(IF(CG14="","",VLOOKUP(($BH14&amp;CG14&amp;"Template de desconto FLAT bundle - Velox XDSL - Varejo"),[6]BENEFICIOS!$A:$E,5,0))),"Criar",IF(CG14="","",VLOOKUP(($BH14&amp;CG14&amp;"Template de desconto FLAT bundle - Velox XDSL - Varejo"),[6]BENEFICIOS!$A:$E,5,0)))</f>
        <v>MKT-1-9865126919</v>
      </c>
      <c r="CI14" s="68" t="s">
        <v>164</v>
      </c>
      <c r="CJ14" s="69">
        <v>49.9</v>
      </c>
      <c r="CK14" s="64">
        <f>IF(CJ14=0,"",IF(CJ14=VLOOKUP("PCS-30685g",[6]ARBOR!$A:$C,3,0),0.0001,IF(CJ14&gt;VLOOKUP("PCS-30685g",[6]ARBOR!$A:$C,3,0),"Maior que CAP!",IF((DOLLAR(CJ14+(VLOOKUP("PCS-30685g",[6]ARBOR!$A:$C,3,0)*-TRUNC(CJ14/VLOOKUP("PCS-30685g",[6]ARBOR!$A:$C,3,0)-1,4)),6))&lt;&gt;(DOLLAR(VLOOKUP("PCS-30685g",[6]ARBOR!$A:$C,3,0),6)),-TRUNC(CJ14/VLOOKUP("PCS-30685g",[6]ARBOR!$A:$C,3,0)-1,4)+0.0001,-TRUNC(CJ14/VLOOKUP("PCS-30685g",[6]ARBOR!$A:$C,3,0)-1,4)))))</f>
        <v>0.60509999999999997</v>
      </c>
      <c r="CL14" s="65" t="str">
        <f>IF(ISERROR(IF(CK14="","",VLOOKUP(($BH14&amp;CK14&amp;"Template de desconto FLAT bundle - Velox XDSL - Varejo"),[6]BENEFICIOS!$A:$E,5,0))),"Criar",IF(CK14="","",VLOOKUP(($BH14&amp;CK14&amp;"Template de desconto FLAT bundle - Velox XDSL - Varejo"),[6]BENEFICIOS!$A:$E,5,0)))</f>
        <v>MKT-1-9865694381</v>
      </c>
      <c r="CM14" s="68" t="s">
        <v>164</v>
      </c>
      <c r="CN14" s="69">
        <v>49.9</v>
      </c>
      <c r="CO14" s="64">
        <f>IF(CN14=0,"",IF(CN14=VLOOKUP("PCS-30712g",[6]ARBOR!$A:$C,3,0),0.0001,IF(CN14&gt;VLOOKUP("PCS-30712g",[6]ARBOR!$A:$C,3,0),"Maior que CAP!",IF((DOLLAR(CN14+(VLOOKUP("PCS-30712g",[6]ARBOR!$A:$C,3,0)*-TRUNC(CN14/VLOOKUP("PCS-30712g",[6]ARBOR!$A:$C,3,0)-1,4)),6))&lt;&gt;(DOLLAR(VLOOKUP("PCS-30712g",[6]ARBOR!$A:$C,3,0),6)),-TRUNC(CN14/VLOOKUP("PCS-30712g",[6]ARBOR!$A:$C,3,0)-1,4)+0.0001,-TRUNC(CN14/VLOOKUP("PCS-30712g",[6]ARBOR!$A:$C,3,0)-1,4)))))</f>
        <v>0.64459999999999995</v>
      </c>
      <c r="CP14" s="65" t="str">
        <f>IF(ISERROR(IF(CO14="","",VLOOKUP(($BH14&amp;CO14&amp;"Template de desconto FLAT bundle - Velox XDSL - Varejo"),[6]BENEFICIOS!$A:$E,5,0))),"Criar",IF(CO14="","",VLOOKUP(($BH14&amp;CO14&amp;"Template de desconto FLAT bundle - Velox XDSL - Varejo"),[6]BENEFICIOS!$A:$E,5,0)))</f>
        <v>MKT-1-9865191105</v>
      </c>
      <c r="CQ14" s="68" t="s">
        <v>164</v>
      </c>
      <c r="CR14" s="69">
        <v>59.9</v>
      </c>
      <c r="CS14" s="64">
        <f>IF(CR14=0,"",IF(CR14=VLOOKUP("PCS-30739g",[6]ARBOR!$A:$C,3,0),0.0001,IF(CR14&gt;VLOOKUP("PCS-30739g",[6]ARBOR!$A:$C,3,0),"Maior que CAP!",IF((DOLLAR(CR14+(VLOOKUP("PCS-30739g",[6]ARBOR!$A:$C,3,0)*-TRUNC(CR14/VLOOKUP("PCS-30739g",[6]ARBOR!$A:$C,3,0)-1,4)),6))&lt;&gt;(DOLLAR(VLOOKUP("PCS-30739g",[6]ARBOR!$A:$C,3,0),6)),-TRUNC(CR14/VLOOKUP("PCS-30739g",[6]ARBOR!$A:$C,3,0)-1,4)+0.0001,-TRUNC(CR14/VLOOKUP("PCS-30739g",[6]ARBOR!$A:$C,3,0)-1,4)))))</f>
        <v>0.71560000000000001</v>
      </c>
      <c r="CT14" s="65" t="str">
        <f>IF(ISERROR(IF(CS14="","",VLOOKUP(($BH14&amp;CS14&amp;"Template de desconto FLAT bundle - Velox XDSL - Varejo"),[6]BENEFICIOS!$A:$E,5,0))),"Criar",IF(CS14="","",VLOOKUP(($BH14&amp;CS14&amp;"Template de desconto FLAT bundle - Velox XDSL - Varejo"),[6]BENEFICIOS!$A:$E,5,0)))</f>
        <v>MKT-1-9865191198</v>
      </c>
      <c r="CU14" s="69"/>
      <c r="CV14" s="70"/>
      <c r="CW14" s="64"/>
      <c r="CX14" s="65"/>
      <c r="CY14" s="68" t="s">
        <v>164</v>
      </c>
      <c r="CZ14" s="69">
        <v>59.9</v>
      </c>
      <c r="DA14" s="64">
        <f>IF(CZ14=0,"",IF(CZ14=VLOOKUP("PCS-30766g",[6]ARBOR!$A:$C,3,0),0.0001,IF(CZ14&gt;VLOOKUP("PCS-30766g",[6]ARBOR!$A:$C,3,0),"Maior que CAP!",IF((DOLLAR(CZ14+(VLOOKUP("PCS-30766g",[6]ARBOR!$A:$C,3,0)*-TRUNC(CZ14/VLOOKUP("PCS-30766g",[6]ARBOR!$A:$C,3,0)-1,4)),6))&lt;&gt;(DOLLAR(VLOOKUP("PCS-30766g",[6]ARBOR!$A:$C,3,0),6)),-TRUNC(CZ14/VLOOKUP("PCS-30766g",[6]ARBOR!$A:$C,3,0)-1,4)+0.0001,-TRUNC(CZ14/VLOOKUP("PCS-30766g",[6]ARBOR!$A:$C,3,0)-1,4)))))</f>
        <v>0.78669999999999995</v>
      </c>
      <c r="DB14" s="65" t="str">
        <f>IF(ISERROR(IF(DA14="","",VLOOKUP(($BH14&amp;DA14&amp;"Template de desconto FLAT bundle - Velox XDSL - Varejo"),[6]BENEFICIOS!$A:$E,5,0))),"Criar",IF(DA14="","",VLOOKUP(($BH14&amp;DA14&amp;"Template de desconto FLAT bundle - Velox XDSL - Varejo"),[6]BENEFICIOS!$A:$E,5,0)))</f>
        <v>MKT-1-9865191291</v>
      </c>
      <c r="DC14" s="69"/>
      <c r="DD14" s="70"/>
      <c r="DE14" s="64"/>
      <c r="DF14" s="65"/>
      <c r="DG14" s="68" t="s">
        <v>243</v>
      </c>
      <c r="DH14" s="69">
        <v>69.900000000000006</v>
      </c>
      <c r="DI14" s="64">
        <f>IF(DH14=0,"",IF(DH14=VLOOKUP("PCS-30793g",[6]ARBOR!$A:$C,3,0),0.0001,IF(DH14&gt;VLOOKUP("PCS-30793g",[6]ARBOR!$A:$C,3,0),"Maior que CAP!",IF((DOLLAR(DH14+(VLOOKUP("PCS-30793g",[6]ARBOR!$A:$C,3,0)*-TRUNC(DH14/VLOOKUP("PCS-30793g",[6]ARBOR!$A:$C,3,0)-1,4)),6))&lt;&gt;(DOLLAR(VLOOKUP("PCS-30793g",[6]ARBOR!$A:$C,3,0),6)),-TRUNC(DH14/VLOOKUP("PCS-30793g",[6]ARBOR!$A:$C,3,0)-1,4)+0.0001,-TRUNC(DH14/VLOOKUP("PCS-30793g",[6]ARBOR!$A:$C,3,0)-1,4)))))</f>
        <v>0.75109999999999999</v>
      </c>
      <c r="DJ14" s="65" t="str">
        <f>IF(ISERROR(IF(DI14="","",VLOOKUP(($BH14&amp;DI14&amp;"Template de desconto FLAT bundle - Velox XDSL - Varejo"),[6]BENEFICIOS!$A:$E,5,0))),"Criar",IF(DI14="","",VLOOKUP(($BH14&amp;DI14&amp;"Template de desconto FLAT bundle - Velox XDSL - Varejo"),[6]BENEFICIOS!$A:$E,5,0)))</f>
        <v>MKT-1-9865191384</v>
      </c>
      <c r="DK14" s="69"/>
      <c r="DL14" s="70"/>
      <c r="DM14" s="64"/>
      <c r="DN14" s="65"/>
      <c r="DO14" s="68" t="s">
        <v>164</v>
      </c>
      <c r="DP14" s="69">
        <v>69.900000000000006</v>
      </c>
      <c r="DQ14" s="64">
        <f>IF(DP14=0,"",IF(DP14=VLOOKUP("PCS-30820g",[6]ARBOR!$A:$C,3,0),0.0001,IF(DP14&gt;VLOOKUP("PCS-30820g",[6]ARBOR!$A:$C,3,0),"Maior que CAP!",IF((DOLLAR(DP14+(VLOOKUP("PCS-30820g",[6]ARBOR!$A:$C,3,0)*-TRUNC(DP14/VLOOKUP("PCS-30820g",[6]ARBOR!$A:$C,3,0)-1,4)),6))&lt;&gt;(DOLLAR(VLOOKUP("PCS-30820g",[6]ARBOR!$A:$C,3,0),6)),-TRUNC(DP14/VLOOKUP("PCS-30820g",[6]ARBOR!$A:$C,3,0)-1,4)+0.0001,-TRUNC(DP14/VLOOKUP("PCS-30820g",[6]ARBOR!$A:$C,3,0)-1,4)))))</f>
        <v>0.75109999999999999</v>
      </c>
      <c r="DR14" s="65" t="str">
        <f>IF(ISERROR(IF(DQ14="","",VLOOKUP(($BH14&amp;DQ14&amp;"Template de desconto FLAT bundle - Velox XDSL - Varejo"),[6]BENEFICIOS!$A:$E,5,0))),"Criar",IF(DQ14="","",VLOOKUP(($BH14&amp;DQ14&amp;"Template de desconto FLAT bundle - Velox XDSL - Varejo"),[6]BENEFICIOS!$A:$E,5,0)))</f>
        <v>MKT-1-9865191384</v>
      </c>
      <c r="DS14" s="69"/>
      <c r="DT14" s="70"/>
      <c r="DU14" s="64"/>
      <c r="DV14" s="65"/>
      <c r="DW14" s="71"/>
      <c r="DX14" s="64" t="str">
        <f>IF(DW14=0,"",IF(DW14=VLOOKUP("PCS-21448p2",[6]ARBOR!$A:$C,3,0),0.0001,IF(DW14&gt;VLOOKUP("PCS-21448p2",[6]ARBOR!$A:$C,3,0),"Maior que CAP!",IF((DOLLAR(DW14+(VLOOKUP("PCS-21448p2",[6]ARBOR!$A:$C,3,0)*-TRUNC(DW14/VLOOKUP("PCS-21448p2",[6]ARBOR!$A:$C,3,0)-1,4)),6))&lt;&gt;(DOLLAR(VLOOKUP("PCS-21448p2",[6]ARBOR!$A:$C,3,0),6)),-TRUNC(DW14/VLOOKUP("PCS-21448p2",[6]ARBOR!$A:$C,3,0)-1,4)+0.0001,-TRUNC(DW14/VLOOKUP("PCS-21448p2",[6]ARBOR!$A:$C,3,0)-1,4)))))</f>
        <v/>
      </c>
      <c r="DY14" s="65" t="str">
        <f>IF(ISERROR(IF(DX14="","",VLOOKUP(("Oi Conta Total Plug 10GB Downgrade"&amp;DX14&amp;"Template de desconto percentual BL Móvel - Internet Total - Varejo"),[6]BENEFICIOS!$A:$E,5,0))),"Criar",IF(DX14="","",VLOOKUP(("Oi Conta Total Plug 10GB Downgrade"&amp;DX14&amp;"Template de desconto percentual BL Móvel - Internet Total - Varejo"),[6]BENEFICIOS!$A:$E,5,0)))</f>
        <v/>
      </c>
      <c r="DZ14" s="71">
        <v>19.899999999999999</v>
      </c>
      <c r="EA14" s="72">
        <f>IF(DZ14=0,"",IF(DZ14=VLOOKUP("SVA",[6]ARBOR!$A:$C,3,0),0.0001,IF(DZ14&gt;VLOOKUP("SVA",[6]ARBOR!$A:$C,3,0),"Maior que CAP!",IF((DOLLAR(DZ14+(VLOOKUP("SVA",[6]ARBOR!$A:$C,3,0)*-TRUNC(DZ14/VLOOKUP("SVA",[6]ARBOR!$A:$C,3,0)-1,4)),6))&lt;&gt;(DOLLAR(VLOOKUP("SVA",[6]ARBOR!$A:$C,3,0),6)),-TRUNC(DZ14/VLOOKUP("SVA",[6]ARBOR!$A:$C,3,0)-1,4)+0.0001,-TRUNC(DZ14/VLOOKUP("SVA",[6]ARBOR!$A:$C,3,0)-1,4)))))</f>
        <v>7.1400000000000005E-2</v>
      </c>
      <c r="EB14" s="65" t="s">
        <v>244</v>
      </c>
      <c r="EC14" s="69"/>
      <c r="ED14" s="73"/>
      <c r="EE14" s="74"/>
      <c r="EF14" s="65"/>
      <c r="EG14" s="75">
        <f>IF(BI14="","",VLOOKUP(BI14,[6]ARBOR!A:C,3,0))</f>
        <v>479.46</v>
      </c>
      <c r="EH14" s="69">
        <v>15</v>
      </c>
      <c r="EI14" s="76">
        <f>IF(EH14="","",1-(EH14/VLOOKUP(BI14&amp;"ASS",[6]ARBOR!A:C,3,0)))</f>
        <v>0.34725848563968664</v>
      </c>
      <c r="EJ14" s="77" t="s">
        <v>227</v>
      </c>
      <c r="EK14" s="78" t="s">
        <v>228</v>
      </c>
      <c r="EL14" s="69">
        <v>180.36999999999998</v>
      </c>
      <c r="EM14" s="64">
        <f>ROUND(IF(EL14=0,"",IF(EL14=EG14,0.0001,1-((EL14+(VLOOKUP(BI14&amp;"ASS",[6]ARBOR!A:C,3,0)-EH14))/EG14))),4)</f>
        <v>0.60719999999999996</v>
      </c>
      <c r="EN14" s="65" t="str">
        <f>IF(ISERROR(IF(EM14="","",VLOOKUP(($BH14&amp;EM14&amp;"Template de desconto percentual FLAT Móvel - Conta Total - Varejo - Ganho Tributário Cross"),[6]BENEFICIOS!$A:$E,5,0))),"Criar",IF(EM14="","",VLOOKUP(($BH14&amp;EM14&amp;"Template de desconto percentual FLAT Móvel - Conta Total - Varejo - Ganho Tributário Cross"),[6]BENEFICIOS!$A:$E,5,0)))</f>
        <v>Criar</v>
      </c>
      <c r="EO14" s="79"/>
      <c r="EP14" s="64"/>
      <c r="EQ14" s="72"/>
      <c r="ER14" s="72"/>
      <c r="ES14" s="64"/>
      <c r="ET14" s="80"/>
      <c r="EU14" s="81" t="s">
        <v>247</v>
      </c>
      <c r="EV14" s="81" t="s">
        <v>270</v>
      </c>
      <c r="EW14" s="82"/>
      <c r="EX14" s="83"/>
      <c r="EY14" s="84"/>
      <c r="EZ14" s="82"/>
      <c r="FA14" s="83"/>
      <c r="FB14" s="84"/>
      <c r="FC14" s="82"/>
      <c r="FD14" s="83" t="str">
        <f>IF(FC14=0,"",IF(FC14=VLOOKUP("PCS-10357",[6]ARBOR!$A:$C,3,0),0.0001,IF(FC14&gt;VLOOKUP("PCS-10357",[6]ARBOR!$A:$C,3,0),"Maior que CAP!",ROUND(-1*(FC14/VLOOKUP("PCS-10357",[6]ARBOR!$A:$C,3,0)-1),4))))</f>
        <v/>
      </c>
      <c r="FE14" s="84" t="str">
        <f>IF(ISERROR(IF(FD14="","",VLOOKUP(("Oi Internet Pra Celular 1GB"&amp;FD14&amp;"Template Flat Instância Dados"),[6]BENEFICIOS!$A:$E,5,0))),"Criar",IF(FD14="","",VLOOKUP(("Oi Internet Pra Celular 1GB"&amp;FD14&amp;"Template Flat Instância Dados"),[6]BENEFICIOS!$A:$E,5,0)))</f>
        <v/>
      </c>
      <c r="FF14" s="82"/>
      <c r="FG14" s="83" t="str">
        <f>IF(FF14=0,"",IF(FF14=VLOOKUP("PCS-813565",[6]ARBOR!$A:$C,3,0),0.0001,IF(FF14&gt;VLOOKUP("PCS-813565",[6]ARBOR!$A:$C,3,0),"Maior que CAP!",ROUND(-1*(FF14/VLOOKUP("PCS-813565",[6]ARBOR!$A:$C,3,0)-1),4))))</f>
        <v/>
      </c>
      <c r="FH14" s="84" t="str">
        <f>IF(ISERROR(IF(FG14="","",VLOOKUP(("Oi Internet Pra Celular 2GB"&amp;FG14&amp;"Template Flat Instância Dados"),[6]BENEFICIOS!$A:$E,5,0))),"Criar",IF(FG14="","",VLOOKUP(("Oi Internet Pra Celular 2GB"&amp;FG14&amp;"Template Flat Instância Dados"),[6]BENEFICIOS!$A:$E,5,0)))</f>
        <v/>
      </c>
      <c r="FI14" s="82"/>
      <c r="FJ14" s="83" t="str">
        <f>IF(FI14=0,"",IF(FI14=VLOOKUP("PCS-7171B",[6]ARBOR!$A:$C,3,0),0.0001,IF(FI14&gt;VLOOKUP("PCS-7171B",[6]ARBOR!$A:$C,3,0),"Maior que CAP!",ROUND(-1*(FI14/VLOOKUP("PCS-7171B",[6]ARBOR!$A:$C,3,0)-1),4))))</f>
        <v/>
      </c>
      <c r="FK14" s="84" t="str">
        <f>IF(ISERROR(IF(FJ14="","",VLOOKUP(("Oi Internet Pra Celular 3GB"&amp;FJ14&amp;"Template Flat Instância Dados"),[6]BENEFICIOS!$A:$E,5,0))),"Criar",IF(FJ14="","",VLOOKUP(("Oi Internet Pra Celular 3GB"&amp;FJ14&amp;"Template Flat Instância Dados"),[6]BENEFICIOS!$A:$E,5,0)))</f>
        <v/>
      </c>
      <c r="FL14" s="82"/>
      <c r="FM14" s="83"/>
      <c r="FN14" s="84"/>
      <c r="FO14" s="82">
        <v>35.53</v>
      </c>
      <c r="FP14" s="83">
        <f>IF(FO14=0,"",IF(FO14=VLOOKUP("PCS-7171A",[6]ARBOR!$A:$C,3,0),0.0001,IF(FO14&gt;VLOOKUP("PCS-7171A",[6]ARBOR!$A:$C,3,0),"Maior que CAP!",ROUND(-1*(FO14/VLOOKUP("PCS-7171A",[6]ARBOR!$A:$C,3,0)-1),4))))</f>
        <v>0.81899999999999995</v>
      </c>
      <c r="FQ14" s="84" t="str">
        <f>IF(ISERROR(IF(FP14="","",VLOOKUP(("Oi Internet Pra Celular 10GB"&amp;FP14&amp;"Template Flat Instância Dados"),[6]BENEFICIOS!$A:$E,5,0))),"Criar",IF(FP14="","",VLOOKUP(("Oi Internet Pra Celular 10GB"&amp;FP14&amp;"Template Flat Instância Dados"),[6]BENEFICIOS!$A:$E,5,0)))</f>
        <v>MKT-1-9869971287</v>
      </c>
      <c r="FR14" s="85">
        <v>0.74260000000000004</v>
      </c>
      <c r="FS14" s="86" t="s">
        <v>265</v>
      </c>
      <c r="FT14" s="48"/>
      <c r="FU14" s="87"/>
      <c r="FV14" s="88" t="s">
        <v>224</v>
      </c>
      <c r="FW14" s="49" t="s">
        <v>229</v>
      </c>
      <c r="FX14" s="89">
        <v>999</v>
      </c>
      <c r="FY14" s="49">
        <v>12</v>
      </c>
      <c r="FZ14" s="90" t="s">
        <v>230</v>
      </c>
      <c r="GA14" s="91" t="str">
        <f t="shared" si="1"/>
        <v>PCS-Fk83324</v>
      </c>
      <c r="GB14" s="92" t="str">
        <f t="shared" si="2"/>
        <v>PCS-SBL553142</v>
      </c>
      <c r="GC14" s="93" t="s">
        <v>231</v>
      </c>
      <c r="GD14" s="90" t="s">
        <v>232</v>
      </c>
      <c r="GE14" s="92" t="s">
        <v>233</v>
      </c>
      <c r="GF14" s="93" t="s">
        <v>234</v>
      </c>
      <c r="GG14" s="90" t="s">
        <v>235</v>
      </c>
      <c r="GH14" s="92" t="s">
        <v>236</v>
      </c>
      <c r="GI14" s="94" t="s">
        <v>237</v>
      </c>
      <c r="GJ14" s="95">
        <f>FO14+EL14+CN14+BJ14</f>
        <v>315.89999999999998</v>
      </c>
      <c r="GK14" s="96"/>
      <c r="GL14" s="97" t="s">
        <v>238</v>
      </c>
      <c r="GM14" s="98" t="s">
        <v>239</v>
      </c>
      <c r="GN14" s="97">
        <f>VLOOKUP($A14,'[6]TABELA COM TUDO'!$A:$AB,25,0)</f>
        <v>20.350000000000001</v>
      </c>
      <c r="GO14" s="99">
        <f>VLOOKUP($A14,'[6]TABELA COM TUDO'!$A:$AB,26,0)</f>
        <v>5.24</v>
      </c>
      <c r="GP14" s="100">
        <f t="shared" si="8"/>
        <v>0.74250000000000005</v>
      </c>
      <c r="GQ14" s="97">
        <f t="shared" si="4"/>
        <v>15.1</v>
      </c>
      <c r="GR14" s="97">
        <f t="shared" si="5"/>
        <v>5.2500000000000018</v>
      </c>
      <c r="GS14" s="101"/>
      <c r="GT14" s="101"/>
      <c r="GU14" s="102" t="b">
        <f t="shared" si="6"/>
        <v>0</v>
      </c>
      <c r="GV14" s="103">
        <f t="shared" si="7"/>
        <v>1.0000000000001563E-2</v>
      </c>
      <c r="GW14" s="44" t="s">
        <v>273</v>
      </c>
      <c r="GX14" s="44" t="s">
        <v>241</v>
      </c>
    </row>
    <row r="15" spans="1:206" s="44" customFormat="1" x14ac:dyDescent="0.25">
      <c r="A15" s="44" t="str">
        <f t="shared" si="0"/>
        <v>Oi Total Fixo + Pós 800 + Banda LargaN2MG</v>
      </c>
      <c r="B15" s="45" t="s">
        <v>214</v>
      </c>
      <c r="C15" s="46" t="s">
        <v>130</v>
      </c>
      <c r="D15" s="46" t="s">
        <v>215</v>
      </c>
      <c r="E15" s="47" t="s">
        <v>216</v>
      </c>
      <c r="F15" s="88" t="s">
        <v>217</v>
      </c>
      <c r="G15" s="49"/>
      <c r="H15" s="49"/>
      <c r="I15" s="49"/>
      <c r="J15" s="49" t="s">
        <v>217</v>
      </c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 t="s">
        <v>217</v>
      </c>
      <c r="AC15" s="49" t="s">
        <v>217</v>
      </c>
      <c r="AD15" s="49" t="s">
        <v>217</v>
      </c>
      <c r="AE15" s="49" t="s">
        <v>217</v>
      </c>
      <c r="AF15" s="49" t="s">
        <v>217</v>
      </c>
      <c r="AG15" s="49" t="s">
        <v>217</v>
      </c>
      <c r="AH15" s="50"/>
      <c r="AI15" s="49" t="s">
        <v>217</v>
      </c>
      <c r="AJ15" s="49" t="s">
        <v>217</v>
      </c>
      <c r="AK15" s="49" t="s">
        <v>217</v>
      </c>
      <c r="AL15" s="49" t="s">
        <v>217</v>
      </c>
      <c r="AM15" s="49" t="s">
        <v>217</v>
      </c>
      <c r="AN15" s="49" t="s">
        <v>217</v>
      </c>
      <c r="AO15" s="49" t="s">
        <v>217</v>
      </c>
      <c r="AP15" s="49"/>
      <c r="AQ15" s="51"/>
      <c r="AR15" s="52" t="s">
        <v>274</v>
      </c>
      <c r="AS15" s="46" t="s">
        <v>219</v>
      </c>
      <c r="AT15" s="53" t="s">
        <v>220</v>
      </c>
      <c r="AU15" s="54">
        <v>42972</v>
      </c>
      <c r="AV15" s="105">
        <v>43097</v>
      </c>
      <c r="AW15" s="56" t="s">
        <v>221</v>
      </c>
      <c r="AX15" s="57" t="s">
        <v>221</v>
      </c>
      <c r="AY15" s="58"/>
      <c r="AZ15" s="58" t="s">
        <v>222</v>
      </c>
      <c r="BA15" s="58">
        <v>20</v>
      </c>
      <c r="BB15" s="58">
        <v>10000</v>
      </c>
      <c r="BC15" s="59" t="s">
        <v>223</v>
      </c>
      <c r="BD15" s="60" t="s">
        <v>224</v>
      </c>
      <c r="BE15" s="58" t="s">
        <v>216</v>
      </c>
      <c r="BF15" s="51" t="s">
        <v>216</v>
      </c>
      <c r="BG15" s="45" t="s">
        <v>274</v>
      </c>
      <c r="BH15" s="61" t="s">
        <v>225</v>
      </c>
      <c r="BI15" s="62" t="str">
        <f>IF(ISERROR(VLOOKUP(BH15,[7]PLANOS!B:C,2,0)),"",VLOOKUP(BH15,[7]PLANOS!B:C,2,0))</f>
        <v>PCS-4P6pi</v>
      </c>
      <c r="BJ15" s="63">
        <v>50.1</v>
      </c>
      <c r="BK15" s="64">
        <f>IF(BJ15=0,"",IF(BJ15=VLOOKUP("FIXO",[7]ARBOR!$A:$C,3,0),0.0001,IF(BJ15&gt;VLOOKUP("FIXO",[7]ARBOR!$A:$C,3,0),"Maior que CAP!",IF((DOLLAR(BJ15+(VLOOKUP("FIXO",[7]ARBOR!$A:$C,3,0)*-TRUNC(BJ15/VLOOKUP("FIXO",[7]ARBOR!$A:$C,3,0)-1,4)),6))&lt;&gt;(DOLLAR(VLOOKUP("FIXO",[7]ARBOR!$A:$C,3,0),6)),-TRUNC(BJ15/VLOOKUP("FIXO",[7]ARBOR!$A:$C,3,0)-1,4)+0.0001,-TRUNC(BJ15/VLOOKUP("FIXO",[7]ARBOR!$A:$C,3,0)-1,4)))))</f>
        <v>0.33939999999999998</v>
      </c>
      <c r="BL15" s="65" t="str">
        <f>IF(ISERROR(IF(BK15="","",VLOOKUP(($BH15&amp;BK15&amp;"Template de desconto FLAT bundle - Fixo - Varejo - Ganho Tributário Cross"),[7]BENEFICIOS!$A:$E,5,0))),"Criar",IF(BK15="","",VLOOKUP(($BH15&amp;BK15&amp;"Template de desconto FLAT bundle - Fixo - Varejo - Ganho Tributário Cross"),[7]BENEFICIOS!$A:$E,5,0)))</f>
        <v>MKT-1-9856472058</v>
      </c>
      <c r="BM15" s="66"/>
      <c r="BN15" s="67"/>
      <c r="BO15" s="68" t="s">
        <v>164</v>
      </c>
      <c r="BP15" s="69">
        <v>44.9</v>
      </c>
      <c r="BQ15" s="64">
        <f>IF(BP15=0,"",IF(BP15=VLOOKUP("PCS-30874g",[7]ARBOR!$A:$C,3,0),0.0001,IF(BP15&gt;VLOOKUP("PCS-30874g",[7]ARBOR!$A:$C,3,0),"Maior que CAP!",IF((DOLLAR(BP15+(VLOOKUP("PCS-30874g",[7]ARBOR!$A:$C,3,0)*-TRUNC(BP15/VLOOKUP("PCS-30874g",[7]ARBOR!$A:$C,3,0)-1,4)),6))&lt;&gt;(DOLLAR(VLOOKUP("PCS-30874g",[7]ARBOR!$A:$C,3,0),6)),-TRUNC(BP15/VLOOKUP("PCS-30874g",[7]ARBOR!$A:$C,3,0)-1,4)+0.0001,-TRUNC(BP15/VLOOKUP("PCS-30874g",[7]ARBOR!$A:$C,3,0)-1,4)))))</f>
        <v>0.53679999999999994</v>
      </c>
      <c r="BR15" s="65" t="str">
        <f>IF(ISERROR(IF(BQ15="","",VLOOKUP(($BH15&amp;BQ15&amp;"Template de desconto FLAT bundle - Velox XDSL - Varejo"),[7]BENEFICIOS!$A:$E,5,0))),"Criar",IF(BQ15="","",VLOOKUP(($BH15&amp;BQ15&amp;"Template de desconto FLAT bundle - Velox XDSL - Varejo"),[7]BENEFICIOS!$A:$E,5,0)))</f>
        <v>MKT-1-9865126733</v>
      </c>
      <c r="BS15" s="68" t="s">
        <v>164</v>
      </c>
      <c r="BT15" s="69">
        <v>44.9</v>
      </c>
      <c r="BU15" s="64">
        <f>IF(BT15=0,"",IF(BT15=VLOOKUP("PCS-30577g",[7]ARBOR!$A:$C,3,0),0.0001,IF(BT15&gt;VLOOKUP("PCS-30577g",[7]ARBOR!$A:$C,3,0),"Maior que CAP!",IF((DOLLAR(BT15+(VLOOKUP("PCS-30577g",[7]ARBOR!$A:$C,3,0)*-TRUNC(BT15/VLOOKUP("PCS-30577g",[7]ARBOR!$A:$C,3,0)-1,4)),6))&lt;&gt;(DOLLAR(VLOOKUP("PCS-30577g",[7]ARBOR!$A:$C,3,0),6)),-TRUNC(BT15/VLOOKUP("PCS-30577g",[7]ARBOR!$A:$C,3,0)-1,4)+0.0001,-TRUNC(BT15/VLOOKUP("PCS-30577g",[7]ARBOR!$A:$C,3,0)-1,4)))))</f>
        <v>0.53679999999999994</v>
      </c>
      <c r="BV15" s="65" t="str">
        <f>IF(ISERROR(IF(BU15="","",VLOOKUP(($BH15&amp;BU15&amp;"Template de desconto FLAT bundle - Velox XDSL - Varejo"),[7]BENEFICIOS!$A:$E,5,0))),"Criar",IF(BU15="","",VLOOKUP(($BH15&amp;BU15&amp;"Template de desconto FLAT bundle - Velox XDSL - Varejo"),[7]BENEFICIOS!$A:$E,5,0)))</f>
        <v>MKT-1-9865126733</v>
      </c>
      <c r="BW15" s="68" t="s">
        <v>164</v>
      </c>
      <c r="BX15" s="69">
        <v>44.9</v>
      </c>
      <c r="BY15" s="64">
        <f>IF(BX15=0,"",IF(BX15=VLOOKUP("PCS-30604g",[7]ARBOR!$A:$C,3,0),0.0001,IF(BX15&gt;VLOOKUP("PCS-30604g",[7]ARBOR!$A:$C,3,0),"Maior que CAP!",IF((DOLLAR(BX15+(VLOOKUP("PCS-30604g",[7]ARBOR!$A:$C,3,0)*-TRUNC(BX15/VLOOKUP("PCS-30604g",[7]ARBOR!$A:$C,3,0)-1,4)),6))&lt;&gt;(DOLLAR(VLOOKUP("PCS-30604g",[7]ARBOR!$A:$C,3,0),6)),-TRUNC(BX15/VLOOKUP("PCS-30604g",[7]ARBOR!$A:$C,3,0)-1,4)+0.0001,-TRUNC(BX15/VLOOKUP("PCS-30604g",[7]ARBOR!$A:$C,3,0)-1,4)))))</f>
        <v>0.53679999999999994</v>
      </c>
      <c r="BZ15" s="65" t="str">
        <f>IF(ISERROR(IF(BY15="","",VLOOKUP(($BH15&amp;BY15&amp;"Template de desconto FLAT bundle - Velox XDSL - Varejo"),[7]BENEFICIOS!$A:$E,5,0))),"Criar",IF(BY15="","",VLOOKUP(($BH15&amp;BY15&amp;"Template de desconto FLAT bundle - Velox XDSL - Varejo"),[7]BENEFICIOS!$A:$E,5,0)))</f>
        <v>MKT-1-9865126733</v>
      </c>
      <c r="CA15" s="68" t="s">
        <v>164</v>
      </c>
      <c r="CB15" s="69">
        <v>44.9</v>
      </c>
      <c r="CC15" s="64">
        <f>IF(CB15=0,"",IF(CB15=VLOOKUP("PCS-30631g",[7]ARBOR!$A:$C,3,0),0.0001,IF(CB15&gt;VLOOKUP("PCS-30631g",[7]ARBOR!$A:$C,3,0),"Maior que CAP!",IF((DOLLAR(CB15+(VLOOKUP("PCS-30631g",[7]ARBOR!$A:$C,3,0)*-TRUNC(CB15/VLOOKUP("PCS-30631g",[7]ARBOR!$A:$C,3,0)-1,4)),6))&lt;&gt;(DOLLAR(VLOOKUP("PCS-30631g",[7]ARBOR!$A:$C,3,0),6)),-TRUNC(CB15/VLOOKUP("PCS-30631g",[7]ARBOR!$A:$C,3,0)-1,4)+0.0001,-TRUNC(CB15/VLOOKUP("PCS-30631g",[7]ARBOR!$A:$C,3,0)-1,4)))))</f>
        <v>0.54310000000000003</v>
      </c>
      <c r="CD15" s="65" t="str">
        <f>IF(ISERROR(IF(CC15="","",VLOOKUP(($BH15&amp;CC15&amp;"Template de desconto FLAT bundle - Velox XDSL - Varejo"),[7]BENEFICIOS!$A:$E,5,0))),"Criar",IF(CC15="","",VLOOKUP(($BH15&amp;CC15&amp;"Template de desconto FLAT bundle - Velox XDSL - Varejo"),[7]BENEFICIOS!$A:$E,5,0)))</f>
        <v>MKT-1-9865126826</v>
      </c>
      <c r="CE15" s="68"/>
      <c r="CF15" s="69"/>
      <c r="CG15" s="64" t="str">
        <f>IF(CF15=0,"",IF(CF15=VLOOKUP("PCS-30658g",[7]ARBOR!$A:$C,3,0),0.0001,IF(CF15&gt;VLOOKUP("PCS-30658g",[7]ARBOR!$A:$C,3,0),"Maior que CAP!",IF((DOLLAR(CF15+(VLOOKUP("PCS-30658g",[7]ARBOR!$A:$C,3,0)*-TRUNC(CF15/VLOOKUP("PCS-30658g",[7]ARBOR!$A:$C,3,0)-1,4)),6))&lt;&gt;(DOLLAR(VLOOKUP("PCS-30658g",[7]ARBOR!$A:$C,3,0),6)),-TRUNC(CF15/VLOOKUP("PCS-30658g",[7]ARBOR!$A:$C,3,0)-1,4)+0.0001,-TRUNC(CF15/VLOOKUP("PCS-30658g",[7]ARBOR!$A:$C,3,0)-1,4)))))</f>
        <v/>
      </c>
      <c r="CH15" s="65" t="str">
        <f>IF(ISERROR(IF(CG15="","",VLOOKUP(($BH15&amp;CG15&amp;"Template de desconto FLAT bundle - Velox XDSL - Varejo"),[7]BENEFICIOS!$A:$E,5,0))),"Criar",IF(CG15="","",VLOOKUP(($BH15&amp;CG15&amp;"Template de desconto FLAT bundle - Velox XDSL - Varejo"),[7]BENEFICIOS!$A:$E,5,0)))</f>
        <v/>
      </c>
      <c r="CI15" s="68"/>
      <c r="CJ15" s="69"/>
      <c r="CK15" s="64" t="str">
        <f>IF(CJ15=0,"",IF(CJ15=VLOOKUP("PCS-30685g",[7]ARBOR!$A:$C,3,0),0.0001,IF(CJ15&gt;VLOOKUP("PCS-30685g",[7]ARBOR!$A:$C,3,0),"Maior que CAP!",IF((DOLLAR(CJ15+(VLOOKUP("PCS-30685g",[7]ARBOR!$A:$C,3,0)*-TRUNC(CJ15/VLOOKUP("PCS-30685g",[7]ARBOR!$A:$C,3,0)-1,4)),6))&lt;&gt;(DOLLAR(VLOOKUP("PCS-30685g",[7]ARBOR!$A:$C,3,0),6)),-TRUNC(CJ15/VLOOKUP("PCS-30685g",[7]ARBOR!$A:$C,3,0)-1,4)+0.0001,-TRUNC(CJ15/VLOOKUP("PCS-30685g",[7]ARBOR!$A:$C,3,0)-1,4)))))</f>
        <v/>
      </c>
      <c r="CL15" s="65" t="str">
        <f>IF(ISERROR(IF(CK15="","",VLOOKUP(($BH15&amp;CK15&amp;"Template de desconto FLAT bundle - Velox XDSL - Varejo"),[7]BENEFICIOS!$A:$E,5,0))),"Criar",IF(CK15="","",VLOOKUP(($BH15&amp;CK15&amp;"Template de desconto FLAT bundle - Velox XDSL - Varejo"),[7]BENEFICIOS!$A:$E,5,0)))</f>
        <v/>
      </c>
      <c r="CM15" s="68"/>
      <c r="CN15" s="69"/>
      <c r="CO15" s="64" t="str">
        <f>IF(CN15=0,"",IF(CN15=VLOOKUP("PCS-30712g",[7]ARBOR!$A:$C,3,0),0.0001,IF(CN15&gt;VLOOKUP("PCS-30712g",[7]ARBOR!$A:$C,3,0),"Maior que CAP!",IF((DOLLAR(CN15+(VLOOKUP("PCS-30712g",[7]ARBOR!$A:$C,3,0)*-TRUNC(CN15/VLOOKUP("PCS-30712g",[7]ARBOR!$A:$C,3,0)-1,4)),6))&lt;&gt;(DOLLAR(VLOOKUP("PCS-30712g",[7]ARBOR!$A:$C,3,0),6)),-TRUNC(CN15/VLOOKUP("PCS-30712g",[7]ARBOR!$A:$C,3,0)-1,4)+0.0001,-TRUNC(CN15/VLOOKUP("PCS-30712g",[7]ARBOR!$A:$C,3,0)-1,4)))))</f>
        <v/>
      </c>
      <c r="CP15" s="65" t="str">
        <f>IF(ISERROR(IF(CO15="","",VLOOKUP(($BH15&amp;CO15&amp;"Template de desconto FLAT bundle - Velox XDSL - Varejo"),[7]BENEFICIOS!$A:$E,5,0))),"Criar",IF(CO15="","",VLOOKUP(($BH15&amp;CO15&amp;"Template de desconto FLAT bundle - Velox XDSL - Varejo"),[7]BENEFICIOS!$A:$E,5,0)))</f>
        <v/>
      </c>
      <c r="CQ15" s="68"/>
      <c r="CR15" s="69"/>
      <c r="CS15" s="64" t="str">
        <f>IF(CR15=0,"",IF(CR15=VLOOKUP("PCS-30739g",[7]ARBOR!$A:$C,3,0),0.0001,IF(CR15&gt;VLOOKUP("PCS-30739g",[7]ARBOR!$A:$C,3,0),"Maior que CAP!",IF((DOLLAR(CR15+(VLOOKUP("PCS-30739g",[7]ARBOR!$A:$C,3,0)*-TRUNC(CR15/VLOOKUP("PCS-30739g",[7]ARBOR!$A:$C,3,0)-1,4)),6))&lt;&gt;(DOLLAR(VLOOKUP("PCS-30739g",[7]ARBOR!$A:$C,3,0),6)),-TRUNC(CR15/VLOOKUP("PCS-30739g",[7]ARBOR!$A:$C,3,0)-1,4)+0.0001,-TRUNC(CR15/VLOOKUP("PCS-30739g",[7]ARBOR!$A:$C,3,0)-1,4)))))</f>
        <v/>
      </c>
      <c r="CT15" s="65" t="str">
        <f>IF(ISERROR(IF(CS15="","",VLOOKUP(($BH15&amp;CS15&amp;"Template de desconto FLAT bundle - Velox XDSL - Varejo"),[7]BENEFICIOS!$A:$E,5,0))),"Criar",IF(CS15="","",VLOOKUP(($BH15&amp;CS15&amp;"Template de desconto FLAT bundle - Velox XDSL - Varejo"),[7]BENEFICIOS!$A:$E,5,0)))</f>
        <v/>
      </c>
      <c r="CU15" s="69"/>
      <c r="CV15" s="70"/>
      <c r="CW15" s="64" t="str">
        <f>IF(CU15=0,"",IF(CU15=VLOOKUP("PCS-30739g",[7]ARBOR!$A:$C,3,0),0.0001,IF(CU15&gt;VLOOKUP("PCS-30739g",[7]ARBOR!$A:$C,3,0),"Maior que CAP!",IF((DOLLAR(CU15+(VLOOKUP("PCS-30739g",[7]ARBOR!$A:$C,3,0)*-TRUNC(CU15/VLOOKUP("PCS-30739g",[7]ARBOR!$A:$C,3,0)-1,4)),6))&lt;&gt;(DOLLAR(VLOOKUP("PCS-30739g",[7]ARBOR!$A:$C,3,0),6)),(-TRUNC(CU15/VLOOKUP("PCS-30739g",[7]ARBOR!$A:$C,3,0)-1,4)+0.0001)-CS15,-TRUNC(CU15/VLOOKUP("PCS-30739g",[7]ARBOR!$A:$C,3,0)-1,4)-CS15))))</f>
        <v/>
      </c>
      <c r="CX15" s="65" t="str">
        <f>IF(ISERROR(IF(CW15="","",VLOOKUP(($BQ15&amp;CW15&amp;"Template de desconto percentual Bundle - Velox XDSL - Varejo"),[7]BENEFICIOS!$A:$E,5,0))),"Criar",IF(CW15="","",VLOOKUP(($BQ15&amp;CW15&amp;"Template de desconto percentual Bundle - Velox XDSL - Varejo"),[7]BENEFICIOS!$A:$E,5,0)))</f>
        <v/>
      </c>
      <c r="CY15" s="68"/>
      <c r="CZ15" s="69"/>
      <c r="DA15" s="64" t="str">
        <f>IF(CZ15=0,"",IF(CZ15=VLOOKUP("PCS-30766g",[7]ARBOR!$A:$C,3,0),0.0001,IF(CZ15&gt;VLOOKUP("PCS-30766g",[7]ARBOR!$A:$C,3,0),"Maior que CAP!",IF((DOLLAR(CZ15+(VLOOKUP("PCS-30766g",[7]ARBOR!$A:$C,3,0)*-TRUNC(CZ15/VLOOKUP("PCS-30766g",[7]ARBOR!$A:$C,3,0)-1,4)),6))&lt;&gt;(DOLLAR(VLOOKUP("PCS-30766g",[7]ARBOR!$A:$C,3,0),6)),-TRUNC(CZ15/VLOOKUP("PCS-30766g",[7]ARBOR!$A:$C,3,0)-1,4)+0.0001,-TRUNC(CZ15/VLOOKUP("PCS-30766g",[7]ARBOR!$A:$C,3,0)-1,4)))))</f>
        <v/>
      </c>
      <c r="DB15" s="65" t="str">
        <f>IF(ISERROR(IF(DA15="","",VLOOKUP(($BH15&amp;DA15&amp;"Template de desconto FLAT bundle - Velox XDSL - Varejo"),[7]BENEFICIOS!$A:$E,5,0))),"Criar",IF(DA15="","",VLOOKUP(($BH15&amp;DA15&amp;"Template de desconto FLAT bundle - Velox XDSL - Varejo"),[7]BENEFICIOS!$A:$E,5,0)))</f>
        <v/>
      </c>
      <c r="DC15" s="69"/>
      <c r="DD15" s="70"/>
      <c r="DE15" s="64" t="str">
        <f>IF(DC15=0,"",IF(DC15=VLOOKUP("PCS-30766g",[7]ARBOR!$A:$C,3,0),0.0001,IF(DC15&gt;VLOOKUP("PCS-30766g",[7]ARBOR!$A:$C,3,0),"Maior que CAP!",IF((DOLLAR(DC15+(VLOOKUP("PCS-30766g",[7]ARBOR!$A:$C,3,0)*-TRUNC(DC15/VLOOKUP("PCS-30766g",[7]ARBOR!$A:$C,3,0)-1,4)),6))&lt;&gt;(DOLLAR(VLOOKUP("PCS-30766g",[7]ARBOR!$A:$C,3,0),6)),(-TRUNC(DC15/VLOOKUP("PCS-30766g",[7]ARBOR!$A:$C,3,0)-1,4)+0.0001)-DA15,-TRUNC(DC15/VLOOKUP("PCS-30766g",[7]ARBOR!$A:$C,3,0)-1,4)-DA15))))</f>
        <v/>
      </c>
      <c r="DF15" s="65" t="str">
        <f>IF(ISERROR(IF(DE15="","",VLOOKUP(($BQ15&amp;DE15&amp;"Template de desconto percentual Bundle - Velox XDSL - Varejo"),[7]BENEFICIOS!$A:$E,5,0))),"Criar",IF(DE15="","",VLOOKUP(($BQ15&amp;DE15&amp;"Template de desconto percentual Bundle - Velox XDSL - Varejo"),[7]BENEFICIOS!$A:$E,5,0)))</f>
        <v/>
      </c>
      <c r="DG15" s="68"/>
      <c r="DH15" s="69"/>
      <c r="DI15" s="64" t="str">
        <f>IF(DH15=0,"",IF(DH15=VLOOKUP("PCS-30793g",[7]ARBOR!$A:$C,3,0),0.0001,IF(DH15&gt;VLOOKUP("PCS-30793g",[7]ARBOR!$A:$C,3,0),"Maior que CAP!",IF((DOLLAR(DH15+(VLOOKUP("PCS-30793g",[7]ARBOR!$A:$C,3,0)*-TRUNC(DH15/VLOOKUP("PCS-30793g",[7]ARBOR!$A:$C,3,0)-1,4)),6))&lt;&gt;(DOLLAR(VLOOKUP("PCS-30793g",[7]ARBOR!$A:$C,3,0),6)),-TRUNC(DH15/VLOOKUP("PCS-30793g",[7]ARBOR!$A:$C,3,0)-1,4)+0.0001,-TRUNC(DH15/VLOOKUP("PCS-30793g",[7]ARBOR!$A:$C,3,0)-1,4)))))</f>
        <v/>
      </c>
      <c r="DJ15" s="65" t="str">
        <f>IF(ISERROR(IF(DI15="","",VLOOKUP(($BH15&amp;DI15&amp;"Template de desconto FLAT bundle - Velox XDSL - Varejo"),[7]BENEFICIOS!$A:$E,5,0))),"Criar",IF(DI15="","",VLOOKUP(($BH15&amp;DI15&amp;"Template de desconto FLAT bundle - Velox XDSL - Varejo"),[7]BENEFICIOS!$A:$E,5,0)))</f>
        <v/>
      </c>
      <c r="DK15" s="69"/>
      <c r="DL15" s="70"/>
      <c r="DM15" s="64" t="str">
        <f>IF(DK15=0,"",IF(DK15=VLOOKUP("PCS-30793g",[7]ARBOR!$A:$C,3,0),0.0001,IF(DK15&gt;VLOOKUP("PCS-30793g",[7]ARBOR!$A:$C,3,0),"Maior que CAP!",IF((DOLLAR(DK15+(VLOOKUP("PCS-30793g",[7]ARBOR!$A:$C,3,0)*-TRUNC(DK15/VLOOKUP("PCS-30793g",[7]ARBOR!$A:$C,3,0)-1,4)),6))&lt;&gt;(DOLLAR(VLOOKUP("PCS-30793g",[7]ARBOR!$A:$C,3,0),6)),(-TRUNC(DK15/VLOOKUP("PCS-30793g",[7]ARBOR!$A:$C,3,0)-1,4)+0.0001)-DI15,-TRUNC(DK15/VLOOKUP("PCS-30793g",[7]ARBOR!$A:$C,3,0)-1,4)-DI15))))</f>
        <v/>
      </c>
      <c r="DN15" s="65" t="str">
        <f>IF(ISERROR(IF(DM15="","",VLOOKUP(($BQ15&amp;DM15&amp;"Template de desconto percentual Bundle - Velox XDSL - Varejo"),[7]BENEFICIOS!$A:$E,5,0))),"Criar",IF(DM15="","",VLOOKUP(($BQ15&amp;DM15&amp;"Template de desconto percentual Bundle - Velox XDSL - Varejo"),[7]BENEFICIOS!$A:$E,5,0)))</f>
        <v/>
      </c>
      <c r="DO15" s="68"/>
      <c r="DP15" s="69"/>
      <c r="DQ15" s="64" t="str">
        <f>IF(DP15=0,"",IF(DP15=VLOOKUP("PCS-30820g",[7]ARBOR!$A:$C,3,0),0.0001,IF(DP15&gt;VLOOKUP("PCS-30820g",[7]ARBOR!$A:$C,3,0),"Maior que CAP!",IF((DOLLAR(DP15+(VLOOKUP("PCS-30820g",[7]ARBOR!$A:$C,3,0)*-TRUNC(DP15/VLOOKUP("PCS-30820g",[7]ARBOR!$A:$C,3,0)-1,4)),6))&lt;&gt;(DOLLAR(VLOOKUP("PCS-30820g",[7]ARBOR!$A:$C,3,0),6)),-TRUNC(DP15/VLOOKUP("PCS-30820g",[7]ARBOR!$A:$C,3,0)-1,4)+0.0001,-TRUNC(DP15/VLOOKUP("PCS-30820g",[7]ARBOR!$A:$C,3,0)-1,4)))))</f>
        <v/>
      </c>
      <c r="DR15" s="65" t="str">
        <f>IF(ISERROR(IF(DQ15="","",VLOOKUP(($BH15&amp;DQ15&amp;"Template de desconto FLAT bundle - Velox XDSL - Varejo"),[7]BENEFICIOS!$A:$E,5,0))),"Criar",IF(DQ15="","",VLOOKUP(($BH15&amp;DQ15&amp;"Template de desconto FLAT bundle - Velox XDSL - Varejo"),[7]BENEFICIOS!$A:$E,5,0)))</f>
        <v/>
      </c>
      <c r="DS15" s="69"/>
      <c r="DT15" s="70"/>
      <c r="DU15" s="64" t="str">
        <f>IF(DS15=0,"",IF(DS15=VLOOKUP("PCS-30820g",[7]ARBOR!$A:$C,3,0),0.0001,IF(DS15&gt;VLOOKUP("PCS-30820g",[7]ARBOR!$A:$C,3,0),"Maior que CAP!",IF((DOLLAR(DS15+(VLOOKUP("PCS-30820g",[7]ARBOR!$A:$C,3,0)*-TRUNC(DS15/VLOOKUP("PCS-30820g",[7]ARBOR!$A:$C,3,0)-1,4)),6))&lt;&gt;(DOLLAR(VLOOKUP("PCS-30820g",[7]ARBOR!$A:$C,3,0),6)),(-TRUNC(DS15/VLOOKUP("PCS-30820g",[7]ARBOR!$A:$C,3,0)-1,4)+0.0001)-DQ15,-TRUNC(DS15/VLOOKUP("PCS-30820g",[7]ARBOR!$A:$C,3,0)-1,4)-DQ15))))</f>
        <v/>
      </c>
      <c r="DV15" s="65" t="str">
        <f>IF(ISERROR(IF(DU15="","",VLOOKUP(($BQ15&amp;DU15&amp;"Template de desconto percentual Bundle - Velox XDSL - Varejo"),[7]BENEFICIOS!$A:$E,5,0))),"Criar",IF(DU15="","",VLOOKUP(($BQ15&amp;DU15&amp;"Template de desconto percentual Bundle - Velox XDSL - Varejo"),[7]BENEFICIOS!$A:$E,5,0)))</f>
        <v/>
      </c>
      <c r="DW15" s="71">
        <v>44.9</v>
      </c>
      <c r="DX15" s="64">
        <f>IF(DW15=0,"",IF(DW15=VLOOKUP("PCS-21448p2",[7]ARBOR!$A:$C,3,0),0.0001,IF(DW15&gt;VLOOKUP("PCS-21448p2",[7]ARBOR!$A:$C,3,0),"Maior que CAP!",IF((DOLLAR(DW15+(VLOOKUP("PCS-21448p2",[7]ARBOR!$A:$C,3,0)*-TRUNC(DW15/VLOOKUP("PCS-21448p2",[7]ARBOR!$A:$C,3,0)-1,4)),6))&lt;&gt;(DOLLAR(VLOOKUP("PCS-21448p2",[7]ARBOR!$A:$C,3,0),6)),-TRUNC(DW15/VLOOKUP("PCS-21448p2",[7]ARBOR!$A:$C,3,0)-1,4)+0.0001,-TRUNC(DW15/VLOOKUP("PCS-21448p2",[7]ARBOR!$A:$C,3,0)-1,4)))))</f>
        <v>0.64900000000000002</v>
      </c>
      <c r="DY15" s="65" t="str">
        <f>IF(ISERROR(IF(DX15="","",VLOOKUP(("Oi Conta Total Plug 10GB Downgrade"&amp;DX15&amp;"Template de desconto percentual BL Móvel - Internet Total - Varejo"),[7]BENEFICIOS!$A:$E,5,0))),"Criar",IF(DX15="","",VLOOKUP(("Oi Conta Total Plug 10GB Downgrade"&amp;DX15&amp;"Template de desconto percentual BL Móvel - Internet Total - Varejo"),[7]BENEFICIOS!$A:$E,5,0)))</f>
        <v>MKT-1-9825544790</v>
      </c>
      <c r="DZ15" s="71">
        <v>16.5</v>
      </c>
      <c r="EA15" s="72">
        <f>IF(DZ15=0,"",IF(DZ15=VLOOKUP("SVA",[7]ARBOR!$A:$C,3,0),0.0001,IF(DZ15&gt;VLOOKUP("SVA",[7]ARBOR!$A:$C,3,0),"Maior que CAP!",IF((DOLLAR(DZ15+(VLOOKUP("SVA",[7]ARBOR!$A:$C,3,0)*-TRUNC(DZ15/VLOOKUP("SVA",[7]ARBOR!$A:$C,3,0)-1,4)),6))&lt;&gt;(DOLLAR(VLOOKUP("SVA",[7]ARBOR!$A:$C,3,0),6)),-TRUNC(DZ15/VLOOKUP("SVA",[7]ARBOR!$A:$C,3,0)-1,4)+0.0001,-TRUNC(DZ15/VLOOKUP("SVA",[7]ARBOR!$A:$C,3,0)-1,4)))))</f>
        <v>0.2301</v>
      </c>
      <c r="EB15" s="65" t="s">
        <v>226</v>
      </c>
      <c r="EC15" s="69"/>
      <c r="ED15" s="73"/>
      <c r="EE15" s="74" t="str">
        <f t="shared" ref="EE15" si="9">IF(EC15="Grátis",0.9999,"")</f>
        <v/>
      </c>
      <c r="EF15" s="65" t="str">
        <f>IF(EE15="S/Desc","S/Desc",IF(ISERROR(IF(EE15="","",VLOOKUP(($BQ15&amp;EE15&amp;"Template Desc. % sobre Serviço SVA B2C"),[7]BENEFICIOS!$A:$G,5,0))),"Criar",IF(EE15="","",VLOOKUP(($BQ15&amp;EE15&amp;"Template Desc. % sobre Serviço SVA B2C"),[7]BENEFICIOS!$A:$G,5,0))))</f>
        <v/>
      </c>
      <c r="EG15" s="75">
        <f>IF(BI15="","",VLOOKUP(BI15,[7]ARBOR!A:C,3,0))</f>
        <v>479.46</v>
      </c>
      <c r="EH15" s="69">
        <v>15</v>
      </c>
      <c r="EI15" s="76">
        <f>IF(EH15="","",1-(EH15/VLOOKUP(BI15&amp;"ASS",[7]ARBOR!A:C,3,0)))</f>
        <v>0.34725848563968664</v>
      </c>
      <c r="EJ15" s="77" t="s">
        <v>227</v>
      </c>
      <c r="EK15" s="78" t="s">
        <v>228</v>
      </c>
      <c r="EL15" s="69">
        <v>124.9</v>
      </c>
      <c r="EM15" s="64">
        <f>IF(EL15=0,"",IF(EL15=EG15,0.0001,ROUND(1-((EL15+(VLOOKUP(BI15&amp;"ASS",[7]ARBOR!A:C,3,0)-EH15))/EG15),4)))</f>
        <v>0.72289999999999999</v>
      </c>
      <c r="EN15" s="65" t="str">
        <f>IF(ISERROR(IF(EM15="","",VLOOKUP(($BH15&amp;EM15&amp;"Template de desconto percentual FLAT Móvel - Conta Total - Varejo - Ganho Tributário Cross"),[7]BENEFICIOS!$A:$E,5,0))),"Criar",IF(EM15="","",VLOOKUP(($BH15&amp;EM15&amp;"Template de desconto percentual FLAT Móvel - Conta Total - Varejo - Ganho Tributário Cross"),[7]BENEFICIOS!$A:$E,5,0)))</f>
        <v>MKT-1-10033167881</v>
      </c>
      <c r="EO15" s="79"/>
      <c r="EP15" s="64" t="str">
        <f>IF(EO15="","",1-(EO15/VLOOKUP($EM$2,[7]ARBOR!B:C,2,0)))</f>
        <v/>
      </c>
      <c r="EQ15" s="72"/>
      <c r="ER15" s="72"/>
      <c r="ES15" s="64"/>
      <c r="ET15" s="80"/>
      <c r="EU15" s="81"/>
      <c r="EV15" s="81"/>
      <c r="EW15" s="82"/>
      <c r="EX15" s="83" t="str">
        <f>IF(EW15=0,"",IF(EW15=VLOOKUP("PCS-813566",[7]ARBOR!$A:$C,3,0),0.0001,IF(EW15&gt;VLOOKUP("PCS-813566",[7]ARBOR!$A:$C,3,0),"Maior que CAP!",ROUND(-1*(EW15/VLOOKUP("PCS-813566",[7]ARBOR!$A:$C,3,0)-1),4))))</f>
        <v/>
      </c>
      <c r="EY15" s="84" t="str">
        <f>IF(ISERROR(IF(EX15="","",VLOOKUP(("Oi Internet Pra Celular 300MB"&amp;EX15&amp;"Template Flat Instância Dados"),[7]BENEFICIOS!$A:$E,5,0))),"Criar",IF(EX15="","",VLOOKUP(("Oi Internet Pra Celular 300MB"&amp;EX15&amp;"Template Flat Instância Dados"),[7]BENEFICIOS!$A:$E,5,0)))</f>
        <v/>
      </c>
      <c r="EZ15" s="82"/>
      <c r="FA15" s="83" t="str">
        <f>IF(EZ15=0,"",IF(EZ15=VLOOKUP("PCS-813564",[7]ARBOR!$A:$C,3,0),0.0001,IF(EZ15&gt;VLOOKUP("PCS-813564",[7]ARBOR!$A:$C,3,0),"Maior que CAP!",ROUND(-1*(EZ15/VLOOKUP("PCS-813564",[7]ARBOR!$A:$C,3,0)-1),4))))</f>
        <v/>
      </c>
      <c r="FB15" s="84" t="str">
        <f>IF(ISERROR(IF(FA15="","",VLOOKUP(("Oi Internet Pra Celular 500MB"&amp;FA15&amp;"Template Flat Instância Dados"),[7]BENEFICIOS!$A:$E,5,0))),"Criar",IF(FA15="","",VLOOKUP(("Oi Internet Pra Celular 500MB"&amp;FA15&amp;"Template Flat Instância Dados"),[7]BENEFICIOS!$A:$E,5,0)))</f>
        <v/>
      </c>
      <c r="FC15" s="82"/>
      <c r="FD15" s="83" t="str">
        <f>IF(FC15=0,"",IF(FC15=VLOOKUP("PCS-10357",[7]ARBOR!$A:$C,3,0),0.0001,IF(FC15&gt;VLOOKUP("PCS-10357",[7]ARBOR!$A:$C,3,0),"Maior que CAP!",ROUND(-1*(FC15/VLOOKUP("PCS-10357",[7]ARBOR!$A:$C,3,0)-1),4))))</f>
        <v/>
      </c>
      <c r="FE15" s="84" t="str">
        <f>IF(ISERROR(IF(FD15="","",VLOOKUP(("Oi Internet Pra Celular 1GB"&amp;FD15&amp;"Template Flat Instância Dados"),[7]BENEFICIOS!$A:$E,5,0))),"Criar",IF(FD15="","",VLOOKUP(("Oi Internet Pra Celular 1GB"&amp;FD15&amp;"Template Flat Instância Dados"),[7]BENEFICIOS!$A:$E,5,0)))</f>
        <v/>
      </c>
      <c r="FF15" s="82"/>
      <c r="FG15" s="83" t="str">
        <f>IF(FF15=0,"",IF(FF15=VLOOKUP("PCS-813565",[7]ARBOR!$A:$C,3,0),0.0001,IF(FF15&gt;VLOOKUP("PCS-813565",[7]ARBOR!$A:$C,3,0),"Maior que CAP!",ROUND(-1*(FF15/VLOOKUP("PCS-813565",[7]ARBOR!$A:$C,3,0)-1),4))))</f>
        <v/>
      </c>
      <c r="FH15" s="84" t="str">
        <f>IF(ISERROR(IF(FG15="","",VLOOKUP(("Oi Internet Pra Celular 2GB"&amp;FG15&amp;"Template Flat Instância Dados"),[7]BENEFICIOS!$A:$E,5,0))),"Criar",IF(FG15="","",VLOOKUP(("Oi Internet Pra Celular 2GB"&amp;FG15&amp;"Template Flat Instância Dados"),[7]BENEFICIOS!$A:$E,5,0)))</f>
        <v/>
      </c>
      <c r="FI15" s="82"/>
      <c r="FJ15" s="83" t="str">
        <f>IF(FI15=0,"",IF(FI15=VLOOKUP("PCS-7171B",[7]ARBOR!$A:$C,3,0),0.0001,IF(FI15&gt;VLOOKUP("PCS-7171B",[7]ARBOR!$A:$C,3,0),"Maior que CAP!",ROUND(-1*(FI15/VLOOKUP("PCS-7171B",[7]ARBOR!$A:$C,3,0)-1),4))))</f>
        <v/>
      </c>
      <c r="FK15" s="84" t="str">
        <f>IF(ISERROR(IF(FJ15="","",VLOOKUP(("Oi Internet Pra Celular 3GB"&amp;FJ15&amp;"Template Flat Instância Dados"),[7]BENEFICIOS!$A:$E,5,0))),"Criar",IF(FJ15="","",VLOOKUP(("Oi Internet Pra Celular 3GB"&amp;FJ15&amp;"Template Flat Instância Dados"),[7]BENEFICIOS!$A:$E,5,0)))</f>
        <v/>
      </c>
      <c r="FL15" s="82"/>
      <c r="FM15" s="83" t="str">
        <f>IF(FL15=0,"",IF(FL15=VLOOKUP("PCS-51793o08",[7]ARBOR!$A:$C,3,0),0.0001,IF(FL15&gt;VLOOKUP("PCS-51793o08",[7]ARBOR!$A:$C,3,0),"Maior que CAP!",ROUND(-1*(FL15/VLOOKUP("PCS-51793o08",[7]ARBOR!$A:$C,3,0)-1),4))))</f>
        <v/>
      </c>
      <c r="FN15" s="84" t="str">
        <f>IF(ISERROR(IF(FM15="","",VLOOKUP(("Oi Internet Pra Celular 5GB"&amp;FM15&amp;"Template Flat Instância Dados"),[7]BENEFICIOS!$A:$E,5,0))),"Criar",IF(FM15="","",VLOOKUP(("Oi Internet Pra Celular 5GB"&amp;FM15&amp;"Template Flat Instância Dados"),[7]BENEFICIOS!$A:$E,5,0)))</f>
        <v/>
      </c>
      <c r="FO15" s="82"/>
      <c r="FP15" s="83" t="str">
        <f>IF(FO15=0,"",IF(FO15=VLOOKUP("PCS-7171A",[7]ARBOR!$A:$C,3,0),0.0001,IF(FO15&gt;VLOOKUP("PCS-7171A",[7]ARBOR!$A:$C,3,0),"Maior que CAP!",ROUND(-1*(FO15/VLOOKUP("PCS-7171A",[7]ARBOR!$A:$C,3,0)-1),4))))</f>
        <v/>
      </c>
      <c r="FQ15" s="84" t="str">
        <f>IF(ISERROR(IF(FP15="","",VLOOKUP(("Oi Internet Pra Celular 10GB"&amp;FP15&amp;"Template Flat Instância Dados"),[7]BENEFICIOS!$A:$E,5,0))),"Criar",IF(FP15="","",VLOOKUP(("Oi Internet Pra Celular 10GB"&amp;FP15&amp;"Template Flat Instância Dados"),[7]BENEFICIOS!$A:$E,5,0)))</f>
        <v/>
      </c>
      <c r="FR15" s="85"/>
      <c r="FS15" s="86"/>
      <c r="FT15" s="48"/>
      <c r="FU15" s="87"/>
      <c r="FV15" s="88" t="s">
        <v>224</v>
      </c>
      <c r="FW15" s="49" t="s">
        <v>229</v>
      </c>
      <c r="FX15" s="89">
        <v>999</v>
      </c>
      <c r="FY15" s="49">
        <v>12</v>
      </c>
      <c r="FZ15" s="90" t="s">
        <v>230</v>
      </c>
      <c r="GA15" s="91" t="str">
        <f t="shared" si="1"/>
        <v>PCS-Fk83324</v>
      </c>
      <c r="GB15" s="92" t="str">
        <f t="shared" si="2"/>
        <v>PCS-SBL553142</v>
      </c>
      <c r="GC15" s="93" t="s">
        <v>231</v>
      </c>
      <c r="GD15" s="90" t="s">
        <v>232</v>
      </c>
      <c r="GE15" s="92" t="s">
        <v>233</v>
      </c>
      <c r="GF15" s="93" t="s">
        <v>234</v>
      </c>
      <c r="GG15" s="90" t="s">
        <v>235</v>
      </c>
      <c r="GH15" s="92" t="s">
        <v>236</v>
      </c>
      <c r="GI15" s="94" t="s">
        <v>237</v>
      </c>
      <c r="GJ15" s="95">
        <f>EL15+CB15+BJ15</f>
        <v>219.9</v>
      </c>
      <c r="GK15" s="96"/>
      <c r="GL15" s="97" t="s">
        <v>238</v>
      </c>
      <c r="GM15" s="98" t="s">
        <v>275</v>
      </c>
      <c r="GN15" s="97">
        <v>0</v>
      </c>
      <c r="GO15" s="99">
        <v>0</v>
      </c>
      <c r="GP15" s="76">
        <v>1</v>
      </c>
      <c r="GQ15" s="97">
        <v>0</v>
      </c>
      <c r="GR15" s="97">
        <v>0</v>
      </c>
      <c r="GS15" s="101"/>
      <c r="GT15" s="101"/>
      <c r="GU15" s="102" t="b">
        <v>1</v>
      </c>
      <c r="GV15" s="103">
        <v>0</v>
      </c>
      <c r="GW15" s="44" t="s">
        <v>276</v>
      </c>
      <c r="GX15" s="44" t="s">
        <v>241</v>
      </c>
    </row>
    <row r="16" spans="1:206" s="44" customFormat="1" x14ac:dyDescent="0.25">
      <c r="A16" s="44" t="str">
        <f t="shared" si="0"/>
        <v>Oi Total Fixo + Pós 800 + Banda LargaN2MG</v>
      </c>
      <c r="B16" s="45" t="s">
        <v>214</v>
      </c>
      <c r="C16" s="46" t="s">
        <v>130</v>
      </c>
      <c r="D16" s="46" t="s">
        <v>215</v>
      </c>
      <c r="E16" s="47" t="s">
        <v>216</v>
      </c>
      <c r="F16" s="88" t="s">
        <v>217</v>
      </c>
      <c r="G16" s="49"/>
      <c r="H16" s="49"/>
      <c r="I16" s="49"/>
      <c r="J16" s="49" t="s">
        <v>217</v>
      </c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 t="s">
        <v>217</v>
      </c>
      <c r="AC16" s="49" t="s">
        <v>217</v>
      </c>
      <c r="AD16" s="49" t="s">
        <v>217</v>
      </c>
      <c r="AE16" s="49" t="s">
        <v>217</v>
      </c>
      <c r="AF16" s="49" t="s">
        <v>217</v>
      </c>
      <c r="AG16" s="49" t="s">
        <v>217</v>
      </c>
      <c r="AH16" s="50"/>
      <c r="AI16" s="49" t="s">
        <v>217</v>
      </c>
      <c r="AJ16" s="49" t="s">
        <v>217</v>
      </c>
      <c r="AK16" s="49" t="s">
        <v>217</v>
      </c>
      <c r="AL16" s="49" t="s">
        <v>217</v>
      </c>
      <c r="AM16" s="49" t="s">
        <v>217</v>
      </c>
      <c r="AN16" s="49" t="s">
        <v>217</v>
      </c>
      <c r="AO16" s="49" t="s">
        <v>217</v>
      </c>
      <c r="AP16" s="49"/>
      <c r="AQ16" s="51"/>
      <c r="AR16" s="52" t="s">
        <v>277</v>
      </c>
      <c r="AS16" s="46" t="s">
        <v>219</v>
      </c>
      <c r="AT16" s="53" t="s">
        <v>220</v>
      </c>
      <c r="AU16" s="54">
        <v>42972</v>
      </c>
      <c r="AV16" s="105">
        <v>43097</v>
      </c>
      <c r="AW16" s="56" t="s">
        <v>221</v>
      </c>
      <c r="AX16" s="57" t="s">
        <v>221</v>
      </c>
      <c r="AY16" s="58"/>
      <c r="AZ16" s="58" t="s">
        <v>222</v>
      </c>
      <c r="BA16" s="58">
        <v>20</v>
      </c>
      <c r="BB16" s="58">
        <v>10000</v>
      </c>
      <c r="BC16" s="59" t="s">
        <v>223</v>
      </c>
      <c r="BD16" s="60" t="s">
        <v>224</v>
      </c>
      <c r="BE16" s="58" t="s">
        <v>216</v>
      </c>
      <c r="BF16" s="51" t="s">
        <v>216</v>
      </c>
      <c r="BG16" s="45" t="s">
        <v>277</v>
      </c>
      <c r="BH16" s="61" t="s">
        <v>225</v>
      </c>
      <c r="BI16" s="62" t="str">
        <f>IF(ISERROR(VLOOKUP(BH16,[7]PLANOS!B:C,2,0)),"",VLOOKUP(BH16,[7]PLANOS!B:C,2,0))</f>
        <v>PCS-4P6pi</v>
      </c>
      <c r="BJ16" s="63">
        <v>50.1</v>
      </c>
      <c r="BK16" s="64">
        <f>IF(BJ16=0,"",IF(BJ16=VLOOKUP("FIXO",[7]ARBOR!$A:$C,3,0),0.0001,IF(BJ16&gt;VLOOKUP("FIXO",[7]ARBOR!$A:$C,3,0),"Maior que CAP!",IF((DOLLAR(BJ16+(VLOOKUP("FIXO",[7]ARBOR!$A:$C,3,0)*-TRUNC(BJ16/VLOOKUP("FIXO",[7]ARBOR!$A:$C,3,0)-1,4)),6))&lt;&gt;(DOLLAR(VLOOKUP("FIXO",[7]ARBOR!$A:$C,3,0),6)),-TRUNC(BJ16/VLOOKUP("FIXO",[7]ARBOR!$A:$C,3,0)-1,4)+0.0001,-TRUNC(BJ16/VLOOKUP("FIXO",[7]ARBOR!$A:$C,3,0)-1,4)))))</f>
        <v>0.33939999999999998</v>
      </c>
      <c r="BL16" s="65" t="str">
        <f>IF(ISERROR(IF(BK16="","",VLOOKUP(($BH16&amp;BK16&amp;"Template de desconto FLAT bundle - Fixo - Varejo - Ganho Tributário Cross"),[7]BENEFICIOS!$A:$E,5,0))),"Criar",IF(BK16="","",VLOOKUP(($BH16&amp;BK16&amp;"Template de desconto FLAT bundle - Fixo - Varejo - Ganho Tributário Cross"),[7]BENEFICIOS!$A:$E,5,0)))</f>
        <v>MKT-1-9856472058</v>
      </c>
      <c r="BM16" s="66"/>
      <c r="BN16" s="67"/>
      <c r="BO16" s="104" t="s">
        <v>243</v>
      </c>
      <c r="BP16" s="69">
        <v>44.9</v>
      </c>
      <c r="BQ16" s="64">
        <f>IF(BP16=0,"",IF(BP16=VLOOKUP("PCS-30874g",[7]ARBOR!$A:$C,3,0),0.0001,IF(BP16&gt;VLOOKUP("PCS-30874g",[7]ARBOR!$A:$C,3,0),"Maior que CAP!",IF((DOLLAR(BP16+(VLOOKUP("PCS-30874g",[7]ARBOR!$A:$C,3,0)*-TRUNC(BP16/VLOOKUP("PCS-30874g",[7]ARBOR!$A:$C,3,0)-1,4)),6))&lt;&gt;(DOLLAR(VLOOKUP("PCS-30874g",[7]ARBOR!$A:$C,3,0),6)),-TRUNC(BP16/VLOOKUP("PCS-30874g",[7]ARBOR!$A:$C,3,0)-1,4)+0.0001,-TRUNC(BP16/VLOOKUP("PCS-30874g",[7]ARBOR!$A:$C,3,0)-1,4)))))</f>
        <v>0.53679999999999994</v>
      </c>
      <c r="BR16" s="65" t="str">
        <f>IF(ISERROR(IF(BQ16="","",VLOOKUP(($BH16&amp;BQ16&amp;"Template de desconto FLAT bundle - Velox XDSL - Varejo"),[7]BENEFICIOS!$A:$E,5,0))),"Criar",IF(BQ16="","",VLOOKUP(($BH16&amp;BQ16&amp;"Template de desconto FLAT bundle - Velox XDSL - Varejo"),[7]BENEFICIOS!$A:$E,5,0)))</f>
        <v>MKT-1-9865126733</v>
      </c>
      <c r="BS16" s="104" t="s">
        <v>243</v>
      </c>
      <c r="BT16" s="69">
        <v>44.9</v>
      </c>
      <c r="BU16" s="64">
        <f>IF(BT16=0,"",IF(BT16=VLOOKUP("PCS-30577g",[7]ARBOR!$A:$C,3,0),0.0001,IF(BT16&gt;VLOOKUP("PCS-30577g",[7]ARBOR!$A:$C,3,0),"Maior que CAP!",IF((DOLLAR(BT16+(VLOOKUP("PCS-30577g",[7]ARBOR!$A:$C,3,0)*-TRUNC(BT16/VLOOKUP("PCS-30577g",[7]ARBOR!$A:$C,3,0)-1,4)),6))&lt;&gt;(DOLLAR(VLOOKUP("PCS-30577g",[7]ARBOR!$A:$C,3,0),6)),-TRUNC(BT16/VLOOKUP("PCS-30577g",[7]ARBOR!$A:$C,3,0)-1,4)+0.0001,-TRUNC(BT16/VLOOKUP("PCS-30577g",[7]ARBOR!$A:$C,3,0)-1,4)))))</f>
        <v>0.53679999999999994</v>
      </c>
      <c r="BV16" s="65" t="str">
        <f>IF(ISERROR(IF(BU16="","",VLOOKUP(($BH16&amp;BU16&amp;"Template de desconto FLAT bundle - Velox XDSL - Varejo"),[7]BENEFICIOS!$A:$E,5,0))),"Criar",IF(BU16="","",VLOOKUP(($BH16&amp;BU16&amp;"Template de desconto FLAT bundle - Velox XDSL - Varejo"),[7]BENEFICIOS!$A:$E,5,0)))</f>
        <v>MKT-1-9865126733</v>
      </c>
      <c r="BW16" s="104" t="s">
        <v>243</v>
      </c>
      <c r="BX16" s="69">
        <v>44.9</v>
      </c>
      <c r="BY16" s="64">
        <f>IF(BX16=0,"",IF(BX16=VLOOKUP("PCS-30604g",[7]ARBOR!$A:$C,3,0),0.0001,IF(BX16&gt;VLOOKUP("PCS-30604g",[7]ARBOR!$A:$C,3,0),"Maior que CAP!",IF((DOLLAR(BX16+(VLOOKUP("PCS-30604g",[7]ARBOR!$A:$C,3,0)*-TRUNC(BX16/VLOOKUP("PCS-30604g",[7]ARBOR!$A:$C,3,0)-1,4)),6))&lt;&gt;(DOLLAR(VLOOKUP("PCS-30604g",[7]ARBOR!$A:$C,3,0),6)),-TRUNC(BX16/VLOOKUP("PCS-30604g",[7]ARBOR!$A:$C,3,0)-1,4)+0.0001,-TRUNC(BX16/VLOOKUP("PCS-30604g",[7]ARBOR!$A:$C,3,0)-1,4)))))</f>
        <v>0.53679999999999994</v>
      </c>
      <c r="BZ16" s="65" t="str">
        <f>IF(ISERROR(IF(BY16="","",VLOOKUP(($BH16&amp;BY16&amp;"Template de desconto FLAT bundle - Velox XDSL - Varejo"),[7]BENEFICIOS!$A:$E,5,0))),"Criar",IF(BY16="","",VLOOKUP(($BH16&amp;BY16&amp;"Template de desconto FLAT bundle - Velox XDSL - Varejo"),[7]BENEFICIOS!$A:$E,5,0)))</f>
        <v>MKT-1-9865126733</v>
      </c>
      <c r="CA16" s="104" t="s">
        <v>243</v>
      </c>
      <c r="CB16" s="69">
        <v>44.9</v>
      </c>
      <c r="CC16" s="64">
        <f>IF(CB16=0,"",IF(CB16=VLOOKUP("PCS-30631g",[7]ARBOR!$A:$C,3,0),0.0001,IF(CB16&gt;VLOOKUP("PCS-30631g",[7]ARBOR!$A:$C,3,0),"Maior que CAP!",IF((DOLLAR(CB16+(VLOOKUP("PCS-30631g",[7]ARBOR!$A:$C,3,0)*-TRUNC(CB16/VLOOKUP("PCS-30631g",[7]ARBOR!$A:$C,3,0)-1,4)),6))&lt;&gt;(DOLLAR(VLOOKUP("PCS-30631g",[7]ARBOR!$A:$C,3,0),6)),-TRUNC(CB16/VLOOKUP("PCS-30631g",[7]ARBOR!$A:$C,3,0)-1,4)+0.0001,-TRUNC(CB16/VLOOKUP("PCS-30631g",[7]ARBOR!$A:$C,3,0)-1,4)))))</f>
        <v>0.54310000000000003</v>
      </c>
      <c r="CD16" s="65" t="str">
        <f>IF(ISERROR(IF(CC16="","",VLOOKUP(($BH16&amp;CC16&amp;"Template de desconto FLAT bundle - Velox XDSL - Varejo"),[7]BENEFICIOS!$A:$E,5,0))),"Criar",IF(CC16="","",VLOOKUP(($BH16&amp;CC16&amp;"Template de desconto FLAT bundle - Velox XDSL - Varejo"),[7]BENEFICIOS!$A:$E,5,0)))</f>
        <v>MKT-1-9865126826</v>
      </c>
      <c r="CE16" s="68" t="s">
        <v>164</v>
      </c>
      <c r="CF16" s="69">
        <v>49.9</v>
      </c>
      <c r="CG16" s="64">
        <f>IF(CF16=0,"",IF(CF16=VLOOKUP("PCS-30658g",[7]ARBOR!$A:$C,3,0),0.0001,IF(CF16&gt;VLOOKUP("PCS-30658g",[7]ARBOR!$A:$C,3,0),"Maior que CAP!",IF((DOLLAR(CF16+(VLOOKUP("PCS-30658g",[7]ARBOR!$A:$C,3,0)*-TRUNC(CF16/VLOOKUP("PCS-30658g",[7]ARBOR!$A:$C,3,0)-1,4)),6))&lt;&gt;(DOLLAR(VLOOKUP("PCS-30658g",[7]ARBOR!$A:$C,3,0),6)),-TRUNC(CF16/VLOOKUP("PCS-30658g",[7]ARBOR!$A:$C,3,0)-1,4)+0.0001,-TRUNC(CF16/VLOOKUP("PCS-30658g",[7]ARBOR!$A:$C,3,0)-1,4)))))</f>
        <v>0.55569999999999997</v>
      </c>
      <c r="CH16" s="65" t="str">
        <f>IF(ISERROR(IF(CG16="","",VLOOKUP(($BH16&amp;CG16&amp;"Template de desconto FLAT bundle - Velox XDSL - Varejo"),[7]BENEFICIOS!$A:$E,5,0))),"Criar",IF(CG16="","",VLOOKUP(($BH16&amp;CG16&amp;"Template de desconto FLAT bundle - Velox XDSL - Varejo"),[7]BENEFICIOS!$A:$E,5,0)))</f>
        <v>MKT-1-9865126919</v>
      </c>
      <c r="CI16" s="68" t="s">
        <v>164</v>
      </c>
      <c r="CJ16" s="69">
        <v>49.9</v>
      </c>
      <c r="CK16" s="64">
        <f>IF(CJ16=0,"",IF(CJ16=VLOOKUP("PCS-30685g",[7]ARBOR!$A:$C,3,0),0.0001,IF(CJ16&gt;VLOOKUP("PCS-30685g",[7]ARBOR!$A:$C,3,0),"Maior que CAP!",IF((DOLLAR(CJ16+(VLOOKUP("PCS-30685g",[7]ARBOR!$A:$C,3,0)*-TRUNC(CJ16/VLOOKUP("PCS-30685g",[7]ARBOR!$A:$C,3,0)-1,4)),6))&lt;&gt;(DOLLAR(VLOOKUP("PCS-30685g",[7]ARBOR!$A:$C,3,0),6)),-TRUNC(CJ16/VLOOKUP("PCS-30685g",[7]ARBOR!$A:$C,3,0)-1,4)+0.0001,-TRUNC(CJ16/VLOOKUP("PCS-30685g",[7]ARBOR!$A:$C,3,0)-1,4)))))</f>
        <v>0.60509999999999997</v>
      </c>
      <c r="CL16" s="65" t="str">
        <f>IF(ISERROR(IF(CK16="","",VLOOKUP(($BH16&amp;CK16&amp;"Template de desconto FLAT bundle - Velox XDSL - Varejo"),[7]BENEFICIOS!$A:$E,5,0))),"Criar",IF(CK16="","",VLOOKUP(($BH16&amp;CK16&amp;"Template de desconto FLAT bundle - Velox XDSL - Varejo"),[7]BENEFICIOS!$A:$E,5,0)))</f>
        <v>MKT-1-9865694381</v>
      </c>
      <c r="CM16" s="68" t="s">
        <v>164</v>
      </c>
      <c r="CN16" s="69">
        <v>49.9</v>
      </c>
      <c r="CO16" s="64">
        <f>IF(CN16=0,"",IF(CN16=VLOOKUP("PCS-30712g",[7]ARBOR!$A:$C,3,0),0.0001,IF(CN16&gt;VLOOKUP("PCS-30712g",[7]ARBOR!$A:$C,3,0),"Maior que CAP!",IF((DOLLAR(CN16+(VLOOKUP("PCS-30712g",[7]ARBOR!$A:$C,3,0)*-TRUNC(CN16/VLOOKUP("PCS-30712g",[7]ARBOR!$A:$C,3,0)-1,4)),6))&lt;&gt;(DOLLAR(VLOOKUP("PCS-30712g",[7]ARBOR!$A:$C,3,0),6)),-TRUNC(CN16/VLOOKUP("PCS-30712g",[7]ARBOR!$A:$C,3,0)-1,4)+0.0001,-TRUNC(CN16/VLOOKUP("PCS-30712g",[7]ARBOR!$A:$C,3,0)-1,4)))))</f>
        <v>0.64459999999999995</v>
      </c>
      <c r="CP16" s="65" t="str">
        <f>IF(ISERROR(IF(CO16="","",VLOOKUP(($BH16&amp;CO16&amp;"Template de desconto FLAT bundle - Velox XDSL - Varejo"),[7]BENEFICIOS!$A:$E,5,0))),"Criar",IF(CO16="","",VLOOKUP(($BH16&amp;CO16&amp;"Template de desconto FLAT bundle - Velox XDSL - Varejo"),[7]BENEFICIOS!$A:$E,5,0)))</f>
        <v>MKT-1-9865191105</v>
      </c>
      <c r="CQ16" s="68" t="s">
        <v>164</v>
      </c>
      <c r="CR16" s="69">
        <v>59.9</v>
      </c>
      <c r="CS16" s="64">
        <f>IF(CR16=0,"",IF(CR16=VLOOKUP("PCS-30739g",[7]ARBOR!$A:$C,3,0),0.0001,IF(CR16&gt;VLOOKUP("PCS-30739g",[7]ARBOR!$A:$C,3,0),"Maior que CAP!",IF((DOLLAR(CR16+(VLOOKUP("PCS-30739g",[7]ARBOR!$A:$C,3,0)*-TRUNC(CR16/VLOOKUP("PCS-30739g",[7]ARBOR!$A:$C,3,0)-1,4)),6))&lt;&gt;(DOLLAR(VLOOKUP("PCS-30739g",[7]ARBOR!$A:$C,3,0),6)),-TRUNC(CR16/VLOOKUP("PCS-30739g",[7]ARBOR!$A:$C,3,0)-1,4)+0.0001,-TRUNC(CR16/VLOOKUP("PCS-30739g",[7]ARBOR!$A:$C,3,0)-1,4)))))</f>
        <v>0.71560000000000001</v>
      </c>
      <c r="CT16" s="65" t="str">
        <f>IF(ISERROR(IF(CS16="","",VLOOKUP(($BH16&amp;CS16&amp;"Template de desconto FLAT bundle - Velox XDSL - Varejo"),[7]BENEFICIOS!$A:$E,5,0))),"Criar",IF(CS16="","",VLOOKUP(($BH16&amp;CS16&amp;"Template de desconto FLAT bundle - Velox XDSL - Varejo"),[7]BENEFICIOS!$A:$E,5,0)))</f>
        <v>MKT-1-9865191198</v>
      </c>
      <c r="CU16" s="69"/>
      <c r="CV16" s="70"/>
      <c r="CW16" s="64"/>
      <c r="CX16" s="65"/>
      <c r="CY16" s="68" t="s">
        <v>164</v>
      </c>
      <c r="CZ16" s="69">
        <v>59.9</v>
      </c>
      <c r="DA16" s="64">
        <f>IF(CZ16=0,"",IF(CZ16=VLOOKUP("PCS-30766g",[7]ARBOR!$A:$C,3,0),0.0001,IF(CZ16&gt;VLOOKUP("PCS-30766g",[7]ARBOR!$A:$C,3,0),"Maior que CAP!",IF((DOLLAR(CZ16+(VLOOKUP("PCS-30766g",[7]ARBOR!$A:$C,3,0)*-TRUNC(CZ16/VLOOKUP("PCS-30766g",[7]ARBOR!$A:$C,3,0)-1,4)),6))&lt;&gt;(DOLLAR(VLOOKUP("PCS-30766g",[7]ARBOR!$A:$C,3,0),6)),-TRUNC(CZ16/VLOOKUP("PCS-30766g",[7]ARBOR!$A:$C,3,0)-1,4)+0.0001,-TRUNC(CZ16/VLOOKUP("PCS-30766g",[7]ARBOR!$A:$C,3,0)-1,4)))))</f>
        <v>0.78669999999999995</v>
      </c>
      <c r="DB16" s="65" t="str">
        <f>IF(ISERROR(IF(DA16="","",VLOOKUP(($BH16&amp;DA16&amp;"Template de desconto FLAT bundle - Velox XDSL - Varejo"),[7]BENEFICIOS!$A:$E,5,0))),"Criar",IF(DA16="","",VLOOKUP(($BH16&amp;DA16&amp;"Template de desconto FLAT bundle - Velox XDSL - Varejo"),[7]BENEFICIOS!$A:$E,5,0)))</f>
        <v>MKT-1-9865191291</v>
      </c>
      <c r="DC16" s="69"/>
      <c r="DD16" s="70"/>
      <c r="DE16" s="64"/>
      <c r="DF16" s="65"/>
      <c r="DG16" s="68" t="s">
        <v>243</v>
      </c>
      <c r="DH16" s="69">
        <v>69.900000000000006</v>
      </c>
      <c r="DI16" s="64">
        <f>IF(DH16=0,"",IF(DH16=VLOOKUP("PCS-30793g",[7]ARBOR!$A:$C,3,0),0.0001,IF(DH16&gt;VLOOKUP("PCS-30793g",[7]ARBOR!$A:$C,3,0),"Maior que CAP!",IF((DOLLAR(DH16+(VLOOKUP("PCS-30793g",[7]ARBOR!$A:$C,3,0)*-TRUNC(DH16/VLOOKUP("PCS-30793g",[7]ARBOR!$A:$C,3,0)-1,4)),6))&lt;&gt;(DOLLAR(VLOOKUP("PCS-30793g",[7]ARBOR!$A:$C,3,0),6)),-TRUNC(DH16/VLOOKUP("PCS-30793g",[7]ARBOR!$A:$C,3,0)-1,4)+0.0001,-TRUNC(DH16/VLOOKUP("PCS-30793g",[7]ARBOR!$A:$C,3,0)-1,4)))))</f>
        <v>0.75109999999999999</v>
      </c>
      <c r="DJ16" s="65" t="str">
        <f>IF(ISERROR(IF(DI16="","",VLOOKUP(($BH16&amp;DI16&amp;"Template de desconto FLAT bundle - Velox XDSL - Varejo"),[7]BENEFICIOS!$A:$E,5,0))),"Criar",IF(DI16="","",VLOOKUP(($BH16&amp;DI16&amp;"Template de desconto FLAT bundle - Velox XDSL - Varejo"),[7]BENEFICIOS!$A:$E,5,0)))</f>
        <v>MKT-1-9865191384</v>
      </c>
      <c r="DK16" s="69"/>
      <c r="DL16" s="70"/>
      <c r="DM16" s="64"/>
      <c r="DN16" s="65"/>
      <c r="DO16" s="68" t="s">
        <v>164</v>
      </c>
      <c r="DP16" s="69">
        <v>69.900000000000006</v>
      </c>
      <c r="DQ16" s="64">
        <f>IF(DP16=0,"",IF(DP16=VLOOKUP("PCS-30820g",[7]ARBOR!$A:$C,3,0),0.0001,IF(DP16&gt;VLOOKUP("PCS-30820g",[7]ARBOR!$A:$C,3,0),"Maior que CAP!",IF((DOLLAR(DP16+(VLOOKUP("PCS-30820g",[7]ARBOR!$A:$C,3,0)*-TRUNC(DP16/VLOOKUP("PCS-30820g",[7]ARBOR!$A:$C,3,0)-1,4)),6))&lt;&gt;(DOLLAR(VLOOKUP("PCS-30820g",[7]ARBOR!$A:$C,3,0),6)),-TRUNC(DP16/VLOOKUP("PCS-30820g",[7]ARBOR!$A:$C,3,0)-1,4)+0.0001,-TRUNC(DP16/VLOOKUP("PCS-30820g",[7]ARBOR!$A:$C,3,0)-1,4)))))</f>
        <v>0.75109999999999999</v>
      </c>
      <c r="DR16" s="65" t="str">
        <f>IF(ISERROR(IF(DQ16="","",VLOOKUP(($BH16&amp;DQ16&amp;"Template de desconto FLAT bundle - Velox XDSL - Varejo"),[7]BENEFICIOS!$A:$E,5,0))),"Criar",IF(DQ16="","",VLOOKUP(($BH16&amp;DQ16&amp;"Template de desconto FLAT bundle - Velox XDSL - Varejo"),[7]BENEFICIOS!$A:$E,5,0)))</f>
        <v>MKT-1-9865191384</v>
      </c>
      <c r="DS16" s="69"/>
      <c r="DT16" s="70"/>
      <c r="DU16" s="64"/>
      <c r="DV16" s="65"/>
      <c r="DW16" s="71"/>
      <c r="DX16" s="64" t="str">
        <f>IF(DW16=0,"",IF(DW16=VLOOKUP("PCS-21448p2",[7]ARBOR!$A:$C,3,0),0.0001,IF(DW16&gt;VLOOKUP("PCS-21448p2",[7]ARBOR!$A:$C,3,0),"Maior que CAP!",IF((DOLLAR(DW16+(VLOOKUP("PCS-21448p2",[7]ARBOR!$A:$C,3,0)*-TRUNC(DW16/VLOOKUP("PCS-21448p2",[7]ARBOR!$A:$C,3,0)-1,4)),6))&lt;&gt;(DOLLAR(VLOOKUP("PCS-21448p2",[7]ARBOR!$A:$C,3,0),6)),-TRUNC(DW16/VLOOKUP("PCS-21448p2",[7]ARBOR!$A:$C,3,0)-1,4)+0.0001,-TRUNC(DW16/VLOOKUP("PCS-21448p2",[7]ARBOR!$A:$C,3,0)-1,4)))))</f>
        <v/>
      </c>
      <c r="DY16" s="65" t="str">
        <f>IF(ISERROR(IF(DX16="","",VLOOKUP(("Oi Conta Total Plug 10GB Downgrade"&amp;DX16&amp;"Template de desconto percentual BL Móvel - Internet Total - Varejo"),[7]BENEFICIOS!$A:$E,5,0))),"Criar",IF(DX16="","",VLOOKUP(("Oi Conta Total Plug 10GB Downgrade"&amp;DX16&amp;"Template de desconto percentual BL Móvel - Internet Total - Varejo"),[7]BENEFICIOS!$A:$E,5,0)))</f>
        <v/>
      </c>
      <c r="DZ16" s="71">
        <v>19.899999999999999</v>
      </c>
      <c r="EA16" s="72">
        <f>IF(DZ16=0,"",IF(DZ16=VLOOKUP("SVA",[7]ARBOR!$A:$C,3,0),0.0001,IF(DZ16&gt;VLOOKUP("SVA",[7]ARBOR!$A:$C,3,0),"Maior que CAP!",IF((DOLLAR(DZ16+(VLOOKUP("SVA",[7]ARBOR!$A:$C,3,0)*-TRUNC(DZ16/VLOOKUP("SVA",[7]ARBOR!$A:$C,3,0)-1,4)),6))&lt;&gt;(DOLLAR(VLOOKUP("SVA",[7]ARBOR!$A:$C,3,0),6)),-TRUNC(DZ16/VLOOKUP("SVA",[7]ARBOR!$A:$C,3,0)-1,4)+0.0001,-TRUNC(DZ16/VLOOKUP("SVA",[7]ARBOR!$A:$C,3,0)-1,4)))))</f>
        <v>7.1400000000000005E-2</v>
      </c>
      <c r="EB16" s="65" t="s">
        <v>244</v>
      </c>
      <c r="EC16" s="69"/>
      <c r="ED16" s="73"/>
      <c r="EE16" s="74"/>
      <c r="EF16" s="65"/>
      <c r="EG16" s="75">
        <f>IF(BI16="","",VLOOKUP(BI16,[7]ARBOR!A:C,3,0))</f>
        <v>479.46</v>
      </c>
      <c r="EH16" s="69">
        <v>15</v>
      </c>
      <c r="EI16" s="76">
        <f>IF(EH16="","",1-(EH16/VLOOKUP(BI16&amp;"ASS",[7]ARBOR!A:C,3,0)))</f>
        <v>0.34725848563968664</v>
      </c>
      <c r="EJ16" s="77" t="s">
        <v>227</v>
      </c>
      <c r="EK16" s="78" t="s">
        <v>228</v>
      </c>
      <c r="EL16" s="69">
        <v>124.9</v>
      </c>
      <c r="EM16" s="64">
        <f>IF(EL16=0,"",IF(EL16=EG16,0.0001,ROUND(1-((EL16+(VLOOKUP(BI16&amp;"ASS",[7]ARBOR!A:C,3,0)-EH16))/EG16),4)))</f>
        <v>0.72289999999999999</v>
      </c>
      <c r="EN16" s="65" t="str">
        <f>IF(ISERROR(IF(EM16="","",VLOOKUP(($BH16&amp;EM16&amp;"Template de desconto percentual FLAT Móvel - Conta Total - Varejo - Ganho Tributário Cross"),[7]BENEFICIOS!$A:$E,5,0))),"Criar",IF(EM16="","",VLOOKUP(($BH16&amp;EM16&amp;"Template de desconto percentual FLAT Móvel - Conta Total - Varejo - Ganho Tributário Cross"),[7]BENEFICIOS!$A:$E,5,0)))</f>
        <v>MKT-1-10033167881</v>
      </c>
      <c r="EO16" s="79"/>
      <c r="EP16" s="64"/>
      <c r="EQ16" s="72"/>
      <c r="ER16" s="72"/>
      <c r="ES16" s="64"/>
      <c r="ET16" s="80"/>
      <c r="EU16" s="81"/>
      <c r="EV16" s="81"/>
      <c r="EW16" s="82"/>
      <c r="EX16" s="83"/>
      <c r="EY16" s="84"/>
      <c r="EZ16" s="82"/>
      <c r="FA16" s="83"/>
      <c r="FB16" s="84"/>
      <c r="FC16" s="82"/>
      <c r="FD16" s="83" t="str">
        <f>IF(FC16=0,"",IF(FC16=VLOOKUP("PCS-10357",[7]ARBOR!$A:$C,3,0),0.0001,IF(FC16&gt;VLOOKUP("PCS-10357",[7]ARBOR!$A:$C,3,0),"Maior que CAP!",ROUND(-1*(FC16/VLOOKUP("PCS-10357",[7]ARBOR!$A:$C,3,0)-1),4))))</f>
        <v/>
      </c>
      <c r="FE16" s="84" t="str">
        <f>IF(ISERROR(IF(FD16="","",VLOOKUP(("Oi Internet Pra Celular 1GB"&amp;FD16&amp;"Template Flat Instância Dados"),[7]BENEFICIOS!$A:$E,5,0))),"Criar",IF(FD16="","",VLOOKUP(("Oi Internet Pra Celular 1GB"&amp;FD16&amp;"Template Flat Instância Dados"),[7]BENEFICIOS!$A:$E,5,0)))</f>
        <v/>
      </c>
      <c r="FF16" s="82"/>
      <c r="FG16" s="83" t="str">
        <f>IF(FF16=0,"",IF(FF16=VLOOKUP("PCS-813565",[7]ARBOR!$A:$C,3,0),0.0001,IF(FF16&gt;VLOOKUP("PCS-813565",[7]ARBOR!$A:$C,3,0),"Maior que CAP!",ROUND(-1*(FF16/VLOOKUP("PCS-813565",[7]ARBOR!$A:$C,3,0)-1),4))))</f>
        <v/>
      </c>
      <c r="FH16" s="84" t="str">
        <f>IF(ISERROR(IF(FG16="","",VLOOKUP(("Oi Internet Pra Celular 2GB"&amp;FG16&amp;"Template Flat Instância Dados"),[7]BENEFICIOS!$A:$E,5,0))),"Criar",IF(FG16="","",VLOOKUP(("Oi Internet Pra Celular 2GB"&amp;FG16&amp;"Template Flat Instância Dados"),[7]BENEFICIOS!$A:$E,5,0)))</f>
        <v/>
      </c>
      <c r="FI16" s="82"/>
      <c r="FJ16" s="83" t="str">
        <f>IF(FI16=0,"",IF(FI16=VLOOKUP("PCS-7171B",[7]ARBOR!$A:$C,3,0),0.0001,IF(FI16&gt;VLOOKUP("PCS-7171B",[7]ARBOR!$A:$C,3,0),"Maior que CAP!",ROUND(-1*(FI16/VLOOKUP("PCS-7171B",[7]ARBOR!$A:$C,3,0)-1),4))))</f>
        <v/>
      </c>
      <c r="FK16" s="84" t="str">
        <f>IF(ISERROR(IF(FJ16="","",VLOOKUP(("Oi Internet Pra Celular 3GB"&amp;FJ16&amp;"Template Flat Instância Dados"),[7]BENEFICIOS!$A:$E,5,0))),"Criar",IF(FJ16="","",VLOOKUP(("Oi Internet Pra Celular 3GB"&amp;FJ16&amp;"Template Flat Instância Dados"),[7]BENEFICIOS!$A:$E,5,0)))</f>
        <v/>
      </c>
      <c r="FL16" s="82"/>
      <c r="FM16" s="83" t="str">
        <f>IF(FL16=0,"",IF(FL16=VLOOKUP("PCS-51793o08",[7]ARBOR!$A:$C,3,0),0.0001,IF(FL16&gt;VLOOKUP("PCS-51793o08",[7]ARBOR!$A:$C,3,0),"Maior que CAP!",ROUND(-1*(FL16/VLOOKUP("PCS-51793o08",[7]ARBOR!$A:$C,3,0)-1),4))))</f>
        <v/>
      </c>
      <c r="FN16" s="84" t="str">
        <f>IF(ISERROR(IF(FM16="","",VLOOKUP(("Oi Internet Pra Celular 5GB"&amp;FM16&amp;"Template Flat Instância Dados"),[7]BENEFICIOS!$A:$E,5,0))),"Criar",IF(FM16="","",VLOOKUP(("Oi Internet Pra Celular 5GB"&amp;FM16&amp;"Template Flat Instância Dados"),[7]BENEFICIOS!$A:$E,5,0)))</f>
        <v/>
      </c>
      <c r="FO16" s="82"/>
      <c r="FP16" s="83" t="str">
        <f>IF(FO16=0,"",IF(FO16=VLOOKUP("PCS-7171A",[7]ARBOR!$A:$C,3,0),0.0001,IF(FO16&gt;VLOOKUP("PCS-7171A",[7]ARBOR!$A:$C,3,0),"Maior que CAP!",ROUND(-1*(FO16/VLOOKUP("PCS-7171A",[7]ARBOR!$A:$C,3,0)-1),4))))</f>
        <v/>
      </c>
      <c r="FQ16" s="84" t="str">
        <f>IF(ISERROR(IF(FP16="","",VLOOKUP(("Oi Internet Pra Celular 10GB"&amp;FP16&amp;"Template Flat Instância Dados"),[7]BENEFICIOS!$A:$E,5,0))),"Criar",IF(FP16="","",VLOOKUP(("Oi Internet Pra Celular 10GB"&amp;FP16&amp;"Template Flat Instância Dados"),[7]BENEFICIOS!$A:$E,5,0)))</f>
        <v/>
      </c>
      <c r="FR16" s="85"/>
      <c r="FS16" s="86"/>
      <c r="FT16" s="48"/>
      <c r="FU16" s="87"/>
      <c r="FV16" s="88" t="s">
        <v>224</v>
      </c>
      <c r="FW16" s="49" t="s">
        <v>229</v>
      </c>
      <c r="FX16" s="89">
        <v>999</v>
      </c>
      <c r="FY16" s="49">
        <v>12</v>
      </c>
      <c r="FZ16" s="90" t="s">
        <v>230</v>
      </c>
      <c r="GA16" s="91" t="str">
        <f t="shared" si="1"/>
        <v>PCS-Fk83324</v>
      </c>
      <c r="GB16" s="92" t="str">
        <f t="shared" si="2"/>
        <v>PCS-SBL553142</v>
      </c>
      <c r="GC16" s="93" t="s">
        <v>231</v>
      </c>
      <c r="GD16" s="90" t="s">
        <v>232</v>
      </c>
      <c r="GE16" s="92" t="s">
        <v>233</v>
      </c>
      <c r="GF16" s="93" t="s">
        <v>234</v>
      </c>
      <c r="GG16" s="90" t="s">
        <v>235</v>
      </c>
      <c r="GH16" s="92" t="s">
        <v>236</v>
      </c>
      <c r="GI16" s="94" t="s">
        <v>237</v>
      </c>
      <c r="GJ16" s="95">
        <f>EL16+CN16+BJ16</f>
        <v>224.9</v>
      </c>
      <c r="GK16" s="96"/>
      <c r="GL16" s="97" t="s">
        <v>238</v>
      </c>
      <c r="GM16" s="98" t="s">
        <v>275</v>
      </c>
      <c r="GN16" s="97">
        <v>0</v>
      </c>
      <c r="GO16" s="99">
        <v>0</v>
      </c>
      <c r="GP16" s="76">
        <v>1</v>
      </c>
      <c r="GQ16" s="97">
        <v>0</v>
      </c>
      <c r="GR16" s="97">
        <v>0</v>
      </c>
      <c r="GS16" s="101"/>
      <c r="GT16" s="101"/>
      <c r="GU16" s="102" t="b">
        <v>1</v>
      </c>
      <c r="GV16" s="103">
        <v>0</v>
      </c>
      <c r="GW16" s="44" t="s">
        <v>278</v>
      </c>
      <c r="GX16" s="44" t="s">
        <v>241</v>
      </c>
    </row>
    <row r="17" spans="1:206" s="44" customFormat="1" x14ac:dyDescent="0.25">
      <c r="A17" s="44" t="str">
        <f t="shared" si="0"/>
        <v>Oi Total Fixo + Pós 800 + Banda LargaN21GBMG</v>
      </c>
      <c r="B17" s="45" t="s">
        <v>214</v>
      </c>
      <c r="C17" s="46" t="s">
        <v>130</v>
      </c>
      <c r="D17" s="46" t="s">
        <v>215</v>
      </c>
      <c r="E17" s="47" t="s">
        <v>216</v>
      </c>
      <c r="F17" s="88" t="s">
        <v>217</v>
      </c>
      <c r="G17" s="49"/>
      <c r="H17" s="49"/>
      <c r="I17" s="49"/>
      <c r="J17" s="49" t="s">
        <v>217</v>
      </c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 t="s">
        <v>217</v>
      </c>
      <c r="AC17" s="49" t="s">
        <v>217</v>
      </c>
      <c r="AD17" s="49" t="s">
        <v>217</v>
      </c>
      <c r="AE17" s="49" t="s">
        <v>217</v>
      </c>
      <c r="AF17" s="49" t="s">
        <v>217</v>
      </c>
      <c r="AG17" s="49" t="s">
        <v>217</v>
      </c>
      <c r="AH17" s="50"/>
      <c r="AI17" s="49" t="s">
        <v>217</v>
      </c>
      <c r="AJ17" s="49" t="s">
        <v>217</v>
      </c>
      <c r="AK17" s="49" t="s">
        <v>217</v>
      </c>
      <c r="AL17" s="49" t="s">
        <v>217</v>
      </c>
      <c r="AM17" s="49" t="s">
        <v>217</v>
      </c>
      <c r="AN17" s="49" t="s">
        <v>217</v>
      </c>
      <c r="AO17" s="49" t="s">
        <v>217</v>
      </c>
      <c r="AP17" s="49"/>
      <c r="AQ17" s="51"/>
      <c r="AR17" s="52" t="s">
        <v>279</v>
      </c>
      <c r="AS17" s="46" t="s">
        <v>219</v>
      </c>
      <c r="AT17" s="53" t="s">
        <v>220</v>
      </c>
      <c r="AU17" s="54">
        <v>42972</v>
      </c>
      <c r="AV17" s="105">
        <v>43097</v>
      </c>
      <c r="AW17" s="56" t="s">
        <v>221</v>
      </c>
      <c r="AX17" s="57" t="s">
        <v>221</v>
      </c>
      <c r="AY17" s="58"/>
      <c r="AZ17" s="58" t="s">
        <v>222</v>
      </c>
      <c r="BA17" s="58">
        <v>20</v>
      </c>
      <c r="BB17" s="58">
        <v>10000</v>
      </c>
      <c r="BC17" s="59" t="s">
        <v>223</v>
      </c>
      <c r="BD17" s="60" t="s">
        <v>224</v>
      </c>
      <c r="BE17" s="58" t="s">
        <v>216</v>
      </c>
      <c r="BF17" s="51" t="s">
        <v>216</v>
      </c>
      <c r="BG17" s="45" t="s">
        <v>279</v>
      </c>
      <c r="BH17" s="61" t="s">
        <v>225</v>
      </c>
      <c r="BI17" s="62" t="str">
        <f>IF(ISERROR(VLOOKUP(BH17,[7]PLANOS!B:C,2,0)),"",VLOOKUP(BH17,[7]PLANOS!B:C,2,0))</f>
        <v>PCS-4P6pi</v>
      </c>
      <c r="BJ17" s="63">
        <v>50.1</v>
      </c>
      <c r="BK17" s="64">
        <f>IF(BJ17=0,"",IF(BJ17=VLOOKUP("FIXO",[7]ARBOR!$A:$C,3,0),0.0001,IF(BJ17&gt;VLOOKUP("FIXO",[7]ARBOR!$A:$C,3,0),"Maior que CAP!",IF((DOLLAR(BJ17+(VLOOKUP("FIXO",[7]ARBOR!$A:$C,3,0)*-TRUNC(BJ17/VLOOKUP("FIXO",[7]ARBOR!$A:$C,3,0)-1,4)),6))&lt;&gt;(DOLLAR(VLOOKUP("FIXO",[7]ARBOR!$A:$C,3,0),6)),-TRUNC(BJ17/VLOOKUP("FIXO",[7]ARBOR!$A:$C,3,0)-1,4)+0.0001,-TRUNC(BJ17/VLOOKUP("FIXO",[7]ARBOR!$A:$C,3,0)-1,4)))))</f>
        <v>0.33939999999999998</v>
      </c>
      <c r="BL17" s="65" t="str">
        <f>IF(ISERROR(IF(BK17="","",VLOOKUP(($BH17&amp;BK17&amp;"Template de desconto FLAT bundle - Fixo - Varejo - Ganho Tributário Cross"),[7]BENEFICIOS!$A:$E,5,0))),"Criar",IF(BK17="","",VLOOKUP(($BH17&amp;BK17&amp;"Template de desconto FLAT bundle - Fixo - Varejo - Ganho Tributário Cross"),[7]BENEFICIOS!$A:$E,5,0)))</f>
        <v>MKT-1-9856472058</v>
      </c>
      <c r="BM17" s="66"/>
      <c r="BN17" s="67"/>
      <c r="BO17" s="68" t="s">
        <v>164</v>
      </c>
      <c r="BP17" s="69">
        <v>44.9</v>
      </c>
      <c r="BQ17" s="64">
        <f>IF(BP17=0,"",IF(BP17=VLOOKUP("PCS-30874g",[7]ARBOR!$A:$C,3,0),0.0001,IF(BP17&gt;VLOOKUP("PCS-30874g",[7]ARBOR!$A:$C,3,0),"Maior que CAP!",IF((DOLLAR(BP17+(VLOOKUP("PCS-30874g",[7]ARBOR!$A:$C,3,0)*-TRUNC(BP17/VLOOKUP("PCS-30874g",[7]ARBOR!$A:$C,3,0)-1,4)),6))&lt;&gt;(DOLLAR(VLOOKUP("PCS-30874g",[7]ARBOR!$A:$C,3,0),6)),-TRUNC(BP17/VLOOKUP("PCS-30874g",[7]ARBOR!$A:$C,3,0)-1,4)+0.0001,-TRUNC(BP17/VLOOKUP("PCS-30874g",[7]ARBOR!$A:$C,3,0)-1,4)))))</f>
        <v>0.53679999999999994</v>
      </c>
      <c r="BR17" s="65" t="str">
        <f>IF(ISERROR(IF(BQ17="","",VLOOKUP(($BH17&amp;BQ17&amp;"Template de desconto FLAT bundle - Velox XDSL - Varejo"),[7]BENEFICIOS!$A:$E,5,0))),"Criar",IF(BQ17="","",VLOOKUP(($BH17&amp;BQ17&amp;"Template de desconto FLAT bundle - Velox XDSL - Varejo"),[7]BENEFICIOS!$A:$E,5,0)))</f>
        <v>MKT-1-9865126733</v>
      </c>
      <c r="BS17" s="68" t="s">
        <v>164</v>
      </c>
      <c r="BT17" s="69">
        <v>44.9</v>
      </c>
      <c r="BU17" s="64">
        <f>IF(BT17=0,"",IF(BT17=VLOOKUP("PCS-30577g",[7]ARBOR!$A:$C,3,0),0.0001,IF(BT17&gt;VLOOKUP("PCS-30577g",[7]ARBOR!$A:$C,3,0),"Maior que CAP!",IF((DOLLAR(BT17+(VLOOKUP("PCS-30577g",[7]ARBOR!$A:$C,3,0)*-TRUNC(BT17/VLOOKUP("PCS-30577g",[7]ARBOR!$A:$C,3,0)-1,4)),6))&lt;&gt;(DOLLAR(VLOOKUP("PCS-30577g",[7]ARBOR!$A:$C,3,0),6)),-TRUNC(BT17/VLOOKUP("PCS-30577g",[7]ARBOR!$A:$C,3,0)-1,4)+0.0001,-TRUNC(BT17/VLOOKUP("PCS-30577g",[7]ARBOR!$A:$C,3,0)-1,4)))))</f>
        <v>0.53679999999999994</v>
      </c>
      <c r="BV17" s="65" t="str">
        <f>IF(ISERROR(IF(BU17="","",VLOOKUP(($BH17&amp;BU17&amp;"Template de desconto FLAT bundle - Velox XDSL - Varejo"),[7]BENEFICIOS!$A:$E,5,0))),"Criar",IF(BU17="","",VLOOKUP(($BH17&amp;BU17&amp;"Template de desconto FLAT bundle - Velox XDSL - Varejo"),[7]BENEFICIOS!$A:$E,5,0)))</f>
        <v>MKT-1-9865126733</v>
      </c>
      <c r="BW17" s="68" t="s">
        <v>164</v>
      </c>
      <c r="BX17" s="69">
        <v>44.9</v>
      </c>
      <c r="BY17" s="64">
        <f>IF(BX17=0,"",IF(BX17=VLOOKUP("PCS-30604g",[7]ARBOR!$A:$C,3,0),0.0001,IF(BX17&gt;VLOOKUP("PCS-30604g",[7]ARBOR!$A:$C,3,0),"Maior que CAP!",IF((DOLLAR(BX17+(VLOOKUP("PCS-30604g",[7]ARBOR!$A:$C,3,0)*-TRUNC(BX17/VLOOKUP("PCS-30604g",[7]ARBOR!$A:$C,3,0)-1,4)),6))&lt;&gt;(DOLLAR(VLOOKUP("PCS-30604g",[7]ARBOR!$A:$C,3,0),6)),-TRUNC(BX17/VLOOKUP("PCS-30604g",[7]ARBOR!$A:$C,3,0)-1,4)+0.0001,-TRUNC(BX17/VLOOKUP("PCS-30604g",[7]ARBOR!$A:$C,3,0)-1,4)))))</f>
        <v>0.53679999999999994</v>
      </c>
      <c r="BZ17" s="65" t="str">
        <f>IF(ISERROR(IF(BY17="","",VLOOKUP(($BH17&amp;BY17&amp;"Template de desconto FLAT bundle - Velox XDSL - Varejo"),[7]BENEFICIOS!$A:$E,5,0))),"Criar",IF(BY17="","",VLOOKUP(($BH17&amp;BY17&amp;"Template de desconto FLAT bundle - Velox XDSL - Varejo"),[7]BENEFICIOS!$A:$E,5,0)))</f>
        <v>MKT-1-9865126733</v>
      </c>
      <c r="CA17" s="68" t="s">
        <v>164</v>
      </c>
      <c r="CB17" s="69">
        <v>44.9</v>
      </c>
      <c r="CC17" s="64">
        <f>IF(CB17=0,"",IF(CB17=VLOOKUP("PCS-30631g",[7]ARBOR!$A:$C,3,0),0.0001,IF(CB17&gt;VLOOKUP("PCS-30631g",[7]ARBOR!$A:$C,3,0),"Maior que CAP!",IF((DOLLAR(CB17+(VLOOKUP("PCS-30631g",[7]ARBOR!$A:$C,3,0)*-TRUNC(CB17/VLOOKUP("PCS-30631g",[7]ARBOR!$A:$C,3,0)-1,4)),6))&lt;&gt;(DOLLAR(VLOOKUP("PCS-30631g",[7]ARBOR!$A:$C,3,0),6)),-TRUNC(CB17/VLOOKUP("PCS-30631g",[7]ARBOR!$A:$C,3,0)-1,4)+0.0001,-TRUNC(CB17/VLOOKUP("PCS-30631g",[7]ARBOR!$A:$C,3,0)-1,4)))))</f>
        <v>0.54310000000000003</v>
      </c>
      <c r="CD17" s="65" t="str">
        <f>IF(ISERROR(IF(CC17="","",VLOOKUP(($BH17&amp;CC17&amp;"Template de desconto FLAT bundle - Velox XDSL - Varejo"),[7]BENEFICIOS!$A:$E,5,0))),"Criar",IF(CC17="","",VLOOKUP(($BH17&amp;CC17&amp;"Template de desconto FLAT bundle - Velox XDSL - Varejo"),[7]BENEFICIOS!$A:$E,5,0)))</f>
        <v>MKT-1-9865126826</v>
      </c>
      <c r="CE17" s="68"/>
      <c r="CF17" s="69"/>
      <c r="CG17" s="64" t="str">
        <f>IF(CF17=0,"",IF(CF17=VLOOKUP("PCS-30658g",[7]ARBOR!$A:$C,3,0),0.0001,IF(CF17&gt;VLOOKUP("PCS-30658g",[7]ARBOR!$A:$C,3,0),"Maior que CAP!",IF((DOLLAR(CF17+(VLOOKUP("PCS-30658g",[7]ARBOR!$A:$C,3,0)*-TRUNC(CF17/VLOOKUP("PCS-30658g",[7]ARBOR!$A:$C,3,0)-1,4)),6))&lt;&gt;(DOLLAR(VLOOKUP("PCS-30658g",[7]ARBOR!$A:$C,3,0),6)),-TRUNC(CF17/VLOOKUP("PCS-30658g",[7]ARBOR!$A:$C,3,0)-1,4)+0.0001,-TRUNC(CF17/VLOOKUP("PCS-30658g",[7]ARBOR!$A:$C,3,0)-1,4)))))</f>
        <v/>
      </c>
      <c r="CH17" s="65" t="str">
        <f>IF(ISERROR(IF(CG17="","",VLOOKUP(($BH17&amp;CG17&amp;"Template de desconto FLAT bundle - Velox XDSL - Varejo"),[7]BENEFICIOS!$A:$E,5,0))),"Criar",IF(CG17="","",VLOOKUP(($BH17&amp;CG17&amp;"Template de desconto FLAT bundle - Velox XDSL - Varejo"),[7]BENEFICIOS!$A:$E,5,0)))</f>
        <v/>
      </c>
      <c r="CI17" s="68"/>
      <c r="CJ17" s="69"/>
      <c r="CK17" s="64" t="str">
        <f>IF(CJ17=0,"",IF(CJ17=VLOOKUP("PCS-30685g",[7]ARBOR!$A:$C,3,0),0.0001,IF(CJ17&gt;VLOOKUP("PCS-30685g",[7]ARBOR!$A:$C,3,0),"Maior que CAP!",IF((DOLLAR(CJ17+(VLOOKUP("PCS-30685g",[7]ARBOR!$A:$C,3,0)*-TRUNC(CJ17/VLOOKUP("PCS-30685g",[7]ARBOR!$A:$C,3,0)-1,4)),6))&lt;&gt;(DOLLAR(VLOOKUP("PCS-30685g",[7]ARBOR!$A:$C,3,0),6)),-TRUNC(CJ17/VLOOKUP("PCS-30685g",[7]ARBOR!$A:$C,3,0)-1,4)+0.0001,-TRUNC(CJ17/VLOOKUP("PCS-30685g",[7]ARBOR!$A:$C,3,0)-1,4)))))</f>
        <v/>
      </c>
      <c r="CL17" s="65" t="str">
        <f>IF(ISERROR(IF(CK17="","",VLOOKUP(($BH17&amp;CK17&amp;"Template de desconto FLAT bundle - Velox XDSL - Varejo"),[7]BENEFICIOS!$A:$E,5,0))),"Criar",IF(CK17="","",VLOOKUP(($BH17&amp;CK17&amp;"Template de desconto FLAT bundle - Velox XDSL - Varejo"),[7]BENEFICIOS!$A:$E,5,0)))</f>
        <v/>
      </c>
      <c r="CM17" s="68"/>
      <c r="CN17" s="69"/>
      <c r="CO17" s="64" t="str">
        <f>IF(CN17=0,"",IF(CN17=VLOOKUP("PCS-30712g",[7]ARBOR!$A:$C,3,0),0.0001,IF(CN17&gt;VLOOKUP("PCS-30712g",[7]ARBOR!$A:$C,3,0),"Maior que CAP!",IF((DOLLAR(CN17+(VLOOKUP("PCS-30712g",[7]ARBOR!$A:$C,3,0)*-TRUNC(CN17/VLOOKUP("PCS-30712g",[7]ARBOR!$A:$C,3,0)-1,4)),6))&lt;&gt;(DOLLAR(VLOOKUP("PCS-30712g",[7]ARBOR!$A:$C,3,0),6)),-TRUNC(CN17/VLOOKUP("PCS-30712g",[7]ARBOR!$A:$C,3,0)-1,4)+0.0001,-TRUNC(CN17/VLOOKUP("PCS-30712g",[7]ARBOR!$A:$C,3,0)-1,4)))))</f>
        <v/>
      </c>
      <c r="CP17" s="65" t="str">
        <f>IF(ISERROR(IF(CO17="","",VLOOKUP(($BH17&amp;CO17&amp;"Template de desconto FLAT bundle - Velox XDSL - Varejo"),[7]BENEFICIOS!$A:$E,5,0))),"Criar",IF(CO17="","",VLOOKUP(($BH17&amp;CO17&amp;"Template de desconto FLAT bundle - Velox XDSL - Varejo"),[7]BENEFICIOS!$A:$E,5,0)))</f>
        <v/>
      </c>
      <c r="CQ17" s="68"/>
      <c r="CR17" s="69"/>
      <c r="CS17" s="64" t="str">
        <f>IF(CR17=0,"",IF(CR17=VLOOKUP("PCS-30739g",[7]ARBOR!$A:$C,3,0),0.0001,IF(CR17&gt;VLOOKUP("PCS-30739g",[7]ARBOR!$A:$C,3,0),"Maior que CAP!",IF((DOLLAR(CR17+(VLOOKUP("PCS-30739g",[7]ARBOR!$A:$C,3,0)*-TRUNC(CR17/VLOOKUP("PCS-30739g",[7]ARBOR!$A:$C,3,0)-1,4)),6))&lt;&gt;(DOLLAR(VLOOKUP("PCS-30739g",[7]ARBOR!$A:$C,3,0),6)),-TRUNC(CR17/VLOOKUP("PCS-30739g",[7]ARBOR!$A:$C,3,0)-1,4)+0.0001,-TRUNC(CR17/VLOOKUP("PCS-30739g",[7]ARBOR!$A:$C,3,0)-1,4)))))</f>
        <v/>
      </c>
      <c r="CT17" s="65" t="str">
        <f>IF(ISERROR(IF(CS17="","",VLOOKUP(($BH17&amp;CS17&amp;"Template de desconto FLAT bundle - Velox XDSL - Varejo"),[7]BENEFICIOS!$A:$E,5,0))),"Criar",IF(CS17="","",VLOOKUP(($BH17&amp;CS17&amp;"Template de desconto FLAT bundle - Velox XDSL - Varejo"),[7]BENEFICIOS!$A:$E,5,0)))</f>
        <v/>
      </c>
      <c r="CU17" s="69"/>
      <c r="CV17" s="70"/>
      <c r="CW17" s="64"/>
      <c r="CX17" s="65"/>
      <c r="CY17" s="68"/>
      <c r="CZ17" s="69"/>
      <c r="DA17" s="64" t="str">
        <f>IF(CZ17=0,"",IF(CZ17=VLOOKUP("PCS-30766g",[7]ARBOR!$A:$C,3,0),0.0001,IF(CZ17&gt;VLOOKUP("PCS-30766g",[7]ARBOR!$A:$C,3,0),"Maior que CAP!",IF((DOLLAR(CZ17+(VLOOKUP("PCS-30766g",[7]ARBOR!$A:$C,3,0)*-TRUNC(CZ17/VLOOKUP("PCS-30766g",[7]ARBOR!$A:$C,3,0)-1,4)),6))&lt;&gt;(DOLLAR(VLOOKUP("PCS-30766g",[7]ARBOR!$A:$C,3,0),6)),-TRUNC(CZ17/VLOOKUP("PCS-30766g",[7]ARBOR!$A:$C,3,0)-1,4)+0.0001,-TRUNC(CZ17/VLOOKUP("PCS-30766g",[7]ARBOR!$A:$C,3,0)-1,4)))))</f>
        <v/>
      </c>
      <c r="DB17" s="65" t="str">
        <f>IF(ISERROR(IF(DA17="","",VLOOKUP(($BH17&amp;DA17&amp;"Template de desconto FLAT bundle - Velox XDSL - Varejo"),[7]BENEFICIOS!$A:$E,5,0))),"Criar",IF(DA17="","",VLOOKUP(($BH17&amp;DA17&amp;"Template de desconto FLAT bundle - Velox XDSL - Varejo"),[7]BENEFICIOS!$A:$E,5,0)))</f>
        <v/>
      </c>
      <c r="DC17" s="69"/>
      <c r="DD17" s="70"/>
      <c r="DE17" s="64"/>
      <c r="DF17" s="65"/>
      <c r="DG17" s="68"/>
      <c r="DH17" s="69"/>
      <c r="DI17" s="64" t="str">
        <f>IF(DH17=0,"",IF(DH17=VLOOKUP("PCS-30793g",[7]ARBOR!$A:$C,3,0),0.0001,IF(DH17&gt;VLOOKUP("PCS-30793g",[7]ARBOR!$A:$C,3,0),"Maior que CAP!",IF((DOLLAR(DH17+(VLOOKUP("PCS-30793g",[7]ARBOR!$A:$C,3,0)*-TRUNC(DH17/VLOOKUP("PCS-30793g",[7]ARBOR!$A:$C,3,0)-1,4)),6))&lt;&gt;(DOLLAR(VLOOKUP("PCS-30793g",[7]ARBOR!$A:$C,3,0),6)),-TRUNC(DH17/VLOOKUP("PCS-30793g",[7]ARBOR!$A:$C,3,0)-1,4)+0.0001,-TRUNC(DH17/VLOOKUP("PCS-30793g",[7]ARBOR!$A:$C,3,0)-1,4)))))</f>
        <v/>
      </c>
      <c r="DJ17" s="65" t="str">
        <f>IF(ISERROR(IF(DI17="","",VLOOKUP(($BH17&amp;DI17&amp;"Template de desconto FLAT bundle - Velox XDSL - Varejo"),[7]BENEFICIOS!$A:$E,5,0))),"Criar",IF(DI17="","",VLOOKUP(($BH17&amp;DI17&amp;"Template de desconto FLAT bundle - Velox XDSL - Varejo"),[7]BENEFICIOS!$A:$E,5,0)))</f>
        <v/>
      </c>
      <c r="DK17" s="69"/>
      <c r="DL17" s="70"/>
      <c r="DM17" s="64"/>
      <c r="DN17" s="65"/>
      <c r="DO17" s="68"/>
      <c r="DP17" s="69"/>
      <c r="DQ17" s="64" t="str">
        <f>IF(DP17=0,"",IF(DP17=VLOOKUP("PCS-30820g",[7]ARBOR!$A:$C,3,0),0.0001,IF(DP17&gt;VLOOKUP("PCS-30820g",[7]ARBOR!$A:$C,3,0),"Maior que CAP!",IF((DOLLAR(DP17+(VLOOKUP("PCS-30820g",[7]ARBOR!$A:$C,3,0)*-TRUNC(DP17/VLOOKUP("PCS-30820g",[7]ARBOR!$A:$C,3,0)-1,4)),6))&lt;&gt;(DOLLAR(VLOOKUP("PCS-30820g",[7]ARBOR!$A:$C,3,0),6)),-TRUNC(DP17/VLOOKUP("PCS-30820g",[7]ARBOR!$A:$C,3,0)-1,4)+0.0001,-TRUNC(DP17/VLOOKUP("PCS-30820g",[7]ARBOR!$A:$C,3,0)-1,4)))))</f>
        <v/>
      </c>
      <c r="DR17" s="65" t="str">
        <f>IF(ISERROR(IF(DQ17="","",VLOOKUP(($BH17&amp;DQ17&amp;"Template de desconto FLAT bundle - Velox XDSL - Varejo"),[7]BENEFICIOS!$A:$E,5,0))),"Criar",IF(DQ17="","",VLOOKUP(($BH17&amp;DQ17&amp;"Template de desconto FLAT bundle - Velox XDSL - Varejo"),[7]BENEFICIOS!$A:$E,5,0)))</f>
        <v/>
      </c>
      <c r="DS17" s="69"/>
      <c r="DT17" s="70"/>
      <c r="DU17" s="64"/>
      <c r="DV17" s="65"/>
      <c r="DW17" s="71">
        <v>44.9</v>
      </c>
      <c r="DX17" s="64">
        <f>IF(DW17=0,"",IF(DW17=VLOOKUP("PCS-21448p2",[7]ARBOR!$A:$C,3,0),0.0001,IF(DW17&gt;VLOOKUP("PCS-21448p2",[7]ARBOR!$A:$C,3,0),"Maior que CAP!",IF((DOLLAR(DW17+(VLOOKUP("PCS-21448p2",[7]ARBOR!$A:$C,3,0)*-TRUNC(DW17/VLOOKUP("PCS-21448p2",[7]ARBOR!$A:$C,3,0)-1,4)),6))&lt;&gt;(DOLLAR(VLOOKUP("PCS-21448p2",[7]ARBOR!$A:$C,3,0),6)),-TRUNC(DW17/VLOOKUP("PCS-21448p2",[7]ARBOR!$A:$C,3,0)-1,4)+0.0001,-TRUNC(DW17/VLOOKUP("PCS-21448p2",[7]ARBOR!$A:$C,3,0)-1,4)))))</f>
        <v>0.64900000000000002</v>
      </c>
      <c r="DY17" s="65" t="str">
        <f>IF(ISERROR(IF(DX17="","",VLOOKUP(("Oi Conta Total Plug 10GB Downgrade"&amp;DX17&amp;"Template de desconto percentual BL Móvel - Internet Total - Varejo"),[7]BENEFICIOS!$A:$E,5,0))),"Criar",IF(DX17="","",VLOOKUP(("Oi Conta Total Plug 10GB Downgrade"&amp;DX17&amp;"Template de desconto percentual BL Móvel - Internet Total - Varejo"),[7]BENEFICIOS!$A:$E,5,0)))</f>
        <v>MKT-1-9825544790</v>
      </c>
      <c r="DZ17" s="71">
        <v>16.5</v>
      </c>
      <c r="EA17" s="72">
        <f>IF(DZ17=0,"",IF(DZ17=VLOOKUP("SVA",[7]ARBOR!$A:$C,3,0),0.0001,IF(DZ17&gt;VLOOKUP("SVA",[7]ARBOR!$A:$C,3,0),"Maior que CAP!",IF((DOLLAR(DZ17+(VLOOKUP("SVA",[7]ARBOR!$A:$C,3,0)*-TRUNC(DZ17/VLOOKUP("SVA",[7]ARBOR!$A:$C,3,0)-1,4)),6))&lt;&gt;(DOLLAR(VLOOKUP("SVA",[7]ARBOR!$A:$C,3,0),6)),-TRUNC(DZ17/VLOOKUP("SVA",[7]ARBOR!$A:$C,3,0)-1,4)+0.0001,-TRUNC(DZ17/VLOOKUP("SVA",[7]ARBOR!$A:$C,3,0)-1,4)))))</f>
        <v>0.2301</v>
      </c>
      <c r="EB17" s="65" t="s">
        <v>226</v>
      </c>
      <c r="EC17" s="69"/>
      <c r="ED17" s="73"/>
      <c r="EE17" s="74"/>
      <c r="EF17" s="65"/>
      <c r="EG17" s="75">
        <f>IF(BI17="","",VLOOKUP(BI17,[7]ARBOR!A:C,3,0))</f>
        <v>479.46</v>
      </c>
      <c r="EH17" s="69">
        <v>15</v>
      </c>
      <c r="EI17" s="76">
        <f>IF(EH17="","",1-(EH17/VLOOKUP(BI17&amp;"ASS",[7]ARBOR!A:C,3,0)))</f>
        <v>0.34725848563968664</v>
      </c>
      <c r="EJ17" s="77" t="s">
        <v>227</v>
      </c>
      <c r="EK17" s="78" t="s">
        <v>228</v>
      </c>
      <c r="EL17" s="69">
        <v>116.16000000000001</v>
      </c>
      <c r="EM17" s="64">
        <f>IF(EL17=0,"",IF(EL17=EG17,0.0001,ROUND(1-((EL17+(VLOOKUP(BI17&amp;"ASS",[7]ARBOR!A:C,3,0)-EH17))/EG17),4)))</f>
        <v>0.74109999999999998</v>
      </c>
      <c r="EN17" s="65" t="str">
        <f>IF(ISERROR(IF(EM17="","",VLOOKUP(($BH17&amp;EM17&amp;"Template de desconto percentual FLAT Móvel - Conta Total - Varejo - Ganho Tributário Cross"),[7]BENEFICIOS!$A:$E,5,0))),"Criar",IF(EM17="","",VLOOKUP(($BH17&amp;EM17&amp;"Template de desconto percentual FLAT Móvel - Conta Total - Varejo - Ganho Tributário Cross"),[7]BENEFICIOS!$A:$E,5,0)))</f>
        <v>MKT-1-10033171611</v>
      </c>
      <c r="EO17" s="79"/>
      <c r="EP17" s="64"/>
      <c r="EQ17" s="72"/>
      <c r="ER17" s="72"/>
      <c r="ES17" s="64"/>
      <c r="ET17" s="80"/>
      <c r="EU17" s="81" t="s">
        <v>247</v>
      </c>
      <c r="EV17" s="81" t="s">
        <v>248</v>
      </c>
      <c r="EW17" s="82"/>
      <c r="EX17" s="83"/>
      <c r="EY17" s="84"/>
      <c r="EZ17" s="82"/>
      <c r="FA17" s="83"/>
      <c r="FB17" s="84"/>
      <c r="FC17" s="82">
        <v>8.74</v>
      </c>
      <c r="FD17" s="83">
        <f>IF(FC17=0,"",IF(FC17=VLOOKUP("PCS-10357",[7]ARBOR!$A:$C,3,0),0.0001,IF(FC17&gt;VLOOKUP("PCS-10357",[7]ARBOR!$A:$C,3,0),"Maior que CAP!",ROUND(-1*(FC17/VLOOKUP("PCS-10357",[7]ARBOR!$A:$C,3,0)-1),4))))</f>
        <v>0.8669</v>
      </c>
      <c r="FE17" s="84" t="str">
        <f>IF(ISERROR(IF(FD17="","",VLOOKUP(("Oi Internet Pra Celular 1GB"&amp;FD17&amp;"Template Flat Instância Dados"),[7]BENEFICIOS!$A:$E,5,0))),"Criar",IF(FD17="","",VLOOKUP(("Oi Internet Pra Celular 1GB"&amp;FD17&amp;"Template Flat Instância Dados"),[7]BENEFICIOS!$A:$E,5,0)))</f>
        <v>MKT-1-9869952543</v>
      </c>
      <c r="FF17" s="82"/>
      <c r="FG17" s="83" t="str">
        <f>IF(FF17=0,"",IF(FF17=VLOOKUP("PCS-813565",[7]ARBOR!$A:$C,3,0),0.0001,IF(FF17&gt;VLOOKUP("PCS-813565",[7]ARBOR!$A:$C,3,0),"Maior que CAP!",ROUND(-1*(FF17/VLOOKUP("PCS-813565",[7]ARBOR!$A:$C,3,0)-1),4))))</f>
        <v/>
      </c>
      <c r="FH17" s="84" t="str">
        <f>IF(ISERROR(IF(FG17="","",VLOOKUP(("Oi Internet Pra Celular 2GB"&amp;FG17&amp;"Template Flat Instância Dados"),[7]BENEFICIOS!$A:$E,5,0))),"Criar",IF(FG17="","",VLOOKUP(("Oi Internet Pra Celular 2GB"&amp;FG17&amp;"Template Flat Instância Dados"),[7]BENEFICIOS!$A:$E,5,0)))</f>
        <v/>
      </c>
      <c r="FI17" s="82"/>
      <c r="FJ17" s="83" t="str">
        <f>IF(FI17=0,"",IF(FI17=VLOOKUP("PCS-7171B",[7]ARBOR!$A:$C,3,0),0.0001,IF(FI17&gt;VLOOKUP("PCS-7171B",[7]ARBOR!$A:$C,3,0),"Maior que CAP!",ROUND(-1*(FI17/VLOOKUP("PCS-7171B",[7]ARBOR!$A:$C,3,0)-1),4))))</f>
        <v/>
      </c>
      <c r="FK17" s="84" t="str">
        <f>IF(ISERROR(IF(FJ17="","",VLOOKUP(("Oi Internet Pra Celular 3GB"&amp;FJ17&amp;"Template Flat Instância Dados"),[7]BENEFICIOS!$A:$E,5,0))),"Criar",IF(FJ17="","",VLOOKUP(("Oi Internet Pra Celular 3GB"&amp;FJ17&amp;"Template Flat Instância Dados"),[7]BENEFICIOS!$A:$E,5,0)))</f>
        <v/>
      </c>
      <c r="FL17" s="82"/>
      <c r="FM17" s="83" t="str">
        <f>IF(FL17=0,"",IF(FL17=VLOOKUP("PCS-51793o08",[7]ARBOR!$A:$C,3,0),0.0001,IF(FL17&gt;VLOOKUP("PCS-51793o08",[7]ARBOR!$A:$C,3,0),"Maior que CAP!",ROUND(-1*(FL17/VLOOKUP("PCS-51793o08",[7]ARBOR!$A:$C,3,0)-1),4))))</f>
        <v/>
      </c>
      <c r="FN17" s="84" t="str">
        <f>IF(ISERROR(IF(FM17="","",VLOOKUP(("Oi Internet Pra Celular 5GB"&amp;FM17&amp;"Template Flat Instância Dados"),[7]BENEFICIOS!$A:$E,5,0))),"Criar",IF(FM17="","",VLOOKUP(("Oi Internet Pra Celular 5GB"&amp;FM17&amp;"Template Flat Instância Dados"),[7]BENEFICIOS!$A:$E,5,0)))</f>
        <v/>
      </c>
      <c r="FO17" s="82"/>
      <c r="FP17" s="83" t="str">
        <f>IF(FO17=0,"",IF(FO17=VLOOKUP("PCS-7171A",[7]ARBOR!$A:$C,3,0),0.0001,IF(FO17&gt;VLOOKUP("PCS-7171A",[7]ARBOR!$A:$C,3,0),"Maior que CAP!",ROUND(-1*(FO17/VLOOKUP("PCS-7171A",[7]ARBOR!$A:$C,3,0)-1),4))))</f>
        <v/>
      </c>
      <c r="FQ17" s="84" t="str">
        <f>IF(ISERROR(IF(FP17="","",VLOOKUP(("Oi Internet Pra Celular 10GB"&amp;FP17&amp;"Template Flat Instância Dados"),[7]BENEFICIOS!$A:$E,5,0))),"Criar",IF(FP17="","",VLOOKUP(("Oi Internet Pra Celular 10GB"&amp;FP17&amp;"Template Flat Instância Dados"),[7]BENEFICIOS!$A:$E,5,0)))</f>
        <v/>
      </c>
      <c r="FR17" s="85">
        <v>0.74219999999999997</v>
      </c>
      <c r="FS17" s="86" t="s">
        <v>249</v>
      </c>
      <c r="FT17" s="48"/>
      <c r="FU17" s="87"/>
      <c r="FV17" s="88" t="s">
        <v>224</v>
      </c>
      <c r="FW17" s="49" t="s">
        <v>229</v>
      </c>
      <c r="FX17" s="89">
        <v>999</v>
      </c>
      <c r="FY17" s="49">
        <v>12</v>
      </c>
      <c r="FZ17" s="90" t="s">
        <v>230</v>
      </c>
      <c r="GA17" s="91" t="str">
        <f t="shared" si="1"/>
        <v>PCS-Fk83324</v>
      </c>
      <c r="GB17" s="92" t="str">
        <f t="shared" si="2"/>
        <v>PCS-SBL553142</v>
      </c>
      <c r="GC17" s="93" t="s">
        <v>231</v>
      </c>
      <c r="GD17" s="90" t="s">
        <v>232</v>
      </c>
      <c r="GE17" s="92" t="s">
        <v>233</v>
      </c>
      <c r="GF17" s="93" t="s">
        <v>234</v>
      </c>
      <c r="GG17" s="90" t="s">
        <v>235</v>
      </c>
      <c r="GH17" s="92" t="s">
        <v>236</v>
      </c>
      <c r="GI17" s="94" t="s">
        <v>237</v>
      </c>
      <c r="GJ17" s="95">
        <f>FC17+EL17+DW17+BJ17</f>
        <v>219.9</v>
      </c>
      <c r="GK17" s="96"/>
      <c r="GL17" s="97" t="s">
        <v>238</v>
      </c>
      <c r="GM17" s="98" t="s">
        <v>275</v>
      </c>
      <c r="GN17" s="97">
        <v>14</v>
      </c>
      <c r="GO17" s="99">
        <v>3.61</v>
      </c>
      <c r="GP17" s="76">
        <v>0.74209999999999998</v>
      </c>
      <c r="GQ17" s="97">
        <v>10.38</v>
      </c>
      <c r="GR17" s="97">
        <v>3.6199999999999992</v>
      </c>
      <c r="GS17" s="101"/>
      <c r="GT17" s="101"/>
      <c r="GU17" s="102" t="b">
        <v>0</v>
      </c>
      <c r="GV17" s="103">
        <v>9.9999999999993427E-3</v>
      </c>
      <c r="GW17" s="44" t="s">
        <v>280</v>
      </c>
      <c r="GX17" s="44" t="s">
        <v>241</v>
      </c>
    </row>
    <row r="18" spans="1:206" s="44" customFormat="1" x14ac:dyDescent="0.25">
      <c r="A18" s="44" t="str">
        <f t="shared" si="0"/>
        <v>Oi Total Fixo + Pós 800 + Banda LargaN21GBMG</v>
      </c>
      <c r="B18" s="45" t="s">
        <v>214</v>
      </c>
      <c r="C18" s="46" t="s">
        <v>130</v>
      </c>
      <c r="D18" s="46" t="s">
        <v>215</v>
      </c>
      <c r="E18" s="47" t="s">
        <v>216</v>
      </c>
      <c r="F18" s="88" t="s">
        <v>217</v>
      </c>
      <c r="G18" s="49"/>
      <c r="H18" s="49"/>
      <c r="I18" s="49"/>
      <c r="J18" s="49" t="s">
        <v>217</v>
      </c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 t="s">
        <v>217</v>
      </c>
      <c r="AC18" s="49" t="s">
        <v>217</v>
      </c>
      <c r="AD18" s="49" t="s">
        <v>217</v>
      </c>
      <c r="AE18" s="49" t="s">
        <v>217</v>
      </c>
      <c r="AF18" s="49" t="s">
        <v>217</v>
      </c>
      <c r="AG18" s="49" t="s">
        <v>217</v>
      </c>
      <c r="AH18" s="50"/>
      <c r="AI18" s="49" t="s">
        <v>217</v>
      </c>
      <c r="AJ18" s="49" t="s">
        <v>217</v>
      </c>
      <c r="AK18" s="49" t="s">
        <v>217</v>
      </c>
      <c r="AL18" s="49" t="s">
        <v>217</v>
      </c>
      <c r="AM18" s="49" t="s">
        <v>217</v>
      </c>
      <c r="AN18" s="49" t="s">
        <v>217</v>
      </c>
      <c r="AO18" s="49" t="s">
        <v>217</v>
      </c>
      <c r="AP18" s="49"/>
      <c r="AQ18" s="51"/>
      <c r="AR18" s="52" t="s">
        <v>281</v>
      </c>
      <c r="AS18" s="46" t="s">
        <v>219</v>
      </c>
      <c r="AT18" s="53" t="s">
        <v>220</v>
      </c>
      <c r="AU18" s="54">
        <v>42972</v>
      </c>
      <c r="AV18" s="105">
        <v>43097</v>
      </c>
      <c r="AW18" s="56" t="s">
        <v>221</v>
      </c>
      <c r="AX18" s="57" t="s">
        <v>221</v>
      </c>
      <c r="AY18" s="58"/>
      <c r="AZ18" s="58" t="s">
        <v>222</v>
      </c>
      <c r="BA18" s="58">
        <v>20</v>
      </c>
      <c r="BB18" s="58">
        <v>10000</v>
      </c>
      <c r="BC18" s="59" t="s">
        <v>223</v>
      </c>
      <c r="BD18" s="60" t="s">
        <v>224</v>
      </c>
      <c r="BE18" s="58" t="s">
        <v>216</v>
      </c>
      <c r="BF18" s="51" t="s">
        <v>216</v>
      </c>
      <c r="BG18" s="45" t="s">
        <v>281</v>
      </c>
      <c r="BH18" s="61" t="s">
        <v>225</v>
      </c>
      <c r="BI18" s="62" t="str">
        <f>IF(ISERROR(VLOOKUP(BH18,[7]PLANOS!B:C,2,0)),"",VLOOKUP(BH18,[7]PLANOS!B:C,2,0))</f>
        <v>PCS-4P6pi</v>
      </c>
      <c r="BJ18" s="63">
        <v>50.1</v>
      </c>
      <c r="BK18" s="64">
        <f>IF(BJ18=0,"",IF(BJ18=VLOOKUP("FIXO",[7]ARBOR!$A:$C,3,0),0.0001,IF(BJ18&gt;VLOOKUP("FIXO",[7]ARBOR!$A:$C,3,0),"Maior que CAP!",IF((DOLLAR(BJ18+(VLOOKUP("FIXO",[7]ARBOR!$A:$C,3,0)*-TRUNC(BJ18/VLOOKUP("FIXO",[7]ARBOR!$A:$C,3,0)-1,4)),6))&lt;&gt;(DOLLAR(VLOOKUP("FIXO",[7]ARBOR!$A:$C,3,0),6)),-TRUNC(BJ18/VLOOKUP("FIXO",[7]ARBOR!$A:$C,3,0)-1,4)+0.0001,-TRUNC(BJ18/VLOOKUP("FIXO",[7]ARBOR!$A:$C,3,0)-1,4)))))</f>
        <v>0.33939999999999998</v>
      </c>
      <c r="BL18" s="65" t="str">
        <f>IF(ISERROR(IF(BK18="","",VLOOKUP(($BH18&amp;BK18&amp;"Template de desconto FLAT bundle - Fixo - Varejo - Ganho Tributário Cross"),[7]BENEFICIOS!$A:$E,5,0))),"Criar",IF(BK18="","",VLOOKUP(($BH18&amp;BK18&amp;"Template de desconto FLAT bundle - Fixo - Varejo - Ganho Tributário Cross"),[7]BENEFICIOS!$A:$E,5,0)))</f>
        <v>MKT-1-9856472058</v>
      </c>
      <c r="BM18" s="66"/>
      <c r="BN18" s="67"/>
      <c r="BO18" s="104" t="s">
        <v>243</v>
      </c>
      <c r="BP18" s="69">
        <v>44.9</v>
      </c>
      <c r="BQ18" s="64">
        <f>IF(BP18=0,"",IF(BP18=VLOOKUP("PCS-30874g",[7]ARBOR!$A:$C,3,0),0.0001,IF(BP18&gt;VLOOKUP("PCS-30874g",[7]ARBOR!$A:$C,3,0),"Maior que CAP!",IF((DOLLAR(BP18+(VLOOKUP("PCS-30874g",[7]ARBOR!$A:$C,3,0)*-TRUNC(BP18/VLOOKUP("PCS-30874g",[7]ARBOR!$A:$C,3,0)-1,4)),6))&lt;&gt;(DOLLAR(VLOOKUP("PCS-30874g",[7]ARBOR!$A:$C,3,0),6)),-TRUNC(BP18/VLOOKUP("PCS-30874g",[7]ARBOR!$A:$C,3,0)-1,4)+0.0001,-TRUNC(BP18/VLOOKUP("PCS-30874g",[7]ARBOR!$A:$C,3,0)-1,4)))))</f>
        <v>0.53679999999999994</v>
      </c>
      <c r="BR18" s="65" t="str">
        <f>IF(ISERROR(IF(BQ18="","",VLOOKUP(($BH18&amp;BQ18&amp;"Template de desconto FLAT bundle - Velox XDSL - Varejo"),[7]BENEFICIOS!$A:$E,5,0))),"Criar",IF(BQ18="","",VLOOKUP(($BH18&amp;BQ18&amp;"Template de desconto FLAT bundle - Velox XDSL - Varejo"),[7]BENEFICIOS!$A:$E,5,0)))</f>
        <v>MKT-1-9865126733</v>
      </c>
      <c r="BS18" s="104" t="s">
        <v>243</v>
      </c>
      <c r="BT18" s="69">
        <v>44.9</v>
      </c>
      <c r="BU18" s="64">
        <f>IF(BT18=0,"",IF(BT18=VLOOKUP("PCS-30577g",[7]ARBOR!$A:$C,3,0),0.0001,IF(BT18&gt;VLOOKUP("PCS-30577g",[7]ARBOR!$A:$C,3,0),"Maior que CAP!",IF((DOLLAR(BT18+(VLOOKUP("PCS-30577g",[7]ARBOR!$A:$C,3,0)*-TRUNC(BT18/VLOOKUP("PCS-30577g",[7]ARBOR!$A:$C,3,0)-1,4)),6))&lt;&gt;(DOLLAR(VLOOKUP("PCS-30577g",[7]ARBOR!$A:$C,3,0),6)),-TRUNC(BT18/VLOOKUP("PCS-30577g",[7]ARBOR!$A:$C,3,0)-1,4)+0.0001,-TRUNC(BT18/VLOOKUP("PCS-30577g",[7]ARBOR!$A:$C,3,0)-1,4)))))</f>
        <v>0.53679999999999994</v>
      </c>
      <c r="BV18" s="65" t="str">
        <f>IF(ISERROR(IF(BU18="","",VLOOKUP(($BH18&amp;BU18&amp;"Template de desconto FLAT bundle - Velox XDSL - Varejo"),[7]BENEFICIOS!$A:$E,5,0))),"Criar",IF(BU18="","",VLOOKUP(($BH18&amp;BU18&amp;"Template de desconto FLAT bundle - Velox XDSL - Varejo"),[7]BENEFICIOS!$A:$E,5,0)))</f>
        <v>MKT-1-9865126733</v>
      </c>
      <c r="BW18" s="104" t="s">
        <v>243</v>
      </c>
      <c r="BX18" s="69">
        <v>44.9</v>
      </c>
      <c r="BY18" s="64">
        <f>IF(BX18=0,"",IF(BX18=VLOOKUP("PCS-30604g",[7]ARBOR!$A:$C,3,0),0.0001,IF(BX18&gt;VLOOKUP("PCS-30604g",[7]ARBOR!$A:$C,3,0),"Maior que CAP!",IF((DOLLAR(BX18+(VLOOKUP("PCS-30604g",[7]ARBOR!$A:$C,3,0)*-TRUNC(BX18/VLOOKUP("PCS-30604g",[7]ARBOR!$A:$C,3,0)-1,4)),6))&lt;&gt;(DOLLAR(VLOOKUP("PCS-30604g",[7]ARBOR!$A:$C,3,0),6)),-TRUNC(BX18/VLOOKUP("PCS-30604g",[7]ARBOR!$A:$C,3,0)-1,4)+0.0001,-TRUNC(BX18/VLOOKUP("PCS-30604g",[7]ARBOR!$A:$C,3,0)-1,4)))))</f>
        <v>0.53679999999999994</v>
      </c>
      <c r="BZ18" s="65" t="str">
        <f>IF(ISERROR(IF(BY18="","",VLOOKUP(($BH18&amp;BY18&amp;"Template de desconto FLAT bundle - Velox XDSL - Varejo"),[7]BENEFICIOS!$A:$E,5,0))),"Criar",IF(BY18="","",VLOOKUP(($BH18&amp;BY18&amp;"Template de desconto FLAT bundle - Velox XDSL - Varejo"),[7]BENEFICIOS!$A:$E,5,0)))</f>
        <v>MKT-1-9865126733</v>
      </c>
      <c r="CA18" s="104" t="s">
        <v>243</v>
      </c>
      <c r="CB18" s="69">
        <v>44.9</v>
      </c>
      <c r="CC18" s="64">
        <f>IF(CB18=0,"",IF(CB18=VLOOKUP("PCS-30631g",[7]ARBOR!$A:$C,3,0),0.0001,IF(CB18&gt;VLOOKUP("PCS-30631g",[7]ARBOR!$A:$C,3,0),"Maior que CAP!",IF((DOLLAR(CB18+(VLOOKUP("PCS-30631g",[7]ARBOR!$A:$C,3,0)*-TRUNC(CB18/VLOOKUP("PCS-30631g",[7]ARBOR!$A:$C,3,0)-1,4)),6))&lt;&gt;(DOLLAR(VLOOKUP("PCS-30631g",[7]ARBOR!$A:$C,3,0),6)),-TRUNC(CB18/VLOOKUP("PCS-30631g",[7]ARBOR!$A:$C,3,0)-1,4)+0.0001,-TRUNC(CB18/VLOOKUP("PCS-30631g",[7]ARBOR!$A:$C,3,0)-1,4)))))</f>
        <v>0.54310000000000003</v>
      </c>
      <c r="CD18" s="65" t="str">
        <f>IF(ISERROR(IF(CC18="","",VLOOKUP(($BH18&amp;CC18&amp;"Template de desconto FLAT bundle - Velox XDSL - Varejo"),[7]BENEFICIOS!$A:$E,5,0))),"Criar",IF(CC18="","",VLOOKUP(($BH18&amp;CC18&amp;"Template de desconto FLAT bundle - Velox XDSL - Varejo"),[7]BENEFICIOS!$A:$E,5,0)))</f>
        <v>MKT-1-9865126826</v>
      </c>
      <c r="CE18" s="68" t="s">
        <v>164</v>
      </c>
      <c r="CF18" s="69">
        <v>49.9</v>
      </c>
      <c r="CG18" s="64">
        <f>IF(CF18=0,"",IF(CF18=VLOOKUP("PCS-30658g",[7]ARBOR!$A:$C,3,0),0.0001,IF(CF18&gt;VLOOKUP("PCS-30658g",[7]ARBOR!$A:$C,3,0),"Maior que CAP!",IF((DOLLAR(CF18+(VLOOKUP("PCS-30658g",[7]ARBOR!$A:$C,3,0)*-TRUNC(CF18/VLOOKUP("PCS-30658g",[7]ARBOR!$A:$C,3,0)-1,4)),6))&lt;&gt;(DOLLAR(VLOOKUP("PCS-30658g",[7]ARBOR!$A:$C,3,0),6)),-TRUNC(CF18/VLOOKUP("PCS-30658g",[7]ARBOR!$A:$C,3,0)-1,4)+0.0001,-TRUNC(CF18/VLOOKUP("PCS-30658g",[7]ARBOR!$A:$C,3,0)-1,4)))))</f>
        <v>0.55569999999999997</v>
      </c>
      <c r="CH18" s="65" t="str">
        <f>IF(ISERROR(IF(CG18="","",VLOOKUP(($BH18&amp;CG18&amp;"Template de desconto FLAT bundle - Velox XDSL - Varejo"),[7]BENEFICIOS!$A:$E,5,0))),"Criar",IF(CG18="","",VLOOKUP(($BH18&amp;CG18&amp;"Template de desconto FLAT bundle - Velox XDSL - Varejo"),[7]BENEFICIOS!$A:$E,5,0)))</f>
        <v>MKT-1-9865126919</v>
      </c>
      <c r="CI18" s="68" t="s">
        <v>164</v>
      </c>
      <c r="CJ18" s="69">
        <v>49.9</v>
      </c>
      <c r="CK18" s="64">
        <f>IF(CJ18=0,"",IF(CJ18=VLOOKUP("PCS-30685g",[7]ARBOR!$A:$C,3,0),0.0001,IF(CJ18&gt;VLOOKUP("PCS-30685g",[7]ARBOR!$A:$C,3,0),"Maior que CAP!",IF((DOLLAR(CJ18+(VLOOKUP("PCS-30685g",[7]ARBOR!$A:$C,3,0)*-TRUNC(CJ18/VLOOKUP("PCS-30685g",[7]ARBOR!$A:$C,3,0)-1,4)),6))&lt;&gt;(DOLLAR(VLOOKUP("PCS-30685g",[7]ARBOR!$A:$C,3,0),6)),-TRUNC(CJ18/VLOOKUP("PCS-30685g",[7]ARBOR!$A:$C,3,0)-1,4)+0.0001,-TRUNC(CJ18/VLOOKUP("PCS-30685g",[7]ARBOR!$A:$C,3,0)-1,4)))))</f>
        <v>0.60509999999999997</v>
      </c>
      <c r="CL18" s="65" t="str">
        <f>IF(ISERROR(IF(CK18="","",VLOOKUP(($BH18&amp;CK18&amp;"Template de desconto FLAT bundle - Velox XDSL - Varejo"),[7]BENEFICIOS!$A:$E,5,0))),"Criar",IF(CK18="","",VLOOKUP(($BH18&amp;CK18&amp;"Template de desconto FLAT bundle - Velox XDSL - Varejo"),[7]BENEFICIOS!$A:$E,5,0)))</f>
        <v>MKT-1-9865694381</v>
      </c>
      <c r="CM18" s="68" t="s">
        <v>164</v>
      </c>
      <c r="CN18" s="69">
        <v>49.9</v>
      </c>
      <c r="CO18" s="64">
        <f>IF(CN18=0,"",IF(CN18=VLOOKUP("PCS-30712g",[7]ARBOR!$A:$C,3,0),0.0001,IF(CN18&gt;VLOOKUP("PCS-30712g",[7]ARBOR!$A:$C,3,0),"Maior que CAP!",IF((DOLLAR(CN18+(VLOOKUP("PCS-30712g",[7]ARBOR!$A:$C,3,0)*-TRUNC(CN18/VLOOKUP("PCS-30712g",[7]ARBOR!$A:$C,3,0)-1,4)),6))&lt;&gt;(DOLLAR(VLOOKUP("PCS-30712g",[7]ARBOR!$A:$C,3,0),6)),-TRUNC(CN18/VLOOKUP("PCS-30712g",[7]ARBOR!$A:$C,3,0)-1,4)+0.0001,-TRUNC(CN18/VLOOKUP("PCS-30712g",[7]ARBOR!$A:$C,3,0)-1,4)))))</f>
        <v>0.64459999999999995</v>
      </c>
      <c r="CP18" s="65" t="str">
        <f>IF(ISERROR(IF(CO18="","",VLOOKUP(($BH18&amp;CO18&amp;"Template de desconto FLAT bundle - Velox XDSL - Varejo"),[7]BENEFICIOS!$A:$E,5,0))),"Criar",IF(CO18="","",VLOOKUP(($BH18&amp;CO18&amp;"Template de desconto FLAT bundle - Velox XDSL - Varejo"),[7]BENEFICIOS!$A:$E,5,0)))</f>
        <v>MKT-1-9865191105</v>
      </c>
      <c r="CQ18" s="68" t="s">
        <v>164</v>
      </c>
      <c r="CR18" s="69">
        <v>59.9</v>
      </c>
      <c r="CS18" s="64">
        <f>IF(CR18=0,"",IF(CR18=VLOOKUP("PCS-30739g",[7]ARBOR!$A:$C,3,0),0.0001,IF(CR18&gt;VLOOKUP("PCS-30739g",[7]ARBOR!$A:$C,3,0),"Maior que CAP!",IF((DOLLAR(CR18+(VLOOKUP("PCS-30739g",[7]ARBOR!$A:$C,3,0)*-TRUNC(CR18/VLOOKUP("PCS-30739g",[7]ARBOR!$A:$C,3,0)-1,4)),6))&lt;&gt;(DOLLAR(VLOOKUP("PCS-30739g",[7]ARBOR!$A:$C,3,0),6)),-TRUNC(CR18/VLOOKUP("PCS-30739g",[7]ARBOR!$A:$C,3,0)-1,4)+0.0001,-TRUNC(CR18/VLOOKUP("PCS-30739g",[7]ARBOR!$A:$C,3,0)-1,4)))))</f>
        <v>0.71560000000000001</v>
      </c>
      <c r="CT18" s="65" t="str">
        <f>IF(ISERROR(IF(CS18="","",VLOOKUP(($BH18&amp;CS18&amp;"Template de desconto FLAT bundle - Velox XDSL - Varejo"),[7]BENEFICIOS!$A:$E,5,0))),"Criar",IF(CS18="","",VLOOKUP(($BH18&amp;CS18&amp;"Template de desconto FLAT bundle - Velox XDSL - Varejo"),[7]BENEFICIOS!$A:$E,5,0)))</f>
        <v>MKT-1-9865191198</v>
      </c>
      <c r="CU18" s="69"/>
      <c r="CV18" s="70"/>
      <c r="CW18" s="64"/>
      <c r="CX18" s="65"/>
      <c r="CY18" s="68" t="s">
        <v>164</v>
      </c>
      <c r="CZ18" s="69">
        <v>59.9</v>
      </c>
      <c r="DA18" s="64">
        <f>IF(CZ18=0,"",IF(CZ18=VLOOKUP("PCS-30766g",[7]ARBOR!$A:$C,3,0),0.0001,IF(CZ18&gt;VLOOKUP("PCS-30766g",[7]ARBOR!$A:$C,3,0),"Maior que CAP!",IF((DOLLAR(CZ18+(VLOOKUP("PCS-30766g",[7]ARBOR!$A:$C,3,0)*-TRUNC(CZ18/VLOOKUP("PCS-30766g",[7]ARBOR!$A:$C,3,0)-1,4)),6))&lt;&gt;(DOLLAR(VLOOKUP("PCS-30766g",[7]ARBOR!$A:$C,3,0),6)),-TRUNC(CZ18/VLOOKUP("PCS-30766g",[7]ARBOR!$A:$C,3,0)-1,4)+0.0001,-TRUNC(CZ18/VLOOKUP("PCS-30766g",[7]ARBOR!$A:$C,3,0)-1,4)))))</f>
        <v>0.78669999999999995</v>
      </c>
      <c r="DB18" s="65" t="str">
        <f>IF(ISERROR(IF(DA18="","",VLOOKUP(($BH18&amp;DA18&amp;"Template de desconto FLAT bundle - Velox XDSL - Varejo"),[7]BENEFICIOS!$A:$E,5,0))),"Criar",IF(DA18="","",VLOOKUP(($BH18&amp;DA18&amp;"Template de desconto FLAT bundle - Velox XDSL - Varejo"),[7]BENEFICIOS!$A:$E,5,0)))</f>
        <v>MKT-1-9865191291</v>
      </c>
      <c r="DC18" s="69"/>
      <c r="DD18" s="70"/>
      <c r="DE18" s="64"/>
      <c r="DF18" s="65"/>
      <c r="DG18" s="68" t="s">
        <v>243</v>
      </c>
      <c r="DH18" s="69">
        <v>69.900000000000006</v>
      </c>
      <c r="DI18" s="64">
        <f>IF(DH18=0,"",IF(DH18=VLOOKUP("PCS-30793g",[7]ARBOR!$A:$C,3,0),0.0001,IF(DH18&gt;VLOOKUP("PCS-30793g",[7]ARBOR!$A:$C,3,0),"Maior que CAP!",IF((DOLLAR(DH18+(VLOOKUP("PCS-30793g",[7]ARBOR!$A:$C,3,0)*-TRUNC(DH18/VLOOKUP("PCS-30793g",[7]ARBOR!$A:$C,3,0)-1,4)),6))&lt;&gt;(DOLLAR(VLOOKUP("PCS-30793g",[7]ARBOR!$A:$C,3,0),6)),-TRUNC(DH18/VLOOKUP("PCS-30793g",[7]ARBOR!$A:$C,3,0)-1,4)+0.0001,-TRUNC(DH18/VLOOKUP("PCS-30793g",[7]ARBOR!$A:$C,3,0)-1,4)))))</f>
        <v>0.75109999999999999</v>
      </c>
      <c r="DJ18" s="65" t="str">
        <f>IF(ISERROR(IF(DI18="","",VLOOKUP(($BH18&amp;DI18&amp;"Template de desconto FLAT bundle - Velox XDSL - Varejo"),[7]BENEFICIOS!$A:$E,5,0))),"Criar",IF(DI18="","",VLOOKUP(($BH18&amp;DI18&amp;"Template de desconto FLAT bundle - Velox XDSL - Varejo"),[7]BENEFICIOS!$A:$E,5,0)))</f>
        <v>MKT-1-9865191384</v>
      </c>
      <c r="DK18" s="69"/>
      <c r="DL18" s="70"/>
      <c r="DM18" s="64"/>
      <c r="DN18" s="65"/>
      <c r="DO18" s="68" t="s">
        <v>164</v>
      </c>
      <c r="DP18" s="69">
        <v>69.900000000000006</v>
      </c>
      <c r="DQ18" s="64">
        <f>IF(DP18=0,"",IF(DP18=VLOOKUP("PCS-30820g",[7]ARBOR!$A:$C,3,0),0.0001,IF(DP18&gt;VLOOKUP("PCS-30820g",[7]ARBOR!$A:$C,3,0),"Maior que CAP!",IF((DOLLAR(DP18+(VLOOKUP("PCS-30820g",[7]ARBOR!$A:$C,3,0)*-TRUNC(DP18/VLOOKUP("PCS-30820g",[7]ARBOR!$A:$C,3,0)-1,4)),6))&lt;&gt;(DOLLAR(VLOOKUP("PCS-30820g",[7]ARBOR!$A:$C,3,0),6)),-TRUNC(DP18/VLOOKUP("PCS-30820g",[7]ARBOR!$A:$C,3,0)-1,4)+0.0001,-TRUNC(DP18/VLOOKUP("PCS-30820g",[7]ARBOR!$A:$C,3,0)-1,4)))))</f>
        <v>0.75109999999999999</v>
      </c>
      <c r="DR18" s="65" t="str">
        <f>IF(ISERROR(IF(DQ18="","",VLOOKUP(($BH18&amp;DQ18&amp;"Template de desconto FLAT bundle - Velox XDSL - Varejo"),[7]BENEFICIOS!$A:$E,5,0))),"Criar",IF(DQ18="","",VLOOKUP(($BH18&amp;DQ18&amp;"Template de desconto FLAT bundle - Velox XDSL - Varejo"),[7]BENEFICIOS!$A:$E,5,0)))</f>
        <v>MKT-1-9865191384</v>
      </c>
      <c r="DS18" s="69"/>
      <c r="DT18" s="70"/>
      <c r="DU18" s="64"/>
      <c r="DV18" s="65"/>
      <c r="DW18" s="71"/>
      <c r="DX18" s="64" t="str">
        <f>IF(DW18=0,"",IF(DW18=VLOOKUP("PCS-21448p2",[7]ARBOR!$A:$C,3,0),0.0001,IF(DW18&gt;VLOOKUP("PCS-21448p2",[7]ARBOR!$A:$C,3,0),"Maior que CAP!",IF((DOLLAR(DW18+(VLOOKUP("PCS-21448p2",[7]ARBOR!$A:$C,3,0)*-TRUNC(DW18/VLOOKUP("PCS-21448p2",[7]ARBOR!$A:$C,3,0)-1,4)),6))&lt;&gt;(DOLLAR(VLOOKUP("PCS-21448p2",[7]ARBOR!$A:$C,3,0),6)),-TRUNC(DW18/VLOOKUP("PCS-21448p2",[7]ARBOR!$A:$C,3,0)-1,4)+0.0001,-TRUNC(DW18/VLOOKUP("PCS-21448p2",[7]ARBOR!$A:$C,3,0)-1,4)))))</f>
        <v/>
      </c>
      <c r="DY18" s="65" t="str">
        <f>IF(ISERROR(IF(DX18="","",VLOOKUP(("Oi Conta Total Plug 10GB Downgrade"&amp;DX18&amp;"Template de desconto percentual BL Móvel - Internet Total - Varejo"),[7]BENEFICIOS!$A:$E,5,0))),"Criar",IF(DX18="","",VLOOKUP(("Oi Conta Total Plug 10GB Downgrade"&amp;DX18&amp;"Template de desconto percentual BL Móvel - Internet Total - Varejo"),[7]BENEFICIOS!$A:$E,5,0)))</f>
        <v/>
      </c>
      <c r="DZ18" s="71">
        <v>19.899999999999999</v>
      </c>
      <c r="EA18" s="72">
        <f>IF(DZ18=0,"",IF(DZ18=VLOOKUP("SVA",[7]ARBOR!$A:$C,3,0),0.0001,IF(DZ18&gt;VLOOKUP("SVA",[7]ARBOR!$A:$C,3,0),"Maior que CAP!",IF((DOLLAR(DZ18+(VLOOKUP("SVA",[7]ARBOR!$A:$C,3,0)*-TRUNC(DZ18/VLOOKUP("SVA",[7]ARBOR!$A:$C,3,0)-1,4)),6))&lt;&gt;(DOLLAR(VLOOKUP("SVA",[7]ARBOR!$A:$C,3,0),6)),-TRUNC(DZ18/VLOOKUP("SVA",[7]ARBOR!$A:$C,3,0)-1,4)+0.0001,-TRUNC(DZ18/VLOOKUP("SVA",[7]ARBOR!$A:$C,3,0)-1,4)))))</f>
        <v>7.1400000000000005E-2</v>
      </c>
      <c r="EB18" s="65" t="s">
        <v>244</v>
      </c>
      <c r="EC18" s="69"/>
      <c r="ED18" s="73"/>
      <c r="EE18" s="74"/>
      <c r="EF18" s="65"/>
      <c r="EG18" s="75">
        <f>IF(BI18="","",VLOOKUP(BI18,[7]ARBOR!A:C,3,0))</f>
        <v>479.46</v>
      </c>
      <c r="EH18" s="69">
        <v>15</v>
      </c>
      <c r="EI18" s="76">
        <f>IF(EH18="","",1-(EH18/VLOOKUP(BI18&amp;"ASS",[7]ARBOR!A:C,3,0)))</f>
        <v>0.34725848563968664</v>
      </c>
      <c r="EJ18" s="77" t="s">
        <v>227</v>
      </c>
      <c r="EK18" s="78" t="s">
        <v>228</v>
      </c>
      <c r="EL18" s="69">
        <v>116.16000000000001</v>
      </c>
      <c r="EM18" s="64">
        <f>IF(EL18=0,"",IF(EL18=EG18,0.0001,ROUND(1-((EL18+(VLOOKUP(BI18&amp;"ASS",[7]ARBOR!A:C,3,0)-EH18))/EG18),4)))</f>
        <v>0.74109999999999998</v>
      </c>
      <c r="EN18" s="65" t="str">
        <f>IF(ISERROR(IF(EM18="","",VLOOKUP(($BH18&amp;EM18&amp;"Template de desconto percentual FLAT Móvel - Conta Total - Varejo - Ganho Tributário Cross"),[7]BENEFICIOS!$A:$E,5,0))),"Criar",IF(EM18="","",VLOOKUP(($BH18&amp;EM18&amp;"Template de desconto percentual FLAT Móvel - Conta Total - Varejo - Ganho Tributário Cross"),[7]BENEFICIOS!$A:$E,5,0)))</f>
        <v>MKT-1-10033171611</v>
      </c>
      <c r="EO18" s="79"/>
      <c r="EP18" s="64"/>
      <c r="EQ18" s="72"/>
      <c r="ER18" s="72"/>
      <c r="ES18" s="64"/>
      <c r="ET18" s="80"/>
      <c r="EU18" s="81" t="s">
        <v>247</v>
      </c>
      <c r="EV18" s="81" t="s">
        <v>248</v>
      </c>
      <c r="EW18" s="82"/>
      <c r="EX18" s="83"/>
      <c r="EY18" s="84"/>
      <c r="EZ18" s="82"/>
      <c r="FA18" s="83"/>
      <c r="FB18" s="84"/>
      <c r="FC18" s="82">
        <v>8.74</v>
      </c>
      <c r="FD18" s="83">
        <f>IF(FC18=0,"",IF(FC18=VLOOKUP("PCS-10357",[7]ARBOR!$A:$C,3,0),0.0001,IF(FC18&gt;VLOOKUP("PCS-10357",[7]ARBOR!$A:$C,3,0),"Maior que CAP!",ROUND(-1*(FC18/VLOOKUP("PCS-10357",[7]ARBOR!$A:$C,3,0)-1),4))))</f>
        <v>0.8669</v>
      </c>
      <c r="FE18" s="84" t="str">
        <f>IF(ISERROR(IF(FD18="","",VLOOKUP(("Oi Internet Pra Celular 1GB"&amp;FD18&amp;"Template Flat Instância Dados"),[7]BENEFICIOS!$A:$E,5,0))),"Criar",IF(FD18="","",VLOOKUP(("Oi Internet Pra Celular 1GB"&amp;FD18&amp;"Template Flat Instância Dados"),[7]BENEFICIOS!$A:$E,5,0)))</f>
        <v>MKT-1-9869952543</v>
      </c>
      <c r="FF18" s="82"/>
      <c r="FG18" s="83" t="str">
        <f>IF(FF18=0,"",IF(FF18=VLOOKUP("PCS-813565",[7]ARBOR!$A:$C,3,0),0.0001,IF(FF18&gt;VLOOKUP("PCS-813565",[7]ARBOR!$A:$C,3,0),"Maior que CAP!",ROUND(-1*(FF18/VLOOKUP("PCS-813565",[7]ARBOR!$A:$C,3,0)-1),4))))</f>
        <v/>
      </c>
      <c r="FH18" s="84" t="str">
        <f>IF(ISERROR(IF(FG18="","",VLOOKUP(("Oi Internet Pra Celular 2GB"&amp;FG18&amp;"Template Flat Instância Dados"),[7]BENEFICIOS!$A:$E,5,0))),"Criar",IF(FG18="","",VLOOKUP(("Oi Internet Pra Celular 2GB"&amp;FG18&amp;"Template Flat Instância Dados"),[7]BENEFICIOS!$A:$E,5,0)))</f>
        <v/>
      </c>
      <c r="FI18" s="82"/>
      <c r="FJ18" s="83" t="str">
        <f>IF(FI18=0,"",IF(FI18=VLOOKUP("PCS-7171B",[7]ARBOR!$A:$C,3,0),0.0001,IF(FI18&gt;VLOOKUP("PCS-7171B",[7]ARBOR!$A:$C,3,0),"Maior que CAP!",ROUND(-1*(FI18/VLOOKUP("PCS-7171B",[7]ARBOR!$A:$C,3,0)-1),4))))</f>
        <v/>
      </c>
      <c r="FK18" s="84" t="str">
        <f>IF(ISERROR(IF(FJ18="","",VLOOKUP(("Oi Internet Pra Celular 3GB"&amp;FJ18&amp;"Template Flat Instância Dados"),[7]BENEFICIOS!$A:$E,5,0))),"Criar",IF(FJ18="","",VLOOKUP(("Oi Internet Pra Celular 3GB"&amp;FJ18&amp;"Template Flat Instância Dados"),[7]BENEFICIOS!$A:$E,5,0)))</f>
        <v/>
      </c>
      <c r="FL18" s="82"/>
      <c r="FM18" s="83" t="str">
        <f>IF(FL18=0,"",IF(FL18=VLOOKUP("PCS-51793o08",[7]ARBOR!$A:$C,3,0),0.0001,IF(FL18&gt;VLOOKUP("PCS-51793o08",[7]ARBOR!$A:$C,3,0),"Maior que CAP!",ROUND(-1*(FL18/VLOOKUP("PCS-51793o08",[7]ARBOR!$A:$C,3,0)-1),4))))</f>
        <v/>
      </c>
      <c r="FN18" s="84" t="str">
        <f>IF(ISERROR(IF(FM18="","",VLOOKUP(("Oi Internet Pra Celular 5GB"&amp;FM18&amp;"Template Flat Instância Dados"),[7]BENEFICIOS!$A:$E,5,0))),"Criar",IF(FM18="","",VLOOKUP(("Oi Internet Pra Celular 5GB"&amp;FM18&amp;"Template Flat Instância Dados"),[7]BENEFICIOS!$A:$E,5,0)))</f>
        <v/>
      </c>
      <c r="FO18" s="82"/>
      <c r="FP18" s="83" t="str">
        <f>IF(FO18=0,"",IF(FO18=VLOOKUP("PCS-7171A",[7]ARBOR!$A:$C,3,0),0.0001,IF(FO18&gt;VLOOKUP("PCS-7171A",[7]ARBOR!$A:$C,3,0),"Maior que CAP!",ROUND(-1*(FO18/VLOOKUP("PCS-7171A",[7]ARBOR!$A:$C,3,0)-1),4))))</f>
        <v/>
      </c>
      <c r="FQ18" s="84" t="str">
        <f>IF(ISERROR(IF(FP18="","",VLOOKUP(("Oi Internet Pra Celular 10GB"&amp;FP18&amp;"Template Flat Instância Dados"),[7]BENEFICIOS!$A:$E,5,0))),"Criar",IF(FP18="","",VLOOKUP(("Oi Internet Pra Celular 10GB"&amp;FP18&amp;"Template Flat Instância Dados"),[7]BENEFICIOS!$A:$E,5,0)))</f>
        <v/>
      </c>
      <c r="FR18" s="85">
        <v>0.74219999999999997</v>
      </c>
      <c r="FS18" s="86" t="s">
        <v>249</v>
      </c>
      <c r="FT18" s="48"/>
      <c r="FU18" s="87"/>
      <c r="FV18" s="88" t="s">
        <v>224</v>
      </c>
      <c r="FW18" s="49" t="s">
        <v>229</v>
      </c>
      <c r="FX18" s="89">
        <v>999</v>
      </c>
      <c r="FY18" s="49">
        <v>12</v>
      </c>
      <c r="FZ18" s="90" t="s">
        <v>230</v>
      </c>
      <c r="GA18" s="91" t="str">
        <f t="shared" si="1"/>
        <v>PCS-Fk83324</v>
      </c>
      <c r="GB18" s="92" t="str">
        <f t="shared" si="2"/>
        <v>PCS-SBL553142</v>
      </c>
      <c r="GC18" s="93" t="s">
        <v>231</v>
      </c>
      <c r="GD18" s="90" t="s">
        <v>232</v>
      </c>
      <c r="GE18" s="92" t="s">
        <v>233</v>
      </c>
      <c r="GF18" s="93" t="s">
        <v>234</v>
      </c>
      <c r="GG18" s="90" t="s">
        <v>235</v>
      </c>
      <c r="GH18" s="92" t="s">
        <v>236</v>
      </c>
      <c r="GI18" s="94" t="s">
        <v>237</v>
      </c>
      <c r="GJ18" s="95">
        <f>FC18+EL18+CN18+BJ18</f>
        <v>224.9</v>
      </c>
      <c r="GK18" s="96"/>
      <c r="GL18" s="97" t="s">
        <v>238</v>
      </c>
      <c r="GM18" s="98" t="s">
        <v>275</v>
      </c>
      <c r="GN18" s="97">
        <v>14</v>
      </c>
      <c r="GO18" s="99">
        <v>3.61</v>
      </c>
      <c r="GP18" s="76">
        <v>0.74209999999999998</v>
      </c>
      <c r="GQ18" s="97">
        <v>10.38</v>
      </c>
      <c r="GR18" s="97">
        <v>3.6199999999999992</v>
      </c>
      <c r="GS18" s="101"/>
      <c r="GT18" s="101"/>
      <c r="GU18" s="102" t="b">
        <v>0</v>
      </c>
      <c r="GV18" s="103">
        <v>9.9999999999993427E-3</v>
      </c>
      <c r="GW18" s="44" t="s">
        <v>282</v>
      </c>
      <c r="GX18" s="44" t="s">
        <v>241</v>
      </c>
    </row>
    <row r="19" spans="1:206" s="44" customFormat="1" x14ac:dyDescent="0.25">
      <c r="A19" s="44" t="str">
        <f t="shared" si="0"/>
        <v>Oi Total Fixo + Pós 800 + Banda LargaN22GBMG</v>
      </c>
      <c r="B19" s="45" t="s">
        <v>214</v>
      </c>
      <c r="C19" s="46" t="s">
        <v>130</v>
      </c>
      <c r="D19" s="46" t="s">
        <v>215</v>
      </c>
      <c r="E19" s="47" t="s">
        <v>216</v>
      </c>
      <c r="F19" s="88" t="s">
        <v>217</v>
      </c>
      <c r="G19" s="49"/>
      <c r="H19" s="49"/>
      <c r="I19" s="49"/>
      <c r="J19" s="49" t="s">
        <v>217</v>
      </c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 t="s">
        <v>217</v>
      </c>
      <c r="AC19" s="49" t="s">
        <v>217</v>
      </c>
      <c r="AD19" s="49" t="s">
        <v>217</v>
      </c>
      <c r="AE19" s="49" t="s">
        <v>217</v>
      </c>
      <c r="AF19" s="49" t="s">
        <v>217</v>
      </c>
      <c r="AG19" s="49" t="s">
        <v>217</v>
      </c>
      <c r="AH19" s="50"/>
      <c r="AI19" s="49" t="s">
        <v>217</v>
      </c>
      <c r="AJ19" s="49" t="s">
        <v>217</v>
      </c>
      <c r="AK19" s="49" t="s">
        <v>217</v>
      </c>
      <c r="AL19" s="49" t="s">
        <v>217</v>
      </c>
      <c r="AM19" s="49" t="s">
        <v>217</v>
      </c>
      <c r="AN19" s="49" t="s">
        <v>217</v>
      </c>
      <c r="AO19" s="49" t="s">
        <v>217</v>
      </c>
      <c r="AP19" s="49"/>
      <c r="AQ19" s="51"/>
      <c r="AR19" s="52" t="s">
        <v>283</v>
      </c>
      <c r="AS19" s="46" t="s">
        <v>219</v>
      </c>
      <c r="AT19" s="53" t="s">
        <v>220</v>
      </c>
      <c r="AU19" s="54">
        <v>42972</v>
      </c>
      <c r="AV19" s="105">
        <v>43097</v>
      </c>
      <c r="AW19" s="56" t="s">
        <v>221</v>
      </c>
      <c r="AX19" s="57" t="s">
        <v>221</v>
      </c>
      <c r="AY19" s="58"/>
      <c r="AZ19" s="58" t="s">
        <v>222</v>
      </c>
      <c r="BA19" s="58">
        <v>20</v>
      </c>
      <c r="BB19" s="58">
        <v>10000</v>
      </c>
      <c r="BC19" s="59" t="s">
        <v>223</v>
      </c>
      <c r="BD19" s="60" t="s">
        <v>224</v>
      </c>
      <c r="BE19" s="58" t="s">
        <v>216</v>
      </c>
      <c r="BF19" s="51" t="s">
        <v>216</v>
      </c>
      <c r="BG19" s="45" t="s">
        <v>283</v>
      </c>
      <c r="BH19" s="61" t="s">
        <v>225</v>
      </c>
      <c r="BI19" s="62" t="str">
        <f>IF(ISERROR(VLOOKUP(BH19,[7]PLANOS!B:C,2,0)),"",VLOOKUP(BH19,[7]PLANOS!B:C,2,0))</f>
        <v>PCS-4P6pi</v>
      </c>
      <c r="BJ19" s="63">
        <v>50.1</v>
      </c>
      <c r="BK19" s="64">
        <f>IF(BJ19=0,"",IF(BJ19=VLOOKUP("FIXO",[7]ARBOR!$A:$C,3,0),0.0001,IF(BJ19&gt;VLOOKUP("FIXO",[7]ARBOR!$A:$C,3,0),"Maior que CAP!",IF((DOLLAR(BJ19+(VLOOKUP("FIXO",[7]ARBOR!$A:$C,3,0)*-TRUNC(BJ19/VLOOKUP("FIXO",[7]ARBOR!$A:$C,3,0)-1,4)),6))&lt;&gt;(DOLLAR(VLOOKUP("FIXO",[7]ARBOR!$A:$C,3,0),6)),-TRUNC(BJ19/VLOOKUP("FIXO",[7]ARBOR!$A:$C,3,0)-1,4)+0.0001,-TRUNC(BJ19/VLOOKUP("FIXO",[7]ARBOR!$A:$C,3,0)-1,4)))))</f>
        <v>0.33939999999999998</v>
      </c>
      <c r="BL19" s="65" t="str">
        <f>IF(ISERROR(IF(BK19="","",VLOOKUP(($BH19&amp;BK19&amp;"Template de desconto FLAT bundle - Fixo - Varejo - Ganho Tributário Cross"),[7]BENEFICIOS!$A:$E,5,0))),"Criar",IF(BK19="","",VLOOKUP(($BH19&amp;BK19&amp;"Template de desconto FLAT bundle - Fixo - Varejo - Ganho Tributário Cross"),[7]BENEFICIOS!$A:$E,5,0)))</f>
        <v>MKT-1-9856472058</v>
      </c>
      <c r="BM19" s="66"/>
      <c r="BN19" s="67"/>
      <c r="BO19" s="68" t="s">
        <v>164</v>
      </c>
      <c r="BP19" s="69">
        <v>44.9</v>
      </c>
      <c r="BQ19" s="64">
        <f>IF(BP19=0,"",IF(BP19=VLOOKUP("PCS-30874g",[7]ARBOR!$A:$C,3,0),0.0001,IF(BP19&gt;VLOOKUP("PCS-30874g",[7]ARBOR!$A:$C,3,0),"Maior que CAP!",IF((DOLLAR(BP19+(VLOOKUP("PCS-30874g",[7]ARBOR!$A:$C,3,0)*-TRUNC(BP19/VLOOKUP("PCS-30874g",[7]ARBOR!$A:$C,3,0)-1,4)),6))&lt;&gt;(DOLLAR(VLOOKUP("PCS-30874g",[7]ARBOR!$A:$C,3,0),6)),-TRUNC(BP19/VLOOKUP("PCS-30874g",[7]ARBOR!$A:$C,3,0)-1,4)+0.0001,-TRUNC(BP19/VLOOKUP("PCS-30874g",[7]ARBOR!$A:$C,3,0)-1,4)))))</f>
        <v>0.53679999999999994</v>
      </c>
      <c r="BR19" s="65" t="str">
        <f>IF(ISERROR(IF(BQ19="","",VLOOKUP(($BH19&amp;BQ19&amp;"Template de desconto FLAT bundle - Velox XDSL - Varejo"),[7]BENEFICIOS!$A:$E,5,0))),"Criar",IF(BQ19="","",VLOOKUP(($BH19&amp;BQ19&amp;"Template de desconto FLAT bundle - Velox XDSL - Varejo"),[7]BENEFICIOS!$A:$E,5,0)))</f>
        <v>MKT-1-9865126733</v>
      </c>
      <c r="BS19" s="68" t="s">
        <v>164</v>
      </c>
      <c r="BT19" s="69">
        <v>44.9</v>
      </c>
      <c r="BU19" s="64">
        <f>IF(BT19=0,"",IF(BT19=VLOOKUP("PCS-30577g",[7]ARBOR!$A:$C,3,0),0.0001,IF(BT19&gt;VLOOKUP("PCS-30577g",[7]ARBOR!$A:$C,3,0),"Maior que CAP!",IF((DOLLAR(BT19+(VLOOKUP("PCS-30577g",[7]ARBOR!$A:$C,3,0)*-TRUNC(BT19/VLOOKUP("PCS-30577g",[7]ARBOR!$A:$C,3,0)-1,4)),6))&lt;&gt;(DOLLAR(VLOOKUP("PCS-30577g",[7]ARBOR!$A:$C,3,0),6)),-TRUNC(BT19/VLOOKUP("PCS-30577g",[7]ARBOR!$A:$C,3,0)-1,4)+0.0001,-TRUNC(BT19/VLOOKUP("PCS-30577g",[7]ARBOR!$A:$C,3,0)-1,4)))))</f>
        <v>0.53679999999999994</v>
      </c>
      <c r="BV19" s="65" t="str">
        <f>IF(ISERROR(IF(BU19="","",VLOOKUP(($BH19&amp;BU19&amp;"Template de desconto FLAT bundle - Velox XDSL - Varejo"),[7]BENEFICIOS!$A:$E,5,0))),"Criar",IF(BU19="","",VLOOKUP(($BH19&amp;BU19&amp;"Template de desconto FLAT bundle - Velox XDSL - Varejo"),[7]BENEFICIOS!$A:$E,5,0)))</f>
        <v>MKT-1-9865126733</v>
      </c>
      <c r="BW19" s="68" t="s">
        <v>164</v>
      </c>
      <c r="BX19" s="69">
        <v>44.9</v>
      </c>
      <c r="BY19" s="64">
        <f>IF(BX19=0,"",IF(BX19=VLOOKUP("PCS-30604g",[7]ARBOR!$A:$C,3,0),0.0001,IF(BX19&gt;VLOOKUP("PCS-30604g",[7]ARBOR!$A:$C,3,0),"Maior que CAP!",IF((DOLLAR(BX19+(VLOOKUP("PCS-30604g",[7]ARBOR!$A:$C,3,0)*-TRUNC(BX19/VLOOKUP("PCS-30604g",[7]ARBOR!$A:$C,3,0)-1,4)),6))&lt;&gt;(DOLLAR(VLOOKUP("PCS-30604g",[7]ARBOR!$A:$C,3,0),6)),-TRUNC(BX19/VLOOKUP("PCS-30604g",[7]ARBOR!$A:$C,3,0)-1,4)+0.0001,-TRUNC(BX19/VLOOKUP("PCS-30604g",[7]ARBOR!$A:$C,3,0)-1,4)))))</f>
        <v>0.53679999999999994</v>
      </c>
      <c r="BZ19" s="65" t="str">
        <f>IF(ISERROR(IF(BY19="","",VLOOKUP(($BH19&amp;BY19&amp;"Template de desconto FLAT bundle - Velox XDSL - Varejo"),[7]BENEFICIOS!$A:$E,5,0))),"Criar",IF(BY19="","",VLOOKUP(($BH19&amp;BY19&amp;"Template de desconto FLAT bundle - Velox XDSL - Varejo"),[7]BENEFICIOS!$A:$E,5,0)))</f>
        <v>MKT-1-9865126733</v>
      </c>
      <c r="CA19" s="68" t="s">
        <v>164</v>
      </c>
      <c r="CB19" s="69">
        <v>44.9</v>
      </c>
      <c r="CC19" s="64">
        <f>IF(CB19=0,"",IF(CB19=VLOOKUP("PCS-30631g",[7]ARBOR!$A:$C,3,0),0.0001,IF(CB19&gt;VLOOKUP("PCS-30631g",[7]ARBOR!$A:$C,3,0),"Maior que CAP!",IF((DOLLAR(CB19+(VLOOKUP("PCS-30631g",[7]ARBOR!$A:$C,3,0)*-TRUNC(CB19/VLOOKUP("PCS-30631g",[7]ARBOR!$A:$C,3,0)-1,4)),6))&lt;&gt;(DOLLAR(VLOOKUP("PCS-30631g",[7]ARBOR!$A:$C,3,0),6)),-TRUNC(CB19/VLOOKUP("PCS-30631g",[7]ARBOR!$A:$C,3,0)-1,4)+0.0001,-TRUNC(CB19/VLOOKUP("PCS-30631g",[7]ARBOR!$A:$C,3,0)-1,4)))))</f>
        <v>0.54310000000000003</v>
      </c>
      <c r="CD19" s="65" t="str">
        <f>IF(ISERROR(IF(CC19="","",VLOOKUP(($BH19&amp;CC19&amp;"Template de desconto FLAT bundle - Velox XDSL - Varejo"),[7]BENEFICIOS!$A:$E,5,0))),"Criar",IF(CC19="","",VLOOKUP(($BH19&amp;CC19&amp;"Template de desconto FLAT bundle - Velox XDSL - Varejo"),[7]BENEFICIOS!$A:$E,5,0)))</f>
        <v>MKT-1-9865126826</v>
      </c>
      <c r="CE19" s="68"/>
      <c r="CF19" s="69"/>
      <c r="CG19" s="64" t="str">
        <f>IF(CF19=0,"",IF(CF19=VLOOKUP("PCS-30658g",[7]ARBOR!$A:$C,3,0),0.0001,IF(CF19&gt;VLOOKUP("PCS-30658g",[7]ARBOR!$A:$C,3,0),"Maior que CAP!",IF((DOLLAR(CF19+(VLOOKUP("PCS-30658g",[7]ARBOR!$A:$C,3,0)*-TRUNC(CF19/VLOOKUP("PCS-30658g",[7]ARBOR!$A:$C,3,0)-1,4)),6))&lt;&gt;(DOLLAR(VLOOKUP("PCS-30658g",[7]ARBOR!$A:$C,3,0),6)),-TRUNC(CF19/VLOOKUP("PCS-30658g",[7]ARBOR!$A:$C,3,0)-1,4)+0.0001,-TRUNC(CF19/VLOOKUP("PCS-30658g",[7]ARBOR!$A:$C,3,0)-1,4)))))</f>
        <v/>
      </c>
      <c r="CH19" s="65" t="str">
        <f>IF(ISERROR(IF(CG19="","",VLOOKUP(($BH19&amp;CG19&amp;"Template de desconto FLAT bundle - Velox XDSL - Varejo"),[7]BENEFICIOS!$A:$E,5,0))),"Criar",IF(CG19="","",VLOOKUP(($BH19&amp;CG19&amp;"Template de desconto FLAT bundle - Velox XDSL - Varejo"),[7]BENEFICIOS!$A:$E,5,0)))</f>
        <v/>
      </c>
      <c r="CI19" s="68"/>
      <c r="CJ19" s="69"/>
      <c r="CK19" s="64" t="str">
        <f>IF(CJ19=0,"",IF(CJ19=VLOOKUP("PCS-30685g",[7]ARBOR!$A:$C,3,0),0.0001,IF(CJ19&gt;VLOOKUP("PCS-30685g",[7]ARBOR!$A:$C,3,0),"Maior que CAP!",IF((DOLLAR(CJ19+(VLOOKUP("PCS-30685g",[7]ARBOR!$A:$C,3,0)*-TRUNC(CJ19/VLOOKUP("PCS-30685g",[7]ARBOR!$A:$C,3,0)-1,4)),6))&lt;&gt;(DOLLAR(VLOOKUP("PCS-30685g",[7]ARBOR!$A:$C,3,0),6)),-TRUNC(CJ19/VLOOKUP("PCS-30685g",[7]ARBOR!$A:$C,3,0)-1,4)+0.0001,-TRUNC(CJ19/VLOOKUP("PCS-30685g",[7]ARBOR!$A:$C,3,0)-1,4)))))</f>
        <v/>
      </c>
      <c r="CL19" s="65" t="str">
        <f>IF(ISERROR(IF(CK19="","",VLOOKUP(($BH19&amp;CK19&amp;"Template de desconto FLAT bundle - Velox XDSL - Varejo"),[7]BENEFICIOS!$A:$E,5,0))),"Criar",IF(CK19="","",VLOOKUP(($BH19&amp;CK19&amp;"Template de desconto FLAT bundle - Velox XDSL - Varejo"),[7]BENEFICIOS!$A:$E,5,0)))</f>
        <v/>
      </c>
      <c r="CM19" s="68"/>
      <c r="CN19" s="69"/>
      <c r="CO19" s="64" t="str">
        <f>IF(CN19=0,"",IF(CN19=VLOOKUP("PCS-30712g",[7]ARBOR!$A:$C,3,0),0.0001,IF(CN19&gt;VLOOKUP("PCS-30712g",[7]ARBOR!$A:$C,3,0),"Maior que CAP!",IF((DOLLAR(CN19+(VLOOKUP("PCS-30712g",[7]ARBOR!$A:$C,3,0)*-TRUNC(CN19/VLOOKUP("PCS-30712g",[7]ARBOR!$A:$C,3,0)-1,4)),6))&lt;&gt;(DOLLAR(VLOOKUP("PCS-30712g",[7]ARBOR!$A:$C,3,0),6)),-TRUNC(CN19/VLOOKUP("PCS-30712g",[7]ARBOR!$A:$C,3,0)-1,4)+0.0001,-TRUNC(CN19/VLOOKUP("PCS-30712g",[7]ARBOR!$A:$C,3,0)-1,4)))))</f>
        <v/>
      </c>
      <c r="CP19" s="65" t="str">
        <f>IF(ISERROR(IF(CO19="","",VLOOKUP(($BH19&amp;CO19&amp;"Template de desconto FLAT bundle - Velox XDSL - Varejo"),[7]BENEFICIOS!$A:$E,5,0))),"Criar",IF(CO19="","",VLOOKUP(($BH19&amp;CO19&amp;"Template de desconto FLAT bundle - Velox XDSL - Varejo"),[7]BENEFICIOS!$A:$E,5,0)))</f>
        <v/>
      </c>
      <c r="CQ19" s="68"/>
      <c r="CR19" s="69"/>
      <c r="CS19" s="64" t="str">
        <f>IF(CR19=0,"",IF(CR19=VLOOKUP("PCS-30739g",[7]ARBOR!$A:$C,3,0),0.0001,IF(CR19&gt;VLOOKUP("PCS-30739g",[7]ARBOR!$A:$C,3,0),"Maior que CAP!",IF((DOLLAR(CR19+(VLOOKUP("PCS-30739g",[7]ARBOR!$A:$C,3,0)*-TRUNC(CR19/VLOOKUP("PCS-30739g",[7]ARBOR!$A:$C,3,0)-1,4)),6))&lt;&gt;(DOLLAR(VLOOKUP("PCS-30739g",[7]ARBOR!$A:$C,3,0),6)),-TRUNC(CR19/VLOOKUP("PCS-30739g",[7]ARBOR!$A:$C,3,0)-1,4)+0.0001,-TRUNC(CR19/VLOOKUP("PCS-30739g",[7]ARBOR!$A:$C,3,0)-1,4)))))</f>
        <v/>
      </c>
      <c r="CT19" s="65" t="str">
        <f>IF(ISERROR(IF(CS19="","",VLOOKUP(($BH19&amp;CS19&amp;"Template de desconto FLAT bundle - Velox XDSL - Varejo"),[7]BENEFICIOS!$A:$E,5,0))),"Criar",IF(CS19="","",VLOOKUP(($BH19&amp;CS19&amp;"Template de desconto FLAT bundle - Velox XDSL - Varejo"),[7]BENEFICIOS!$A:$E,5,0)))</f>
        <v/>
      </c>
      <c r="CU19" s="69"/>
      <c r="CV19" s="70"/>
      <c r="CW19" s="64"/>
      <c r="CX19" s="65"/>
      <c r="CY19" s="68"/>
      <c r="CZ19" s="69"/>
      <c r="DA19" s="64" t="str">
        <f>IF(CZ19=0,"",IF(CZ19=VLOOKUP("PCS-30766g",[7]ARBOR!$A:$C,3,0),0.0001,IF(CZ19&gt;VLOOKUP("PCS-30766g",[7]ARBOR!$A:$C,3,0),"Maior que CAP!",IF((DOLLAR(CZ19+(VLOOKUP("PCS-30766g",[7]ARBOR!$A:$C,3,0)*-TRUNC(CZ19/VLOOKUP("PCS-30766g",[7]ARBOR!$A:$C,3,0)-1,4)),6))&lt;&gt;(DOLLAR(VLOOKUP("PCS-30766g",[7]ARBOR!$A:$C,3,0),6)),-TRUNC(CZ19/VLOOKUP("PCS-30766g",[7]ARBOR!$A:$C,3,0)-1,4)+0.0001,-TRUNC(CZ19/VLOOKUP("PCS-30766g",[7]ARBOR!$A:$C,3,0)-1,4)))))</f>
        <v/>
      </c>
      <c r="DB19" s="65" t="str">
        <f>IF(ISERROR(IF(DA19="","",VLOOKUP(($BH19&amp;DA19&amp;"Template de desconto FLAT bundle - Velox XDSL - Varejo"),[7]BENEFICIOS!$A:$E,5,0))),"Criar",IF(DA19="","",VLOOKUP(($BH19&amp;DA19&amp;"Template de desconto FLAT bundle - Velox XDSL - Varejo"),[7]BENEFICIOS!$A:$E,5,0)))</f>
        <v/>
      </c>
      <c r="DC19" s="69"/>
      <c r="DD19" s="70"/>
      <c r="DE19" s="64"/>
      <c r="DF19" s="65"/>
      <c r="DG19" s="68"/>
      <c r="DH19" s="69"/>
      <c r="DI19" s="64" t="str">
        <f>IF(DH19=0,"",IF(DH19=VLOOKUP("PCS-30793g",[7]ARBOR!$A:$C,3,0),0.0001,IF(DH19&gt;VLOOKUP("PCS-30793g",[7]ARBOR!$A:$C,3,0),"Maior que CAP!",IF((DOLLAR(DH19+(VLOOKUP("PCS-30793g",[7]ARBOR!$A:$C,3,0)*-TRUNC(DH19/VLOOKUP("PCS-30793g",[7]ARBOR!$A:$C,3,0)-1,4)),6))&lt;&gt;(DOLLAR(VLOOKUP("PCS-30793g",[7]ARBOR!$A:$C,3,0),6)),-TRUNC(DH19/VLOOKUP("PCS-30793g",[7]ARBOR!$A:$C,3,0)-1,4)+0.0001,-TRUNC(DH19/VLOOKUP("PCS-30793g",[7]ARBOR!$A:$C,3,0)-1,4)))))</f>
        <v/>
      </c>
      <c r="DJ19" s="65" t="str">
        <f>IF(ISERROR(IF(DI19="","",VLOOKUP(($BH19&amp;DI19&amp;"Template de desconto FLAT bundle - Velox XDSL - Varejo"),[7]BENEFICIOS!$A:$E,5,0))),"Criar",IF(DI19="","",VLOOKUP(($BH19&amp;DI19&amp;"Template de desconto FLAT bundle - Velox XDSL - Varejo"),[7]BENEFICIOS!$A:$E,5,0)))</f>
        <v/>
      </c>
      <c r="DK19" s="69"/>
      <c r="DL19" s="70"/>
      <c r="DM19" s="64"/>
      <c r="DN19" s="65"/>
      <c r="DO19" s="68"/>
      <c r="DP19" s="69"/>
      <c r="DQ19" s="64" t="str">
        <f>IF(DP19=0,"",IF(DP19=VLOOKUP("PCS-30820g",[7]ARBOR!$A:$C,3,0),0.0001,IF(DP19&gt;VLOOKUP("PCS-30820g",[7]ARBOR!$A:$C,3,0),"Maior que CAP!",IF((DOLLAR(DP19+(VLOOKUP("PCS-30820g",[7]ARBOR!$A:$C,3,0)*-TRUNC(DP19/VLOOKUP("PCS-30820g",[7]ARBOR!$A:$C,3,0)-1,4)),6))&lt;&gt;(DOLLAR(VLOOKUP("PCS-30820g",[7]ARBOR!$A:$C,3,0),6)),-TRUNC(DP19/VLOOKUP("PCS-30820g",[7]ARBOR!$A:$C,3,0)-1,4)+0.0001,-TRUNC(DP19/VLOOKUP("PCS-30820g",[7]ARBOR!$A:$C,3,0)-1,4)))))</f>
        <v/>
      </c>
      <c r="DR19" s="65" t="str">
        <f>IF(ISERROR(IF(DQ19="","",VLOOKUP(($BH19&amp;DQ19&amp;"Template de desconto FLAT bundle - Velox XDSL - Varejo"),[7]BENEFICIOS!$A:$E,5,0))),"Criar",IF(DQ19="","",VLOOKUP(($BH19&amp;DQ19&amp;"Template de desconto FLAT bundle - Velox XDSL - Varejo"),[7]BENEFICIOS!$A:$E,5,0)))</f>
        <v/>
      </c>
      <c r="DS19" s="69"/>
      <c r="DT19" s="70"/>
      <c r="DU19" s="64"/>
      <c r="DV19" s="65"/>
      <c r="DW19" s="71">
        <v>44.9</v>
      </c>
      <c r="DX19" s="64">
        <f>IF(DW19=0,"",IF(DW19=VLOOKUP("PCS-21448p2",[7]ARBOR!$A:$C,3,0),0.0001,IF(DW19&gt;VLOOKUP("PCS-21448p2",[7]ARBOR!$A:$C,3,0),"Maior que CAP!",IF((DOLLAR(DW19+(VLOOKUP("PCS-21448p2",[7]ARBOR!$A:$C,3,0)*-TRUNC(DW19/VLOOKUP("PCS-21448p2",[7]ARBOR!$A:$C,3,0)-1,4)),6))&lt;&gt;(DOLLAR(VLOOKUP("PCS-21448p2",[7]ARBOR!$A:$C,3,0),6)),-TRUNC(DW19/VLOOKUP("PCS-21448p2",[7]ARBOR!$A:$C,3,0)-1,4)+0.0001,-TRUNC(DW19/VLOOKUP("PCS-21448p2",[7]ARBOR!$A:$C,3,0)-1,4)))))</f>
        <v>0.64900000000000002</v>
      </c>
      <c r="DY19" s="65" t="str">
        <f>IF(ISERROR(IF(DX19="","",VLOOKUP(("Oi Conta Total Plug 10GB Downgrade"&amp;DX19&amp;"Template de desconto percentual BL Móvel - Internet Total - Varejo"),[7]BENEFICIOS!$A:$E,5,0))),"Criar",IF(DX19="","",VLOOKUP(("Oi Conta Total Plug 10GB Downgrade"&amp;DX19&amp;"Template de desconto percentual BL Móvel - Internet Total - Varejo"),[7]BENEFICIOS!$A:$E,5,0)))</f>
        <v>MKT-1-9825544790</v>
      </c>
      <c r="DZ19" s="71">
        <v>16.5</v>
      </c>
      <c r="EA19" s="72">
        <f>IF(DZ19=0,"",IF(DZ19=VLOOKUP("SVA",[7]ARBOR!$A:$C,3,0),0.0001,IF(DZ19&gt;VLOOKUP("SVA",[7]ARBOR!$A:$C,3,0),"Maior que CAP!",IF((DOLLAR(DZ19+(VLOOKUP("SVA",[7]ARBOR!$A:$C,3,0)*-TRUNC(DZ19/VLOOKUP("SVA",[7]ARBOR!$A:$C,3,0)-1,4)),6))&lt;&gt;(DOLLAR(VLOOKUP("SVA",[7]ARBOR!$A:$C,3,0),6)),-TRUNC(DZ19/VLOOKUP("SVA",[7]ARBOR!$A:$C,3,0)-1,4)+0.0001,-TRUNC(DZ19/VLOOKUP("SVA",[7]ARBOR!$A:$C,3,0)-1,4)))))</f>
        <v>0.2301</v>
      </c>
      <c r="EB19" s="65" t="s">
        <v>226</v>
      </c>
      <c r="EC19" s="69"/>
      <c r="ED19" s="73"/>
      <c r="EE19" s="74"/>
      <c r="EF19" s="65"/>
      <c r="EG19" s="75">
        <f>IF(BI19="","",VLOOKUP(BI19,[7]ARBOR!A:C,3,0))</f>
        <v>479.46</v>
      </c>
      <c r="EH19" s="69">
        <v>15</v>
      </c>
      <c r="EI19" s="76">
        <f>IF(EH19="","",1-(EH19/VLOOKUP(BI19&amp;"ASS",[7]ARBOR!A:C,3,0)))</f>
        <v>0.34725848563968664</v>
      </c>
      <c r="EJ19" s="77" t="s">
        <v>227</v>
      </c>
      <c r="EK19" s="78" t="s">
        <v>228</v>
      </c>
      <c r="EL19" s="69">
        <v>125.13000000000001</v>
      </c>
      <c r="EM19" s="64">
        <f>IF(EL19=0,"",IF(EL19=EG19,0.0001,ROUND(1-((EL19+(VLOOKUP(BI19&amp;"ASS",[7]ARBOR!A:C,3,0)-EH19))/EG19),4)))</f>
        <v>0.72240000000000004</v>
      </c>
      <c r="EN19" s="65" t="str">
        <f>IF(ISERROR(IF(EM19="","",VLOOKUP(($BH19&amp;EM19&amp;"Template de desconto percentual FLAT Móvel - Conta Total - Varejo - Ganho Tributário Cross"),[7]BENEFICIOS!$A:$E,5,0))),"Criar",IF(EM19="","",VLOOKUP(($BH19&amp;EM19&amp;"Template de desconto percentual FLAT Móvel - Conta Total - Varejo - Ganho Tributário Cross"),[7]BENEFICIOS!$A:$E,5,0)))</f>
        <v>MKT-1-10032167651</v>
      </c>
      <c r="EO19" s="79"/>
      <c r="EP19" s="64"/>
      <c r="EQ19" s="72"/>
      <c r="ER19" s="72"/>
      <c r="ES19" s="64"/>
      <c r="ET19" s="80"/>
      <c r="EU19" s="81" t="s">
        <v>247</v>
      </c>
      <c r="EV19" s="81" t="s">
        <v>254</v>
      </c>
      <c r="EW19" s="82"/>
      <c r="EX19" s="83"/>
      <c r="EY19" s="84"/>
      <c r="EZ19" s="82"/>
      <c r="FA19" s="83"/>
      <c r="FB19" s="84"/>
      <c r="FC19" s="82"/>
      <c r="FD19" s="83" t="str">
        <f>IF(FC19=0,"",IF(FC19=VLOOKUP("PCS-10357",[7]ARBOR!$A:$C,3,0),0.0001,IF(FC19&gt;VLOOKUP("PCS-10357",[7]ARBOR!$A:$C,3,0),"Maior que CAP!",ROUND(-1*(FC19/VLOOKUP("PCS-10357",[7]ARBOR!$A:$C,3,0)-1),4))))</f>
        <v/>
      </c>
      <c r="FE19" s="84" t="str">
        <f>IF(ISERROR(IF(FD19="","",VLOOKUP(("Oi Internet Pra Celular 1GB"&amp;FD19&amp;"Template Flat Instância Dados"),[7]BENEFICIOS!$A:$E,5,0))),"Criar",IF(FD19="","",VLOOKUP(("Oi Internet Pra Celular 1GB"&amp;FD19&amp;"Template Flat Instância Dados"),[7]BENEFICIOS!$A:$E,5,0)))</f>
        <v/>
      </c>
      <c r="FF19" s="82">
        <v>9.77</v>
      </c>
      <c r="FG19" s="83">
        <f>IF(FF19=0,"",IF(FF19=VLOOKUP("PCS-813565",[7]ARBOR!$A:$C,3,0),0.0001,IF(FF19&gt;VLOOKUP("PCS-813565",[7]ARBOR!$A:$C,3,0),"Maior que CAP!",ROUND(-1*(FF19/VLOOKUP("PCS-813565",[7]ARBOR!$A:$C,3,0)-1),4))))</f>
        <v>0.74260000000000004</v>
      </c>
      <c r="FH19" s="84" t="str">
        <f>IF(ISERROR(IF(FG19="","",VLOOKUP(("Oi Internet Pra Celular 2GB"&amp;FG19&amp;"Template Flat Instância Dados"),[7]BENEFICIOS!$A:$E,5,0))),"Criar",IF(FG19="","",VLOOKUP(("Oi Internet Pra Celular 2GB"&amp;FG19&amp;"Template Flat Instância Dados"),[7]BENEFICIOS!$A:$E,5,0)))</f>
        <v>MKT-1-9870023571</v>
      </c>
      <c r="FI19" s="82"/>
      <c r="FJ19" s="83" t="str">
        <f>IF(FI19=0,"",IF(FI19=VLOOKUP("PCS-7171B",[7]ARBOR!$A:$C,3,0),0.0001,IF(FI19&gt;VLOOKUP("PCS-7171B",[7]ARBOR!$A:$C,3,0),"Maior que CAP!",ROUND(-1*(FI19/VLOOKUP("PCS-7171B",[7]ARBOR!$A:$C,3,0)-1),4))))</f>
        <v/>
      </c>
      <c r="FK19" s="84" t="str">
        <f>IF(ISERROR(IF(FJ19="","",VLOOKUP(("Oi Internet Pra Celular 3GB"&amp;FJ19&amp;"Template Flat Instância Dados"),[7]BENEFICIOS!$A:$E,5,0))),"Criar",IF(FJ19="","",VLOOKUP(("Oi Internet Pra Celular 3GB"&amp;FJ19&amp;"Template Flat Instância Dados"),[7]BENEFICIOS!$A:$E,5,0)))</f>
        <v/>
      </c>
      <c r="FL19" s="82"/>
      <c r="FM19" s="83" t="str">
        <f>IF(FL19=0,"",IF(FL19=VLOOKUP("PCS-51793o08",[7]ARBOR!$A:$C,3,0),0.0001,IF(FL19&gt;VLOOKUP("PCS-51793o08",[7]ARBOR!$A:$C,3,0),"Maior que CAP!",ROUND(-1*(FL19/VLOOKUP("PCS-51793o08",[7]ARBOR!$A:$C,3,0)-1),4))))</f>
        <v/>
      </c>
      <c r="FN19" s="84" t="str">
        <f>IF(ISERROR(IF(FM19="","",VLOOKUP(("Oi Internet Pra Celular 5GB"&amp;FM19&amp;"Template Flat Instância Dados"),[7]BENEFICIOS!$A:$E,5,0))),"Criar",IF(FM19="","",VLOOKUP(("Oi Internet Pra Celular 5GB"&amp;FM19&amp;"Template Flat Instância Dados"),[7]BENEFICIOS!$A:$E,5,0)))</f>
        <v/>
      </c>
      <c r="FO19" s="82"/>
      <c r="FP19" s="83" t="str">
        <f>IF(FO19=0,"",IF(FO19=VLOOKUP("PCS-7171A",[7]ARBOR!$A:$C,3,0),0.0001,IF(FO19&gt;VLOOKUP("PCS-7171A",[7]ARBOR!$A:$C,3,0),"Maior que CAP!",ROUND(-1*(FO19/VLOOKUP("PCS-7171A",[7]ARBOR!$A:$C,3,0)-1),4))))</f>
        <v/>
      </c>
      <c r="FQ19" s="84" t="str">
        <f>IF(ISERROR(IF(FP19="","",VLOOKUP(("Oi Internet Pra Celular 10GB"&amp;FP19&amp;"Template Flat Instância Dados"),[7]BENEFICIOS!$A:$E,5,0))),"Criar",IF(FP19="","",VLOOKUP(("Oi Internet Pra Celular 10GB"&amp;FP19&amp;"Template Flat Instância Dados"),[7]BENEFICIOS!$A:$E,5,0)))</f>
        <v/>
      </c>
      <c r="FR19" s="85">
        <v>0.74219999999999997</v>
      </c>
      <c r="FS19" s="86" t="s">
        <v>249</v>
      </c>
      <c r="FT19" s="48"/>
      <c r="FU19" s="87"/>
      <c r="FV19" s="88" t="s">
        <v>224</v>
      </c>
      <c r="FW19" s="49" t="s">
        <v>229</v>
      </c>
      <c r="FX19" s="89">
        <v>999</v>
      </c>
      <c r="FY19" s="49">
        <v>12</v>
      </c>
      <c r="FZ19" s="90" t="s">
        <v>230</v>
      </c>
      <c r="GA19" s="91" t="str">
        <f t="shared" si="1"/>
        <v>PCS-Fk83324</v>
      </c>
      <c r="GB19" s="92" t="str">
        <f t="shared" si="2"/>
        <v>PCS-SBL553142</v>
      </c>
      <c r="GC19" s="93" t="s">
        <v>231</v>
      </c>
      <c r="GD19" s="90" t="s">
        <v>232</v>
      </c>
      <c r="GE19" s="92" t="s">
        <v>233</v>
      </c>
      <c r="GF19" s="93" t="s">
        <v>234</v>
      </c>
      <c r="GG19" s="90" t="s">
        <v>235</v>
      </c>
      <c r="GH19" s="92" t="s">
        <v>236</v>
      </c>
      <c r="GI19" s="94" t="s">
        <v>237</v>
      </c>
      <c r="GJ19" s="95">
        <f>FF19+EL19+CB19+BJ19</f>
        <v>229.9</v>
      </c>
      <c r="GK19" s="96"/>
      <c r="GL19" s="97" t="s">
        <v>238</v>
      </c>
      <c r="GM19" s="98" t="s">
        <v>275</v>
      </c>
      <c r="GN19" s="97">
        <v>14</v>
      </c>
      <c r="GO19" s="99">
        <v>3.61</v>
      </c>
      <c r="GP19" s="76">
        <v>0.74209999999999998</v>
      </c>
      <c r="GQ19" s="97">
        <v>10.38</v>
      </c>
      <c r="GR19" s="97">
        <v>3.6199999999999992</v>
      </c>
      <c r="GS19" s="101"/>
      <c r="GT19" s="101"/>
      <c r="GU19" s="102" t="b">
        <v>0</v>
      </c>
      <c r="GV19" s="103">
        <v>9.9999999999993427E-3</v>
      </c>
      <c r="GW19" s="44" t="s">
        <v>284</v>
      </c>
      <c r="GX19" s="44" t="s">
        <v>241</v>
      </c>
    </row>
    <row r="20" spans="1:206" s="44" customFormat="1" x14ac:dyDescent="0.25">
      <c r="A20" s="44" t="str">
        <f t="shared" si="0"/>
        <v>Oi Total Fixo + Pós 800 + Banda LargaN22GBMG</v>
      </c>
      <c r="B20" s="45" t="s">
        <v>214</v>
      </c>
      <c r="C20" s="46" t="s">
        <v>130</v>
      </c>
      <c r="D20" s="46" t="s">
        <v>215</v>
      </c>
      <c r="E20" s="47" t="s">
        <v>216</v>
      </c>
      <c r="F20" s="88" t="s">
        <v>217</v>
      </c>
      <c r="G20" s="49"/>
      <c r="H20" s="49"/>
      <c r="I20" s="49"/>
      <c r="J20" s="49" t="s">
        <v>217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 t="s">
        <v>217</v>
      </c>
      <c r="AC20" s="49" t="s">
        <v>217</v>
      </c>
      <c r="AD20" s="49" t="s">
        <v>217</v>
      </c>
      <c r="AE20" s="49" t="s">
        <v>217</v>
      </c>
      <c r="AF20" s="49" t="s">
        <v>217</v>
      </c>
      <c r="AG20" s="49" t="s">
        <v>217</v>
      </c>
      <c r="AH20" s="50"/>
      <c r="AI20" s="49" t="s">
        <v>217</v>
      </c>
      <c r="AJ20" s="49" t="s">
        <v>217</v>
      </c>
      <c r="AK20" s="49" t="s">
        <v>217</v>
      </c>
      <c r="AL20" s="49" t="s">
        <v>217</v>
      </c>
      <c r="AM20" s="49" t="s">
        <v>217</v>
      </c>
      <c r="AN20" s="49" t="s">
        <v>217</v>
      </c>
      <c r="AO20" s="49" t="s">
        <v>217</v>
      </c>
      <c r="AP20" s="49"/>
      <c r="AQ20" s="51"/>
      <c r="AR20" s="52" t="s">
        <v>285</v>
      </c>
      <c r="AS20" s="46" t="s">
        <v>219</v>
      </c>
      <c r="AT20" s="53" t="s">
        <v>220</v>
      </c>
      <c r="AU20" s="54">
        <v>42972</v>
      </c>
      <c r="AV20" s="105">
        <v>43097</v>
      </c>
      <c r="AW20" s="56" t="s">
        <v>221</v>
      </c>
      <c r="AX20" s="57" t="s">
        <v>221</v>
      </c>
      <c r="AY20" s="58"/>
      <c r="AZ20" s="58" t="s">
        <v>222</v>
      </c>
      <c r="BA20" s="58">
        <v>20</v>
      </c>
      <c r="BB20" s="58">
        <v>10000</v>
      </c>
      <c r="BC20" s="59" t="s">
        <v>223</v>
      </c>
      <c r="BD20" s="60" t="s">
        <v>224</v>
      </c>
      <c r="BE20" s="58" t="s">
        <v>216</v>
      </c>
      <c r="BF20" s="51" t="s">
        <v>216</v>
      </c>
      <c r="BG20" s="45" t="s">
        <v>285</v>
      </c>
      <c r="BH20" s="61" t="s">
        <v>225</v>
      </c>
      <c r="BI20" s="62" t="str">
        <f>IF(ISERROR(VLOOKUP(BH20,[7]PLANOS!B:C,2,0)),"",VLOOKUP(BH20,[7]PLANOS!B:C,2,0))</f>
        <v>PCS-4P6pi</v>
      </c>
      <c r="BJ20" s="63">
        <v>50.1</v>
      </c>
      <c r="BK20" s="64">
        <f>IF(BJ20=0,"",IF(BJ20=VLOOKUP("FIXO",[7]ARBOR!$A:$C,3,0),0.0001,IF(BJ20&gt;VLOOKUP("FIXO",[7]ARBOR!$A:$C,3,0),"Maior que CAP!",IF((DOLLAR(BJ20+(VLOOKUP("FIXO",[7]ARBOR!$A:$C,3,0)*-TRUNC(BJ20/VLOOKUP("FIXO",[7]ARBOR!$A:$C,3,0)-1,4)),6))&lt;&gt;(DOLLAR(VLOOKUP("FIXO",[7]ARBOR!$A:$C,3,0),6)),-TRUNC(BJ20/VLOOKUP("FIXO",[7]ARBOR!$A:$C,3,0)-1,4)+0.0001,-TRUNC(BJ20/VLOOKUP("FIXO",[7]ARBOR!$A:$C,3,0)-1,4)))))</f>
        <v>0.33939999999999998</v>
      </c>
      <c r="BL20" s="65" t="str">
        <f>IF(ISERROR(IF(BK20="","",VLOOKUP(($BH20&amp;BK20&amp;"Template de desconto FLAT bundle - Fixo - Varejo - Ganho Tributário Cross"),[7]BENEFICIOS!$A:$E,5,0))),"Criar",IF(BK20="","",VLOOKUP(($BH20&amp;BK20&amp;"Template de desconto FLAT bundle - Fixo - Varejo - Ganho Tributário Cross"),[7]BENEFICIOS!$A:$E,5,0)))</f>
        <v>MKT-1-9856472058</v>
      </c>
      <c r="BM20" s="66"/>
      <c r="BN20" s="67"/>
      <c r="BO20" s="104" t="s">
        <v>243</v>
      </c>
      <c r="BP20" s="69">
        <v>44.9</v>
      </c>
      <c r="BQ20" s="64">
        <f>IF(BP20=0,"",IF(BP20=VLOOKUP("PCS-30874g",[7]ARBOR!$A:$C,3,0),0.0001,IF(BP20&gt;VLOOKUP("PCS-30874g",[7]ARBOR!$A:$C,3,0),"Maior que CAP!",IF((DOLLAR(BP20+(VLOOKUP("PCS-30874g",[7]ARBOR!$A:$C,3,0)*-TRUNC(BP20/VLOOKUP("PCS-30874g",[7]ARBOR!$A:$C,3,0)-1,4)),6))&lt;&gt;(DOLLAR(VLOOKUP("PCS-30874g",[7]ARBOR!$A:$C,3,0),6)),-TRUNC(BP20/VLOOKUP("PCS-30874g",[7]ARBOR!$A:$C,3,0)-1,4)+0.0001,-TRUNC(BP20/VLOOKUP("PCS-30874g",[7]ARBOR!$A:$C,3,0)-1,4)))))</f>
        <v>0.53679999999999994</v>
      </c>
      <c r="BR20" s="65" t="str">
        <f>IF(ISERROR(IF(BQ20="","",VLOOKUP(($BH20&amp;BQ20&amp;"Template de desconto FLAT bundle - Velox XDSL - Varejo"),[7]BENEFICIOS!$A:$E,5,0))),"Criar",IF(BQ20="","",VLOOKUP(($BH20&amp;BQ20&amp;"Template de desconto FLAT bundle - Velox XDSL - Varejo"),[7]BENEFICIOS!$A:$E,5,0)))</f>
        <v>MKT-1-9865126733</v>
      </c>
      <c r="BS20" s="104" t="s">
        <v>243</v>
      </c>
      <c r="BT20" s="69">
        <v>44.9</v>
      </c>
      <c r="BU20" s="64">
        <f>IF(BT20=0,"",IF(BT20=VLOOKUP("PCS-30577g",[7]ARBOR!$A:$C,3,0),0.0001,IF(BT20&gt;VLOOKUP("PCS-30577g",[7]ARBOR!$A:$C,3,0),"Maior que CAP!",IF((DOLLAR(BT20+(VLOOKUP("PCS-30577g",[7]ARBOR!$A:$C,3,0)*-TRUNC(BT20/VLOOKUP("PCS-30577g",[7]ARBOR!$A:$C,3,0)-1,4)),6))&lt;&gt;(DOLLAR(VLOOKUP("PCS-30577g",[7]ARBOR!$A:$C,3,0),6)),-TRUNC(BT20/VLOOKUP("PCS-30577g",[7]ARBOR!$A:$C,3,0)-1,4)+0.0001,-TRUNC(BT20/VLOOKUP("PCS-30577g",[7]ARBOR!$A:$C,3,0)-1,4)))))</f>
        <v>0.53679999999999994</v>
      </c>
      <c r="BV20" s="65" t="str">
        <f>IF(ISERROR(IF(BU20="","",VLOOKUP(($BH20&amp;BU20&amp;"Template de desconto FLAT bundle - Velox XDSL - Varejo"),[7]BENEFICIOS!$A:$E,5,0))),"Criar",IF(BU20="","",VLOOKUP(($BH20&amp;BU20&amp;"Template de desconto FLAT bundle - Velox XDSL - Varejo"),[7]BENEFICIOS!$A:$E,5,0)))</f>
        <v>MKT-1-9865126733</v>
      </c>
      <c r="BW20" s="104" t="s">
        <v>243</v>
      </c>
      <c r="BX20" s="69">
        <v>44.9</v>
      </c>
      <c r="BY20" s="64">
        <f>IF(BX20=0,"",IF(BX20=VLOOKUP("PCS-30604g",[7]ARBOR!$A:$C,3,0),0.0001,IF(BX20&gt;VLOOKUP("PCS-30604g",[7]ARBOR!$A:$C,3,0),"Maior que CAP!",IF((DOLLAR(BX20+(VLOOKUP("PCS-30604g",[7]ARBOR!$A:$C,3,0)*-TRUNC(BX20/VLOOKUP("PCS-30604g",[7]ARBOR!$A:$C,3,0)-1,4)),6))&lt;&gt;(DOLLAR(VLOOKUP("PCS-30604g",[7]ARBOR!$A:$C,3,0),6)),-TRUNC(BX20/VLOOKUP("PCS-30604g",[7]ARBOR!$A:$C,3,0)-1,4)+0.0001,-TRUNC(BX20/VLOOKUP("PCS-30604g",[7]ARBOR!$A:$C,3,0)-1,4)))))</f>
        <v>0.53679999999999994</v>
      </c>
      <c r="BZ20" s="65" t="str">
        <f>IF(ISERROR(IF(BY20="","",VLOOKUP(($BH20&amp;BY20&amp;"Template de desconto FLAT bundle - Velox XDSL - Varejo"),[7]BENEFICIOS!$A:$E,5,0))),"Criar",IF(BY20="","",VLOOKUP(($BH20&amp;BY20&amp;"Template de desconto FLAT bundle - Velox XDSL - Varejo"),[7]BENEFICIOS!$A:$E,5,0)))</f>
        <v>MKT-1-9865126733</v>
      </c>
      <c r="CA20" s="104" t="s">
        <v>243</v>
      </c>
      <c r="CB20" s="69">
        <v>44.9</v>
      </c>
      <c r="CC20" s="64">
        <f>IF(CB20=0,"",IF(CB20=VLOOKUP("PCS-30631g",[7]ARBOR!$A:$C,3,0),0.0001,IF(CB20&gt;VLOOKUP("PCS-30631g",[7]ARBOR!$A:$C,3,0),"Maior que CAP!",IF((DOLLAR(CB20+(VLOOKUP("PCS-30631g",[7]ARBOR!$A:$C,3,0)*-TRUNC(CB20/VLOOKUP("PCS-30631g",[7]ARBOR!$A:$C,3,0)-1,4)),6))&lt;&gt;(DOLLAR(VLOOKUP("PCS-30631g",[7]ARBOR!$A:$C,3,0),6)),-TRUNC(CB20/VLOOKUP("PCS-30631g",[7]ARBOR!$A:$C,3,0)-1,4)+0.0001,-TRUNC(CB20/VLOOKUP("PCS-30631g",[7]ARBOR!$A:$C,3,0)-1,4)))))</f>
        <v>0.54310000000000003</v>
      </c>
      <c r="CD20" s="65" t="str">
        <f>IF(ISERROR(IF(CC20="","",VLOOKUP(($BH20&amp;CC20&amp;"Template de desconto FLAT bundle - Velox XDSL - Varejo"),[7]BENEFICIOS!$A:$E,5,0))),"Criar",IF(CC20="","",VLOOKUP(($BH20&amp;CC20&amp;"Template de desconto FLAT bundle - Velox XDSL - Varejo"),[7]BENEFICIOS!$A:$E,5,0)))</f>
        <v>MKT-1-9865126826</v>
      </c>
      <c r="CE20" s="68" t="s">
        <v>164</v>
      </c>
      <c r="CF20" s="69">
        <v>49.9</v>
      </c>
      <c r="CG20" s="64">
        <f>IF(CF20=0,"",IF(CF20=VLOOKUP("PCS-30658g",[7]ARBOR!$A:$C,3,0),0.0001,IF(CF20&gt;VLOOKUP("PCS-30658g",[7]ARBOR!$A:$C,3,0),"Maior que CAP!",IF((DOLLAR(CF20+(VLOOKUP("PCS-30658g",[7]ARBOR!$A:$C,3,0)*-TRUNC(CF20/VLOOKUP("PCS-30658g",[7]ARBOR!$A:$C,3,0)-1,4)),6))&lt;&gt;(DOLLAR(VLOOKUP("PCS-30658g",[7]ARBOR!$A:$C,3,0),6)),-TRUNC(CF20/VLOOKUP("PCS-30658g",[7]ARBOR!$A:$C,3,0)-1,4)+0.0001,-TRUNC(CF20/VLOOKUP("PCS-30658g",[7]ARBOR!$A:$C,3,0)-1,4)))))</f>
        <v>0.55569999999999997</v>
      </c>
      <c r="CH20" s="65" t="str">
        <f>IF(ISERROR(IF(CG20="","",VLOOKUP(($BH20&amp;CG20&amp;"Template de desconto FLAT bundle - Velox XDSL - Varejo"),[7]BENEFICIOS!$A:$E,5,0))),"Criar",IF(CG20="","",VLOOKUP(($BH20&amp;CG20&amp;"Template de desconto FLAT bundle - Velox XDSL - Varejo"),[7]BENEFICIOS!$A:$E,5,0)))</f>
        <v>MKT-1-9865126919</v>
      </c>
      <c r="CI20" s="68" t="s">
        <v>164</v>
      </c>
      <c r="CJ20" s="69">
        <v>49.9</v>
      </c>
      <c r="CK20" s="64">
        <f>IF(CJ20=0,"",IF(CJ20=VLOOKUP("PCS-30685g",[7]ARBOR!$A:$C,3,0),0.0001,IF(CJ20&gt;VLOOKUP("PCS-30685g",[7]ARBOR!$A:$C,3,0),"Maior que CAP!",IF((DOLLAR(CJ20+(VLOOKUP("PCS-30685g",[7]ARBOR!$A:$C,3,0)*-TRUNC(CJ20/VLOOKUP("PCS-30685g",[7]ARBOR!$A:$C,3,0)-1,4)),6))&lt;&gt;(DOLLAR(VLOOKUP("PCS-30685g",[7]ARBOR!$A:$C,3,0),6)),-TRUNC(CJ20/VLOOKUP("PCS-30685g",[7]ARBOR!$A:$C,3,0)-1,4)+0.0001,-TRUNC(CJ20/VLOOKUP("PCS-30685g",[7]ARBOR!$A:$C,3,0)-1,4)))))</f>
        <v>0.60509999999999997</v>
      </c>
      <c r="CL20" s="65" t="str">
        <f>IF(ISERROR(IF(CK20="","",VLOOKUP(($BH20&amp;CK20&amp;"Template de desconto FLAT bundle - Velox XDSL - Varejo"),[7]BENEFICIOS!$A:$E,5,0))),"Criar",IF(CK20="","",VLOOKUP(($BH20&amp;CK20&amp;"Template de desconto FLAT bundle - Velox XDSL - Varejo"),[7]BENEFICIOS!$A:$E,5,0)))</f>
        <v>MKT-1-9865694381</v>
      </c>
      <c r="CM20" s="68" t="s">
        <v>164</v>
      </c>
      <c r="CN20" s="69">
        <v>49.9</v>
      </c>
      <c r="CO20" s="64">
        <f>IF(CN20=0,"",IF(CN20=VLOOKUP("PCS-30712g",[7]ARBOR!$A:$C,3,0),0.0001,IF(CN20&gt;VLOOKUP("PCS-30712g",[7]ARBOR!$A:$C,3,0),"Maior que CAP!",IF((DOLLAR(CN20+(VLOOKUP("PCS-30712g",[7]ARBOR!$A:$C,3,0)*-TRUNC(CN20/VLOOKUP("PCS-30712g",[7]ARBOR!$A:$C,3,0)-1,4)),6))&lt;&gt;(DOLLAR(VLOOKUP("PCS-30712g",[7]ARBOR!$A:$C,3,0),6)),-TRUNC(CN20/VLOOKUP("PCS-30712g",[7]ARBOR!$A:$C,3,0)-1,4)+0.0001,-TRUNC(CN20/VLOOKUP("PCS-30712g",[7]ARBOR!$A:$C,3,0)-1,4)))))</f>
        <v>0.64459999999999995</v>
      </c>
      <c r="CP20" s="65" t="str">
        <f>IF(ISERROR(IF(CO20="","",VLOOKUP(($BH20&amp;CO20&amp;"Template de desconto FLAT bundle - Velox XDSL - Varejo"),[7]BENEFICIOS!$A:$E,5,0))),"Criar",IF(CO20="","",VLOOKUP(($BH20&amp;CO20&amp;"Template de desconto FLAT bundle - Velox XDSL - Varejo"),[7]BENEFICIOS!$A:$E,5,0)))</f>
        <v>MKT-1-9865191105</v>
      </c>
      <c r="CQ20" s="68" t="s">
        <v>164</v>
      </c>
      <c r="CR20" s="69">
        <v>59.9</v>
      </c>
      <c r="CS20" s="64">
        <f>IF(CR20=0,"",IF(CR20=VLOOKUP("PCS-30739g",[7]ARBOR!$A:$C,3,0),0.0001,IF(CR20&gt;VLOOKUP("PCS-30739g",[7]ARBOR!$A:$C,3,0),"Maior que CAP!",IF((DOLLAR(CR20+(VLOOKUP("PCS-30739g",[7]ARBOR!$A:$C,3,0)*-TRUNC(CR20/VLOOKUP("PCS-30739g",[7]ARBOR!$A:$C,3,0)-1,4)),6))&lt;&gt;(DOLLAR(VLOOKUP("PCS-30739g",[7]ARBOR!$A:$C,3,0),6)),-TRUNC(CR20/VLOOKUP("PCS-30739g",[7]ARBOR!$A:$C,3,0)-1,4)+0.0001,-TRUNC(CR20/VLOOKUP("PCS-30739g",[7]ARBOR!$A:$C,3,0)-1,4)))))</f>
        <v>0.71560000000000001</v>
      </c>
      <c r="CT20" s="65" t="str">
        <f>IF(ISERROR(IF(CS20="","",VLOOKUP(($BH20&amp;CS20&amp;"Template de desconto FLAT bundle - Velox XDSL - Varejo"),[7]BENEFICIOS!$A:$E,5,0))),"Criar",IF(CS20="","",VLOOKUP(($BH20&amp;CS20&amp;"Template de desconto FLAT bundle - Velox XDSL - Varejo"),[7]BENEFICIOS!$A:$E,5,0)))</f>
        <v>MKT-1-9865191198</v>
      </c>
      <c r="CU20" s="69"/>
      <c r="CV20" s="70"/>
      <c r="CW20" s="64"/>
      <c r="CX20" s="65"/>
      <c r="CY20" s="68" t="s">
        <v>164</v>
      </c>
      <c r="CZ20" s="69">
        <v>59.9</v>
      </c>
      <c r="DA20" s="64">
        <f>IF(CZ20=0,"",IF(CZ20=VLOOKUP("PCS-30766g",[7]ARBOR!$A:$C,3,0),0.0001,IF(CZ20&gt;VLOOKUP("PCS-30766g",[7]ARBOR!$A:$C,3,0),"Maior que CAP!",IF((DOLLAR(CZ20+(VLOOKUP("PCS-30766g",[7]ARBOR!$A:$C,3,0)*-TRUNC(CZ20/VLOOKUP("PCS-30766g",[7]ARBOR!$A:$C,3,0)-1,4)),6))&lt;&gt;(DOLLAR(VLOOKUP("PCS-30766g",[7]ARBOR!$A:$C,3,0),6)),-TRUNC(CZ20/VLOOKUP("PCS-30766g",[7]ARBOR!$A:$C,3,0)-1,4)+0.0001,-TRUNC(CZ20/VLOOKUP("PCS-30766g",[7]ARBOR!$A:$C,3,0)-1,4)))))</f>
        <v>0.78669999999999995</v>
      </c>
      <c r="DB20" s="65" t="str">
        <f>IF(ISERROR(IF(DA20="","",VLOOKUP(($BH20&amp;DA20&amp;"Template de desconto FLAT bundle - Velox XDSL - Varejo"),[7]BENEFICIOS!$A:$E,5,0))),"Criar",IF(DA20="","",VLOOKUP(($BH20&amp;DA20&amp;"Template de desconto FLAT bundle - Velox XDSL - Varejo"),[7]BENEFICIOS!$A:$E,5,0)))</f>
        <v>MKT-1-9865191291</v>
      </c>
      <c r="DC20" s="69"/>
      <c r="DD20" s="70"/>
      <c r="DE20" s="64"/>
      <c r="DF20" s="65"/>
      <c r="DG20" s="68" t="s">
        <v>243</v>
      </c>
      <c r="DH20" s="69">
        <v>69.900000000000006</v>
      </c>
      <c r="DI20" s="64">
        <f>IF(DH20=0,"",IF(DH20=VLOOKUP("PCS-30793g",[7]ARBOR!$A:$C,3,0),0.0001,IF(DH20&gt;VLOOKUP("PCS-30793g",[7]ARBOR!$A:$C,3,0),"Maior que CAP!",IF((DOLLAR(DH20+(VLOOKUP("PCS-30793g",[7]ARBOR!$A:$C,3,0)*-TRUNC(DH20/VLOOKUP("PCS-30793g",[7]ARBOR!$A:$C,3,0)-1,4)),6))&lt;&gt;(DOLLAR(VLOOKUP("PCS-30793g",[7]ARBOR!$A:$C,3,0),6)),-TRUNC(DH20/VLOOKUP("PCS-30793g",[7]ARBOR!$A:$C,3,0)-1,4)+0.0001,-TRUNC(DH20/VLOOKUP("PCS-30793g",[7]ARBOR!$A:$C,3,0)-1,4)))))</f>
        <v>0.75109999999999999</v>
      </c>
      <c r="DJ20" s="65" t="str">
        <f>IF(ISERROR(IF(DI20="","",VLOOKUP(($BH20&amp;DI20&amp;"Template de desconto FLAT bundle - Velox XDSL - Varejo"),[7]BENEFICIOS!$A:$E,5,0))),"Criar",IF(DI20="","",VLOOKUP(($BH20&amp;DI20&amp;"Template de desconto FLAT bundle - Velox XDSL - Varejo"),[7]BENEFICIOS!$A:$E,5,0)))</f>
        <v>MKT-1-9865191384</v>
      </c>
      <c r="DK20" s="69"/>
      <c r="DL20" s="70"/>
      <c r="DM20" s="64"/>
      <c r="DN20" s="65"/>
      <c r="DO20" s="68" t="s">
        <v>164</v>
      </c>
      <c r="DP20" s="69">
        <v>69.900000000000006</v>
      </c>
      <c r="DQ20" s="64">
        <f>IF(DP20=0,"",IF(DP20=VLOOKUP("PCS-30820g",[7]ARBOR!$A:$C,3,0),0.0001,IF(DP20&gt;VLOOKUP("PCS-30820g",[7]ARBOR!$A:$C,3,0),"Maior que CAP!",IF((DOLLAR(DP20+(VLOOKUP("PCS-30820g",[7]ARBOR!$A:$C,3,0)*-TRUNC(DP20/VLOOKUP("PCS-30820g",[7]ARBOR!$A:$C,3,0)-1,4)),6))&lt;&gt;(DOLLAR(VLOOKUP("PCS-30820g",[7]ARBOR!$A:$C,3,0),6)),-TRUNC(DP20/VLOOKUP("PCS-30820g",[7]ARBOR!$A:$C,3,0)-1,4)+0.0001,-TRUNC(DP20/VLOOKUP("PCS-30820g",[7]ARBOR!$A:$C,3,0)-1,4)))))</f>
        <v>0.75109999999999999</v>
      </c>
      <c r="DR20" s="65" t="str">
        <f>IF(ISERROR(IF(DQ20="","",VLOOKUP(($BH20&amp;DQ20&amp;"Template de desconto FLAT bundle - Velox XDSL - Varejo"),[7]BENEFICIOS!$A:$E,5,0))),"Criar",IF(DQ20="","",VLOOKUP(($BH20&amp;DQ20&amp;"Template de desconto FLAT bundle - Velox XDSL - Varejo"),[7]BENEFICIOS!$A:$E,5,0)))</f>
        <v>MKT-1-9865191384</v>
      </c>
      <c r="DS20" s="69"/>
      <c r="DT20" s="70"/>
      <c r="DU20" s="64"/>
      <c r="DV20" s="65"/>
      <c r="DW20" s="71"/>
      <c r="DX20" s="64" t="str">
        <f>IF(DW20=0,"",IF(DW20=VLOOKUP("PCS-21448p2",[7]ARBOR!$A:$C,3,0),0.0001,IF(DW20&gt;VLOOKUP("PCS-21448p2",[7]ARBOR!$A:$C,3,0),"Maior que CAP!",IF((DOLLAR(DW20+(VLOOKUP("PCS-21448p2",[7]ARBOR!$A:$C,3,0)*-TRUNC(DW20/VLOOKUP("PCS-21448p2",[7]ARBOR!$A:$C,3,0)-1,4)),6))&lt;&gt;(DOLLAR(VLOOKUP("PCS-21448p2",[7]ARBOR!$A:$C,3,0),6)),-TRUNC(DW20/VLOOKUP("PCS-21448p2",[7]ARBOR!$A:$C,3,0)-1,4)+0.0001,-TRUNC(DW20/VLOOKUP("PCS-21448p2",[7]ARBOR!$A:$C,3,0)-1,4)))))</f>
        <v/>
      </c>
      <c r="DY20" s="65" t="str">
        <f>IF(ISERROR(IF(DX20="","",VLOOKUP(("Oi Conta Total Plug 10GB Downgrade"&amp;DX20&amp;"Template de desconto percentual BL Móvel - Internet Total - Varejo"),[7]BENEFICIOS!$A:$E,5,0))),"Criar",IF(DX20="","",VLOOKUP(("Oi Conta Total Plug 10GB Downgrade"&amp;DX20&amp;"Template de desconto percentual BL Móvel - Internet Total - Varejo"),[7]BENEFICIOS!$A:$E,5,0)))</f>
        <v/>
      </c>
      <c r="DZ20" s="71">
        <v>19.899999999999999</v>
      </c>
      <c r="EA20" s="72">
        <f>IF(DZ20=0,"",IF(DZ20=VLOOKUP("SVA",[7]ARBOR!$A:$C,3,0),0.0001,IF(DZ20&gt;VLOOKUP("SVA",[7]ARBOR!$A:$C,3,0),"Maior que CAP!",IF((DOLLAR(DZ20+(VLOOKUP("SVA",[7]ARBOR!$A:$C,3,0)*-TRUNC(DZ20/VLOOKUP("SVA",[7]ARBOR!$A:$C,3,0)-1,4)),6))&lt;&gt;(DOLLAR(VLOOKUP("SVA",[7]ARBOR!$A:$C,3,0),6)),-TRUNC(DZ20/VLOOKUP("SVA",[7]ARBOR!$A:$C,3,0)-1,4)+0.0001,-TRUNC(DZ20/VLOOKUP("SVA",[7]ARBOR!$A:$C,3,0)-1,4)))))</f>
        <v>7.1400000000000005E-2</v>
      </c>
      <c r="EB20" s="65" t="s">
        <v>244</v>
      </c>
      <c r="EC20" s="69"/>
      <c r="ED20" s="73"/>
      <c r="EE20" s="74"/>
      <c r="EF20" s="65"/>
      <c r="EG20" s="75">
        <f>IF(BI20="","",VLOOKUP(BI20,[7]ARBOR!A:C,3,0))</f>
        <v>479.46</v>
      </c>
      <c r="EH20" s="69">
        <v>15</v>
      </c>
      <c r="EI20" s="76">
        <f>IF(EH20="","",1-(EH20/VLOOKUP(BI20&amp;"ASS",[7]ARBOR!A:C,3,0)))</f>
        <v>0.34725848563968664</v>
      </c>
      <c r="EJ20" s="77" t="s">
        <v>227</v>
      </c>
      <c r="EK20" s="78" t="s">
        <v>228</v>
      </c>
      <c r="EL20" s="69">
        <v>125.13000000000001</v>
      </c>
      <c r="EM20" s="64">
        <f>IF(EL20=0,"",IF(EL20=EG20,0.0001,ROUND(1-((EL20+(VLOOKUP(BI20&amp;"ASS",[7]ARBOR!A:C,3,0)-EH20))/EG20),4)))</f>
        <v>0.72240000000000004</v>
      </c>
      <c r="EN20" s="65" t="str">
        <f>IF(ISERROR(IF(EM20="","",VLOOKUP(($BH20&amp;EM20&amp;"Template de desconto percentual FLAT Móvel - Conta Total - Varejo - Ganho Tributário Cross"),[7]BENEFICIOS!$A:$E,5,0))),"Criar",IF(EM20="","",VLOOKUP(($BH20&amp;EM20&amp;"Template de desconto percentual FLAT Móvel - Conta Total - Varejo - Ganho Tributário Cross"),[7]BENEFICIOS!$A:$E,5,0)))</f>
        <v>MKT-1-10032167651</v>
      </c>
      <c r="EO20" s="79"/>
      <c r="EP20" s="64"/>
      <c r="EQ20" s="72"/>
      <c r="ER20" s="72"/>
      <c r="ES20" s="64"/>
      <c r="ET20" s="80"/>
      <c r="EU20" s="81" t="s">
        <v>247</v>
      </c>
      <c r="EV20" s="81" t="s">
        <v>254</v>
      </c>
      <c r="EW20" s="82"/>
      <c r="EX20" s="83"/>
      <c r="EY20" s="84"/>
      <c r="EZ20" s="82"/>
      <c r="FA20" s="83"/>
      <c r="FB20" s="84"/>
      <c r="FC20" s="82"/>
      <c r="FD20" s="83" t="str">
        <f>IF(FC20=0,"",IF(FC20=VLOOKUP("PCS-10357",[7]ARBOR!$A:$C,3,0),0.0001,IF(FC20&gt;VLOOKUP("PCS-10357",[7]ARBOR!$A:$C,3,0),"Maior que CAP!",ROUND(-1*(FC20/VLOOKUP("PCS-10357",[7]ARBOR!$A:$C,3,0)-1),4))))</f>
        <v/>
      </c>
      <c r="FE20" s="84" t="str">
        <f>IF(ISERROR(IF(FD20="","",VLOOKUP(("Oi Internet Pra Celular 1GB"&amp;FD20&amp;"Template Flat Instância Dados"),[7]BENEFICIOS!$A:$E,5,0))),"Criar",IF(FD20="","",VLOOKUP(("Oi Internet Pra Celular 1GB"&amp;FD20&amp;"Template Flat Instância Dados"),[7]BENEFICIOS!$A:$E,5,0)))</f>
        <v/>
      </c>
      <c r="FF20" s="82">
        <v>9.77</v>
      </c>
      <c r="FG20" s="83">
        <f>IF(FF20=0,"",IF(FF20=VLOOKUP("PCS-813565",[7]ARBOR!$A:$C,3,0),0.0001,IF(FF20&gt;VLOOKUP("PCS-813565",[7]ARBOR!$A:$C,3,0),"Maior que CAP!",ROUND(-1*(FF20/VLOOKUP("PCS-813565",[7]ARBOR!$A:$C,3,0)-1),4))))</f>
        <v>0.74260000000000004</v>
      </c>
      <c r="FH20" s="84" t="str">
        <f>IF(ISERROR(IF(FG20="","",VLOOKUP(("Oi Internet Pra Celular 2GB"&amp;FG20&amp;"Template Flat Instância Dados"),[7]BENEFICIOS!$A:$E,5,0))),"Criar",IF(FG20="","",VLOOKUP(("Oi Internet Pra Celular 2GB"&amp;FG20&amp;"Template Flat Instância Dados"),[7]BENEFICIOS!$A:$E,5,0)))</f>
        <v>MKT-1-9870023571</v>
      </c>
      <c r="FI20" s="82"/>
      <c r="FJ20" s="83" t="str">
        <f>IF(FI20=0,"",IF(FI20=VLOOKUP("PCS-7171B",[7]ARBOR!$A:$C,3,0),0.0001,IF(FI20&gt;VLOOKUP("PCS-7171B",[7]ARBOR!$A:$C,3,0),"Maior que CAP!",ROUND(-1*(FI20/VLOOKUP("PCS-7171B",[7]ARBOR!$A:$C,3,0)-1),4))))</f>
        <v/>
      </c>
      <c r="FK20" s="84" t="str">
        <f>IF(ISERROR(IF(FJ20="","",VLOOKUP(("Oi Internet Pra Celular 3GB"&amp;FJ20&amp;"Template Flat Instância Dados"),[7]BENEFICIOS!$A:$E,5,0))),"Criar",IF(FJ20="","",VLOOKUP(("Oi Internet Pra Celular 3GB"&amp;FJ20&amp;"Template Flat Instância Dados"),[7]BENEFICIOS!$A:$E,5,0)))</f>
        <v/>
      </c>
      <c r="FL20" s="82"/>
      <c r="FM20" s="83" t="str">
        <f>IF(FL20=0,"",IF(FL20=VLOOKUP("PCS-51793o08",[7]ARBOR!$A:$C,3,0),0.0001,IF(FL20&gt;VLOOKUP("PCS-51793o08",[7]ARBOR!$A:$C,3,0),"Maior que CAP!",ROUND(-1*(FL20/VLOOKUP("PCS-51793o08",[7]ARBOR!$A:$C,3,0)-1),4))))</f>
        <v/>
      </c>
      <c r="FN20" s="84" t="str">
        <f>IF(ISERROR(IF(FM20="","",VLOOKUP(("Oi Internet Pra Celular 5GB"&amp;FM20&amp;"Template Flat Instância Dados"),[7]BENEFICIOS!$A:$E,5,0))),"Criar",IF(FM20="","",VLOOKUP(("Oi Internet Pra Celular 5GB"&amp;FM20&amp;"Template Flat Instância Dados"),[7]BENEFICIOS!$A:$E,5,0)))</f>
        <v/>
      </c>
      <c r="FO20" s="82"/>
      <c r="FP20" s="83" t="str">
        <f>IF(FO20=0,"",IF(FO20=VLOOKUP("PCS-7171A",[7]ARBOR!$A:$C,3,0),0.0001,IF(FO20&gt;VLOOKUP("PCS-7171A",[7]ARBOR!$A:$C,3,0),"Maior que CAP!",ROUND(-1*(FO20/VLOOKUP("PCS-7171A",[7]ARBOR!$A:$C,3,0)-1),4))))</f>
        <v/>
      </c>
      <c r="FQ20" s="84" t="str">
        <f>IF(ISERROR(IF(FP20="","",VLOOKUP(("Oi Internet Pra Celular 10GB"&amp;FP20&amp;"Template Flat Instância Dados"),[7]BENEFICIOS!$A:$E,5,0))),"Criar",IF(FP20="","",VLOOKUP(("Oi Internet Pra Celular 10GB"&amp;FP20&amp;"Template Flat Instância Dados"),[7]BENEFICIOS!$A:$E,5,0)))</f>
        <v/>
      </c>
      <c r="FR20" s="85">
        <v>0.74219999999999997</v>
      </c>
      <c r="FS20" s="86" t="s">
        <v>249</v>
      </c>
      <c r="FT20" s="48"/>
      <c r="FU20" s="87"/>
      <c r="FV20" s="88" t="s">
        <v>224</v>
      </c>
      <c r="FW20" s="49" t="s">
        <v>229</v>
      </c>
      <c r="FX20" s="89">
        <v>999</v>
      </c>
      <c r="FY20" s="49">
        <v>12</v>
      </c>
      <c r="FZ20" s="90" t="s">
        <v>230</v>
      </c>
      <c r="GA20" s="91" t="str">
        <f t="shared" si="1"/>
        <v>PCS-Fk83324</v>
      </c>
      <c r="GB20" s="92" t="str">
        <f t="shared" si="2"/>
        <v>PCS-SBL553142</v>
      </c>
      <c r="GC20" s="93" t="s">
        <v>231</v>
      </c>
      <c r="GD20" s="90" t="s">
        <v>232</v>
      </c>
      <c r="GE20" s="92" t="s">
        <v>233</v>
      </c>
      <c r="GF20" s="93" t="s">
        <v>234</v>
      </c>
      <c r="GG20" s="90" t="s">
        <v>235</v>
      </c>
      <c r="GH20" s="92" t="s">
        <v>236</v>
      </c>
      <c r="GI20" s="94" t="s">
        <v>237</v>
      </c>
      <c r="GJ20" s="95">
        <f>FF20+EL20+CN20+BJ20</f>
        <v>234.9</v>
      </c>
      <c r="GK20" s="96"/>
      <c r="GL20" s="97" t="s">
        <v>238</v>
      </c>
      <c r="GM20" s="98" t="s">
        <v>275</v>
      </c>
      <c r="GN20" s="97">
        <v>14</v>
      </c>
      <c r="GO20" s="99">
        <v>3.61</v>
      </c>
      <c r="GP20" s="76">
        <v>0.74209999999999998</v>
      </c>
      <c r="GQ20" s="97">
        <v>10.38</v>
      </c>
      <c r="GR20" s="97">
        <v>3.6199999999999992</v>
      </c>
      <c r="GS20" s="101"/>
      <c r="GT20" s="101"/>
      <c r="GU20" s="102" t="b">
        <v>0</v>
      </c>
      <c r="GV20" s="103">
        <v>9.9999999999993427E-3</v>
      </c>
      <c r="GW20" s="44" t="s">
        <v>286</v>
      </c>
      <c r="GX20" s="44" t="s">
        <v>241</v>
      </c>
    </row>
    <row r="21" spans="1:206" s="44" customFormat="1" x14ac:dyDescent="0.25">
      <c r="A21" s="44" t="str">
        <f t="shared" si="0"/>
        <v>Oi Total Fixo + Pós 800 + Banda LargaN23GBMG</v>
      </c>
      <c r="B21" s="45" t="s">
        <v>214</v>
      </c>
      <c r="C21" s="46" t="s">
        <v>130</v>
      </c>
      <c r="D21" s="46" t="s">
        <v>215</v>
      </c>
      <c r="E21" s="47" t="s">
        <v>216</v>
      </c>
      <c r="F21" s="88" t="s">
        <v>217</v>
      </c>
      <c r="G21" s="49"/>
      <c r="H21" s="49"/>
      <c r="I21" s="49"/>
      <c r="J21" s="49" t="s">
        <v>217</v>
      </c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 t="s">
        <v>217</v>
      </c>
      <c r="AC21" s="49" t="s">
        <v>217</v>
      </c>
      <c r="AD21" s="49" t="s">
        <v>217</v>
      </c>
      <c r="AE21" s="49" t="s">
        <v>217</v>
      </c>
      <c r="AF21" s="49" t="s">
        <v>217</v>
      </c>
      <c r="AG21" s="49" t="s">
        <v>217</v>
      </c>
      <c r="AH21" s="50"/>
      <c r="AI21" s="49" t="s">
        <v>217</v>
      </c>
      <c r="AJ21" s="49" t="s">
        <v>217</v>
      </c>
      <c r="AK21" s="49" t="s">
        <v>217</v>
      </c>
      <c r="AL21" s="49" t="s">
        <v>217</v>
      </c>
      <c r="AM21" s="49" t="s">
        <v>217</v>
      </c>
      <c r="AN21" s="49" t="s">
        <v>217</v>
      </c>
      <c r="AO21" s="49" t="s">
        <v>217</v>
      </c>
      <c r="AP21" s="49"/>
      <c r="AQ21" s="51"/>
      <c r="AR21" s="52" t="s">
        <v>287</v>
      </c>
      <c r="AS21" s="46" t="s">
        <v>219</v>
      </c>
      <c r="AT21" s="53" t="s">
        <v>220</v>
      </c>
      <c r="AU21" s="54">
        <v>42972</v>
      </c>
      <c r="AV21" s="105">
        <v>43097</v>
      </c>
      <c r="AW21" s="56" t="s">
        <v>221</v>
      </c>
      <c r="AX21" s="57" t="s">
        <v>221</v>
      </c>
      <c r="AY21" s="58"/>
      <c r="AZ21" s="58" t="s">
        <v>222</v>
      </c>
      <c r="BA21" s="58">
        <v>20</v>
      </c>
      <c r="BB21" s="58">
        <v>10000</v>
      </c>
      <c r="BC21" s="59" t="s">
        <v>223</v>
      </c>
      <c r="BD21" s="60" t="s">
        <v>224</v>
      </c>
      <c r="BE21" s="58" t="s">
        <v>216</v>
      </c>
      <c r="BF21" s="51" t="s">
        <v>216</v>
      </c>
      <c r="BG21" s="45" t="s">
        <v>287</v>
      </c>
      <c r="BH21" s="61" t="s">
        <v>225</v>
      </c>
      <c r="BI21" s="62" t="str">
        <f>IF(ISERROR(VLOOKUP(BH21,[7]PLANOS!B:C,2,0)),"",VLOOKUP(BH21,[7]PLANOS!B:C,2,0))</f>
        <v>PCS-4P6pi</v>
      </c>
      <c r="BJ21" s="63">
        <v>50.1</v>
      </c>
      <c r="BK21" s="64">
        <f>IF(BJ21=0,"",IF(BJ21=VLOOKUP("FIXO",[7]ARBOR!$A:$C,3,0),0.0001,IF(BJ21&gt;VLOOKUP("FIXO",[7]ARBOR!$A:$C,3,0),"Maior que CAP!",IF((DOLLAR(BJ21+(VLOOKUP("FIXO",[7]ARBOR!$A:$C,3,0)*-TRUNC(BJ21/VLOOKUP("FIXO",[7]ARBOR!$A:$C,3,0)-1,4)),6))&lt;&gt;(DOLLAR(VLOOKUP("FIXO",[7]ARBOR!$A:$C,3,0),6)),-TRUNC(BJ21/VLOOKUP("FIXO",[7]ARBOR!$A:$C,3,0)-1,4)+0.0001,-TRUNC(BJ21/VLOOKUP("FIXO",[7]ARBOR!$A:$C,3,0)-1,4)))))</f>
        <v>0.33939999999999998</v>
      </c>
      <c r="BL21" s="65" t="str">
        <f>IF(ISERROR(IF(BK21="","",VLOOKUP(($BH21&amp;BK21&amp;"Template de desconto FLAT bundle - Fixo - Varejo - Ganho Tributário Cross"),[7]BENEFICIOS!$A:$E,5,0))),"Criar",IF(BK21="","",VLOOKUP(($BH21&amp;BK21&amp;"Template de desconto FLAT bundle - Fixo - Varejo - Ganho Tributário Cross"),[7]BENEFICIOS!$A:$E,5,0)))</f>
        <v>MKT-1-9856472058</v>
      </c>
      <c r="BM21" s="66"/>
      <c r="BN21" s="67"/>
      <c r="BO21" s="68" t="s">
        <v>164</v>
      </c>
      <c r="BP21" s="69">
        <v>44.9</v>
      </c>
      <c r="BQ21" s="64">
        <f>IF(BP21=0,"",IF(BP21=VLOOKUP("PCS-30874g",[7]ARBOR!$A:$C,3,0),0.0001,IF(BP21&gt;VLOOKUP("PCS-30874g",[7]ARBOR!$A:$C,3,0),"Maior que CAP!",IF((DOLLAR(BP21+(VLOOKUP("PCS-30874g",[7]ARBOR!$A:$C,3,0)*-TRUNC(BP21/VLOOKUP("PCS-30874g",[7]ARBOR!$A:$C,3,0)-1,4)),6))&lt;&gt;(DOLLAR(VLOOKUP("PCS-30874g",[7]ARBOR!$A:$C,3,0),6)),-TRUNC(BP21/VLOOKUP("PCS-30874g",[7]ARBOR!$A:$C,3,0)-1,4)+0.0001,-TRUNC(BP21/VLOOKUP("PCS-30874g",[7]ARBOR!$A:$C,3,0)-1,4)))))</f>
        <v>0.53679999999999994</v>
      </c>
      <c r="BR21" s="65" t="str">
        <f>IF(ISERROR(IF(BQ21="","",VLOOKUP(($BH21&amp;BQ21&amp;"Template de desconto FLAT bundle - Velox XDSL - Varejo"),[7]BENEFICIOS!$A:$E,5,0))),"Criar",IF(BQ21="","",VLOOKUP(($BH21&amp;BQ21&amp;"Template de desconto FLAT bundle - Velox XDSL - Varejo"),[7]BENEFICIOS!$A:$E,5,0)))</f>
        <v>MKT-1-9865126733</v>
      </c>
      <c r="BS21" s="68" t="s">
        <v>164</v>
      </c>
      <c r="BT21" s="69">
        <v>44.9</v>
      </c>
      <c r="BU21" s="64">
        <f>IF(BT21=0,"",IF(BT21=VLOOKUP("PCS-30577g",[7]ARBOR!$A:$C,3,0),0.0001,IF(BT21&gt;VLOOKUP("PCS-30577g",[7]ARBOR!$A:$C,3,0),"Maior que CAP!",IF((DOLLAR(BT21+(VLOOKUP("PCS-30577g",[7]ARBOR!$A:$C,3,0)*-TRUNC(BT21/VLOOKUP("PCS-30577g",[7]ARBOR!$A:$C,3,0)-1,4)),6))&lt;&gt;(DOLLAR(VLOOKUP("PCS-30577g",[7]ARBOR!$A:$C,3,0),6)),-TRUNC(BT21/VLOOKUP("PCS-30577g",[7]ARBOR!$A:$C,3,0)-1,4)+0.0001,-TRUNC(BT21/VLOOKUP("PCS-30577g",[7]ARBOR!$A:$C,3,0)-1,4)))))</f>
        <v>0.53679999999999994</v>
      </c>
      <c r="BV21" s="65" t="str">
        <f>IF(ISERROR(IF(BU21="","",VLOOKUP(($BH21&amp;BU21&amp;"Template de desconto FLAT bundle - Velox XDSL - Varejo"),[7]BENEFICIOS!$A:$E,5,0))),"Criar",IF(BU21="","",VLOOKUP(($BH21&amp;BU21&amp;"Template de desconto FLAT bundle - Velox XDSL - Varejo"),[7]BENEFICIOS!$A:$E,5,0)))</f>
        <v>MKT-1-9865126733</v>
      </c>
      <c r="BW21" s="68" t="s">
        <v>164</v>
      </c>
      <c r="BX21" s="69">
        <v>44.9</v>
      </c>
      <c r="BY21" s="64">
        <f>IF(BX21=0,"",IF(BX21=VLOOKUP("PCS-30604g",[7]ARBOR!$A:$C,3,0),0.0001,IF(BX21&gt;VLOOKUP("PCS-30604g",[7]ARBOR!$A:$C,3,0),"Maior que CAP!",IF((DOLLAR(BX21+(VLOOKUP("PCS-30604g",[7]ARBOR!$A:$C,3,0)*-TRUNC(BX21/VLOOKUP("PCS-30604g",[7]ARBOR!$A:$C,3,0)-1,4)),6))&lt;&gt;(DOLLAR(VLOOKUP("PCS-30604g",[7]ARBOR!$A:$C,3,0),6)),-TRUNC(BX21/VLOOKUP("PCS-30604g",[7]ARBOR!$A:$C,3,0)-1,4)+0.0001,-TRUNC(BX21/VLOOKUP("PCS-30604g",[7]ARBOR!$A:$C,3,0)-1,4)))))</f>
        <v>0.53679999999999994</v>
      </c>
      <c r="BZ21" s="65" t="str">
        <f>IF(ISERROR(IF(BY21="","",VLOOKUP(($BH21&amp;BY21&amp;"Template de desconto FLAT bundle - Velox XDSL - Varejo"),[7]BENEFICIOS!$A:$E,5,0))),"Criar",IF(BY21="","",VLOOKUP(($BH21&amp;BY21&amp;"Template de desconto FLAT bundle - Velox XDSL - Varejo"),[7]BENEFICIOS!$A:$E,5,0)))</f>
        <v>MKT-1-9865126733</v>
      </c>
      <c r="CA21" s="68" t="s">
        <v>164</v>
      </c>
      <c r="CB21" s="69">
        <v>44.9</v>
      </c>
      <c r="CC21" s="64">
        <f>IF(CB21=0,"",IF(CB21=VLOOKUP("PCS-30631g",[7]ARBOR!$A:$C,3,0),0.0001,IF(CB21&gt;VLOOKUP("PCS-30631g",[7]ARBOR!$A:$C,3,0),"Maior que CAP!",IF((DOLLAR(CB21+(VLOOKUP("PCS-30631g",[7]ARBOR!$A:$C,3,0)*-TRUNC(CB21/VLOOKUP("PCS-30631g",[7]ARBOR!$A:$C,3,0)-1,4)),6))&lt;&gt;(DOLLAR(VLOOKUP("PCS-30631g",[7]ARBOR!$A:$C,3,0),6)),-TRUNC(CB21/VLOOKUP("PCS-30631g",[7]ARBOR!$A:$C,3,0)-1,4)+0.0001,-TRUNC(CB21/VLOOKUP("PCS-30631g",[7]ARBOR!$A:$C,3,0)-1,4)))))</f>
        <v>0.54310000000000003</v>
      </c>
      <c r="CD21" s="65" t="str">
        <f>IF(ISERROR(IF(CC21="","",VLOOKUP(($BH21&amp;CC21&amp;"Template de desconto FLAT bundle - Velox XDSL - Varejo"),[7]BENEFICIOS!$A:$E,5,0))),"Criar",IF(CC21="","",VLOOKUP(($BH21&amp;CC21&amp;"Template de desconto FLAT bundle - Velox XDSL - Varejo"),[7]BENEFICIOS!$A:$E,5,0)))</f>
        <v>MKT-1-9865126826</v>
      </c>
      <c r="CE21" s="68"/>
      <c r="CF21" s="69"/>
      <c r="CG21" s="64" t="str">
        <f>IF(CF21=0,"",IF(CF21=VLOOKUP("PCS-30658g",[7]ARBOR!$A:$C,3,0),0.0001,IF(CF21&gt;VLOOKUP("PCS-30658g",[7]ARBOR!$A:$C,3,0),"Maior que CAP!",IF((DOLLAR(CF21+(VLOOKUP("PCS-30658g",[7]ARBOR!$A:$C,3,0)*-TRUNC(CF21/VLOOKUP("PCS-30658g",[7]ARBOR!$A:$C,3,0)-1,4)),6))&lt;&gt;(DOLLAR(VLOOKUP("PCS-30658g",[7]ARBOR!$A:$C,3,0),6)),-TRUNC(CF21/VLOOKUP("PCS-30658g",[7]ARBOR!$A:$C,3,0)-1,4)+0.0001,-TRUNC(CF21/VLOOKUP("PCS-30658g",[7]ARBOR!$A:$C,3,0)-1,4)))))</f>
        <v/>
      </c>
      <c r="CH21" s="65" t="str">
        <f>IF(ISERROR(IF(CG21="","",VLOOKUP(($BH21&amp;CG21&amp;"Template de desconto FLAT bundle - Velox XDSL - Varejo"),[7]BENEFICIOS!$A:$E,5,0))),"Criar",IF(CG21="","",VLOOKUP(($BH21&amp;CG21&amp;"Template de desconto FLAT bundle - Velox XDSL - Varejo"),[7]BENEFICIOS!$A:$E,5,0)))</f>
        <v/>
      </c>
      <c r="CI21" s="68"/>
      <c r="CJ21" s="69"/>
      <c r="CK21" s="64" t="str">
        <f>IF(CJ21=0,"",IF(CJ21=VLOOKUP("PCS-30685g",[7]ARBOR!$A:$C,3,0),0.0001,IF(CJ21&gt;VLOOKUP("PCS-30685g",[7]ARBOR!$A:$C,3,0),"Maior que CAP!",IF((DOLLAR(CJ21+(VLOOKUP("PCS-30685g",[7]ARBOR!$A:$C,3,0)*-TRUNC(CJ21/VLOOKUP("PCS-30685g",[7]ARBOR!$A:$C,3,0)-1,4)),6))&lt;&gt;(DOLLAR(VLOOKUP("PCS-30685g",[7]ARBOR!$A:$C,3,0),6)),-TRUNC(CJ21/VLOOKUP("PCS-30685g",[7]ARBOR!$A:$C,3,0)-1,4)+0.0001,-TRUNC(CJ21/VLOOKUP("PCS-30685g",[7]ARBOR!$A:$C,3,0)-1,4)))))</f>
        <v/>
      </c>
      <c r="CL21" s="65" t="str">
        <f>IF(ISERROR(IF(CK21="","",VLOOKUP(($BH21&amp;CK21&amp;"Template de desconto FLAT bundle - Velox XDSL - Varejo"),[7]BENEFICIOS!$A:$E,5,0))),"Criar",IF(CK21="","",VLOOKUP(($BH21&amp;CK21&amp;"Template de desconto FLAT bundle - Velox XDSL - Varejo"),[7]BENEFICIOS!$A:$E,5,0)))</f>
        <v/>
      </c>
      <c r="CM21" s="68"/>
      <c r="CN21" s="69"/>
      <c r="CO21" s="64" t="str">
        <f>IF(CN21=0,"",IF(CN21=VLOOKUP("PCS-30712g",[7]ARBOR!$A:$C,3,0),0.0001,IF(CN21&gt;VLOOKUP("PCS-30712g",[7]ARBOR!$A:$C,3,0),"Maior que CAP!",IF((DOLLAR(CN21+(VLOOKUP("PCS-30712g",[7]ARBOR!$A:$C,3,0)*-TRUNC(CN21/VLOOKUP("PCS-30712g",[7]ARBOR!$A:$C,3,0)-1,4)),6))&lt;&gt;(DOLLAR(VLOOKUP("PCS-30712g",[7]ARBOR!$A:$C,3,0),6)),-TRUNC(CN21/VLOOKUP("PCS-30712g",[7]ARBOR!$A:$C,3,0)-1,4)+0.0001,-TRUNC(CN21/VLOOKUP("PCS-30712g",[7]ARBOR!$A:$C,3,0)-1,4)))))</f>
        <v/>
      </c>
      <c r="CP21" s="65" t="str">
        <f>IF(ISERROR(IF(CO21="","",VLOOKUP(($BH21&amp;CO21&amp;"Template de desconto FLAT bundle - Velox XDSL - Varejo"),[7]BENEFICIOS!$A:$E,5,0))),"Criar",IF(CO21="","",VLOOKUP(($BH21&amp;CO21&amp;"Template de desconto FLAT bundle - Velox XDSL - Varejo"),[7]BENEFICIOS!$A:$E,5,0)))</f>
        <v/>
      </c>
      <c r="CQ21" s="68"/>
      <c r="CR21" s="69"/>
      <c r="CS21" s="64" t="str">
        <f>IF(CR21=0,"",IF(CR21=VLOOKUP("PCS-30739g",[7]ARBOR!$A:$C,3,0),0.0001,IF(CR21&gt;VLOOKUP("PCS-30739g",[7]ARBOR!$A:$C,3,0),"Maior que CAP!",IF((DOLLAR(CR21+(VLOOKUP("PCS-30739g",[7]ARBOR!$A:$C,3,0)*-TRUNC(CR21/VLOOKUP("PCS-30739g",[7]ARBOR!$A:$C,3,0)-1,4)),6))&lt;&gt;(DOLLAR(VLOOKUP("PCS-30739g",[7]ARBOR!$A:$C,3,0),6)),-TRUNC(CR21/VLOOKUP("PCS-30739g",[7]ARBOR!$A:$C,3,0)-1,4)+0.0001,-TRUNC(CR21/VLOOKUP("PCS-30739g",[7]ARBOR!$A:$C,3,0)-1,4)))))</f>
        <v/>
      </c>
      <c r="CT21" s="65" t="str">
        <f>IF(ISERROR(IF(CS21="","",VLOOKUP(($BH21&amp;CS21&amp;"Template de desconto FLAT bundle - Velox XDSL - Varejo"),[7]BENEFICIOS!$A:$E,5,0))),"Criar",IF(CS21="","",VLOOKUP(($BH21&amp;CS21&amp;"Template de desconto FLAT bundle - Velox XDSL - Varejo"),[7]BENEFICIOS!$A:$E,5,0)))</f>
        <v/>
      </c>
      <c r="CU21" s="69"/>
      <c r="CV21" s="70"/>
      <c r="CW21" s="64"/>
      <c r="CX21" s="65"/>
      <c r="CY21" s="68"/>
      <c r="CZ21" s="69"/>
      <c r="DA21" s="64" t="str">
        <f>IF(CZ21=0,"",IF(CZ21=VLOOKUP("PCS-30766g",[7]ARBOR!$A:$C,3,0),0.0001,IF(CZ21&gt;VLOOKUP("PCS-30766g",[7]ARBOR!$A:$C,3,0),"Maior que CAP!",IF((DOLLAR(CZ21+(VLOOKUP("PCS-30766g",[7]ARBOR!$A:$C,3,0)*-TRUNC(CZ21/VLOOKUP("PCS-30766g",[7]ARBOR!$A:$C,3,0)-1,4)),6))&lt;&gt;(DOLLAR(VLOOKUP("PCS-30766g",[7]ARBOR!$A:$C,3,0),6)),-TRUNC(CZ21/VLOOKUP("PCS-30766g",[7]ARBOR!$A:$C,3,0)-1,4)+0.0001,-TRUNC(CZ21/VLOOKUP("PCS-30766g",[7]ARBOR!$A:$C,3,0)-1,4)))))</f>
        <v/>
      </c>
      <c r="DB21" s="65" t="str">
        <f>IF(ISERROR(IF(DA21="","",VLOOKUP(($BH21&amp;DA21&amp;"Template de desconto FLAT bundle - Velox XDSL - Varejo"),[7]BENEFICIOS!$A:$E,5,0))),"Criar",IF(DA21="","",VLOOKUP(($BH21&amp;DA21&amp;"Template de desconto FLAT bundle - Velox XDSL - Varejo"),[7]BENEFICIOS!$A:$E,5,0)))</f>
        <v/>
      </c>
      <c r="DC21" s="69"/>
      <c r="DD21" s="70"/>
      <c r="DE21" s="64"/>
      <c r="DF21" s="65"/>
      <c r="DG21" s="68"/>
      <c r="DH21" s="69"/>
      <c r="DI21" s="64" t="str">
        <f>IF(DH21=0,"",IF(DH21=VLOOKUP("PCS-30793g",[7]ARBOR!$A:$C,3,0),0.0001,IF(DH21&gt;VLOOKUP("PCS-30793g",[7]ARBOR!$A:$C,3,0),"Maior que CAP!",IF((DOLLAR(DH21+(VLOOKUP("PCS-30793g",[7]ARBOR!$A:$C,3,0)*-TRUNC(DH21/VLOOKUP("PCS-30793g",[7]ARBOR!$A:$C,3,0)-1,4)),6))&lt;&gt;(DOLLAR(VLOOKUP("PCS-30793g",[7]ARBOR!$A:$C,3,0),6)),-TRUNC(DH21/VLOOKUP("PCS-30793g",[7]ARBOR!$A:$C,3,0)-1,4)+0.0001,-TRUNC(DH21/VLOOKUP("PCS-30793g",[7]ARBOR!$A:$C,3,0)-1,4)))))</f>
        <v/>
      </c>
      <c r="DJ21" s="65" t="str">
        <f>IF(ISERROR(IF(DI21="","",VLOOKUP(($BH21&amp;DI21&amp;"Template de desconto FLAT bundle - Velox XDSL - Varejo"),[7]BENEFICIOS!$A:$E,5,0))),"Criar",IF(DI21="","",VLOOKUP(($BH21&amp;DI21&amp;"Template de desconto FLAT bundle - Velox XDSL - Varejo"),[7]BENEFICIOS!$A:$E,5,0)))</f>
        <v/>
      </c>
      <c r="DK21" s="69"/>
      <c r="DL21" s="70"/>
      <c r="DM21" s="64"/>
      <c r="DN21" s="65"/>
      <c r="DO21" s="68"/>
      <c r="DP21" s="69"/>
      <c r="DQ21" s="64" t="str">
        <f>IF(DP21=0,"",IF(DP21=VLOOKUP("PCS-30820g",[7]ARBOR!$A:$C,3,0),0.0001,IF(DP21&gt;VLOOKUP("PCS-30820g",[7]ARBOR!$A:$C,3,0),"Maior que CAP!",IF((DOLLAR(DP21+(VLOOKUP("PCS-30820g",[7]ARBOR!$A:$C,3,0)*-TRUNC(DP21/VLOOKUP("PCS-30820g",[7]ARBOR!$A:$C,3,0)-1,4)),6))&lt;&gt;(DOLLAR(VLOOKUP("PCS-30820g",[7]ARBOR!$A:$C,3,0),6)),-TRUNC(DP21/VLOOKUP("PCS-30820g",[7]ARBOR!$A:$C,3,0)-1,4)+0.0001,-TRUNC(DP21/VLOOKUP("PCS-30820g",[7]ARBOR!$A:$C,3,0)-1,4)))))</f>
        <v/>
      </c>
      <c r="DR21" s="65" t="str">
        <f>IF(ISERROR(IF(DQ21="","",VLOOKUP(($BH21&amp;DQ21&amp;"Template de desconto FLAT bundle - Velox XDSL - Varejo"),[7]BENEFICIOS!$A:$E,5,0))),"Criar",IF(DQ21="","",VLOOKUP(($BH21&amp;DQ21&amp;"Template de desconto FLAT bundle - Velox XDSL - Varejo"),[7]BENEFICIOS!$A:$E,5,0)))</f>
        <v/>
      </c>
      <c r="DS21" s="69"/>
      <c r="DT21" s="70"/>
      <c r="DU21" s="64"/>
      <c r="DV21" s="65"/>
      <c r="DW21" s="71">
        <v>44.9</v>
      </c>
      <c r="DX21" s="64">
        <f>IF(DW21=0,"",IF(DW21=VLOOKUP("PCS-21448p2",[7]ARBOR!$A:$C,3,0),0.0001,IF(DW21&gt;VLOOKUP("PCS-21448p2",[7]ARBOR!$A:$C,3,0),"Maior que CAP!",IF((DOLLAR(DW21+(VLOOKUP("PCS-21448p2",[7]ARBOR!$A:$C,3,0)*-TRUNC(DW21/VLOOKUP("PCS-21448p2",[7]ARBOR!$A:$C,3,0)-1,4)),6))&lt;&gt;(DOLLAR(VLOOKUP("PCS-21448p2",[7]ARBOR!$A:$C,3,0),6)),-TRUNC(DW21/VLOOKUP("PCS-21448p2",[7]ARBOR!$A:$C,3,0)-1,4)+0.0001,-TRUNC(DW21/VLOOKUP("PCS-21448p2",[7]ARBOR!$A:$C,3,0)-1,4)))))</f>
        <v>0.64900000000000002</v>
      </c>
      <c r="DY21" s="65" t="str">
        <f>IF(ISERROR(IF(DX21="","",VLOOKUP(("Oi Conta Total Plug 10GB Downgrade"&amp;DX21&amp;"Template de desconto percentual BL Móvel - Internet Total - Varejo"),[7]BENEFICIOS!$A:$E,5,0))),"Criar",IF(DX21="","",VLOOKUP(("Oi Conta Total Plug 10GB Downgrade"&amp;DX21&amp;"Template de desconto percentual BL Móvel - Internet Total - Varejo"),[7]BENEFICIOS!$A:$E,5,0)))</f>
        <v>MKT-1-9825544790</v>
      </c>
      <c r="DZ21" s="71">
        <v>16.5</v>
      </c>
      <c r="EA21" s="72">
        <f>IF(DZ21=0,"",IF(DZ21=VLOOKUP("SVA",[7]ARBOR!$A:$C,3,0),0.0001,IF(DZ21&gt;VLOOKUP("SVA",[7]ARBOR!$A:$C,3,0),"Maior que CAP!",IF((DOLLAR(DZ21+(VLOOKUP("SVA",[7]ARBOR!$A:$C,3,0)*-TRUNC(DZ21/VLOOKUP("SVA",[7]ARBOR!$A:$C,3,0)-1,4)),6))&lt;&gt;(DOLLAR(VLOOKUP("SVA",[7]ARBOR!$A:$C,3,0),6)),-TRUNC(DZ21/VLOOKUP("SVA",[7]ARBOR!$A:$C,3,0)-1,4)+0.0001,-TRUNC(DZ21/VLOOKUP("SVA",[7]ARBOR!$A:$C,3,0)-1,4)))))</f>
        <v>0.2301</v>
      </c>
      <c r="EB21" s="65" t="s">
        <v>226</v>
      </c>
      <c r="EC21" s="69"/>
      <c r="ED21" s="73"/>
      <c r="EE21" s="74"/>
      <c r="EF21" s="65"/>
      <c r="EG21" s="75">
        <f>IF(BI21="","",VLOOKUP(BI21,[7]ARBOR!A:C,3,0))</f>
        <v>479.46</v>
      </c>
      <c r="EH21" s="69">
        <v>15</v>
      </c>
      <c r="EI21" s="76">
        <f>IF(EH21="","",1-(EH21/VLOOKUP(BI21&amp;"ASS",[7]ARBOR!A:C,3,0)))</f>
        <v>0.34725848563968664</v>
      </c>
      <c r="EJ21" s="77" t="s">
        <v>227</v>
      </c>
      <c r="EK21" s="78" t="s">
        <v>228</v>
      </c>
      <c r="EL21" s="69">
        <v>132.55000000000001</v>
      </c>
      <c r="EM21" s="64">
        <f>IF(EL21=0,"",IF(EL21=EG21,0.0001,ROUND(1-((EL21+(VLOOKUP(BI21&amp;"ASS",[7]ARBOR!A:C,3,0)-EH21))/EG21),4)))</f>
        <v>0.70689999999999997</v>
      </c>
      <c r="EN21" s="65" t="str">
        <f>IF(ISERROR(IF(EM21="","",VLOOKUP(($BH21&amp;EM21&amp;"Template de desconto percentual FLAT Móvel - Conta Total - Varejo - Ganho Tributário Cross"),[7]BENEFICIOS!$A:$E,5,0))),"Criar",IF(EM21="","",VLOOKUP(($BH21&amp;EM21&amp;"Template de desconto percentual FLAT Móvel - Conta Total - Varejo - Ganho Tributário Cross"),[7]BENEFICIOS!$A:$E,5,0)))</f>
        <v>MKT-1-10033171821</v>
      </c>
      <c r="EO21" s="79"/>
      <c r="EP21" s="64"/>
      <c r="EQ21" s="72"/>
      <c r="ER21" s="72"/>
      <c r="ES21" s="64"/>
      <c r="ET21" s="80"/>
      <c r="EU21" s="81" t="s">
        <v>247</v>
      </c>
      <c r="EV21" s="81" t="s">
        <v>259</v>
      </c>
      <c r="EW21" s="82"/>
      <c r="EX21" s="83"/>
      <c r="EY21" s="84"/>
      <c r="EZ21" s="82"/>
      <c r="FA21" s="83"/>
      <c r="FB21" s="84"/>
      <c r="FC21" s="82"/>
      <c r="FD21" s="83" t="str">
        <f>IF(FC21=0,"",IF(FC21=VLOOKUP("PCS-10357",[7]ARBOR!$A:$C,3,0),0.0001,IF(FC21&gt;VLOOKUP("PCS-10357",[7]ARBOR!$A:$C,3,0),"Maior que CAP!",ROUND(-1*(FC21/VLOOKUP("PCS-10357",[7]ARBOR!$A:$C,3,0)-1),4))))</f>
        <v/>
      </c>
      <c r="FE21" s="84" t="str">
        <f>IF(ISERROR(IF(FD21="","",VLOOKUP(("Oi Internet Pra Celular 1GB"&amp;FD21&amp;"Template Flat Instância Dados"),[7]BENEFICIOS!$A:$E,5,0))),"Criar",IF(FD21="","",VLOOKUP(("Oi Internet Pra Celular 1GB"&amp;FD21&amp;"Template Flat Instância Dados"),[7]BENEFICIOS!$A:$E,5,0)))</f>
        <v/>
      </c>
      <c r="FF21" s="82"/>
      <c r="FG21" s="83" t="str">
        <f>IF(FF21=0,"",IF(FF21=VLOOKUP("PCS-813565",[7]ARBOR!$A:$C,3,0),0.0001,IF(FF21&gt;VLOOKUP("PCS-813565",[7]ARBOR!$A:$C,3,0),"Maior que CAP!",ROUND(-1*(FF21/VLOOKUP("PCS-813565",[7]ARBOR!$A:$C,3,0)-1),4))))</f>
        <v/>
      </c>
      <c r="FH21" s="84" t="str">
        <f>IF(ISERROR(IF(FG21="","",VLOOKUP(("Oi Internet Pra Celular 2GB"&amp;FG21&amp;"Template Flat Instância Dados"),[7]BENEFICIOS!$A:$E,5,0))),"Criar",IF(FG21="","",VLOOKUP(("Oi Internet Pra Celular 2GB"&amp;FG21&amp;"Template Flat Instância Dados"),[7]BENEFICIOS!$A:$E,5,0)))</f>
        <v/>
      </c>
      <c r="FI21" s="82">
        <v>12.35</v>
      </c>
      <c r="FJ21" s="83">
        <f>IF(FI21=0,"",IF(FI21=VLOOKUP("PCS-7171B",[7]ARBOR!$A:$C,3,0),0.0001,IF(FI21&gt;VLOOKUP("PCS-7171B",[7]ARBOR!$A:$C,3,0),"Maior que CAP!",ROUND(-1*(FI21/VLOOKUP("PCS-7171B",[7]ARBOR!$A:$C,3,0)-1),4))))</f>
        <v>0.87419999999999998</v>
      </c>
      <c r="FK21" s="84" t="str">
        <f>IF(ISERROR(IF(FJ21="","",VLOOKUP(("Oi Internet Pra Celular 3GB"&amp;FJ21&amp;"Template Flat Instância Dados"),[7]BENEFICIOS!$A:$E,5,0))),"Criar",IF(FJ21="","",VLOOKUP(("Oi Internet Pra Celular 3GB"&amp;FJ21&amp;"Template Flat Instância Dados"),[7]BENEFICIOS!$A:$E,5,0)))</f>
        <v>MKT-1-9870092975</v>
      </c>
      <c r="FL21" s="82"/>
      <c r="FM21" s="83" t="str">
        <f>IF(FL21=0,"",IF(FL21=VLOOKUP("PCS-51793o08",[7]ARBOR!$A:$C,3,0),0.0001,IF(FL21&gt;VLOOKUP("PCS-51793o08",[7]ARBOR!$A:$C,3,0),"Maior que CAP!",ROUND(-1*(FL21/VLOOKUP("PCS-51793o08",[7]ARBOR!$A:$C,3,0)-1),4))))</f>
        <v/>
      </c>
      <c r="FN21" s="84" t="str">
        <f>IF(ISERROR(IF(FM21="","",VLOOKUP(("Oi Internet Pra Celular 5GB"&amp;FM21&amp;"Template Flat Instância Dados"),[7]BENEFICIOS!$A:$E,5,0))),"Criar",IF(FM21="","",VLOOKUP(("Oi Internet Pra Celular 5GB"&amp;FM21&amp;"Template Flat Instância Dados"),[7]BENEFICIOS!$A:$E,5,0)))</f>
        <v/>
      </c>
      <c r="FO21" s="82"/>
      <c r="FP21" s="83" t="str">
        <f>IF(FO21=0,"",IF(FO21=VLOOKUP("PCS-7171A",[7]ARBOR!$A:$C,3,0),0.0001,IF(FO21&gt;VLOOKUP("PCS-7171A",[7]ARBOR!$A:$C,3,0),"Maior que CAP!",ROUND(-1*(FO21/VLOOKUP("PCS-7171A",[7]ARBOR!$A:$C,3,0)-1),4))))</f>
        <v/>
      </c>
      <c r="FQ21" s="84" t="str">
        <f>IF(ISERROR(IF(FP21="","",VLOOKUP(("Oi Internet Pra Celular 10GB"&amp;FP21&amp;"Template Flat Instância Dados"),[7]BENEFICIOS!$A:$E,5,0))),"Criar",IF(FP21="","",VLOOKUP(("Oi Internet Pra Celular 10GB"&amp;FP21&amp;"Template Flat Instância Dados"),[7]BENEFICIOS!$A:$E,5,0)))</f>
        <v/>
      </c>
      <c r="FR21" s="85">
        <v>0.74219999999999997</v>
      </c>
      <c r="FS21" s="86" t="s">
        <v>249</v>
      </c>
      <c r="FT21" s="48"/>
      <c r="FU21" s="87"/>
      <c r="FV21" s="88" t="s">
        <v>224</v>
      </c>
      <c r="FW21" s="49" t="s">
        <v>229</v>
      </c>
      <c r="FX21" s="89">
        <v>999</v>
      </c>
      <c r="FY21" s="49">
        <v>12</v>
      </c>
      <c r="FZ21" s="90" t="s">
        <v>230</v>
      </c>
      <c r="GA21" s="91" t="str">
        <f t="shared" si="1"/>
        <v>PCS-Fk83324</v>
      </c>
      <c r="GB21" s="92" t="str">
        <f t="shared" si="2"/>
        <v>PCS-SBL553142</v>
      </c>
      <c r="GC21" s="93" t="s">
        <v>231</v>
      </c>
      <c r="GD21" s="90" t="s">
        <v>232</v>
      </c>
      <c r="GE21" s="92" t="s">
        <v>233</v>
      </c>
      <c r="GF21" s="93" t="s">
        <v>234</v>
      </c>
      <c r="GG21" s="90" t="s">
        <v>235</v>
      </c>
      <c r="GH21" s="92" t="s">
        <v>236</v>
      </c>
      <c r="GI21" s="94" t="s">
        <v>237</v>
      </c>
      <c r="GJ21" s="95">
        <f>FI21+EL21+DW21+BJ21</f>
        <v>239.9</v>
      </c>
      <c r="GK21" s="96"/>
      <c r="GL21" s="97" t="s">
        <v>238</v>
      </c>
      <c r="GM21" s="98" t="s">
        <v>275</v>
      </c>
      <c r="GN21" s="97">
        <v>14</v>
      </c>
      <c r="GO21" s="99">
        <v>3.61</v>
      </c>
      <c r="GP21" s="76">
        <v>0.74209999999999998</v>
      </c>
      <c r="GQ21" s="97">
        <v>10.38</v>
      </c>
      <c r="GR21" s="97">
        <v>3.6199999999999992</v>
      </c>
      <c r="GS21" s="101"/>
      <c r="GT21" s="101"/>
      <c r="GU21" s="102" t="b">
        <v>0</v>
      </c>
      <c r="GV21" s="103">
        <v>9.9999999999993427E-3</v>
      </c>
      <c r="GW21" s="44" t="s">
        <v>288</v>
      </c>
      <c r="GX21" s="44" t="s">
        <v>241</v>
      </c>
    </row>
    <row r="22" spans="1:206" s="44" customFormat="1" x14ac:dyDescent="0.25">
      <c r="A22" s="44" t="str">
        <f t="shared" si="0"/>
        <v>Oi Total Fixo + Pós 800 + Banda LargaN23GBMG</v>
      </c>
      <c r="B22" s="45" t="s">
        <v>214</v>
      </c>
      <c r="C22" s="46" t="s">
        <v>130</v>
      </c>
      <c r="D22" s="46" t="s">
        <v>215</v>
      </c>
      <c r="E22" s="47" t="s">
        <v>216</v>
      </c>
      <c r="F22" s="88" t="s">
        <v>217</v>
      </c>
      <c r="G22" s="49"/>
      <c r="H22" s="49"/>
      <c r="I22" s="49"/>
      <c r="J22" s="49" t="s">
        <v>217</v>
      </c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 t="s">
        <v>217</v>
      </c>
      <c r="AC22" s="49" t="s">
        <v>217</v>
      </c>
      <c r="AD22" s="49" t="s">
        <v>217</v>
      </c>
      <c r="AE22" s="49" t="s">
        <v>217</v>
      </c>
      <c r="AF22" s="49" t="s">
        <v>217</v>
      </c>
      <c r="AG22" s="49" t="s">
        <v>217</v>
      </c>
      <c r="AH22" s="50"/>
      <c r="AI22" s="49" t="s">
        <v>217</v>
      </c>
      <c r="AJ22" s="49" t="s">
        <v>217</v>
      </c>
      <c r="AK22" s="49" t="s">
        <v>217</v>
      </c>
      <c r="AL22" s="49" t="s">
        <v>217</v>
      </c>
      <c r="AM22" s="49" t="s">
        <v>217</v>
      </c>
      <c r="AN22" s="49" t="s">
        <v>217</v>
      </c>
      <c r="AO22" s="49" t="s">
        <v>217</v>
      </c>
      <c r="AP22" s="49"/>
      <c r="AQ22" s="51"/>
      <c r="AR22" s="52" t="s">
        <v>289</v>
      </c>
      <c r="AS22" s="46" t="s">
        <v>219</v>
      </c>
      <c r="AT22" s="53" t="s">
        <v>220</v>
      </c>
      <c r="AU22" s="54">
        <v>42972</v>
      </c>
      <c r="AV22" s="105">
        <v>43097</v>
      </c>
      <c r="AW22" s="56" t="s">
        <v>221</v>
      </c>
      <c r="AX22" s="57" t="s">
        <v>221</v>
      </c>
      <c r="AY22" s="58"/>
      <c r="AZ22" s="58" t="s">
        <v>222</v>
      </c>
      <c r="BA22" s="58">
        <v>20</v>
      </c>
      <c r="BB22" s="58">
        <v>10000</v>
      </c>
      <c r="BC22" s="59" t="s">
        <v>223</v>
      </c>
      <c r="BD22" s="60" t="s">
        <v>224</v>
      </c>
      <c r="BE22" s="58" t="s">
        <v>216</v>
      </c>
      <c r="BF22" s="51" t="s">
        <v>216</v>
      </c>
      <c r="BG22" s="45" t="s">
        <v>289</v>
      </c>
      <c r="BH22" s="61" t="s">
        <v>225</v>
      </c>
      <c r="BI22" s="62" t="str">
        <f>IF(ISERROR(VLOOKUP(BH22,[7]PLANOS!B:C,2,0)),"",VLOOKUP(BH22,[7]PLANOS!B:C,2,0))</f>
        <v>PCS-4P6pi</v>
      </c>
      <c r="BJ22" s="63">
        <v>50.1</v>
      </c>
      <c r="BK22" s="64">
        <f>IF(BJ22=0,"",IF(BJ22=VLOOKUP("FIXO",[7]ARBOR!$A:$C,3,0),0.0001,IF(BJ22&gt;VLOOKUP("FIXO",[7]ARBOR!$A:$C,3,0),"Maior que CAP!",IF((DOLLAR(BJ22+(VLOOKUP("FIXO",[7]ARBOR!$A:$C,3,0)*-TRUNC(BJ22/VLOOKUP("FIXO",[7]ARBOR!$A:$C,3,0)-1,4)),6))&lt;&gt;(DOLLAR(VLOOKUP("FIXO",[7]ARBOR!$A:$C,3,0),6)),-TRUNC(BJ22/VLOOKUP("FIXO",[7]ARBOR!$A:$C,3,0)-1,4)+0.0001,-TRUNC(BJ22/VLOOKUP("FIXO",[7]ARBOR!$A:$C,3,0)-1,4)))))</f>
        <v>0.33939999999999998</v>
      </c>
      <c r="BL22" s="65" t="str">
        <f>IF(ISERROR(IF(BK22="","",VLOOKUP(($BH22&amp;BK22&amp;"Template de desconto FLAT bundle - Fixo - Varejo - Ganho Tributário Cross"),[7]BENEFICIOS!$A:$E,5,0))),"Criar",IF(BK22="","",VLOOKUP(($BH22&amp;BK22&amp;"Template de desconto FLAT bundle - Fixo - Varejo - Ganho Tributário Cross"),[7]BENEFICIOS!$A:$E,5,0)))</f>
        <v>MKT-1-9856472058</v>
      </c>
      <c r="BM22" s="66"/>
      <c r="BN22" s="67"/>
      <c r="BO22" s="104" t="s">
        <v>243</v>
      </c>
      <c r="BP22" s="69">
        <v>44.9</v>
      </c>
      <c r="BQ22" s="64">
        <f>IF(BP22=0,"",IF(BP22=VLOOKUP("PCS-30874g",[7]ARBOR!$A:$C,3,0),0.0001,IF(BP22&gt;VLOOKUP("PCS-30874g",[7]ARBOR!$A:$C,3,0),"Maior que CAP!",IF((DOLLAR(BP22+(VLOOKUP("PCS-30874g",[7]ARBOR!$A:$C,3,0)*-TRUNC(BP22/VLOOKUP("PCS-30874g",[7]ARBOR!$A:$C,3,0)-1,4)),6))&lt;&gt;(DOLLAR(VLOOKUP("PCS-30874g",[7]ARBOR!$A:$C,3,0),6)),-TRUNC(BP22/VLOOKUP("PCS-30874g",[7]ARBOR!$A:$C,3,0)-1,4)+0.0001,-TRUNC(BP22/VLOOKUP("PCS-30874g",[7]ARBOR!$A:$C,3,0)-1,4)))))</f>
        <v>0.53679999999999994</v>
      </c>
      <c r="BR22" s="65" t="str">
        <f>IF(ISERROR(IF(BQ22="","",VLOOKUP(($BH22&amp;BQ22&amp;"Template de desconto FLAT bundle - Velox XDSL - Varejo"),[7]BENEFICIOS!$A:$E,5,0))),"Criar",IF(BQ22="","",VLOOKUP(($BH22&amp;BQ22&amp;"Template de desconto FLAT bundle - Velox XDSL - Varejo"),[7]BENEFICIOS!$A:$E,5,0)))</f>
        <v>MKT-1-9865126733</v>
      </c>
      <c r="BS22" s="104" t="s">
        <v>243</v>
      </c>
      <c r="BT22" s="69">
        <v>44.9</v>
      </c>
      <c r="BU22" s="64">
        <f>IF(BT22=0,"",IF(BT22=VLOOKUP("PCS-30577g",[7]ARBOR!$A:$C,3,0),0.0001,IF(BT22&gt;VLOOKUP("PCS-30577g",[7]ARBOR!$A:$C,3,0),"Maior que CAP!",IF((DOLLAR(BT22+(VLOOKUP("PCS-30577g",[7]ARBOR!$A:$C,3,0)*-TRUNC(BT22/VLOOKUP("PCS-30577g",[7]ARBOR!$A:$C,3,0)-1,4)),6))&lt;&gt;(DOLLAR(VLOOKUP("PCS-30577g",[7]ARBOR!$A:$C,3,0),6)),-TRUNC(BT22/VLOOKUP("PCS-30577g",[7]ARBOR!$A:$C,3,0)-1,4)+0.0001,-TRUNC(BT22/VLOOKUP("PCS-30577g",[7]ARBOR!$A:$C,3,0)-1,4)))))</f>
        <v>0.53679999999999994</v>
      </c>
      <c r="BV22" s="65" t="str">
        <f>IF(ISERROR(IF(BU22="","",VLOOKUP(($BH22&amp;BU22&amp;"Template de desconto FLAT bundle - Velox XDSL - Varejo"),[7]BENEFICIOS!$A:$E,5,0))),"Criar",IF(BU22="","",VLOOKUP(($BH22&amp;BU22&amp;"Template de desconto FLAT bundle - Velox XDSL - Varejo"),[7]BENEFICIOS!$A:$E,5,0)))</f>
        <v>MKT-1-9865126733</v>
      </c>
      <c r="BW22" s="104" t="s">
        <v>243</v>
      </c>
      <c r="BX22" s="69">
        <v>44.9</v>
      </c>
      <c r="BY22" s="64">
        <f>IF(BX22=0,"",IF(BX22=VLOOKUP("PCS-30604g",[7]ARBOR!$A:$C,3,0),0.0001,IF(BX22&gt;VLOOKUP("PCS-30604g",[7]ARBOR!$A:$C,3,0),"Maior que CAP!",IF((DOLLAR(BX22+(VLOOKUP("PCS-30604g",[7]ARBOR!$A:$C,3,0)*-TRUNC(BX22/VLOOKUP("PCS-30604g",[7]ARBOR!$A:$C,3,0)-1,4)),6))&lt;&gt;(DOLLAR(VLOOKUP("PCS-30604g",[7]ARBOR!$A:$C,3,0),6)),-TRUNC(BX22/VLOOKUP("PCS-30604g",[7]ARBOR!$A:$C,3,0)-1,4)+0.0001,-TRUNC(BX22/VLOOKUP("PCS-30604g",[7]ARBOR!$A:$C,3,0)-1,4)))))</f>
        <v>0.53679999999999994</v>
      </c>
      <c r="BZ22" s="65" t="str">
        <f>IF(ISERROR(IF(BY22="","",VLOOKUP(($BH22&amp;BY22&amp;"Template de desconto FLAT bundle - Velox XDSL - Varejo"),[7]BENEFICIOS!$A:$E,5,0))),"Criar",IF(BY22="","",VLOOKUP(($BH22&amp;BY22&amp;"Template de desconto FLAT bundle - Velox XDSL - Varejo"),[7]BENEFICIOS!$A:$E,5,0)))</f>
        <v>MKT-1-9865126733</v>
      </c>
      <c r="CA22" s="104" t="s">
        <v>243</v>
      </c>
      <c r="CB22" s="69">
        <v>44.9</v>
      </c>
      <c r="CC22" s="64">
        <f>IF(CB22=0,"",IF(CB22=VLOOKUP("PCS-30631g",[7]ARBOR!$A:$C,3,0),0.0001,IF(CB22&gt;VLOOKUP("PCS-30631g",[7]ARBOR!$A:$C,3,0),"Maior que CAP!",IF((DOLLAR(CB22+(VLOOKUP("PCS-30631g",[7]ARBOR!$A:$C,3,0)*-TRUNC(CB22/VLOOKUP("PCS-30631g",[7]ARBOR!$A:$C,3,0)-1,4)),6))&lt;&gt;(DOLLAR(VLOOKUP("PCS-30631g",[7]ARBOR!$A:$C,3,0),6)),-TRUNC(CB22/VLOOKUP("PCS-30631g",[7]ARBOR!$A:$C,3,0)-1,4)+0.0001,-TRUNC(CB22/VLOOKUP("PCS-30631g",[7]ARBOR!$A:$C,3,0)-1,4)))))</f>
        <v>0.54310000000000003</v>
      </c>
      <c r="CD22" s="65" t="str">
        <f>IF(ISERROR(IF(CC22="","",VLOOKUP(($BH22&amp;CC22&amp;"Template de desconto FLAT bundle - Velox XDSL - Varejo"),[7]BENEFICIOS!$A:$E,5,0))),"Criar",IF(CC22="","",VLOOKUP(($BH22&amp;CC22&amp;"Template de desconto FLAT bundle - Velox XDSL - Varejo"),[7]BENEFICIOS!$A:$E,5,0)))</f>
        <v>MKT-1-9865126826</v>
      </c>
      <c r="CE22" s="68" t="s">
        <v>164</v>
      </c>
      <c r="CF22" s="69">
        <v>49.9</v>
      </c>
      <c r="CG22" s="64">
        <f>IF(CF22=0,"",IF(CF22=VLOOKUP("PCS-30658g",[7]ARBOR!$A:$C,3,0),0.0001,IF(CF22&gt;VLOOKUP("PCS-30658g",[7]ARBOR!$A:$C,3,0),"Maior que CAP!",IF((DOLLAR(CF22+(VLOOKUP("PCS-30658g",[7]ARBOR!$A:$C,3,0)*-TRUNC(CF22/VLOOKUP("PCS-30658g",[7]ARBOR!$A:$C,3,0)-1,4)),6))&lt;&gt;(DOLLAR(VLOOKUP("PCS-30658g",[7]ARBOR!$A:$C,3,0),6)),-TRUNC(CF22/VLOOKUP("PCS-30658g",[7]ARBOR!$A:$C,3,0)-1,4)+0.0001,-TRUNC(CF22/VLOOKUP("PCS-30658g",[7]ARBOR!$A:$C,3,0)-1,4)))))</f>
        <v>0.55569999999999997</v>
      </c>
      <c r="CH22" s="65" t="str">
        <f>IF(ISERROR(IF(CG22="","",VLOOKUP(($BH22&amp;CG22&amp;"Template de desconto FLAT bundle - Velox XDSL - Varejo"),[7]BENEFICIOS!$A:$E,5,0))),"Criar",IF(CG22="","",VLOOKUP(($BH22&amp;CG22&amp;"Template de desconto FLAT bundle - Velox XDSL - Varejo"),[7]BENEFICIOS!$A:$E,5,0)))</f>
        <v>MKT-1-9865126919</v>
      </c>
      <c r="CI22" s="68" t="s">
        <v>164</v>
      </c>
      <c r="CJ22" s="69">
        <v>49.9</v>
      </c>
      <c r="CK22" s="64">
        <f>IF(CJ22=0,"",IF(CJ22=VLOOKUP("PCS-30685g",[7]ARBOR!$A:$C,3,0),0.0001,IF(CJ22&gt;VLOOKUP("PCS-30685g",[7]ARBOR!$A:$C,3,0),"Maior que CAP!",IF((DOLLAR(CJ22+(VLOOKUP("PCS-30685g",[7]ARBOR!$A:$C,3,0)*-TRUNC(CJ22/VLOOKUP("PCS-30685g",[7]ARBOR!$A:$C,3,0)-1,4)),6))&lt;&gt;(DOLLAR(VLOOKUP("PCS-30685g",[7]ARBOR!$A:$C,3,0),6)),-TRUNC(CJ22/VLOOKUP("PCS-30685g",[7]ARBOR!$A:$C,3,0)-1,4)+0.0001,-TRUNC(CJ22/VLOOKUP("PCS-30685g",[7]ARBOR!$A:$C,3,0)-1,4)))))</f>
        <v>0.60509999999999997</v>
      </c>
      <c r="CL22" s="65" t="str">
        <f>IF(ISERROR(IF(CK22="","",VLOOKUP(($BH22&amp;CK22&amp;"Template de desconto FLAT bundle - Velox XDSL - Varejo"),[7]BENEFICIOS!$A:$E,5,0))),"Criar",IF(CK22="","",VLOOKUP(($BH22&amp;CK22&amp;"Template de desconto FLAT bundle - Velox XDSL - Varejo"),[7]BENEFICIOS!$A:$E,5,0)))</f>
        <v>MKT-1-9865694381</v>
      </c>
      <c r="CM22" s="68" t="s">
        <v>164</v>
      </c>
      <c r="CN22" s="69">
        <v>49.9</v>
      </c>
      <c r="CO22" s="64">
        <f>IF(CN22=0,"",IF(CN22=VLOOKUP("PCS-30712g",[7]ARBOR!$A:$C,3,0),0.0001,IF(CN22&gt;VLOOKUP("PCS-30712g",[7]ARBOR!$A:$C,3,0),"Maior que CAP!",IF((DOLLAR(CN22+(VLOOKUP("PCS-30712g",[7]ARBOR!$A:$C,3,0)*-TRUNC(CN22/VLOOKUP("PCS-30712g",[7]ARBOR!$A:$C,3,0)-1,4)),6))&lt;&gt;(DOLLAR(VLOOKUP("PCS-30712g",[7]ARBOR!$A:$C,3,0),6)),-TRUNC(CN22/VLOOKUP("PCS-30712g",[7]ARBOR!$A:$C,3,0)-1,4)+0.0001,-TRUNC(CN22/VLOOKUP("PCS-30712g",[7]ARBOR!$A:$C,3,0)-1,4)))))</f>
        <v>0.64459999999999995</v>
      </c>
      <c r="CP22" s="65" t="str">
        <f>IF(ISERROR(IF(CO22="","",VLOOKUP(($BH22&amp;CO22&amp;"Template de desconto FLAT bundle - Velox XDSL - Varejo"),[7]BENEFICIOS!$A:$E,5,0))),"Criar",IF(CO22="","",VLOOKUP(($BH22&amp;CO22&amp;"Template de desconto FLAT bundle - Velox XDSL - Varejo"),[7]BENEFICIOS!$A:$E,5,0)))</f>
        <v>MKT-1-9865191105</v>
      </c>
      <c r="CQ22" s="68" t="s">
        <v>164</v>
      </c>
      <c r="CR22" s="69">
        <v>59.9</v>
      </c>
      <c r="CS22" s="64">
        <f>IF(CR22=0,"",IF(CR22=VLOOKUP("PCS-30739g",[7]ARBOR!$A:$C,3,0),0.0001,IF(CR22&gt;VLOOKUP("PCS-30739g",[7]ARBOR!$A:$C,3,0),"Maior que CAP!",IF((DOLLAR(CR22+(VLOOKUP("PCS-30739g",[7]ARBOR!$A:$C,3,0)*-TRUNC(CR22/VLOOKUP("PCS-30739g",[7]ARBOR!$A:$C,3,0)-1,4)),6))&lt;&gt;(DOLLAR(VLOOKUP("PCS-30739g",[7]ARBOR!$A:$C,3,0),6)),-TRUNC(CR22/VLOOKUP("PCS-30739g",[7]ARBOR!$A:$C,3,0)-1,4)+0.0001,-TRUNC(CR22/VLOOKUP("PCS-30739g",[7]ARBOR!$A:$C,3,0)-1,4)))))</f>
        <v>0.71560000000000001</v>
      </c>
      <c r="CT22" s="65" t="str">
        <f>IF(ISERROR(IF(CS22="","",VLOOKUP(($BH22&amp;CS22&amp;"Template de desconto FLAT bundle - Velox XDSL - Varejo"),[7]BENEFICIOS!$A:$E,5,0))),"Criar",IF(CS22="","",VLOOKUP(($BH22&amp;CS22&amp;"Template de desconto FLAT bundle - Velox XDSL - Varejo"),[7]BENEFICIOS!$A:$E,5,0)))</f>
        <v>MKT-1-9865191198</v>
      </c>
      <c r="CU22" s="69"/>
      <c r="CV22" s="70"/>
      <c r="CW22" s="64"/>
      <c r="CX22" s="65"/>
      <c r="CY22" s="68" t="s">
        <v>164</v>
      </c>
      <c r="CZ22" s="69">
        <v>59.9</v>
      </c>
      <c r="DA22" s="64">
        <f>IF(CZ22=0,"",IF(CZ22=VLOOKUP("PCS-30766g",[7]ARBOR!$A:$C,3,0),0.0001,IF(CZ22&gt;VLOOKUP("PCS-30766g",[7]ARBOR!$A:$C,3,0),"Maior que CAP!",IF((DOLLAR(CZ22+(VLOOKUP("PCS-30766g",[7]ARBOR!$A:$C,3,0)*-TRUNC(CZ22/VLOOKUP("PCS-30766g",[7]ARBOR!$A:$C,3,0)-1,4)),6))&lt;&gt;(DOLLAR(VLOOKUP("PCS-30766g",[7]ARBOR!$A:$C,3,0),6)),-TRUNC(CZ22/VLOOKUP("PCS-30766g",[7]ARBOR!$A:$C,3,0)-1,4)+0.0001,-TRUNC(CZ22/VLOOKUP("PCS-30766g",[7]ARBOR!$A:$C,3,0)-1,4)))))</f>
        <v>0.78669999999999995</v>
      </c>
      <c r="DB22" s="65" t="str">
        <f>IF(ISERROR(IF(DA22="","",VLOOKUP(($BH22&amp;DA22&amp;"Template de desconto FLAT bundle - Velox XDSL - Varejo"),[7]BENEFICIOS!$A:$E,5,0))),"Criar",IF(DA22="","",VLOOKUP(($BH22&amp;DA22&amp;"Template de desconto FLAT bundle - Velox XDSL - Varejo"),[7]BENEFICIOS!$A:$E,5,0)))</f>
        <v>MKT-1-9865191291</v>
      </c>
      <c r="DC22" s="69"/>
      <c r="DD22" s="70"/>
      <c r="DE22" s="64"/>
      <c r="DF22" s="65"/>
      <c r="DG22" s="68" t="s">
        <v>243</v>
      </c>
      <c r="DH22" s="69">
        <v>69.900000000000006</v>
      </c>
      <c r="DI22" s="64">
        <f>IF(DH22=0,"",IF(DH22=VLOOKUP("PCS-30793g",[7]ARBOR!$A:$C,3,0),0.0001,IF(DH22&gt;VLOOKUP("PCS-30793g",[7]ARBOR!$A:$C,3,0),"Maior que CAP!",IF((DOLLAR(DH22+(VLOOKUP("PCS-30793g",[7]ARBOR!$A:$C,3,0)*-TRUNC(DH22/VLOOKUP("PCS-30793g",[7]ARBOR!$A:$C,3,0)-1,4)),6))&lt;&gt;(DOLLAR(VLOOKUP("PCS-30793g",[7]ARBOR!$A:$C,3,0),6)),-TRUNC(DH22/VLOOKUP("PCS-30793g",[7]ARBOR!$A:$C,3,0)-1,4)+0.0001,-TRUNC(DH22/VLOOKUP("PCS-30793g",[7]ARBOR!$A:$C,3,0)-1,4)))))</f>
        <v>0.75109999999999999</v>
      </c>
      <c r="DJ22" s="65" t="str">
        <f>IF(ISERROR(IF(DI22="","",VLOOKUP(($BH22&amp;DI22&amp;"Template de desconto FLAT bundle - Velox XDSL - Varejo"),[7]BENEFICIOS!$A:$E,5,0))),"Criar",IF(DI22="","",VLOOKUP(($BH22&amp;DI22&amp;"Template de desconto FLAT bundle - Velox XDSL - Varejo"),[7]BENEFICIOS!$A:$E,5,0)))</f>
        <v>MKT-1-9865191384</v>
      </c>
      <c r="DK22" s="69"/>
      <c r="DL22" s="70"/>
      <c r="DM22" s="64"/>
      <c r="DN22" s="65"/>
      <c r="DO22" s="68" t="s">
        <v>164</v>
      </c>
      <c r="DP22" s="69">
        <v>69.900000000000006</v>
      </c>
      <c r="DQ22" s="64">
        <f>IF(DP22=0,"",IF(DP22=VLOOKUP("PCS-30820g",[7]ARBOR!$A:$C,3,0),0.0001,IF(DP22&gt;VLOOKUP("PCS-30820g",[7]ARBOR!$A:$C,3,0),"Maior que CAP!",IF((DOLLAR(DP22+(VLOOKUP("PCS-30820g",[7]ARBOR!$A:$C,3,0)*-TRUNC(DP22/VLOOKUP("PCS-30820g",[7]ARBOR!$A:$C,3,0)-1,4)),6))&lt;&gt;(DOLLAR(VLOOKUP("PCS-30820g",[7]ARBOR!$A:$C,3,0),6)),-TRUNC(DP22/VLOOKUP("PCS-30820g",[7]ARBOR!$A:$C,3,0)-1,4)+0.0001,-TRUNC(DP22/VLOOKUP("PCS-30820g",[7]ARBOR!$A:$C,3,0)-1,4)))))</f>
        <v>0.75109999999999999</v>
      </c>
      <c r="DR22" s="65" t="str">
        <f>IF(ISERROR(IF(DQ22="","",VLOOKUP(($BH22&amp;DQ22&amp;"Template de desconto FLAT bundle - Velox XDSL - Varejo"),[7]BENEFICIOS!$A:$E,5,0))),"Criar",IF(DQ22="","",VLOOKUP(($BH22&amp;DQ22&amp;"Template de desconto FLAT bundle - Velox XDSL - Varejo"),[7]BENEFICIOS!$A:$E,5,0)))</f>
        <v>MKT-1-9865191384</v>
      </c>
      <c r="DS22" s="69"/>
      <c r="DT22" s="70"/>
      <c r="DU22" s="64"/>
      <c r="DV22" s="65"/>
      <c r="DW22" s="71"/>
      <c r="DX22" s="64" t="str">
        <f>IF(DW22=0,"",IF(DW22=VLOOKUP("PCS-21448p2",[7]ARBOR!$A:$C,3,0),0.0001,IF(DW22&gt;VLOOKUP("PCS-21448p2",[7]ARBOR!$A:$C,3,0),"Maior que CAP!",IF((DOLLAR(DW22+(VLOOKUP("PCS-21448p2",[7]ARBOR!$A:$C,3,0)*-TRUNC(DW22/VLOOKUP("PCS-21448p2",[7]ARBOR!$A:$C,3,0)-1,4)),6))&lt;&gt;(DOLLAR(VLOOKUP("PCS-21448p2",[7]ARBOR!$A:$C,3,0),6)),-TRUNC(DW22/VLOOKUP("PCS-21448p2",[7]ARBOR!$A:$C,3,0)-1,4)+0.0001,-TRUNC(DW22/VLOOKUP("PCS-21448p2",[7]ARBOR!$A:$C,3,0)-1,4)))))</f>
        <v/>
      </c>
      <c r="DY22" s="65" t="str">
        <f>IF(ISERROR(IF(DX22="","",VLOOKUP(("Oi Conta Total Plug 10GB Downgrade"&amp;DX22&amp;"Template de desconto percentual BL Móvel - Internet Total - Varejo"),[7]BENEFICIOS!$A:$E,5,0))),"Criar",IF(DX22="","",VLOOKUP(("Oi Conta Total Plug 10GB Downgrade"&amp;DX22&amp;"Template de desconto percentual BL Móvel - Internet Total - Varejo"),[7]BENEFICIOS!$A:$E,5,0)))</f>
        <v/>
      </c>
      <c r="DZ22" s="71">
        <v>19.899999999999999</v>
      </c>
      <c r="EA22" s="72">
        <f>IF(DZ22=0,"",IF(DZ22=VLOOKUP("SVA",[7]ARBOR!$A:$C,3,0),0.0001,IF(DZ22&gt;VLOOKUP("SVA",[7]ARBOR!$A:$C,3,0),"Maior que CAP!",IF((DOLLAR(DZ22+(VLOOKUP("SVA",[7]ARBOR!$A:$C,3,0)*-TRUNC(DZ22/VLOOKUP("SVA",[7]ARBOR!$A:$C,3,0)-1,4)),6))&lt;&gt;(DOLLAR(VLOOKUP("SVA",[7]ARBOR!$A:$C,3,0),6)),-TRUNC(DZ22/VLOOKUP("SVA",[7]ARBOR!$A:$C,3,0)-1,4)+0.0001,-TRUNC(DZ22/VLOOKUP("SVA",[7]ARBOR!$A:$C,3,0)-1,4)))))</f>
        <v>7.1400000000000005E-2</v>
      </c>
      <c r="EB22" s="65" t="s">
        <v>244</v>
      </c>
      <c r="EC22" s="69"/>
      <c r="ED22" s="73"/>
      <c r="EE22" s="74"/>
      <c r="EF22" s="65"/>
      <c r="EG22" s="75">
        <f>IF(BI22="","",VLOOKUP(BI22,[7]ARBOR!A:C,3,0))</f>
        <v>479.46</v>
      </c>
      <c r="EH22" s="69">
        <v>15</v>
      </c>
      <c r="EI22" s="76">
        <f>IF(EH22="","",1-(EH22/VLOOKUP(BI22&amp;"ASS",[7]ARBOR!A:C,3,0)))</f>
        <v>0.34725848563968664</v>
      </c>
      <c r="EJ22" s="77" t="s">
        <v>227</v>
      </c>
      <c r="EK22" s="78" t="s">
        <v>228</v>
      </c>
      <c r="EL22" s="69">
        <v>132.55000000000001</v>
      </c>
      <c r="EM22" s="64">
        <f>IF(EL22=0,"",IF(EL22=EG22,0.0001,ROUND(1-((EL22+(VLOOKUP(BI22&amp;"ASS",[7]ARBOR!A:C,3,0)-EH22))/EG22),4)))</f>
        <v>0.70689999999999997</v>
      </c>
      <c r="EN22" s="65" t="str">
        <f>IF(ISERROR(IF(EM22="","",VLOOKUP(($BH22&amp;EM22&amp;"Template de desconto percentual FLAT Móvel - Conta Total - Varejo - Ganho Tributário Cross"),[7]BENEFICIOS!$A:$E,5,0))),"Criar",IF(EM22="","",VLOOKUP(($BH22&amp;EM22&amp;"Template de desconto percentual FLAT Móvel - Conta Total - Varejo - Ganho Tributário Cross"),[7]BENEFICIOS!$A:$E,5,0)))</f>
        <v>MKT-1-10033171821</v>
      </c>
      <c r="EO22" s="79"/>
      <c r="EP22" s="64"/>
      <c r="EQ22" s="72"/>
      <c r="ER22" s="72"/>
      <c r="ES22" s="64"/>
      <c r="ET22" s="80"/>
      <c r="EU22" s="81" t="s">
        <v>247</v>
      </c>
      <c r="EV22" s="81" t="s">
        <v>259</v>
      </c>
      <c r="EW22" s="82"/>
      <c r="EX22" s="83"/>
      <c r="EY22" s="84"/>
      <c r="EZ22" s="82"/>
      <c r="FA22" s="83"/>
      <c r="FB22" s="84"/>
      <c r="FC22" s="82"/>
      <c r="FD22" s="83" t="str">
        <f>IF(FC22=0,"",IF(FC22=VLOOKUP("PCS-10357",[7]ARBOR!$A:$C,3,0),0.0001,IF(FC22&gt;VLOOKUP("PCS-10357",[7]ARBOR!$A:$C,3,0),"Maior que CAP!",ROUND(-1*(FC22/VLOOKUP("PCS-10357",[7]ARBOR!$A:$C,3,0)-1),4))))</f>
        <v/>
      </c>
      <c r="FE22" s="84" t="str">
        <f>IF(ISERROR(IF(FD22="","",VLOOKUP(("Oi Internet Pra Celular 1GB"&amp;FD22&amp;"Template Flat Instância Dados"),[7]BENEFICIOS!$A:$E,5,0))),"Criar",IF(FD22="","",VLOOKUP(("Oi Internet Pra Celular 1GB"&amp;FD22&amp;"Template Flat Instância Dados"),[7]BENEFICIOS!$A:$E,5,0)))</f>
        <v/>
      </c>
      <c r="FF22" s="82"/>
      <c r="FG22" s="83" t="str">
        <f>IF(FF22=0,"",IF(FF22=VLOOKUP("PCS-813565",[7]ARBOR!$A:$C,3,0),0.0001,IF(FF22&gt;VLOOKUP("PCS-813565",[7]ARBOR!$A:$C,3,0),"Maior que CAP!",ROUND(-1*(FF22/VLOOKUP("PCS-813565",[7]ARBOR!$A:$C,3,0)-1),4))))</f>
        <v/>
      </c>
      <c r="FH22" s="84" t="str">
        <f>IF(ISERROR(IF(FG22="","",VLOOKUP(("Oi Internet Pra Celular 2GB"&amp;FG22&amp;"Template Flat Instância Dados"),[7]BENEFICIOS!$A:$E,5,0))),"Criar",IF(FG22="","",VLOOKUP(("Oi Internet Pra Celular 2GB"&amp;FG22&amp;"Template Flat Instância Dados"),[7]BENEFICIOS!$A:$E,5,0)))</f>
        <v/>
      </c>
      <c r="FI22" s="82">
        <v>12.35</v>
      </c>
      <c r="FJ22" s="83">
        <f>IF(FI22=0,"",IF(FI22=VLOOKUP("PCS-7171B",[7]ARBOR!$A:$C,3,0),0.0001,IF(FI22&gt;VLOOKUP("PCS-7171B",[7]ARBOR!$A:$C,3,0),"Maior que CAP!",ROUND(-1*(FI22/VLOOKUP("PCS-7171B",[7]ARBOR!$A:$C,3,0)-1),4))))</f>
        <v>0.87419999999999998</v>
      </c>
      <c r="FK22" s="84" t="str">
        <f>IF(ISERROR(IF(FJ22="","",VLOOKUP(("Oi Internet Pra Celular 3GB"&amp;FJ22&amp;"Template Flat Instância Dados"),[7]BENEFICIOS!$A:$E,5,0))),"Criar",IF(FJ22="","",VLOOKUP(("Oi Internet Pra Celular 3GB"&amp;FJ22&amp;"Template Flat Instância Dados"),[7]BENEFICIOS!$A:$E,5,0)))</f>
        <v>MKT-1-9870092975</v>
      </c>
      <c r="FL22" s="82"/>
      <c r="FM22" s="83" t="str">
        <f>IF(FL22=0,"",IF(FL22=VLOOKUP("PCS-51793o08",[7]ARBOR!$A:$C,3,0),0.0001,IF(FL22&gt;VLOOKUP("PCS-51793o08",[7]ARBOR!$A:$C,3,0),"Maior que CAP!",ROUND(-1*(FL22/VLOOKUP("PCS-51793o08",[7]ARBOR!$A:$C,3,0)-1),4))))</f>
        <v/>
      </c>
      <c r="FN22" s="84" t="str">
        <f>IF(ISERROR(IF(FM22="","",VLOOKUP(("Oi Internet Pra Celular 5GB"&amp;FM22&amp;"Template Flat Instância Dados"),[7]BENEFICIOS!$A:$E,5,0))),"Criar",IF(FM22="","",VLOOKUP(("Oi Internet Pra Celular 5GB"&amp;FM22&amp;"Template Flat Instância Dados"),[7]BENEFICIOS!$A:$E,5,0)))</f>
        <v/>
      </c>
      <c r="FO22" s="82"/>
      <c r="FP22" s="83" t="str">
        <f>IF(FO22=0,"",IF(FO22=VLOOKUP("PCS-7171A",[7]ARBOR!$A:$C,3,0),0.0001,IF(FO22&gt;VLOOKUP("PCS-7171A",[7]ARBOR!$A:$C,3,0),"Maior que CAP!",ROUND(-1*(FO22/VLOOKUP("PCS-7171A",[7]ARBOR!$A:$C,3,0)-1),4))))</f>
        <v/>
      </c>
      <c r="FQ22" s="84" t="str">
        <f>IF(ISERROR(IF(FP22="","",VLOOKUP(("Oi Internet Pra Celular 10GB"&amp;FP22&amp;"Template Flat Instância Dados"),[7]BENEFICIOS!$A:$E,5,0))),"Criar",IF(FP22="","",VLOOKUP(("Oi Internet Pra Celular 10GB"&amp;FP22&amp;"Template Flat Instância Dados"),[7]BENEFICIOS!$A:$E,5,0)))</f>
        <v/>
      </c>
      <c r="FR22" s="85">
        <v>0.74219999999999997</v>
      </c>
      <c r="FS22" s="86" t="s">
        <v>249</v>
      </c>
      <c r="FT22" s="48"/>
      <c r="FU22" s="87"/>
      <c r="FV22" s="88" t="s">
        <v>224</v>
      </c>
      <c r="FW22" s="49" t="s">
        <v>229</v>
      </c>
      <c r="FX22" s="89">
        <v>999</v>
      </c>
      <c r="FY22" s="49">
        <v>12</v>
      </c>
      <c r="FZ22" s="90" t="s">
        <v>230</v>
      </c>
      <c r="GA22" s="91" t="str">
        <f t="shared" si="1"/>
        <v>PCS-Fk83324</v>
      </c>
      <c r="GB22" s="92" t="str">
        <f t="shared" si="2"/>
        <v>PCS-SBL553142</v>
      </c>
      <c r="GC22" s="93" t="s">
        <v>231</v>
      </c>
      <c r="GD22" s="90" t="s">
        <v>232</v>
      </c>
      <c r="GE22" s="92" t="s">
        <v>233</v>
      </c>
      <c r="GF22" s="93" t="s">
        <v>234</v>
      </c>
      <c r="GG22" s="90" t="s">
        <v>235</v>
      </c>
      <c r="GH22" s="92" t="s">
        <v>236</v>
      </c>
      <c r="GI22" s="94" t="s">
        <v>237</v>
      </c>
      <c r="GJ22" s="95">
        <f>FI22+EL22+CN22+BJ22</f>
        <v>244.9</v>
      </c>
      <c r="GK22" s="96"/>
      <c r="GL22" s="97" t="s">
        <v>238</v>
      </c>
      <c r="GM22" s="98" t="s">
        <v>275</v>
      </c>
      <c r="GN22" s="97">
        <v>14</v>
      </c>
      <c r="GO22" s="99">
        <v>3.61</v>
      </c>
      <c r="GP22" s="76">
        <v>0.74209999999999998</v>
      </c>
      <c r="GQ22" s="97">
        <v>10.38</v>
      </c>
      <c r="GR22" s="97">
        <v>3.6199999999999992</v>
      </c>
      <c r="GS22" s="101"/>
      <c r="GT22" s="101"/>
      <c r="GU22" s="102" t="b">
        <v>0</v>
      </c>
      <c r="GV22" s="103">
        <v>9.9999999999993427E-3</v>
      </c>
      <c r="GW22" s="44" t="s">
        <v>290</v>
      </c>
      <c r="GX22" s="44" t="s">
        <v>241</v>
      </c>
    </row>
    <row r="23" spans="1:206" s="44" customFormat="1" x14ac:dyDescent="0.25">
      <c r="A23" s="44" t="str">
        <f t="shared" si="0"/>
        <v>Oi Total Fixo + Pós 800 + Banda LargaN25GBMG</v>
      </c>
      <c r="B23" s="45" t="s">
        <v>214</v>
      </c>
      <c r="C23" s="46" t="s">
        <v>130</v>
      </c>
      <c r="D23" s="46" t="s">
        <v>215</v>
      </c>
      <c r="E23" s="47" t="s">
        <v>216</v>
      </c>
      <c r="F23" s="88" t="s">
        <v>217</v>
      </c>
      <c r="G23" s="49"/>
      <c r="H23" s="49"/>
      <c r="I23" s="49"/>
      <c r="J23" s="49" t="s">
        <v>217</v>
      </c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 t="s">
        <v>217</v>
      </c>
      <c r="AC23" s="49" t="s">
        <v>217</v>
      </c>
      <c r="AD23" s="49" t="s">
        <v>217</v>
      </c>
      <c r="AE23" s="49" t="s">
        <v>217</v>
      </c>
      <c r="AF23" s="49" t="s">
        <v>217</v>
      </c>
      <c r="AG23" s="49" t="s">
        <v>217</v>
      </c>
      <c r="AH23" s="50"/>
      <c r="AI23" s="49" t="s">
        <v>217</v>
      </c>
      <c r="AJ23" s="49" t="s">
        <v>217</v>
      </c>
      <c r="AK23" s="49" t="s">
        <v>217</v>
      </c>
      <c r="AL23" s="49" t="s">
        <v>217</v>
      </c>
      <c r="AM23" s="49" t="s">
        <v>217</v>
      </c>
      <c r="AN23" s="49" t="s">
        <v>217</v>
      </c>
      <c r="AO23" s="49" t="s">
        <v>217</v>
      </c>
      <c r="AP23" s="49"/>
      <c r="AQ23" s="51"/>
      <c r="AR23" s="52" t="s">
        <v>291</v>
      </c>
      <c r="AS23" s="46" t="s">
        <v>219</v>
      </c>
      <c r="AT23" s="53" t="s">
        <v>220</v>
      </c>
      <c r="AU23" s="54">
        <v>42972</v>
      </c>
      <c r="AV23" s="105">
        <v>43097</v>
      </c>
      <c r="AW23" s="56" t="s">
        <v>221</v>
      </c>
      <c r="AX23" s="57" t="s">
        <v>221</v>
      </c>
      <c r="AY23" s="58"/>
      <c r="AZ23" s="58" t="s">
        <v>222</v>
      </c>
      <c r="BA23" s="58">
        <v>20</v>
      </c>
      <c r="BB23" s="58">
        <v>10000</v>
      </c>
      <c r="BC23" s="59" t="s">
        <v>223</v>
      </c>
      <c r="BD23" s="60" t="s">
        <v>224</v>
      </c>
      <c r="BE23" s="58" t="s">
        <v>216</v>
      </c>
      <c r="BF23" s="51" t="s">
        <v>216</v>
      </c>
      <c r="BG23" s="45" t="s">
        <v>291</v>
      </c>
      <c r="BH23" s="61" t="s">
        <v>225</v>
      </c>
      <c r="BI23" s="62" t="str">
        <f>IF(ISERROR(VLOOKUP(BH23,[7]PLANOS!B:C,2,0)),"",VLOOKUP(BH23,[7]PLANOS!B:C,2,0))</f>
        <v>PCS-4P6pi</v>
      </c>
      <c r="BJ23" s="63">
        <v>50.1</v>
      </c>
      <c r="BK23" s="64">
        <f>IF(BJ23=0,"",IF(BJ23=VLOOKUP("FIXO",[7]ARBOR!$A:$C,3,0),0.0001,IF(BJ23&gt;VLOOKUP("FIXO",[7]ARBOR!$A:$C,3,0),"Maior que CAP!",IF((DOLLAR(BJ23+(VLOOKUP("FIXO",[7]ARBOR!$A:$C,3,0)*-TRUNC(BJ23/VLOOKUP("FIXO",[7]ARBOR!$A:$C,3,0)-1,4)),6))&lt;&gt;(DOLLAR(VLOOKUP("FIXO",[7]ARBOR!$A:$C,3,0),6)),-TRUNC(BJ23/VLOOKUP("FIXO",[7]ARBOR!$A:$C,3,0)-1,4)+0.0001,-TRUNC(BJ23/VLOOKUP("FIXO",[7]ARBOR!$A:$C,3,0)-1,4)))))</f>
        <v>0.33939999999999998</v>
      </c>
      <c r="BL23" s="65" t="str">
        <f>IF(ISERROR(IF(BK23="","",VLOOKUP(($BH23&amp;BK23&amp;"Template de desconto FLAT bundle - Fixo - Varejo - Ganho Tributário Cross"),[7]BENEFICIOS!$A:$E,5,0))),"Criar",IF(BK23="","",VLOOKUP(($BH23&amp;BK23&amp;"Template de desconto FLAT bundle - Fixo - Varejo - Ganho Tributário Cross"),[7]BENEFICIOS!$A:$E,5,0)))</f>
        <v>MKT-1-9856472058</v>
      </c>
      <c r="BM23" s="66"/>
      <c r="BN23" s="67"/>
      <c r="BO23" s="68" t="s">
        <v>164</v>
      </c>
      <c r="BP23" s="69">
        <v>44.9</v>
      </c>
      <c r="BQ23" s="64">
        <f>IF(BP23=0,"",IF(BP23=VLOOKUP("PCS-30874g",[7]ARBOR!$A:$C,3,0),0.0001,IF(BP23&gt;VLOOKUP("PCS-30874g",[7]ARBOR!$A:$C,3,0),"Maior que CAP!",IF((DOLLAR(BP23+(VLOOKUP("PCS-30874g",[7]ARBOR!$A:$C,3,0)*-TRUNC(BP23/VLOOKUP("PCS-30874g",[7]ARBOR!$A:$C,3,0)-1,4)),6))&lt;&gt;(DOLLAR(VLOOKUP("PCS-30874g",[7]ARBOR!$A:$C,3,0),6)),-TRUNC(BP23/VLOOKUP("PCS-30874g",[7]ARBOR!$A:$C,3,0)-1,4)+0.0001,-TRUNC(BP23/VLOOKUP("PCS-30874g",[7]ARBOR!$A:$C,3,0)-1,4)))))</f>
        <v>0.53679999999999994</v>
      </c>
      <c r="BR23" s="65" t="str">
        <f>IF(ISERROR(IF(BQ23="","",VLOOKUP(($BH23&amp;BQ23&amp;"Template de desconto FLAT bundle - Velox XDSL - Varejo"),[7]BENEFICIOS!$A:$E,5,0))),"Criar",IF(BQ23="","",VLOOKUP(($BH23&amp;BQ23&amp;"Template de desconto FLAT bundle - Velox XDSL - Varejo"),[7]BENEFICIOS!$A:$E,5,0)))</f>
        <v>MKT-1-9865126733</v>
      </c>
      <c r="BS23" s="68" t="s">
        <v>164</v>
      </c>
      <c r="BT23" s="69">
        <v>44.9</v>
      </c>
      <c r="BU23" s="64">
        <f>IF(BT23=0,"",IF(BT23=VLOOKUP("PCS-30577g",[7]ARBOR!$A:$C,3,0),0.0001,IF(BT23&gt;VLOOKUP("PCS-30577g",[7]ARBOR!$A:$C,3,0),"Maior que CAP!",IF((DOLLAR(BT23+(VLOOKUP("PCS-30577g",[7]ARBOR!$A:$C,3,0)*-TRUNC(BT23/VLOOKUP("PCS-30577g",[7]ARBOR!$A:$C,3,0)-1,4)),6))&lt;&gt;(DOLLAR(VLOOKUP("PCS-30577g",[7]ARBOR!$A:$C,3,0),6)),-TRUNC(BT23/VLOOKUP("PCS-30577g",[7]ARBOR!$A:$C,3,0)-1,4)+0.0001,-TRUNC(BT23/VLOOKUP("PCS-30577g",[7]ARBOR!$A:$C,3,0)-1,4)))))</f>
        <v>0.53679999999999994</v>
      </c>
      <c r="BV23" s="65" t="str">
        <f>IF(ISERROR(IF(BU23="","",VLOOKUP(($BH23&amp;BU23&amp;"Template de desconto FLAT bundle - Velox XDSL - Varejo"),[7]BENEFICIOS!$A:$E,5,0))),"Criar",IF(BU23="","",VLOOKUP(($BH23&amp;BU23&amp;"Template de desconto FLAT bundle - Velox XDSL - Varejo"),[7]BENEFICIOS!$A:$E,5,0)))</f>
        <v>MKT-1-9865126733</v>
      </c>
      <c r="BW23" s="68" t="s">
        <v>164</v>
      </c>
      <c r="BX23" s="69">
        <v>44.9</v>
      </c>
      <c r="BY23" s="64">
        <f>IF(BX23=0,"",IF(BX23=VLOOKUP("PCS-30604g",[7]ARBOR!$A:$C,3,0),0.0001,IF(BX23&gt;VLOOKUP("PCS-30604g",[7]ARBOR!$A:$C,3,0),"Maior que CAP!",IF((DOLLAR(BX23+(VLOOKUP("PCS-30604g",[7]ARBOR!$A:$C,3,0)*-TRUNC(BX23/VLOOKUP("PCS-30604g",[7]ARBOR!$A:$C,3,0)-1,4)),6))&lt;&gt;(DOLLAR(VLOOKUP("PCS-30604g",[7]ARBOR!$A:$C,3,0),6)),-TRUNC(BX23/VLOOKUP("PCS-30604g",[7]ARBOR!$A:$C,3,0)-1,4)+0.0001,-TRUNC(BX23/VLOOKUP("PCS-30604g",[7]ARBOR!$A:$C,3,0)-1,4)))))</f>
        <v>0.53679999999999994</v>
      </c>
      <c r="BZ23" s="65" t="str">
        <f>IF(ISERROR(IF(BY23="","",VLOOKUP(($BH23&amp;BY23&amp;"Template de desconto FLAT bundle - Velox XDSL - Varejo"),[7]BENEFICIOS!$A:$E,5,0))),"Criar",IF(BY23="","",VLOOKUP(($BH23&amp;BY23&amp;"Template de desconto FLAT bundle - Velox XDSL - Varejo"),[7]BENEFICIOS!$A:$E,5,0)))</f>
        <v>MKT-1-9865126733</v>
      </c>
      <c r="CA23" s="68" t="s">
        <v>164</v>
      </c>
      <c r="CB23" s="69">
        <v>44.9</v>
      </c>
      <c r="CC23" s="64">
        <f>IF(CB23=0,"",IF(CB23=VLOOKUP("PCS-30631g",[7]ARBOR!$A:$C,3,0),0.0001,IF(CB23&gt;VLOOKUP("PCS-30631g",[7]ARBOR!$A:$C,3,0),"Maior que CAP!",IF((DOLLAR(CB23+(VLOOKUP("PCS-30631g",[7]ARBOR!$A:$C,3,0)*-TRUNC(CB23/VLOOKUP("PCS-30631g",[7]ARBOR!$A:$C,3,0)-1,4)),6))&lt;&gt;(DOLLAR(VLOOKUP("PCS-30631g",[7]ARBOR!$A:$C,3,0),6)),-TRUNC(CB23/VLOOKUP("PCS-30631g",[7]ARBOR!$A:$C,3,0)-1,4)+0.0001,-TRUNC(CB23/VLOOKUP("PCS-30631g",[7]ARBOR!$A:$C,3,0)-1,4)))))</f>
        <v>0.54310000000000003</v>
      </c>
      <c r="CD23" s="65" t="str">
        <f>IF(ISERROR(IF(CC23="","",VLOOKUP(($BH23&amp;CC23&amp;"Template de desconto FLAT bundle - Velox XDSL - Varejo"),[7]BENEFICIOS!$A:$E,5,0))),"Criar",IF(CC23="","",VLOOKUP(($BH23&amp;CC23&amp;"Template de desconto FLAT bundle - Velox XDSL - Varejo"),[7]BENEFICIOS!$A:$E,5,0)))</f>
        <v>MKT-1-9865126826</v>
      </c>
      <c r="CE23" s="68"/>
      <c r="CF23" s="69"/>
      <c r="CG23" s="64" t="str">
        <f>IF(CF23=0,"",IF(CF23=VLOOKUP("PCS-30658g",[7]ARBOR!$A:$C,3,0),0.0001,IF(CF23&gt;VLOOKUP("PCS-30658g",[7]ARBOR!$A:$C,3,0),"Maior que CAP!",IF((DOLLAR(CF23+(VLOOKUP("PCS-30658g",[7]ARBOR!$A:$C,3,0)*-TRUNC(CF23/VLOOKUP("PCS-30658g",[7]ARBOR!$A:$C,3,0)-1,4)),6))&lt;&gt;(DOLLAR(VLOOKUP("PCS-30658g",[7]ARBOR!$A:$C,3,0),6)),-TRUNC(CF23/VLOOKUP("PCS-30658g",[7]ARBOR!$A:$C,3,0)-1,4)+0.0001,-TRUNC(CF23/VLOOKUP("PCS-30658g",[7]ARBOR!$A:$C,3,0)-1,4)))))</f>
        <v/>
      </c>
      <c r="CH23" s="65" t="str">
        <f>IF(ISERROR(IF(CG23="","",VLOOKUP(($BH23&amp;CG23&amp;"Template de desconto FLAT bundle - Velox XDSL - Varejo"),[7]BENEFICIOS!$A:$E,5,0))),"Criar",IF(CG23="","",VLOOKUP(($BH23&amp;CG23&amp;"Template de desconto FLAT bundle - Velox XDSL - Varejo"),[7]BENEFICIOS!$A:$E,5,0)))</f>
        <v/>
      </c>
      <c r="CI23" s="68"/>
      <c r="CJ23" s="69"/>
      <c r="CK23" s="64" t="str">
        <f>IF(CJ23=0,"",IF(CJ23=VLOOKUP("PCS-30685g",[7]ARBOR!$A:$C,3,0),0.0001,IF(CJ23&gt;VLOOKUP("PCS-30685g",[7]ARBOR!$A:$C,3,0),"Maior que CAP!",IF((DOLLAR(CJ23+(VLOOKUP("PCS-30685g",[7]ARBOR!$A:$C,3,0)*-TRUNC(CJ23/VLOOKUP("PCS-30685g",[7]ARBOR!$A:$C,3,0)-1,4)),6))&lt;&gt;(DOLLAR(VLOOKUP("PCS-30685g",[7]ARBOR!$A:$C,3,0),6)),-TRUNC(CJ23/VLOOKUP("PCS-30685g",[7]ARBOR!$A:$C,3,0)-1,4)+0.0001,-TRUNC(CJ23/VLOOKUP("PCS-30685g",[7]ARBOR!$A:$C,3,0)-1,4)))))</f>
        <v/>
      </c>
      <c r="CL23" s="65" t="str">
        <f>IF(ISERROR(IF(CK23="","",VLOOKUP(($BH23&amp;CK23&amp;"Template de desconto FLAT bundle - Velox XDSL - Varejo"),[7]BENEFICIOS!$A:$E,5,0))),"Criar",IF(CK23="","",VLOOKUP(($BH23&amp;CK23&amp;"Template de desconto FLAT bundle - Velox XDSL - Varejo"),[7]BENEFICIOS!$A:$E,5,0)))</f>
        <v/>
      </c>
      <c r="CM23" s="68"/>
      <c r="CN23" s="69"/>
      <c r="CO23" s="64" t="str">
        <f>IF(CN23=0,"",IF(CN23=VLOOKUP("PCS-30712g",[7]ARBOR!$A:$C,3,0),0.0001,IF(CN23&gt;VLOOKUP("PCS-30712g",[7]ARBOR!$A:$C,3,0),"Maior que CAP!",IF((DOLLAR(CN23+(VLOOKUP("PCS-30712g",[7]ARBOR!$A:$C,3,0)*-TRUNC(CN23/VLOOKUP("PCS-30712g",[7]ARBOR!$A:$C,3,0)-1,4)),6))&lt;&gt;(DOLLAR(VLOOKUP("PCS-30712g",[7]ARBOR!$A:$C,3,0),6)),-TRUNC(CN23/VLOOKUP("PCS-30712g",[7]ARBOR!$A:$C,3,0)-1,4)+0.0001,-TRUNC(CN23/VLOOKUP("PCS-30712g",[7]ARBOR!$A:$C,3,0)-1,4)))))</f>
        <v/>
      </c>
      <c r="CP23" s="65" t="str">
        <f>IF(ISERROR(IF(CO23="","",VLOOKUP(($BH23&amp;CO23&amp;"Template de desconto FLAT bundle - Velox XDSL - Varejo"),[7]BENEFICIOS!$A:$E,5,0))),"Criar",IF(CO23="","",VLOOKUP(($BH23&amp;CO23&amp;"Template de desconto FLAT bundle - Velox XDSL - Varejo"),[7]BENEFICIOS!$A:$E,5,0)))</f>
        <v/>
      </c>
      <c r="CQ23" s="68"/>
      <c r="CR23" s="69"/>
      <c r="CS23" s="64" t="str">
        <f>IF(CR23=0,"",IF(CR23=VLOOKUP("PCS-30739g",[7]ARBOR!$A:$C,3,0),0.0001,IF(CR23&gt;VLOOKUP("PCS-30739g",[7]ARBOR!$A:$C,3,0),"Maior que CAP!",IF((DOLLAR(CR23+(VLOOKUP("PCS-30739g",[7]ARBOR!$A:$C,3,0)*-TRUNC(CR23/VLOOKUP("PCS-30739g",[7]ARBOR!$A:$C,3,0)-1,4)),6))&lt;&gt;(DOLLAR(VLOOKUP("PCS-30739g",[7]ARBOR!$A:$C,3,0),6)),-TRUNC(CR23/VLOOKUP("PCS-30739g",[7]ARBOR!$A:$C,3,0)-1,4)+0.0001,-TRUNC(CR23/VLOOKUP("PCS-30739g",[7]ARBOR!$A:$C,3,0)-1,4)))))</f>
        <v/>
      </c>
      <c r="CT23" s="65" t="str">
        <f>IF(ISERROR(IF(CS23="","",VLOOKUP(($BH23&amp;CS23&amp;"Template de desconto FLAT bundle - Velox XDSL - Varejo"),[7]BENEFICIOS!$A:$E,5,0))),"Criar",IF(CS23="","",VLOOKUP(($BH23&amp;CS23&amp;"Template de desconto FLAT bundle - Velox XDSL - Varejo"),[7]BENEFICIOS!$A:$E,5,0)))</f>
        <v/>
      </c>
      <c r="CU23" s="69"/>
      <c r="CV23" s="70"/>
      <c r="CW23" s="64"/>
      <c r="CX23" s="65"/>
      <c r="CY23" s="68"/>
      <c r="CZ23" s="69"/>
      <c r="DA23" s="64" t="str">
        <f>IF(CZ23=0,"",IF(CZ23=VLOOKUP("PCS-30766g",[7]ARBOR!$A:$C,3,0),0.0001,IF(CZ23&gt;VLOOKUP("PCS-30766g",[7]ARBOR!$A:$C,3,0),"Maior que CAP!",IF((DOLLAR(CZ23+(VLOOKUP("PCS-30766g",[7]ARBOR!$A:$C,3,0)*-TRUNC(CZ23/VLOOKUP("PCS-30766g",[7]ARBOR!$A:$C,3,0)-1,4)),6))&lt;&gt;(DOLLAR(VLOOKUP("PCS-30766g",[7]ARBOR!$A:$C,3,0),6)),-TRUNC(CZ23/VLOOKUP("PCS-30766g",[7]ARBOR!$A:$C,3,0)-1,4)+0.0001,-TRUNC(CZ23/VLOOKUP("PCS-30766g",[7]ARBOR!$A:$C,3,0)-1,4)))))</f>
        <v/>
      </c>
      <c r="DB23" s="65" t="str">
        <f>IF(ISERROR(IF(DA23="","",VLOOKUP(($BH23&amp;DA23&amp;"Template de desconto FLAT bundle - Velox XDSL - Varejo"),[7]BENEFICIOS!$A:$E,5,0))),"Criar",IF(DA23="","",VLOOKUP(($BH23&amp;DA23&amp;"Template de desconto FLAT bundle - Velox XDSL - Varejo"),[7]BENEFICIOS!$A:$E,5,0)))</f>
        <v/>
      </c>
      <c r="DC23" s="69"/>
      <c r="DD23" s="70"/>
      <c r="DE23" s="64"/>
      <c r="DF23" s="65"/>
      <c r="DG23" s="68"/>
      <c r="DH23" s="69"/>
      <c r="DI23" s="64" t="str">
        <f>IF(DH23=0,"",IF(DH23=VLOOKUP("PCS-30793g",[7]ARBOR!$A:$C,3,0),0.0001,IF(DH23&gt;VLOOKUP("PCS-30793g",[7]ARBOR!$A:$C,3,0),"Maior que CAP!",IF((DOLLAR(DH23+(VLOOKUP("PCS-30793g",[7]ARBOR!$A:$C,3,0)*-TRUNC(DH23/VLOOKUP("PCS-30793g",[7]ARBOR!$A:$C,3,0)-1,4)),6))&lt;&gt;(DOLLAR(VLOOKUP("PCS-30793g",[7]ARBOR!$A:$C,3,0),6)),-TRUNC(DH23/VLOOKUP("PCS-30793g",[7]ARBOR!$A:$C,3,0)-1,4)+0.0001,-TRUNC(DH23/VLOOKUP("PCS-30793g",[7]ARBOR!$A:$C,3,0)-1,4)))))</f>
        <v/>
      </c>
      <c r="DJ23" s="65" t="str">
        <f>IF(ISERROR(IF(DI23="","",VLOOKUP(($BH23&amp;DI23&amp;"Template de desconto FLAT bundle - Velox XDSL - Varejo"),[7]BENEFICIOS!$A:$E,5,0))),"Criar",IF(DI23="","",VLOOKUP(($BH23&amp;DI23&amp;"Template de desconto FLAT bundle - Velox XDSL - Varejo"),[7]BENEFICIOS!$A:$E,5,0)))</f>
        <v/>
      </c>
      <c r="DK23" s="69"/>
      <c r="DL23" s="70"/>
      <c r="DM23" s="64"/>
      <c r="DN23" s="65"/>
      <c r="DO23" s="68"/>
      <c r="DP23" s="69"/>
      <c r="DQ23" s="64" t="str">
        <f>IF(DP23=0,"",IF(DP23=VLOOKUP("PCS-30820g",[7]ARBOR!$A:$C,3,0),0.0001,IF(DP23&gt;VLOOKUP("PCS-30820g",[7]ARBOR!$A:$C,3,0),"Maior que CAP!",IF((DOLLAR(DP23+(VLOOKUP("PCS-30820g",[7]ARBOR!$A:$C,3,0)*-TRUNC(DP23/VLOOKUP("PCS-30820g",[7]ARBOR!$A:$C,3,0)-1,4)),6))&lt;&gt;(DOLLAR(VLOOKUP("PCS-30820g",[7]ARBOR!$A:$C,3,0),6)),-TRUNC(DP23/VLOOKUP("PCS-30820g",[7]ARBOR!$A:$C,3,0)-1,4)+0.0001,-TRUNC(DP23/VLOOKUP("PCS-30820g",[7]ARBOR!$A:$C,3,0)-1,4)))))</f>
        <v/>
      </c>
      <c r="DR23" s="65" t="str">
        <f>IF(ISERROR(IF(DQ23="","",VLOOKUP(($BH23&amp;DQ23&amp;"Template de desconto FLAT bundle - Velox XDSL - Varejo"),[7]BENEFICIOS!$A:$E,5,0))),"Criar",IF(DQ23="","",VLOOKUP(($BH23&amp;DQ23&amp;"Template de desconto FLAT bundle - Velox XDSL - Varejo"),[7]BENEFICIOS!$A:$E,5,0)))</f>
        <v/>
      </c>
      <c r="DS23" s="69"/>
      <c r="DT23" s="70"/>
      <c r="DU23" s="64"/>
      <c r="DV23" s="65"/>
      <c r="DW23" s="71">
        <v>44.9</v>
      </c>
      <c r="DX23" s="64">
        <f>IF(DW23=0,"",IF(DW23=VLOOKUP("PCS-21448p2",[7]ARBOR!$A:$C,3,0),0.0001,IF(DW23&gt;VLOOKUP("PCS-21448p2",[7]ARBOR!$A:$C,3,0),"Maior que CAP!",IF((DOLLAR(DW23+(VLOOKUP("PCS-21448p2",[7]ARBOR!$A:$C,3,0)*-TRUNC(DW23/VLOOKUP("PCS-21448p2",[7]ARBOR!$A:$C,3,0)-1,4)),6))&lt;&gt;(DOLLAR(VLOOKUP("PCS-21448p2",[7]ARBOR!$A:$C,3,0),6)),-TRUNC(DW23/VLOOKUP("PCS-21448p2",[7]ARBOR!$A:$C,3,0)-1,4)+0.0001,-TRUNC(DW23/VLOOKUP("PCS-21448p2",[7]ARBOR!$A:$C,3,0)-1,4)))))</f>
        <v>0.64900000000000002</v>
      </c>
      <c r="DY23" s="65" t="str">
        <f>IF(ISERROR(IF(DX23="","",VLOOKUP(("Oi Conta Total Plug 10GB Downgrade"&amp;DX23&amp;"Template de desconto percentual BL Móvel - Internet Total - Varejo"),[7]BENEFICIOS!$A:$E,5,0))),"Criar",IF(DX23="","",VLOOKUP(("Oi Conta Total Plug 10GB Downgrade"&amp;DX23&amp;"Template de desconto percentual BL Móvel - Internet Total - Varejo"),[7]BENEFICIOS!$A:$E,5,0)))</f>
        <v>MKT-1-9825544790</v>
      </c>
      <c r="DZ23" s="71">
        <v>16.5</v>
      </c>
      <c r="EA23" s="72">
        <f>IF(DZ23=0,"",IF(DZ23=VLOOKUP("SVA",[7]ARBOR!$A:$C,3,0),0.0001,IF(DZ23&gt;VLOOKUP("SVA",[7]ARBOR!$A:$C,3,0),"Maior que CAP!",IF((DOLLAR(DZ23+(VLOOKUP("SVA",[7]ARBOR!$A:$C,3,0)*-TRUNC(DZ23/VLOOKUP("SVA",[7]ARBOR!$A:$C,3,0)-1,4)),6))&lt;&gt;(DOLLAR(VLOOKUP("SVA",[7]ARBOR!$A:$C,3,0),6)),-TRUNC(DZ23/VLOOKUP("SVA",[7]ARBOR!$A:$C,3,0)-1,4)+0.0001,-TRUNC(DZ23/VLOOKUP("SVA",[7]ARBOR!$A:$C,3,0)-1,4)))))</f>
        <v>0.2301</v>
      </c>
      <c r="EB23" s="65" t="s">
        <v>226</v>
      </c>
      <c r="EC23" s="69"/>
      <c r="ED23" s="73"/>
      <c r="EE23" s="74"/>
      <c r="EF23" s="65"/>
      <c r="EG23" s="75">
        <f>IF(BI23="","",VLOOKUP(BI23,[7]ARBOR!A:C,3,0))</f>
        <v>479.46</v>
      </c>
      <c r="EH23" s="69">
        <v>15</v>
      </c>
      <c r="EI23" s="76">
        <f>IF(EH23="","",1-(EH23/VLOOKUP(BI23&amp;"ASS",[7]ARBOR!A:C,3,0)))</f>
        <v>0.34725848563968664</v>
      </c>
      <c r="EJ23" s="77" t="s">
        <v>227</v>
      </c>
      <c r="EK23" s="78" t="s">
        <v>228</v>
      </c>
      <c r="EL23" s="69">
        <v>144.97999999999999</v>
      </c>
      <c r="EM23" s="64">
        <f>IF(EL23=0,"",IF(EL23=EG23,0.0001,ROUND(1-((EL23+(VLOOKUP(BI23&amp;"ASS",[7]ARBOR!A:C,3,0)-EH23))/EG23),4)))</f>
        <v>0.68100000000000005</v>
      </c>
      <c r="EN23" s="65" t="str">
        <f>IF(ISERROR(IF(EM23="","",VLOOKUP(($BH23&amp;EM23&amp;"Template de desconto percentual FLAT Móvel - Conta Total - Varejo - Ganho Tributário Cross"),[7]BENEFICIOS!$A:$E,5,0))),"Criar",IF(EM23="","",VLOOKUP(($BH23&amp;EM23&amp;"Template de desconto percentual FLAT Móvel - Conta Total - Varejo - Ganho Tributário Cross"),[7]BENEFICIOS!$A:$E,5,0)))</f>
        <v>MKT-1-10032167861</v>
      </c>
      <c r="EO23" s="79"/>
      <c r="EP23" s="64"/>
      <c r="EQ23" s="72"/>
      <c r="ER23" s="72"/>
      <c r="ES23" s="64"/>
      <c r="ET23" s="80"/>
      <c r="EU23" s="81" t="s">
        <v>247</v>
      </c>
      <c r="EV23" s="81" t="s">
        <v>264</v>
      </c>
      <c r="EW23" s="82"/>
      <c r="EX23" s="83"/>
      <c r="EY23" s="84"/>
      <c r="EZ23" s="82"/>
      <c r="FA23" s="83"/>
      <c r="FB23" s="84"/>
      <c r="FC23" s="82"/>
      <c r="FD23" s="83" t="str">
        <f>IF(FC23=0,"",IF(FC23=VLOOKUP("PCS-10357",[7]ARBOR!$A:$C,3,0),0.0001,IF(FC23&gt;VLOOKUP("PCS-10357",[7]ARBOR!$A:$C,3,0),"Maior que CAP!",ROUND(-1*(FC23/VLOOKUP("PCS-10357",[7]ARBOR!$A:$C,3,0)-1),4))))</f>
        <v/>
      </c>
      <c r="FE23" s="84" t="str">
        <f>IF(ISERROR(IF(FD23="","",VLOOKUP(("Oi Internet Pra Celular 1GB"&amp;FD23&amp;"Template Flat Instância Dados"),[7]BENEFICIOS!$A:$E,5,0))),"Criar",IF(FD23="","",VLOOKUP(("Oi Internet Pra Celular 1GB"&amp;FD23&amp;"Template Flat Instância Dados"),[7]BENEFICIOS!$A:$E,5,0)))</f>
        <v/>
      </c>
      <c r="FF23" s="82"/>
      <c r="FG23" s="83" t="str">
        <f>IF(FF23=0,"",IF(FF23=VLOOKUP("PCS-813565",[7]ARBOR!$A:$C,3,0),0.0001,IF(FF23&gt;VLOOKUP("PCS-813565",[7]ARBOR!$A:$C,3,0),"Maior que CAP!",ROUND(-1*(FF23/VLOOKUP("PCS-813565",[7]ARBOR!$A:$C,3,0)-1),4))))</f>
        <v/>
      </c>
      <c r="FH23" s="84" t="str">
        <f>IF(ISERROR(IF(FG23="","",VLOOKUP(("Oi Internet Pra Celular 2GB"&amp;FG23&amp;"Template Flat Instância Dados"),[7]BENEFICIOS!$A:$E,5,0))),"Criar",IF(FG23="","",VLOOKUP(("Oi Internet Pra Celular 2GB"&amp;FG23&amp;"Template Flat Instância Dados"),[7]BENEFICIOS!$A:$E,5,0)))</f>
        <v/>
      </c>
      <c r="FI23" s="82"/>
      <c r="FJ23" s="83" t="str">
        <f>IF(FI23=0,"",IF(FI23=VLOOKUP("PCS-7171B",[7]ARBOR!$A:$C,3,0),0.0001,IF(FI23&gt;VLOOKUP("PCS-7171B",[7]ARBOR!$A:$C,3,0),"Maior que CAP!",ROUND(-1*(FI23/VLOOKUP("PCS-7171B",[7]ARBOR!$A:$C,3,0)-1),4))))</f>
        <v/>
      </c>
      <c r="FK23" s="84" t="str">
        <f>IF(ISERROR(IF(FJ23="","",VLOOKUP(("Oi Internet Pra Celular 3GB"&amp;FJ23&amp;"Template Flat Instância Dados"),[7]BENEFICIOS!$A:$E,5,0))),"Criar",IF(FJ23="","",VLOOKUP(("Oi Internet Pra Celular 3GB"&amp;FJ23&amp;"Template Flat Instância Dados"),[7]BENEFICIOS!$A:$E,5,0)))</f>
        <v/>
      </c>
      <c r="FL23" s="82">
        <v>14.92</v>
      </c>
      <c r="FM23" s="83">
        <f>IF(FL23=0,"",IF(FL23=VLOOKUP("PCS-51793o08",[7]ARBOR!$A:$C,3,0),0.0001,IF(FL23&gt;VLOOKUP("PCS-51793o08",[7]ARBOR!$A:$C,3,0),"Maior que CAP!",ROUND(-1*(FL23/VLOOKUP("PCS-51793o08",[7]ARBOR!$A:$C,3,0)-1),4))))</f>
        <v>0.89500000000000002</v>
      </c>
      <c r="FN23" s="84" t="str">
        <f>IF(ISERROR(IF(FM23="","",VLOOKUP(("Oi Internet Pra Celular 5GB"&amp;FM23&amp;"Template Flat Instância Dados"),[7]BENEFICIOS!$A:$E,5,0))),"Criar",IF(FM23="","",VLOOKUP(("Oi Internet Pra Celular 5GB"&amp;FM23&amp;"Template Flat Instância Dados"),[7]BENEFICIOS!$A:$E,5,0)))</f>
        <v>MKT-1-9870312709</v>
      </c>
      <c r="FO23" s="82"/>
      <c r="FP23" s="83" t="str">
        <f>IF(FO23=0,"",IF(FO23=VLOOKUP("PCS-7171A",[7]ARBOR!$A:$C,3,0),0.0001,IF(FO23&gt;VLOOKUP("PCS-7171A",[7]ARBOR!$A:$C,3,0),"Maior que CAP!",ROUND(-1*(FO23/VLOOKUP("PCS-7171A",[7]ARBOR!$A:$C,3,0)-1),4))))</f>
        <v/>
      </c>
      <c r="FQ23" s="84" t="str">
        <f>IF(ISERROR(IF(FP23="","",VLOOKUP(("Oi Internet Pra Celular 10GB"&amp;FP23&amp;"Template Flat Instância Dados"),[7]BENEFICIOS!$A:$E,5,0))),"Criar",IF(FP23="","",VLOOKUP(("Oi Internet Pra Celular 10GB"&amp;FP23&amp;"Template Flat Instância Dados"),[7]BENEFICIOS!$A:$E,5,0)))</f>
        <v/>
      </c>
      <c r="FR23" s="85">
        <v>0.74260000000000004</v>
      </c>
      <c r="FS23" s="86" t="s">
        <v>265</v>
      </c>
      <c r="FT23" s="48"/>
      <c r="FU23" s="87"/>
      <c r="FV23" s="88" t="s">
        <v>224</v>
      </c>
      <c r="FW23" s="49" t="s">
        <v>229</v>
      </c>
      <c r="FX23" s="89">
        <v>999</v>
      </c>
      <c r="FY23" s="49">
        <v>12</v>
      </c>
      <c r="FZ23" s="90" t="s">
        <v>230</v>
      </c>
      <c r="GA23" s="91" t="str">
        <f t="shared" si="1"/>
        <v>PCS-Fk83324</v>
      </c>
      <c r="GB23" s="92" t="str">
        <f t="shared" si="2"/>
        <v>PCS-SBL553142</v>
      </c>
      <c r="GC23" s="93" t="s">
        <v>231</v>
      </c>
      <c r="GD23" s="90" t="s">
        <v>232</v>
      </c>
      <c r="GE23" s="92" t="s">
        <v>233</v>
      </c>
      <c r="GF23" s="93" t="s">
        <v>234</v>
      </c>
      <c r="GG23" s="90" t="s">
        <v>235</v>
      </c>
      <c r="GH23" s="92" t="s">
        <v>236</v>
      </c>
      <c r="GI23" s="94" t="s">
        <v>237</v>
      </c>
      <c r="GJ23" s="95">
        <f>FL23+EL23+DW23+BJ23</f>
        <v>254.89999999999998</v>
      </c>
      <c r="GK23" s="96"/>
      <c r="GL23" s="97" t="s">
        <v>238</v>
      </c>
      <c r="GM23" s="98" t="s">
        <v>275</v>
      </c>
      <c r="GN23" s="97">
        <v>20.350000000000001</v>
      </c>
      <c r="GO23" s="99">
        <v>5.24</v>
      </c>
      <c r="GP23" s="76">
        <v>0.74250000000000005</v>
      </c>
      <c r="GQ23" s="97">
        <v>15.1</v>
      </c>
      <c r="GR23" s="97">
        <v>5.2500000000000018</v>
      </c>
      <c r="GS23" s="101"/>
      <c r="GT23" s="101"/>
      <c r="GU23" s="102" t="b">
        <v>0</v>
      </c>
      <c r="GV23" s="103">
        <v>1.0000000000001563E-2</v>
      </c>
      <c r="GW23" s="44" t="s">
        <v>292</v>
      </c>
      <c r="GX23" s="44" t="s">
        <v>241</v>
      </c>
    </row>
    <row r="24" spans="1:206" s="44" customFormat="1" x14ac:dyDescent="0.25">
      <c r="A24" s="44" t="str">
        <f t="shared" si="0"/>
        <v>Oi Total Fixo + Pós 800 + Banda LargaN25GBMG</v>
      </c>
      <c r="B24" s="45" t="s">
        <v>214</v>
      </c>
      <c r="C24" s="46" t="s">
        <v>130</v>
      </c>
      <c r="D24" s="46" t="s">
        <v>215</v>
      </c>
      <c r="E24" s="47" t="s">
        <v>216</v>
      </c>
      <c r="F24" s="88" t="s">
        <v>217</v>
      </c>
      <c r="G24" s="49"/>
      <c r="H24" s="49"/>
      <c r="I24" s="49"/>
      <c r="J24" s="49" t="s">
        <v>217</v>
      </c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 t="s">
        <v>217</v>
      </c>
      <c r="AC24" s="49" t="s">
        <v>217</v>
      </c>
      <c r="AD24" s="49" t="s">
        <v>217</v>
      </c>
      <c r="AE24" s="49" t="s">
        <v>217</v>
      </c>
      <c r="AF24" s="49" t="s">
        <v>217</v>
      </c>
      <c r="AG24" s="49" t="s">
        <v>217</v>
      </c>
      <c r="AH24" s="50"/>
      <c r="AI24" s="49" t="s">
        <v>217</v>
      </c>
      <c r="AJ24" s="49" t="s">
        <v>217</v>
      </c>
      <c r="AK24" s="49" t="s">
        <v>217</v>
      </c>
      <c r="AL24" s="49" t="s">
        <v>217</v>
      </c>
      <c r="AM24" s="49" t="s">
        <v>217</v>
      </c>
      <c r="AN24" s="49" t="s">
        <v>217</v>
      </c>
      <c r="AO24" s="49" t="s">
        <v>217</v>
      </c>
      <c r="AP24" s="49"/>
      <c r="AQ24" s="51"/>
      <c r="AR24" s="52" t="s">
        <v>293</v>
      </c>
      <c r="AS24" s="46" t="s">
        <v>219</v>
      </c>
      <c r="AT24" s="53" t="s">
        <v>220</v>
      </c>
      <c r="AU24" s="54">
        <v>42972</v>
      </c>
      <c r="AV24" s="105">
        <v>43097</v>
      </c>
      <c r="AW24" s="56" t="s">
        <v>221</v>
      </c>
      <c r="AX24" s="57" t="s">
        <v>221</v>
      </c>
      <c r="AY24" s="58"/>
      <c r="AZ24" s="58" t="s">
        <v>222</v>
      </c>
      <c r="BA24" s="58">
        <v>20</v>
      </c>
      <c r="BB24" s="58">
        <v>10000</v>
      </c>
      <c r="BC24" s="59" t="s">
        <v>223</v>
      </c>
      <c r="BD24" s="60" t="s">
        <v>224</v>
      </c>
      <c r="BE24" s="58" t="s">
        <v>216</v>
      </c>
      <c r="BF24" s="51" t="s">
        <v>216</v>
      </c>
      <c r="BG24" s="45" t="s">
        <v>293</v>
      </c>
      <c r="BH24" s="61" t="s">
        <v>225</v>
      </c>
      <c r="BI24" s="62" t="str">
        <f>IF(ISERROR(VLOOKUP(BH24,[7]PLANOS!B:C,2,0)),"",VLOOKUP(BH24,[7]PLANOS!B:C,2,0))</f>
        <v>PCS-4P6pi</v>
      </c>
      <c r="BJ24" s="63">
        <v>50.1</v>
      </c>
      <c r="BK24" s="64">
        <f>IF(BJ24=0,"",IF(BJ24=VLOOKUP("FIXO",[7]ARBOR!$A:$C,3,0),0.0001,IF(BJ24&gt;VLOOKUP("FIXO",[7]ARBOR!$A:$C,3,0),"Maior que CAP!",IF((DOLLAR(BJ24+(VLOOKUP("FIXO",[7]ARBOR!$A:$C,3,0)*-TRUNC(BJ24/VLOOKUP("FIXO",[7]ARBOR!$A:$C,3,0)-1,4)),6))&lt;&gt;(DOLLAR(VLOOKUP("FIXO",[7]ARBOR!$A:$C,3,0),6)),-TRUNC(BJ24/VLOOKUP("FIXO",[7]ARBOR!$A:$C,3,0)-1,4)+0.0001,-TRUNC(BJ24/VLOOKUP("FIXO",[7]ARBOR!$A:$C,3,0)-1,4)))))</f>
        <v>0.33939999999999998</v>
      </c>
      <c r="BL24" s="65" t="str">
        <f>IF(ISERROR(IF(BK24="","",VLOOKUP(($BH24&amp;BK24&amp;"Template de desconto FLAT bundle - Fixo - Varejo - Ganho Tributário Cross"),[7]BENEFICIOS!$A:$E,5,0))),"Criar",IF(BK24="","",VLOOKUP(($BH24&amp;BK24&amp;"Template de desconto FLAT bundle - Fixo - Varejo - Ganho Tributário Cross"),[7]BENEFICIOS!$A:$E,5,0)))</f>
        <v>MKT-1-9856472058</v>
      </c>
      <c r="BM24" s="66"/>
      <c r="BN24" s="67"/>
      <c r="BO24" s="104" t="s">
        <v>243</v>
      </c>
      <c r="BP24" s="69">
        <v>44.9</v>
      </c>
      <c r="BQ24" s="64">
        <f>IF(BP24=0,"",IF(BP24=VLOOKUP("PCS-30874g",[7]ARBOR!$A:$C,3,0),0.0001,IF(BP24&gt;VLOOKUP("PCS-30874g",[7]ARBOR!$A:$C,3,0),"Maior que CAP!",IF((DOLLAR(BP24+(VLOOKUP("PCS-30874g",[7]ARBOR!$A:$C,3,0)*-TRUNC(BP24/VLOOKUP("PCS-30874g",[7]ARBOR!$A:$C,3,0)-1,4)),6))&lt;&gt;(DOLLAR(VLOOKUP("PCS-30874g",[7]ARBOR!$A:$C,3,0),6)),-TRUNC(BP24/VLOOKUP("PCS-30874g",[7]ARBOR!$A:$C,3,0)-1,4)+0.0001,-TRUNC(BP24/VLOOKUP("PCS-30874g",[7]ARBOR!$A:$C,3,0)-1,4)))))</f>
        <v>0.53679999999999994</v>
      </c>
      <c r="BR24" s="65" t="str">
        <f>IF(ISERROR(IF(BQ24="","",VLOOKUP(($BH24&amp;BQ24&amp;"Template de desconto FLAT bundle - Velox XDSL - Varejo"),[7]BENEFICIOS!$A:$E,5,0))),"Criar",IF(BQ24="","",VLOOKUP(($BH24&amp;BQ24&amp;"Template de desconto FLAT bundle - Velox XDSL - Varejo"),[7]BENEFICIOS!$A:$E,5,0)))</f>
        <v>MKT-1-9865126733</v>
      </c>
      <c r="BS24" s="104" t="s">
        <v>243</v>
      </c>
      <c r="BT24" s="69">
        <v>44.9</v>
      </c>
      <c r="BU24" s="64">
        <f>IF(BT24=0,"",IF(BT24=VLOOKUP("PCS-30577g",[7]ARBOR!$A:$C,3,0),0.0001,IF(BT24&gt;VLOOKUP("PCS-30577g",[7]ARBOR!$A:$C,3,0),"Maior que CAP!",IF((DOLLAR(BT24+(VLOOKUP("PCS-30577g",[7]ARBOR!$A:$C,3,0)*-TRUNC(BT24/VLOOKUP("PCS-30577g",[7]ARBOR!$A:$C,3,0)-1,4)),6))&lt;&gt;(DOLLAR(VLOOKUP("PCS-30577g",[7]ARBOR!$A:$C,3,0),6)),-TRUNC(BT24/VLOOKUP("PCS-30577g",[7]ARBOR!$A:$C,3,0)-1,4)+0.0001,-TRUNC(BT24/VLOOKUP("PCS-30577g",[7]ARBOR!$A:$C,3,0)-1,4)))))</f>
        <v>0.53679999999999994</v>
      </c>
      <c r="BV24" s="65" t="str">
        <f>IF(ISERROR(IF(BU24="","",VLOOKUP(($BH24&amp;BU24&amp;"Template de desconto FLAT bundle - Velox XDSL - Varejo"),[7]BENEFICIOS!$A:$E,5,0))),"Criar",IF(BU24="","",VLOOKUP(($BH24&amp;BU24&amp;"Template de desconto FLAT bundle - Velox XDSL - Varejo"),[7]BENEFICIOS!$A:$E,5,0)))</f>
        <v>MKT-1-9865126733</v>
      </c>
      <c r="BW24" s="104" t="s">
        <v>243</v>
      </c>
      <c r="BX24" s="69">
        <v>44.9</v>
      </c>
      <c r="BY24" s="64">
        <f>IF(BX24=0,"",IF(BX24=VLOOKUP("PCS-30604g",[7]ARBOR!$A:$C,3,0),0.0001,IF(BX24&gt;VLOOKUP("PCS-30604g",[7]ARBOR!$A:$C,3,0),"Maior que CAP!",IF((DOLLAR(BX24+(VLOOKUP("PCS-30604g",[7]ARBOR!$A:$C,3,0)*-TRUNC(BX24/VLOOKUP("PCS-30604g",[7]ARBOR!$A:$C,3,0)-1,4)),6))&lt;&gt;(DOLLAR(VLOOKUP("PCS-30604g",[7]ARBOR!$A:$C,3,0),6)),-TRUNC(BX24/VLOOKUP("PCS-30604g",[7]ARBOR!$A:$C,3,0)-1,4)+0.0001,-TRUNC(BX24/VLOOKUP("PCS-30604g",[7]ARBOR!$A:$C,3,0)-1,4)))))</f>
        <v>0.53679999999999994</v>
      </c>
      <c r="BZ24" s="65" t="str">
        <f>IF(ISERROR(IF(BY24="","",VLOOKUP(($BH24&amp;BY24&amp;"Template de desconto FLAT bundle - Velox XDSL - Varejo"),[7]BENEFICIOS!$A:$E,5,0))),"Criar",IF(BY24="","",VLOOKUP(($BH24&amp;BY24&amp;"Template de desconto FLAT bundle - Velox XDSL - Varejo"),[7]BENEFICIOS!$A:$E,5,0)))</f>
        <v>MKT-1-9865126733</v>
      </c>
      <c r="CA24" s="104" t="s">
        <v>243</v>
      </c>
      <c r="CB24" s="69">
        <v>44.9</v>
      </c>
      <c r="CC24" s="64">
        <f>IF(CB24=0,"",IF(CB24=VLOOKUP("PCS-30631g",[7]ARBOR!$A:$C,3,0),0.0001,IF(CB24&gt;VLOOKUP("PCS-30631g",[7]ARBOR!$A:$C,3,0),"Maior que CAP!",IF((DOLLAR(CB24+(VLOOKUP("PCS-30631g",[7]ARBOR!$A:$C,3,0)*-TRUNC(CB24/VLOOKUP("PCS-30631g",[7]ARBOR!$A:$C,3,0)-1,4)),6))&lt;&gt;(DOLLAR(VLOOKUP("PCS-30631g",[7]ARBOR!$A:$C,3,0),6)),-TRUNC(CB24/VLOOKUP("PCS-30631g",[7]ARBOR!$A:$C,3,0)-1,4)+0.0001,-TRUNC(CB24/VLOOKUP("PCS-30631g",[7]ARBOR!$A:$C,3,0)-1,4)))))</f>
        <v>0.54310000000000003</v>
      </c>
      <c r="CD24" s="65" t="str">
        <f>IF(ISERROR(IF(CC24="","",VLOOKUP(($BH24&amp;CC24&amp;"Template de desconto FLAT bundle - Velox XDSL - Varejo"),[7]BENEFICIOS!$A:$E,5,0))),"Criar",IF(CC24="","",VLOOKUP(($BH24&amp;CC24&amp;"Template de desconto FLAT bundle - Velox XDSL - Varejo"),[7]BENEFICIOS!$A:$E,5,0)))</f>
        <v>MKT-1-9865126826</v>
      </c>
      <c r="CE24" s="68" t="s">
        <v>164</v>
      </c>
      <c r="CF24" s="69">
        <v>49.9</v>
      </c>
      <c r="CG24" s="64">
        <f>IF(CF24=0,"",IF(CF24=VLOOKUP("PCS-30658g",[7]ARBOR!$A:$C,3,0),0.0001,IF(CF24&gt;VLOOKUP("PCS-30658g",[7]ARBOR!$A:$C,3,0),"Maior que CAP!",IF((DOLLAR(CF24+(VLOOKUP("PCS-30658g",[7]ARBOR!$A:$C,3,0)*-TRUNC(CF24/VLOOKUP("PCS-30658g",[7]ARBOR!$A:$C,3,0)-1,4)),6))&lt;&gt;(DOLLAR(VLOOKUP("PCS-30658g",[7]ARBOR!$A:$C,3,0),6)),-TRUNC(CF24/VLOOKUP("PCS-30658g",[7]ARBOR!$A:$C,3,0)-1,4)+0.0001,-TRUNC(CF24/VLOOKUP("PCS-30658g",[7]ARBOR!$A:$C,3,0)-1,4)))))</f>
        <v>0.55569999999999997</v>
      </c>
      <c r="CH24" s="65" t="str">
        <f>IF(ISERROR(IF(CG24="","",VLOOKUP(($BH24&amp;CG24&amp;"Template de desconto FLAT bundle - Velox XDSL - Varejo"),[7]BENEFICIOS!$A:$E,5,0))),"Criar",IF(CG24="","",VLOOKUP(($BH24&amp;CG24&amp;"Template de desconto FLAT bundle - Velox XDSL - Varejo"),[7]BENEFICIOS!$A:$E,5,0)))</f>
        <v>MKT-1-9865126919</v>
      </c>
      <c r="CI24" s="68" t="s">
        <v>164</v>
      </c>
      <c r="CJ24" s="69">
        <v>49.9</v>
      </c>
      <c r="CK24" s="64">
        <f>IF(CJ24=0,"",IF(CJ24=VLOOKUP("PCS-30685g",[7]ARBOR!$A:$C,3,0),0.0001,IF(CJ24&gt;VLOOKUP("PCS-30685g",[7]ARBOR!$A:$C,3,0),"Maior que CAP!",IF((DOLLAR(CJ24+(VLOOKUP("PCS-30685g",[7]ARBOR!$A:$C,3,0)*-TRUNC(CJ24/VLOOKUP("PCS-30685g",[7]ARBOR!$A:$C,3,0)-1,4)),6))&lt;&gt;(DOLLAR(VLOOKUP("PCS-30685g",[7]ARBOR!$A:$C,3,0),6)),-TRUNC(CJ24/VLOOKUP("PCS-30685g",[7]ARBOR!$A:$C,3,0)-1,4)+0.0001,-TRUNC(CJ24/VLOOKUP("PCS-30685g",[7]ARBOR!$A:$C,3,0)-1,4)))))</f>
        <v>0.60509999999999997</v>
      </c>
      <c r="CL24" s="65" t="str">
        <f>IF(ISERROR(IF(CK24="","",VLOOKUP(($BH24&amp;CK24&amp;"Template de desconto FLAT bundle - Velox XDSL - Varejo"),[7]BENEFICIOS!$A:$E,5,0))),"Criar",IF(CK24="","",VLOOKUP(($BH24&amp;CK24&amp;"Template de desconto FLAT bundle - Velox XDSL - Varejo"),[7]BENEFICIOS!$A:$E,5,0)))</f>
        <v>MKT-1-9865694381</v>
      </c>
      <c r="CM24" s="68" t="s">
        <v>164</v>
      </c>
      <c r="CN24" s="69">
        <v>49.9</v>
      </c>
      <c r="CO24" s="64">
        <f>IF(CN24=0,"",IF(CN24=VLOOKUP("PCS-30712g",[7]ARBOR!$A:$C,3,0),0.0001,IF(CN24&gt;VLOOKUP("PCS-30712g",[7]ARBOR!$A:$C,3,0),"Maior que CAP!",IF((DOLLAR(CN24+(VLOOKUP("PCS-30712g",[7]ARBOR!$A:$C,3,0)*-TRUNC(CN24/VLOOKUP("PCS-30712g",[7]ARBOR!$A:$C,3,0)-1,4)),6))&lt;&gt;(DOLLAR(VLOOKUP("PCS-30712g",[7]ARBOR!$A:$C,3,0),6)),-TRUNC(CN24/VLOOKUP("PCS-30712g",[7]ARBOR!$A:$C,3,0)-1,4)+0.0001,-TRUNC(CN24/VLOOKUP("PCS-30712g",[7]ARBOR!$A:$C,3,0)-1,4)))))</f>
        <v>0.64459999999999995</v>
      </c>
      <c r="CP24" s="65" t="str">
        <f>IF(ISERROR(IF(CO24="","",VLOOKUP(($BH24&amp;CO24&amp;"Template de desconto FLAT bundle - Velox XDSL - Varejo"),[7]BENEFICIOS!$A:$E,5,0))),"Criar",IF(CO24="","",VLOOKUP(($BH24&amp;CO24&amp;"Template de desconto FLAT bundle - Velox XDSL - Varejo"),[7]BENEFICIOS!$A:$E,5,0)))</f>
        <v>MKT-1-9865191105</v>
      </c>
      <c r="CQ24" s="68" t="s">
        <v>164</v>
      </c>
      <c r="CR24" s="69">
        <v>59.9</v>
      </c>
      <c r="CS24" s="64">
        <f>IF(CR24=0,"",IF(CR24=VLOOKUP("PCS-30739g",[7]ARBOR!$A:$C,3,0),0.0001,IF(CR24&gt;VLOOKUP("PCS-30739g",[7]ARBOR!$A:$C,3,0),"Maior que CAP!",IF((DOLLAR(CR24+(VLOOKUP("PCS-30739g",[7]ARBOR!$A:$C,3,0)*-TRUNC(CR24/VLOOKUP("PCS-30739g",[7]ARBOR!$A:$C,3,0)-1,4)),6))&lt;&gt;(DOLLAR(VLOOKUP("PCS-30739g",[7]ARBOR!$A:$C,3,0),6)),-TRUNC(CR24/VLOOKUP("PCS-30739g",[7]ARBOR!$A:$C,3,0)-1,4)+0.0001,-TRUNC(CR24/VLOOKUP("PCS-30739g",[7]ARBOR!$A:$C,3,0)-1,4)))))</f>
        <v>0.71560000000000001</v>
      </c>
      <c r="CT24" s="65" t="str">
        <f>IF(ISERROR(IF(CS24="","",VLOOKUP(($BH24&amp;CS24&amp;"Template de desconto FLAT bundle - Velox XDSL - Varejo"),[7]BENEFICIOS!$A:$E,5,0))),"Criar",IF(CS24="","",VLOOKUP(($BH24&amp;CS24&amp;"Template de desconto FLAT bundle - Velox XDSL - Varejo"),[7]BENEFICIOS!$A:$E,5,0)))</f>
        <v>MKT-1-9865191198</v>
      </c>
      <c r="CU24" s="69"/>
      <c r="CV24" s="70"/>
      <c r="CW24" s="64"/>
      <c r="CX24" s="65"/>
      <c r="CY24" s="68" t="s">
        <v>164</v>
      </c>
      <c r="CZ24" s="69">
        <v>59.9</v>
      </c>
      <c r="DA24" s="64">
        <f>IF(CZ24=0,"",IF(CZ24=VLOOKUP("PCS-30766g",[7]ARBOR!$A:$C,3,0),0.0001,IF(CZ24&gt;VLOOKUP("PCS-30766g",[7]ARBOR!$A:$C,3,0),"Maior que CAP!",IF((DOLLAR(CZ24+(VLOOKUP("PCS-30766g",[7]ARBOR!$A:$C,3,0)*-TRUNC(CZ24/VLOOKUP("PCS-30766g",[7]ARBOR!$A:$C,3,0)-1,4)),6))&lt;&gt;(DOLLAR(VLOOKUP("PCS-30766g",[7]ARBOR!$A:$C,3,0),6)),-TRUNC(CZ24/VLOOKUP("PCS-30766g",[7]ARBOR!$A:$C,3,0)-1,4)+0.0001,-TRUNC(CZ24/VLOOKUP("PCS-30766g",[7]ARBOR!$A:$C,3,0)-1,4)))))</f>
        <v>0.78669999999999995</v>
      </c>
      <c r="DB24" s="65" t="str">
        <f>IF(ISERROR(IF(DA24="","",VLOOKUP(($BH24&amp;DA24&amp;"Template de desconto FLAT bundle - Velox XDSL - Varejo"),[7]BENEFICIOS!$A:$E,5,0))),"Criar",IF(DA24="","",VLOOKUP(($BH24&amp;DA24&amp;"Template de desconto FLAT bundle - Velox XDSL - Varejo"),[7]BENEFICIOS!$A:$E,5,0)))</f>
        <v>MKT-1-9865191291</v>
      </c>
      <c r="DC24" s="69"/>
      <c r="DD24" s="70"/>
      <c r="DE24" s="64"/>
      <c r="DF24" s="65"/>
      <c r="DG24" s="68" t="s">
        <v>243</v>
      </c>
      <c r="DH24" s="69">
        <v>69.900000000000006</v>
      </c>
      <c r="DI24" s="64">
        <f>IF(DH24=0,"",IF(DH24=VLOOKUP("PCS-30793g",[7]ARBOR!$A:$C,3,0),0.0001,IF(DH24&gt;VLOOKUP("PCS-30793g",[7]ARBOR!$A:$C,3,0),"Maior que CAP!",IF((DOLLAR(DH24+(VLOOKUP("PCS-30793g",[7]ARBOR!$A:$C,3,0)*-TRUNC(DH24/VLOOKUP("PCS-30793g",[7]ARBOR!$A:$C,3,0)-1,4)),6))&lt;&gt;(DOLLAR(VLOOKUP("PCS-30793g",[7]ARBOR!$A:$C,3,0),6)),-TRUNC(DH24/VLOOKUP("PCS-30793g",[7]ARBOR!$A:$C,3,0)-1,4)+0.0001,-TRUNC(DH24/VLOOKUP("PCS-30793g",[7]ARBOR!$A:$C,3,0)-1,4)))))</f>
        <v>0.75109999999999999</v>
      </c>
      <c r="DJ24" s="65" t="str">
        <f>IF(ISERROR(IF(DI24="","",VLOOKUP(($BH24&amp;DI24&amp;"Template de desconto FLAT bundle - Velox XDSL - Varejo"),[7]BENEFICIOS!$A:$E,5,0))),"Criar",IF(DI24="","",VLOOKUP(($BH24&amp;DI24&amp;"Template de desconto FLAT bundle - Velox XDSL - Varejo"),[7]BENEFICIOS!$A:$E,5,0)))</f>
        <v>MKT-1-9865191384</v>
      </c>
      <c r="DK24" s="69"/>
      <c r="DL24" s="70"/>
      <c r="DM24" s="64"/>
      <c r="DN24" s="65"/>
      <c r="DO24" s="68" t="s">
        <v>164</v>
      </c>
      <c r="DP24" s="69">
        <v>69.900000000000006</v>
      </c>
      <c r="DQ24" s="64">
        <f>IF(DP24=0,"",IF(DP24=VLOOKUP("PCS-30820g",[7]ARBOR!$A:$C,3,0),0.0001,IF(DP24&gt;VLOOKUP("PCS-30820g",[7]ARBOR!$A:$C,3,0),"Maior que CAP!",IF((DOLLAR(DP24+(VLOOKUP("PCS-30820g",[7]ARBOR!$A:$C,3,0)*-TRUNC(DP24/VLOOKUP("PCS-30820g",[7]ARBOR!$A:$C,3,0)-1,4)),6))&lt;&gt;(DOLLAR(VLOOKUP("PCS-30820g",[7]ARBOR!$A:$C,3,0),6)),-TRUNC(DP24/VLOOKUP("PCS-30820g",[7]ARBOR!$A:$C,3,0)-1,4)+0.0001,-TRUNC(DP24/VLOOKUP("PCS-30820g",[7]ARBOR!$A:$C,3,0)-1,4)))))</f>
        <v>0.75109999999999999</v>
      </c>
      <c r="DR24" s="65" t="str">
        <f>IF(ISERROR(IF(DQ24="","",VLOOKUP(($BH24&amp;DQ24&amp;"Template de desconto FLAT bundle - Velox XDSL - Varejo"),[7]BENEFICIOS!$A:$E,5,0))),"Criar",IF(DQ24="","",VLOOKUP(($BH24&amp;DQ24&amp;"Template de desconto FLAT bundle - Velox XDSL - Varejo"),[7]BENEFICIOS!$A:$E,5,0)))</f>
        <v>MKT-1-9865191384</v>
      </c>
      <c r="DS24" s="69"/>
      <c r="DT24" s="70"/>
      <c r="DU24" s="64"/>
      <c r="DV24" s="65"/>
      <c r="DW24" s="71"/>
      <c r="DX24" s="64" t="str">
        <f>IF(DW24=0,"",IF(DW24=VLOOKUP("PCS-21448p2",[7]ARBOR!$A:$C,3,0),0.0001,IF(DW24&gt;VLOOKUP("PCS-21448p2",[7]ARBOR!$A:$C,3,0),"Maior que CAP!",IF((DOLLAR(DW24+(VLOOKUP("PCS-21448p2",[7]ARBOR!$A:$C,3,0)*-TRUNC(DW24/VLOOKUP("PCS-21448p2",[7]ARBOR!$A:$C,3,0)-1,4)),6))&lt;&gt;(DOLLAR(VLOOKUP("PCS-21448p2",[7]ARBOR!$A:$C,3,0),6)),-TRUNC(DW24/VLOOKUP("PCS-21448p2",[7]ARBOR!$A:$C,3,0)-1,4)+0.0001,-TRUNC(DW24/VLOOKUP("PCS-21448p2",[7]ARBOR!$A:$C,3,0)-1,4)))))</f>
        <v/>
      </c>
      <c r="DY24" s="65" t="str">
        <f>IF(ISERROR(IF(DX24="","",VLOOKUP(("Oi Conta Total Plug 10GB Downgrade"&amp;DX24&amp;"Template de desconto percentual BL Móvel - Internet Total - Varejo"),[7]BENEFICIOS!$A:$E,5,0))),"Criar",IF(DX24="","",VLOOKUP(("Oi Conta Total Plug 10GB Downgrade"&amp;DX24&amp;"Template de desconto percentual BL Móvel - Internet Total - Varejo"),[7]BENEFICIOS!$A:$E,5,0)))</f>
        <v/>
      </c>
      <c r="DZ24" s="71">
        <v>19.899999999999999</v>
      </c>
      <c r="EA24" s="72">
        <f>IF(DZ24=0,"",IF(DZ24=VLOOKUP("SVA",[7]ARBOR!$A:$C,3,0),0.0001,IF(DZ24&gt;VLOOKUP("SVA",[7]ARBOR!$A:$C,3,0),"Maior que CAP!",IF((DOLLAR(DZ24+(VLOOKUP("SVA",[7]ARBOR!$A:$C,3,0)*-TRUNC(DZ24/VLOOKUP("SVA",[7]ARBOR!$A:$C,3,0)-1,4)),6))&lt;&gt;(DOLLAR(VLOOKUP("SVA",[7]ARBOR!$A:$C,3,0),6)),-TRUNC(DZ24/VLOOKUP("SVA",[7]ARBOR!$A:$C,3,0)-1,4)+0.0001,-TRUNC(DZ24/VLOOKUP("SVA",[7]ARBOR!$A:$C,3,0)-1,4)))))</f>
        <v>7.1400000000000005E-2</v>
      </c>
      <c r="EB24" s="65" t="s">
        <v>244</v>
      </c>
      <c r="EC24" s="69"/>
      <c r="ED24" s="73"/>
      <c r="EE24" s="74"/>
      <c r="EF24" s="65"/>
      <c r="EG24" s="75">
        <f>IF(BI24="","",VLOOKUP(BI24,[7]ARBOR!A:C,3,0))</f>
        <v>479.46</v>
      </c>
      <c r="EH24" s="69">
        <v>15</v>
      </c>
      <c r="EI24" s="76">
        <f>IF(EH24="","",1-(EH24/VLOOKUP(BI24&amp;"ASS",[7]ARBOR!A:C,3,0)))</f>
        <v>0.34725848563968664</v>
      </c>
      <c r="EJ24" s="77" t="s">
        <v>227</v>
      </c>
      <c r="EK24" s="78" t="s">
        <v>228</v>
      </c>
      <c r="EL24" s="69">
        <v>144.97999999999999</v>
      </c>
      <c r="EM24" s="64">
        <f>IF(EL24=0,"",IF(EL24=EG24,0.0001,ROUND(1-((EL24+(VLOOKUP(BI24&amp;"ASS",[7]ARBOR!A:C,3,0)-EH24))/EG24),4)))</f>
        <v>0.68100000000000005</v>
      </c>
      <c r="EN24" s="65" t="str">
        <f>IF(ISERROR(IF(EM24="","",VLOOKUP(($BH24&amp;EM24&amp;"Template de desconto percentual FLAT Móvel - Conta Total - Varejo - Ganho Tributário Cross"),[7]BENEFICIOS!$A:$E,5,0))),"Criar",IF(EM24="","",VLOOKUP(($BH24&amp;EM24&amp;"Template de desconto percentual FLAT Móvel - Conta Total - Varejo - Ganho Tributário Cross"),[7]BENEFICIOS!$A:$E,5,0)))</f>
        <v>MKT-1-10032167861</v>
      </c>
      <c r="EO24" s="79"/>
      <c r="EP24" s="64"/>
      <c r="EQ24" s="72"/>
      <c r="ER24" s="72"/>
      <c r="ES24" s="64"/>
      <c r="ET24" s="80"/>
      <c r="EU24" s="81" t="s">
        <v>247</v>
      </c>
      <c r="EV24" s="81" t="s">
        <v>264</v>
      </c>
      <c r="EW24" s="82"/>
      <c r="EX24" s="83"/>
      <c r="EY24" s="84"/>
      <c r="EZ24" s="82"/>
      <c r="FA24" s="83"/>
      <c r="FB24" s="84"/>
      <c r="FC24" s="82"/>
      <c r="FD24" s="83" t="str">
        <f>IF(FC24=0,"",IF(FC24=VLOOKUP("PCS-10357",[7]ARBOR!$A:$C,3,0),0.0001,IF(FC24&gt;VLOOKUP("PCS-10357",[7]ARBOR!$A:$C,3,0),"Maior que CAP!",ROUND(-1*(FC24/VLOOKUP("PCS-10357",[7]ARBOR!$A:$C,3,0)-1),4))))</f>
        <v/>
      </c>
      <c r="FE24" s="84" t="str">
        <f>IF(ISERROR(IF(FD24="","",VLOOKUP(("Oi Internet Pra Celular 1GB"&amp;FD24&amp;"Template Flat Instância Dados"),[7]BENEFICIOS!$A:$E,5,0))),"Criar",IF(FD24="","",VLOOKUP(("Oi Internet Pra Celular 1GB"&amp;FD24&amp;"Template Flat Instância Dados"),[7]BENEFICIOS!$A:$E,5,0)))</f>
        <v/>
      </c>
      <c r="FF24" s="82"/>
      <c r="FG24" s="83" t="str">
        <f>IF(FF24=0,"",IF(FF24=VLOOKUP("PCS-813565",[7]ARBOR!$A:$C,3,0),0.0001,IF(FF24&gt;VLOOKUP("PCS-813565",[7]ARBOR!$A:$C,3,0),"Maior que CAP!",ROUND(-1*(FF24/VLOOKUP("PCS-813565",[7]ARBOR!$A:$C,3,0)-1),4))))</f>
        <v/>
      </c>
      <c r="FH24" s="84" t="str">
        <f>IF(ISERROR(IF(FG24="","",VLOOKUP(("Oi Internet Pra Celular 2GB"&amp;FG24&amp;"Template Flat Instância Dados"),[7]BENEFICIOS!$A:$E,5,0))),"Criar",IF(FG24="","",VLOOKUP(("Oi Internet Pra Celular 2GB"&amp;FG24&amp;"Template Flat Instância Dados"),[7]BENEFICIOS!$A:$E,5,0)))</f>
        <v/>
      </c>
      <c r="FI24" s="82"/>
      <c r="FJ24" s="83" t="str">
        <f>IF(FI24=0,"",IF(FI24=VLOOKUP("PCS-7171B",[7]ARBOR!$A:$C,3,0),0.0001,IF(FI24&gt;VLOOKUP("PCS-7171B",[7]ARBOR!$A:$C,3,0),"Maior que CAP!",ROUND(-1*(FI24/VLOOKUP("PCS-7171B",[7]ARBOR!$A:$C,3,0)-1),4))))</f>
        <v/>
      </c>
      <c r="FK24" s="84" t="str">
        <f>IF(ISERROR(IF(FJ24="","",VLOOKUP(("Oi Internet Pra Celular 3GB"&amp;FJ24&amp;"Template Flat Instância Dados"),[7]BENEFICIOS!$A:$E,5,0))),"Criar",IF(FJ24="","",VLOOKUP(("Oi Internet Pra Celular 3GB"&amp;FJ24&amp;"Template Flat Instância Dados"),[7]BENEFICIOS!$A:$E,5,0)))</f>
        <v/>
      </c>
      <c r="FL24" s="82">
        <v>14.92</v>
      </c>
      <c r="FM24" s="83">
        <f>IF(FL24=0,"",IF(FL24=VLOOKUP("PCS-51793o08",[7]ARBOR!$A:$C,3,0),0.0001,IF(FL24&gt;VLOOKUP("PCS-51793o08",[7]ARBOR!$A:$C,3,0),"Maior que CAP!",ROUND(-1*(FL24/VLOOKUP("PCS-51793o08",[7]ARBOR!$A:$C,3,0)-1),4))))</f>
        <v>0.89500000000000002</v>
      </c>
      <c r="FN24" s="84" t="str">
        <f>IF(ISERROR(IF(FM24="","",VLOOKUP(("Oi Internet Pra Celular 5GB"&amp;FM24&amp;"Template Flat Instância Dados"),[7]BENEFICIOS!$A:$E,5,0))),"Criar",IF(FM24="","",VLOOKUP(("Oi Internet Pra Celular 5GB"&amp;FM24&amp;"Template Flat Instância Dados"),[7]BENEFICIOS!$A:$E,5,0)))</f>
        <v>MKT-1-9870312709</v>
      </c>
      <c r="FO24" s="82"/>
      <c r="FP24" s="83" t="str">
        <f>IF(FO24=0,"",IF(FO24=VLOOKUP("PCS-7171A",[7]ARBOR!$A:$C,3,0),0.0001,IF(FO24&gt;VLOOKUP("PCS-7171A",[7]ARBOR!$A:$C,3,0),"Maior que CAP!",ROUND(-1*(FO24/VLOOKUP("PCS-7171A",[7]ARBOR!$A:$C,3,0)-1),4))))</f>
        <v/>
      </c>
      <c r="FQ24" s="84" t="str">
        <f>IF(ISERROR(IF(FP24="","",VLOOKUP(("Oi Internet Pra Celular 10GB"&amp;FP24&amp;"Template Flat Instância Dados"),[7]BENEFICIOS!$A:$E,5,0))),"Criar",IF(FP24="","",VLOOKUP(("Oi Internet Pra Celular 10GB"&amp;FP24&amp;"Template Flat Instância Dados"),[7]BENEFICIOS!$A:$E,5,0)))</f>
        <v/>
      </c>
      <c r="FR24" s="85">
        <v>0.74260000000000004</v>
      </c>
      <c r="FS24" s="86" t="s">
        <v>265</v>
      </c>
      <c r="FT24" s="48"/>
      <c r="FU24" s="87"/>
      <c r="FV24" s="88" t="s">
        <v>224</v>
      </c>
      <c r="FW24" s="49" t="s">
        <v>229</v>
      </c>
      <c r="FX24" s="89">
        <v>999</v>
      </c>
      <c r="FY24" s="49">
        <v>12</v>
      </c>
      <c r="FZ24" s="90" t="s">
        <v>230</v>
      </c>
      <c r="GA24" s="91" t="str">
        <f t="shared" si="1"/>
        <v>PCS-Fk83324</v>
      </c>
      <c r="GB24" s="92" t="str">
        <f t="shared" si="2"/>
        <v>PCS-SBL553142</v>
      </c>
      <c r="GC24" s="93" t="s">
        <v>231</v>
      </c>
      <c r="GD24" s="90" t="s">
        <v>232</v>
      </c>
      <c r="GE24" s="92" t="s">
        <v>233</v>
      </c>
      <c r="GF24" s="93" t="s">
        <v>234</v>
      </c>
      <c r="GG24" s="90" t="s">
        <v>235</v>
      </c>
      <c r="GH24" s="92" t="s">
        <v>236</v>
      </c>
      <c r="GI24" s="94" t="s">
        <v>237</v>
      </c>
      <c r="GJ24" s="95">
        <f>FL24+EL24+CN24+BJ24</f>
        <v>259.89999999999998</v>
      </c>
      <c r="GK24" s="96"/>
      <c r="GL24" s="97" t="s">
        <v>238</v>
      </c>
      <c r="GM24" s="98" t="s">
        <v>275</v>
      </c>
      <c r="GN24" s="97">
        <v>20.350000000000001</v>
      </c>
      <c r="GO24" s="99">
        <v>5.24</v>
      </c>
      <c r="GP24" s="76">
        <v>0.74250000000000005</v>
      </c>
      <c r="GQ24" s="97">
        <v>15.1</v>
      </c>
      <c r="GR24" s="97">
        <v>5.2500000000000018</v>
      </c>
      <c r="GS24" s="101"/>
      <c r="GT24" s="101"/>
      <c r="GU24" s="102" t="b">
        <v>0</v>
      </c>
      <c r="GV24" s="103">
        <v>1.0000000000001563E-2</v>
      </c>
      <c r="GW24" s="44" t="s">
        <v>294</v>
      </c>
      <c r="GX24" s="44" t="s">
        <v>241</v>
      </c>
    </row>
    <row r="25" spans="1:206" s="44" customFormat="1" x14ac:dyDescent="0.25">
      <c r="A25" s="44" t="str">
        <f t="shared" si="0"/>
        <v>Oi Total Fixo + Pós 800 + Banda LargaN210GBMG</v>
      </c>
      <c r="B25" s="45" t="s">
        <v>214</v>
      </c>
      <c r="C25" s="46" t="s">
        <v>130</v>
      </c>
      <c r="D25" s="46" t="s">
        <v>215</v>
      </c>
      <c r="E25" s="47" t="s">
        <v>216</v>
      </c>
      <c r="F25" s="88" t="s">
        <v>217</v>
      </c>
      <c r="G25" s="49"/>
      <c r="H25" s="49"/>
      <c r="I25" s="49"/>
      <c r="J25" s="49" t="s">
        <v>217</v>
      </c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 t="s">
        <v>217</v>
      </c>
      <c r="AC25" s="49" t="s">
        <v>217</v>
      </c>
      <c r="AD25" s="49" t="s">
        <v>217</v>
      </c>
      <c r="AE25" s="49" t="s">
        <v>217</v>
      </c>
      <c r="AF25" s="49" t="s">
        <v>217</v>
      </c>
      <c r="AG25" s="49" t="s">
        <v>217</v>
      </c>
      <c r="AH25" s="50"/>
      <c r="AI25" s="49" t="s">
        <v>217</v>
      </c>
      <c r="AJ25" s="49" t="s">
        <v>217</v>
      </c>
      <c r="AK25" s="49" t="s">
        <v>217</v>
      </c>
      <c r="AL25" s="49" t="s">
        <v>217</v>
      </c>
      <c r="AM25" s="49" t="s">
        <v>217</v>
      </c>
      <c r="AN25" s="49" t="s">
        <v>217</v>
      </c>
      <c r="AO25" s="49" t="s">
        <v>217</v>
      </c>
      <c r="AP25" s="49"/>
      <c r="AQ25" s="51"/>
      <c r="AR25" s="52" t="s">
        <v>295</v>
      </c>
      <c r="AS25" s="46" t="s">
        <v>219</v>
      </c>
      <c r="AT25" s="53" t="s">
        <v>220</v>
      </c>
      <c r="AU25" s="54">
        <v>42972</v>
      </c>
      <c r="AV25" s="105">
        <v>43097</v>
      </c>
      <c r="AW25" s="56" t="s">
        <v>221</v>
      </c>
      <c r="AX25" s="57" t="s">
        <v>221</v>
      </c>
      <c r="AY25" s="58"/>
      <c r="AZ25" s="58" t="s">
        <v>222</v>
      </c>
      <c r="BA25" s="58">
        <v>20</v>
      </c>
      <c r="BB25" s="58">
        <v>10000</v>
      </c>
      <c r="BC25" s="59" t="s">
        <v>223</v>
      </c>
      <c r="BD25" s="60" t="s">
        <v>224</v>
      </c>
      <c r="BE25" s="58" t="s">
        <v>216</v>
      </c>
      <c r="BF25" s="51" t="s">
        <v>216</v>
      </c>
      <c r="BG25" s="45" t="s">
        <v>295</v>
      </c>
      <c r="BH25" s="61" t="s">
        <v>225</v>
      </c>
      <c r="BI25" s="62" t="str">
        <f>IF(ISERROR(VLOOKUP(BH25,[7]PLANOS!B:C,2,0)),"",VLOOKUP(BH25,[7]PLANOS!B:C,2,0))</f>
        <v>PCS-4P6pi</v>
      </c>
      <c r="BJ25" s="63">
        <v>50.1</v>
      </c>
      <c r="BK25" s="64">
        <f>IF(BJ25=0,"",IF(BJ25=VLOOKUP("FIXO",[7]ARBOR!$A:$C,3,0),0.0001,IF(BJ25&gt;VLOOKUP("FIXO",[7]ARBOR!$A:$C,3,0),"Maior que CAP!",IF((DOLLAR(BJ25+(VLOOKUP("FIXO",[7]ARBOR!$A:$C,3,0)*-TRUNC(BJ25/VLOOKUP("FIXO",[7]ARBOR!$A:$C,3,0)-1,4)),6))&lt;&gt;(DOLLAR(VLOOKUP("FIXO",[7]ARBOR!$A:$C,3,0),6)),-TRUNC(BJ25/VLOOKUP("FIXO",[7]ARBOR!$A:$C,3,0)-1,4)+0.0001,-TRUNC(BJ25/VLOOKUP("FIXO",[7]ARBOR!$A:$C,3,0)-1,4)))))</f>
        <v>0.33939999999999998</v>
      </c>
      <c r="BL25" s="65" t="str">
        <f>IF(ISERROR(IF(BK25="","",VLOOKUP(($BH25&amp;BK25&amp;"Template de desconto FLAT bundle - Fixo - Varejo - Ganho Tributário Cross"),[7]BENEFICIOS!$A:$E,5,0))),"Criar",IF(BK25="","",VLOOKUP(($BH25&amp;BK25&amp;"Template de desconto FLAT bundle - Fixo - Varejo - Ganho Tributário Cross"),[7]BENEFICIOS!$A:$E,5,0)))</f>
        <v>MKT-1-9856472058</v>
      </c>
      <c r="BM25" s="66"/>
      <c r="BN25" s="67"/>
      <c r="BO25" s="68" t="s">
        <v>164</v>
      </c>
      <c r="BP25" s="69">
        <v>44.9</v>
      </c>
      <c r="BQ25" s="64">
        <f>IF(BP25=0,"",IF(BP25=VLOOKUP("PCS-30874g",[7]ARBOR!$A:$C,3,0),0.0001,IF(BP25&gt;VLOOKUP("PCS-30874g",[7]ARBOR!$A:$C,3,0),"Maior que CAP!",IF((DOLLAR(BP25+(VLOOKUP("PCS-30874g",[7]ARBOR!$A:$C,3,0)*-TRUNC(BP25/VLOOKUP("PCS-30874g",[7]ARBOR!$A:$C,3,0)-1,4)),6))&lt;&gt;(DOLLAR(VLOOKUP("PCS-30874g",[7]ARBOR!$A:$C,3,0),6)),-TRUNC(BP25/VLOOKUP("PCS-30874g",[7]ARBOR!$A:$C,3,0)-1,4)+0.0001,-TRUNC(BP25/VLOOKUP("PCS-30874g",[7]ARBOR!$A:$C,3,0)-1,4)))))</f>
        <v>0.53679999999999994</v>
      </c>
      <c r="BR25" s="65" t="str">
        <f>IF(ISERROR(IF(BQ25="","",VLOOKUP(($BH25&amp;BQ25&amp;"Template de desconto FLAT bundle - Velox XDSL - Varejo"),[7]BENEFICIOS!$A:$E,5,0))),"Criar",IF(BQ25="","",VLOOKUP(($BH25&amp;BQ25&amp;"Template de desconto FLAT bundle - Velox XDSL - Varejo"),[7]BENEFICIOS!$A:$E,5,0)))</f>
        <v>MKT-1-9865126733</v>
      </c>
      <c r="BS25" s="68" t="s">
        <v>164</v>
      </c>
      <c r="BT25" s="69">
        <v>44.9</v>
      </c>
      <c r="BU25" s="64">
        <f>IF(BT25=0,"",IF(BT25=VLOOKUP("PCS-30577g",[7]ARBOR!$A:$C,3,0),0.0001,IF(BT25&gt;VLOOKUP("PCS-30577g",[7]ARBOR!$A:$C,3,0),"Maior que CAP!",IF((DOLLAR(BT25+(VLOOKUP("PCS-30577g",[7]ARBOR!$A:$C,3,0)*-TRUNC(BT25/VLOOKUP("PCS-30577g",[7]ARBOR!$A:$C,3,0)-1,4)),6))&lt;&gt;(DOLLAR(VLOOKUP("PCS-30577g",[7]ARBOR!$A:$C,3,0),6)),-TRUNC(BT25/VLOOKUP("PCS-30577g",[7]ARBOR!$A:$C,3,0)-1,4)+0.0001,-TRUNC(BT25/VLOOKUP("PCS-30577g",[7]ARBOR!$A:$C,3,0)-1,4)))))</f>
        <v>0.53679999999999994</v>
      </c>
      <c r="BV25" s="65" t="str">
        <f>IF(ISERROR(IF(BU25="","",VLOOKUP(($BH25&amp;BU25&amp;"Template de desconto FLAT bundle - Velox XDSL - Varejo"),[7]BENEFICIOS!$A:$E,5,0))),"Criar",IF(BU25="","",VLOOKUP(($BH25&amp;BU25&amp;"Template de desconto FLAT bundle - Velox XDSL - Varejo"),[7]BENEFICIOS!$A:$E,5,0)))</f>
        <v>MKT-1-9865126733</v>
      </c>
      <c r="BW25" s="68" t="s">
        <v>164</v>
      </c>
      <c r="BX25" s="69">
        <v>44.9</v>
      </c>
      <c r="BY25" s="64">
        <f>IF(BX25=0,"",IF(BX25=VLOOKUP("PCS-30604g",[7]ARBOR!$A:$C,3,0),0.0001,IF(BX25&gt;VLOOKUP("PCS-30604g",[7]ARBOR!$A:$C,3,0),"Maior que CAP!",IF((DOLLAR(BX25+(VLOOKUP("PCS-30604g",[7]ARBOR!$A:$C,3,0)*-TRUNC(BX25/VLOOKUP("PCS-30604g",[7]ARBOR!$A:$C,3,0)-1,4)),6))&lt;&gt;(DOLLAR(VLOOKUP("PCS-30604g",[7]ARBOR!$A:$C,3,0),6)),-TRUNC(BX25/VLOOKUP("PCS-30604g",[7]ARBOR!$A:$C,3,0)-1,4)+0.0001,-TRUNC(BX25/VLOOKUP("PCS-30604g",[7]ARBOR!$A:$C,3,0)-1,4)))))</f>
        <v>0.53679999999999994</v>
      </c>
      <c r="BZ25" s="65" t="str">
        <f>IF(ISERROR(IF(BY25="","",VLOOKUP(($BH25&amp;BY25&amp;"Template de desconto FLAT bundle - Velox XDSL - Varejo"),[7]BENEFICIOS!$A:$E,5,0))),"Criar",IF(BY25="","",VLOOKUP(($BH25&amp;BY25&amp;"Template de desconto FLAT bundle - Velox XDSL - Varejo"),[7]BENEFICIOS!$A:$E,5,0)))</f>
        <v>MKT-1-9865126733</v>
      </c>
      <c r="CA25" s="68" t="s">
        <v>164</v>
      </c>
      <c r="CB25" s="69">
        <v>44.9</v>
      </c>
      <c r="CC25" s="64">
        <f>IF(CB25=0,"",IF(CB25=VLOOKUP("PCS-30631g",[7]ARBOR!$A:$C,3,0),0.0001,IF(CB25&gt;VLOOKUP("PCS-30631g",[7]ARBOR!$A:$C,3,0),"Maior que CAP!",IF((DOLLAR(CB25+(VLOOKUP("PCS-30631g",[7]ARBOR!$A:$C,3,0)*-TRUNC(CB25/VLOOKUP("PCS-30631g",[7]ARBOR!$A:$C,3,0)-1,4)),6))&lt;&gt;(DOLLAR(VLOOKUP("PCS-30631g",[7]ARBOR!$A:$C,3,0),6)),-TRUNC(CB25/VLOOKUP("PCS-30631g",[7]ARBOR!$A:$C,3,0)-1,4)+0.0001,-TRUNC(CB25/VLOOKUP("PCS-30631g",[7]ARBOR!$A:$C,3,0)-1,4)))))</f>
        <v>0.54310000000000003</v>
      </c>
      <c r="CD25" s="65" t="str">
        <f>IF(ISERROR(IF(CC25="","",VLOOKUP(($BH25&amp;CC25&amp;"Template de desconto FLAT bundle - Velox XDSL - Varejo"),[7]BENEFICIOS!$A:$E,5,0))),"Criar",IF(CC25="","",VLOOKUP(($BH25&amp;CC25&amp;"Template de desconto FLAT bundle - Velox XDSL - Varejo"),[7]BENEFICIOS!$A:$E,5,0)))</f>
        <v>MKT-1-9865126826</v>
      </c>
      <c r="CE25" s="68"/>
      <c r="CF25" s="69"/>
      <c r="CG25" s="64" t="str">
        <f>IF(CF25=0,"",IF(CF25=VLOOKUP("PCS-30658g",[7]ARBOR!$A:$C,3,0),0.0001,IF(CF25&gt;VLOOKUP("PCS-30658g",[7]ARBOR!$A:$C,3,0),"Maior que CAP!",IF((DOLLAR(CF25+(VLOOKUP("PCS-30658g",[7]ARBOR!$A:$C,3,0)*-TRUNC(CF25/VLOOKUP("PCS-30658g",[7]ARBOR!$A:$C,3,0)-1,4)),6))&lt;&gt;(DOLLAR(VLOOKUP("PCS-30658g",[7]ARBOR!$A:$C,3,0),6)),-TRUNC(CF25/VLOOKUP("PCS-30658g",[7]ARBOR!$A:$C,3,0)-1,4)+0.0001,-TRUNC(CF25/VLOOKUP("PCS-30658g",[7]ARBOR!$A:$C,3,0)-1,4)))))</f>
        <v/>
      </c>
      <c r="CH25" s="65" t="str">
        <f>IF(ISERROR(IF(CG25="","",VLOOKUP(($BH25&amp;CG25&amp;"Template de desconto FLAT bundle - Velox XDSL - Varejo"),[7]BENEFICIOS!$A:$E,5,0))),"Criar",IF(CG25="","",VLOOKUP(($BH25&amp;CG25&amp;"Template de desconto FLAT bundle - Velox XDSL - Varejo"),[7]BENEFICIOS!$A:$E,5,0)))</f>
        <v/>
      </c>
      <c r="CI25" s="68"/>
      <c r="CJ25" s="69"/>
      <c r="CK25" s="64" t="str">
        <f>IF(CJ25=0,"",IF(CJ25=VLOOKUP("PCS-30685g",[7]ARBOR!$A:$C,3,0),0.0001,IF(CJ25&gt;VLOOKUP("PCS-30685g",[7]ARBOR!$A:$C,3,0),"Maior que CAP!",IF((DOLLAR(CJ25+(VLOOKUP("PCS-30685g",[7]ARBOR!$A:$C,3,0)*-TRUNC(CJ25/VLOOKUP("PCS-30685g",[7]ARBOR!$A:$C,3,0)-1,4)),6))&lt;&gt;(DOLLAR(VLOOKUP("PCS-30685g",[7]ARBOR!$A:$C,3,0),6)),-TRUNC(CJ25/VLOOKUP("PCS-30685g",[7]ARBOR!$A:$C,3,0)-1,4)+0.0001,-TRUNC(CJ25/VLOOKUP("PCS-30685g",[7]ARBOR!$A:$C,3,0)-1,4)))))</f>
        <v/>
      </c>
      <c r="CL25" s="65" t="str">
        <f>IF(ISERROR(IF(CK25="","",VLOOKUP(($BH25&amp;CK25&amp;"Template de desconto FLAT bundle - Velox XDSL - Varejo"),[7]BENEFICIOS!$A:$E,5,0))),"Criar",IF(CK25="","",VLOOKUP(($BH25&amp;CK25&amp;"Template de desconto FLAT bundle - Velox XDSL - Varejo"),[7]BENEFICIOS!$A:$E,5,0)))</f>
        <v/>
      </c>
      <c r="CM25" s="68"/>
      <c r="CN25" s="69"/>
      <c r="CO25" s="64" t="str">
        <f>IF(CN25=0,"",IF(CN25=VLOOKUP("PCS-30712g",[7]ARBOR!$A:$C,3,0),0.0001,IF(CN25&gt;VLOOKUP("PCS-30712g",[7]ARBOR!$A:$C,3,0),"Maior que CAP!",IF((DOLLAR(CN25+(VLOOKUP("PCS-30712g",[7]ARBOR!$A:$C,3,0)*-TRUNC(CN25/VLOOKUP("PCS-30712g",[7]ARBOR!$A:$C,3,0)-1,4)),6))&lt;&gt;(DOLLAR(VLOOKUP("PCS-30712g",[7]ARBOR!$A:$C,3,0),6)),-TRUNC(CN25/VLOOKUP("PCS-30712g",[7]ARBOR!$A:$C,3,0)-1,4)+0.0001,-TRUNC(CN25/VLOOKUP("PCS-30712g",[7]ARBOR!$A:$C,3,0)-1,4)))))</f>
        <v/>
      </c>
      <c r="CP25" s="65" t="str">
        <f>IF(ISERROR(IF(CO25="","",VLOOKUP(($BH25&amp;CO25&amp;"Template de desconto FLAT bundle - Velox XDSL - Varejo"),[7]BENEFICIOS!$A:$E,5,0))),"Criar",IF(CO25="","",VLOOKUP(($BH25&amp;CO25&amp;"Template de desconto FLAT bundle - Velox XDSL - Varejo"),[7]BENEFICIOS!$A:$E,5,0)))</f>
        <v/>
      </c>
      <c r="CQ25" s="68"/>
      <c r="CR25" s="69"/>
      <c r="CS25" s="64" t="str">
        <f>IF(CR25=0,"",IF(CR25=VLOOKUP("PCS-30739g",[7]ARBOR!$A:$C,3,0),0.0001,IF(CR25&gt;VLOOKUP("PCS-30739g",[7]ARBOR!$A:$C,3,0),"Maior que CAP!",IF((DOLLAR(CR25+(VLOOKUP("PCS-30739g",[7]ARBOR!$A:$C,3,0)*-TRUNC(CR25/VLOOKUP("PCS-30739g",[7]ARBOR!$A:$C,3,0)-1,4)),6))&lt;&gt;(DOLLAR(VLOOKUP("PCS-30739g",[7]ARBOR!$A:$C,3,0),6)),-TRUNC(CR25/VLOOKUP("PCS-30739g",[7]ARBOR!$A:$C,3,0)-1,4)+0.0001,-TRUNC(CR25/VLOOKUP("PCS-30739g",[7]ARBOR!$A:$C,3,0)-1,4)))))</f>
        <v/>
      </c>
      <c r="CT25" s="65" t="str">
        <f>IF(ISERROR(IF(CS25="","",VLOOKUP(($BH25&amp;CS25&amp;"Template de desconto FLAT bundle - Velox XDSL - Varejo"),[7]BENEFICIOS!$A:$E,5,0))),"Criar",IF(CS25="","",VLOOKUP(($BH25&amp;CS25&amp;"Template de desconto FLAT bundle - Velox XDSL - Varejo"),[7]BENEFICIOS!$A:$E,5,0)))</f>
        <v/>
      </c>
      <c r="CU25" s="69"/>
      <c r="CV25" s="70"/>
      <c r="CW25" s="64"/>
      <c r="CX25" s="65"/>
      <c r="CY25" s="68"/>
      <c r="CZ25" s="69"/>
      <c r="DA25" s="64" t="str">
        <f>IF(CZ25=0,"",IF(CZ25=VLOOKUP("PCS-30766g",[7]ARBOR!$A:$C,3,0),0.0001,IF(CZ25&gt;VLOOKUP("PCS-30766g",[7]ARBOR!$A:$C,3,0),"Maior que CAP!",IF((DOLLAR(CZ25+(VLOOKUP("PCS-30766g",[7]ARBOR!$A:$C,3,0)*-TRUNC(CZ25/VLOOKUP("PCS-30766g",[7]ARBOR!$A:$C,3,0)-1,4)),6))&lt;&gt;(DOLLAR(VLOOKUP("PCS-30766g",[7]ARBOR!$A:$C,3,0),6)),-TRUNC(CZ25/VLOOKUP("PCS-30766g",[7]ARBOR!$A:$C,3,0)-1,4)+0.0001,-TRUNC(CZ25/VLOOKUP("PCS-30766g",[7]ARBOR!$A:$C,3,0)-1,4)))))</f>
        <v/>
      </c>
      <c r="DB25" s="65" t="str">
        <f>IF(ISERROR(IF(DA25="","",VLOOKUP(($BH25&amp;DA25&amp;"Template de desconto FLAT bundle - Velox XDSL - Varejo"),[7]BENEFICIOS!$A:$E,5,0))),"Criar",IF(DA25="","",VLOOKUP(($BH25&amp;DA25&amp;"Template de desconto FLAT bundle - Velox XDSL - Varejo"),[7]BENEFICIOS!$A:$E,5,0)))</f>
        <v/>
      </c>
      <c r="DC25" s="69"/>
      <c r="DD25" s="70"/>
      <c r="DE25" s="64"/>
      <c r="DF25" s="65"/>
      <c r="DG25" s="68"/>
      <c r="DH25" s="69"/>
      <c r="DI25" s="64" t="str">
        <f>IF(DH25=0,"",IF(DH25=VLOOKUP("PCS-30793g",[7]ARBOR!$A:$C,3,0),0.0001,IF(DH25&gt;VLOOKUP("PCS-30793g",[7]ARBOR!$A:$C,3,0),"Maior que CAP!",IF((DOLLAR(DH25+(VLOOKUP("PCS-30793g",[7]ARBOR!$A:$C,3,0)*-TRUNC(DH25/VLOOKUP("PCS-30793g",[7]ARBOR!$A:$C,3,0)-1,4)),6))&lt;&gt;(DOLLAR(VLOOKUP("PCS-30793g",[7]ARBOR!$A:$C,3,0),6)),-TRUNC(DH25/VLOOKUP("PCS-30793g",[7]ARBOR!$A:$C,3,0)-1,4)+0.0001,-TRUNC(DH25/VLOOKUP("PCS-30793g",[7]ARBOR!$A:$C,3,0)-1,4)))))</f>
        <v/>
      </c>
      <c r="DJ25" s="65" t="str">
        <f>IF(ISERROR(IF(DI25="","",VLOOKUP(($BH25&amp;DI25&amp;"Template de desconto FLAT bundle - Velox XDSL - Varejo"),[7]BENEFICIOS!$A:$E,5,0))),"Criar",IF(DI25="","",VLOOKUP(($BH25&amp;DI25&amp;"Template de desconto FLAT bundle - Velox XDSL - Varejo"),[7]BENEFICIOS!$A:$E,5,0)))</f>
        <v/>
      </c>
      <c r="DK25" s="69"/>
      <c r="DL25" s="70"/>
      <c r="DM25" s="64"/>
      <c r="DN25" s="65"/>
      <c r="DO25" s="68"/>
      <c r="DP25" s="69"/>
      <c r="DQ25" s="64" t="str">
        <f>IF(DP25=0,"",IF(DP25=VLOOKUP("PCS-30820g",[7]ARBOR!$A:$C,3,0),0.0001,IF(DP25&gt;VLOOKUP("PCS-30820g",[7]ARBOR!$A:$C,3,0),"Maior que CAP!",IF((DOLLAR(DP25+(VLOOKUP("PCS-30820g",[7]ARBOR!$A:$C,3,0)*-TRUNC(DP25/VLOOKUP("PCS-30820g",[7]ARBOR!$A:$C,3,0)-1,4)),6))&lt;&gt;(DOLLAR(VLOOKUP("PCS-30820g",[7]ARBOR!$A:$C,3,0),6)),-TRUNC(DP25/VLOOKUP("PCS-30820g",[7]ARBOR!$A:$C,3,0)-1,4)+0.0001,-TRUNC(DP25/VLOOKUP("PCS-30820g",[7]ARBOR!$A:$C,3,0)-1,4)))))</f>
        <v/>
      </c>
      <c r="DR25" s="65" t="str">
        <f>IF(ISERROR(IF(DQ25="","",VLOOKUP(($BH25&amp;DQ25&amp;"Template de desconto FLAT bundle - Velox XDSL - Varejo"),[7]BENEFICIOS!$A:$E,5,0))),"Criar",IF(DQ25="","",VLOOKUP(($BH25&amp;DQ25&amp;"Template de desconto FLAT bundle - Velox XDSL - Varejo"),[7]BENEFICIOS!$A:$E,5,0)))</f>
        <v/>
      </c>
      <c r="DS25" s="69"/>
      <c r="DT25" s="70"/>
      <c r="DU25" s="64"/>
      <c r="DV25" s="65"/>
      <c r="DW25" s="71">
        <v>44.9</v>
      </c>
      <c r="DX25" s="64">
        <f>IF(DW25=0,"",IF(DW25=VLOOKUP("PCS-21448p2",[7]ARBOR!$A:$C,3,0),0.0001,IF(DW25&gt;VLOOKUP("PCS-21448p2",[7]ARBOR!$A:$C,3,0),"Maior que CAP!",IF((DOLLAR(DW25+(VLOOKUP("PCS-21448p2",[7]ARBOR!$A:$C,3,0)*-TRUNC(DW25/VLOOKUP("PCS-21448p2",[7]ARBOR!$A:$C,3,0)-1,4)),6))&lt;&gt;(DOLLAR(VLOOKUP("PCS-21448p2",[7]ARBOR!$A:$C,3,0),6)),-TRUNC(DW25/VLOOKUP("PCS-21448p2",[7]ARBOR!$A:$C,3,0)-1,4)+0.0001,-TRUNC(DW25/VLOOKUP("PCS-21448p2",[7]ARBOR!$A:$C,3,0)-1,4)))))</f>
        <v>0.64900000000000002</v>
      </c>
      <c r="DY25" s="65" t="str">
        <f>IF(ISERROR(IF(DX25="","",VLOOKUP(("Oi Conta Total Plug 10GB Downgrade"&amp;DX25&amp;"Template de desconto percentual BL Móvel - Internet Total - Varejo"),[7]BENEFICIOS!$A:$E,5,0))),"Criar",IF(DX25="","",VLOOKUP(("Oi Conta Total Plug 10GB Downgrade"&amp;DX25&amp;"Template de desconto percentual BL Móvel - Internet Total - Varejo"),[7]BENEFICIOS!$A:$E,5,0)))</f>
        <v>MKT-1-9825544790</v>
      </c>
      <c r="DZ25" s="71">
        <v>16.5</v>
      </c>
      <c r="EA25" s="72">
        <f>IF(DZ25=0,"",IF(DZ25=VLOOKUP("SVA",[7]ARBOR!$A:$C,3,0),0.0001,IF(DZ25&gt;VLOOKUP("SVA",[7]ARBOR!$A:$C,3,0),"Maior que CAP!",IF((DOLLAR(DZ25+(VLOOKUP("SVA",[7]ARBOR!$A:$C,3,0)*-TRUNC(DZ25/VLOOKUP("SVA",[7]ARBOR!$A:$C,3,0)-1,4)),6))&lt;&gt;(DOLLAR(VLOOKUP("SVA",[7]ARBOR!$A:$C,3,0),6)),-TRUNC(DZ25/VLOOKUP("SVA",[7]ARBOR!$A:$C,3,0)-1,4)+0.0001,-TRUNC(DZ25/VLOOKUP("SVA",[7]ARBOR!$A:$C,3,0)-1,4)))))</f>
        <v>0.2301</v>
      </c>
      <c r="EB25" s="65" t="s">
        <v>226</v>
      </c>
      <c r="EC25" s="69"/>
      <c r="ED25" s="73"/>
      <c r="EE25" s="74"/>
      <c r="EF25" s="65"/>
      <c r="EG25" s="75">
        <f>IF(BI25="","",VLOOKUP(BI25,[7]ARBOR!A:C,3,0))</f>
        <v>479.46</v>
      </c>
      <c r="EH25" s="69">
        <v>15</v>
      </c>
      <c r="EI25" s="76">
        <f>IF(EH25="","",1-(EH25/VLOOKUP(BI25&amp;"ASS",[7]ARBOR!A:C,3,0)))</f>
        <v>0.34725848563968664</v>
      </c>
      <c r="EJ25" s="77" t="s">
        <v>227</v>
      </c>
      <c r="EK25" s="78" t="s">
        <v>228</v>
      </c>
      <c r="EL25" s="69">
        <v>154.36999999999998</v>
      </c>
      <c r="EM25" s="64">
        <f>IF(EL25=0,"",IF(EL25=EG25,0.0001,ROUND(1-((EL25+(VLOOKUP(BI25&amp;"ASS",[7]ARBOR!A:C,3,0)-EH25))/EG25),4)))</f>
        <v>0.66139999999999999</v>
      </c>
      <c r="EN25" s="65" t="str">
        <f>IF(ISERROR(IF(EM25="","",VLOOKUP(($BH25&amp;EM25&amp;"Template de desconto percentual FLAT Móvel - Conta Total - Varejo - Ganho Tributário Cross"),[7]BENEFICIOS!$A:$E,5,0))),"Criar",IF(EM25="","",VLOOKUP(($BH25&amp;EM25&amp;"Template de desconto percentual FLAT Móvel - Conta Total - Varejo - Ganho Tributário Cross"),[7]BENEFICIOS!$A:$E,5,0)))</f>
        <v>MKT-1-10032168071</v>
      </c>
      <c r="EO25" s="79"/>
      <c r="EP25" s="64"/>
      <c r="EQ25" s="72"/>
      <c r="ER25" s="72"/>
      <c r="ES25" s="64"/>
      <c r="ET25" s="80"/>
      <c r="EU25" s="81" t="s">
        <v>247</v>
      </c>
      <c r="EV25" s="81" t="s">
        <v>270</v>
      </c>
      <c r="EW25" s="82"/>
      <c r="EX25" s="83"/>
      <c r="EY25" s="84"/>
      <c r="EZ25" s="82"/>
      <c r="FA25" s="83"/>
      <c r="FB25" s="84"/>
      <c r="FC25" s="82"/>
      <c r="FD25" s="83" t="str">
        <f>IF(FC25=0,"",IF(FC25=VLOOKUP("PCS-10357",[7]ARBOR!$A:$C,3,0),0.0001,IF(FC25&gt;VLOOKUP("PCS-10357",[7]ARBOR!$A:$C,3,0),"Maior que CAP!",ROUND(-1*(FC25/VLOOKUP("PCS-10357",[7]ARBOR!$A:$C,3,0)-1),4))))</f>
        <v/>
      </c>
      <c r="FE25" s="84" t="str">
        <f>IF(ISERROR(IF(FD25="","",VLOOKUP(("Oi Internet Pra Celular 1GB"&amp;FD25&amp;"Template Flat Instância Dados"),[7]BENEFICIOS!$A:$E,5,0))),"Criar",IF(FD25="","",VLOOKUP(("Oi Internet Pra Celular 1GB"&amp;FD25&amp;"Template Flat Instância Dados"),[7]BENEFICIOS!$A:$E,5,0)))</f>
        <v/>
      </c>
      <c r="FF25" s="82"/>
      <c r="FG25" s="83" t="str">
        <f>IF(FF25=0,"",IF(FF25=VLOOKUP("PCS-813565",[7]ARBOR!$A:$C,3,0),0.0001,IF(FF25&gt;VLOOKUP("PCS-813565",[7]ARBOR!$A:$C,3,0),"Maior que CAP!",ROUND(-1*(FF25/VLOOKUP("PCS-813565",[7]ARBOR!$A:$C,3,0)-1),4))))</f>
        <v/>
      </c>
      <c r="FH25" s="84" t="str">
        <f>IF(ISERROR(IF(FG25="","",VLOOKUP(("Oi Internet Pra Celular 2GB"&amp;FG25&amp;"Template Flat Instância Dados"),[7]BENEFICIOS!$A:$E,5,0))),"Criar",IF(FG25="","",VLOOKUP(("Oi Internet Pra Celular 2GB"&amp;FG25&amp;"Template Flat Instância Dados"),[7]BENEFICIOS!$A:$E,5,0)))</f>
        <v/>
      </c>
      <c r="FI25" s="82"/>
      <c r="FJ25" s="83" t="str">
        <f>IF(FI25=0,"",IF(FI25=VLOOKUP("PCS-7171B",[7]ARBOR!$A:$C,3,0),0.0001,IF(FI25&gt;VLOOKUP("PCS-7171B",[7]ARBOR!$A:$C,3,0),"Maior que CAP!",ROUND(-1*(FI25/VLOOKUP("PCS-7171B",[7]ARBOR!$A:$C,3,0)-1),4))))</f>
        <v/>
      </c>
      <c r="FK25" s="84" t="str">
        <f>IF(ISERROR(IF(FJ25="","",VLOOKUP(("Oi Internet Pra Celular 3GB"&amp;FJ25&amp;"Template Flat Instância Dados"),[7]BENEFICIOS!$A:$E,5,0))),"Criar",IF(FJ25="","",VLOOKUP(("Oi Internet Pra Celular 3GB"&amp;FJ25&amp;"Template Flat Instância Dados"),[7]BENEFICIOS!$A:$E,5,0)))</f>
        <v/>
      </c>
      <c r="FL25" s="82"/>
      <c r="FM25" s="83"/>
      <c r="FN25" s="84"/>
      <c r="FO25" s="82">
        <v>35.53</v>
      </c>
      <c r="FP25" s="83">
        <f>IF(FO25=0,"",IF(FO25=VLOOKUP("PCS-7171A",[7]ARBOR!$A:$C,3,0),0.0001,IF(FO25&gt;VLOOKUP("PCS-7171A",[7]ARBOR!$A:$C,3,0),"Maior que CAP!",ROUND(-1*(FO25/VLOOKUP("PCS-7171A",[7]ARBOR!$A:$C,3,0)-1),4))))</f>
        <v>0.81899999999999995</v>
      </c>
      <c r="FQ25" s="84" t="str">
        <f>IF(ISERROR(IF(FP25="","",VLOOKUP(("Oi Internet Pra Celular 10GB"&amp;FP25&amp;"Template Flat Instância Dados"),[7]BENEFICIOS!$A:$E,5,0))),"Criar",IF(FP25="","",VLOOKUP(("Oi Internet Pra Celular 10GB"&amp;FP25&amp;"Template Flat Instância Dados"),[7]BENEFICIOS!$A:$E,5,0)))</f>
        <v>MKT-1-9869971287</v>
      </c>
      <c r="FR25" s="85">
        <v>0.74260000000000004</v>
      </c>
      <c r="FS25" s="86" t="s">
        <v>265</v>
      </c>
      <c r="FT25" s="48"/>
      <c r="FU25" s="87"/>
      <c r="FV25" s="88" t="s">
        <v>224</v>
      </c>
      <c r="FW25" s="49" t="s">
        <v>229</v>
      </c>
      <c r="FX25" s="89">
        <v>999</v>
      </c>
      <c r="FY25" s="49">
        <v>12</v>
      </c>
      <c r="FZ25" s="90" t="s">
        <v>230</v>
      </c>
      <c r="GA25" s="91" t="str">
        <f t="shared" si="1"/>
        <v>PCS-Fk83324</v>
      </c>
      <c r="GB25" s="92" t="str">
        <f t="shared" si="2"/>
        <v>PCS-SBL553142</v>
      </c>
      <c r="GC25" s="93" t="s">
        <v>231</v>
      </c>
      <c r="GD25" s="90" t="s">
        <v>232</v>
      </c>
      <c r="GE25" s="92" t="s">
        <v>233</v>
      </c>
      <c r="GF25" s="93" t="s">
        <v>234</v>
      </c>
      <c r="GG25" s="90" t="s">
        <v>235</v>
      </c>
      <c r="GH25" s="92" t="s">
        <v>236</v>
      </c>
      <c r="GI25" s="94" t="s">
        <v>237</v>
      </c>
      <c r="GJ25" s="95">
        <f>FO25+EL25+DW25+BJ25</f>
        <v>284.89999999999998</v>
      </c>
      <c r="GK25" s="96"/>
      <c r="GL25" s="97" t="s">
        <v>238</v>
      </c>
      <c r="GM25" s="98" t="s">
        <v>275</v>
      </c>
      <c r="GN25" s="97">
        <v>20.350000000000001</v>
      </c>
      <c r="GO25" s="99">
        <v>5.24</v>
      </c>
      <c r="GP25" s="76">
        <v>0.74250000000000005</v>
      </c>
      <c r="GQ25" s="97">
        <v>15.1</v>
      </c>
      <c r="GR25" s="97">
        <v>5.2500000000000018</v>
      </c>
      <c r="GS25" s="101"/>
      <c r="GT25" s="101"/>
      <c r="GU25" s="102" t="b">
        <v>0</v>
      </c>
      <c r="GV25" s="103">
        <v>1.0000000000001563E-2</v>
      </c>
      <c r="GW25" s="44" t="s">
        <v>296</v>
      </c>
      <c r="GX25" s="44" t="s">
        <v>241</v>
      </c>
    </row>
    <row r="26" spans="1:206" s="44" customFormat="1" x14ac:dyDescent="0.25">
      <c r="A26" s="44" t="str">
        <f t="shared" si="0"/>
        <v>Oi Total Fixo + Pós 800 + Banda LargaN210GBMG</v>
      </c>
      <c r="B26" s="45" t="s">
        <v>214</v>
      </c>
      <c r="C26" s="46" t="s">
        <v>130</v>
      </c>
      <c r="D26" s="46" t="s">
        <v>215</v>
      </c>
      <c r="E26" s="47" t="s">
        <v>216</v>
      </c>
      <c r="F26" s="88" t="s">
        <v>217</v>
      </c>
      <c r="G26" s="49"/>
      <c r="H26" s="49"/>
      <c r="I26" s="49"/>
      <c r="J26" s="49" t="s">
        <v>217</v>
      </c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 t="s">
        <v>217</v>
      </c>
      <c r="AC26" s="49" t="s">
        <v>217</v>
      </c>
      <c r="AD26" s="49" t="s">
        <v>217</v>
      </c>
      <c r="AE26" s="49" t="s">
        <v>217</v>
      </c>
      <c r="AF26" s="49" t="s">
        <v>217</v>
      </c>
      <c r="AG26" s="49" t="s">
        <v>217</v>
      </c>
      <c r="AH26" s="50"/>
      <c r="AI26" s="49" t="s">
        <v>217</v>
      </c>
      <c r="AJ26" s="49" t="s">
        <v>217</v>
      </c>
      <c r="AK26" s="49" t="s">
        <v>217</v>
      </c>
      <c r="AL26" s="49" t="s">
        <v>217</v>
      </c>
      <c r="AM26" s="49" t="s">
        <v>217</v>
      </c>
      <c r="AN26" s="49" t="s">
        <v>217</v>
      </c>
      <c r="AO26" s="49" t="s">
        <v>217</v>
      </c>
      <c r="AP26" s="49"/>
      <c r="AQ26" s="51"/>
      <c r="AR26" s="52" t="s">
        <v>297</v>
      </c>
      <c r="AS26" s="46" t="s">
        <v>219</v>
      </c>
      <c r="AT26" s="53" t="s">
        <v>220</v>
      </c>
      <c r="AU26" s="54">
        <v>42972</v>
      </c>
      <c r="AV26" s="105">
        <v>43097</v>
      </c>
      <c r="AW26" s="56" t="s">
        <v>221</v>
      </c>
      <c r="AX26" s="57" t="s">
        <v>221</v>
      </c>
      <c r="AY26" s="58"/>
      <c r="AZ26" s="58" t="s">
        <v>222</v>
      </c>
      <c r="BA26" s="58">
        <v>20</v>
      </c>
      <c r="BB26" s="58">
        <v>10000</v>
      </c>
      <c r="BC26" s="59" t="s">
        <v>223</v>
      </c>
      <c r="BD26" s="60" t="s">
        <v>224</v>
      </c>
      <c r="BE26" s="58" t="s">
        <v>216</v>
      </c>
      <c r="BF26" s="51" t="s">
        <v>216</v>
      </c>
      <c r="BG26" s="45" t="s">
        <v>297</v>
      </c>
      <c r="BH26" s="61" t="s">
        <v>225</v>
      </c>
      <c r="BI26" s="62" t="str">
        <f>IF(ISERROR(VLOOKUP(BH26,[7]PLANOS!B:C,2,0)),"",VLOOKUP(BH26,[7]PLANOS!B:C,2,0))</f>
        <v>PCS-4P6pi</v>
      </c>
      <c r="BJ26" s="63">
        <v>50.1</v>
      </c>
      <c r="BK26" s="64">
        <f>IF(BJ26=0,"",IF(BJ26=VLOOKUP("FIXO",[7]ARBOR!$A:$C,3,0),0.0001,IF(BJ26&gt;VLOOKUP("FIXO",[7]ARBOR!$A:$C,3,0),"Maior que CAP!",IF((DOLLAR(BJ26+(VLOOKUP("FIXO",[7]ARBOR!$A:$C,3,0)*-TRUNC(BJ26/VLOOKUP("FIXO",[7]ARBOR!$A:$C,3,0)-1,4)),6))&lt;&gt;(DOLLAR(VLOOKUP("FIXO",[7]ARBOR!$A:$C,3,0),6)),-TRUNC(BJ26/VLOOKUP("FIXO",[7]ARBOR!$A:$C,3,0)-1,4)+0.0001,-TRUNC(BJ26/VLOOKUP("FIXO",[7]ARBOR!$A:$C,3,0)-1,4)))))</f>
        <v>0.33939999999999998</v>
      </c>
      <c r="BL26" s="65" t="str">
        <f>IF(ISERROR(IF(BK26="","",VLOOKUP(($BH26&amp;BK26&amp;"Template de desconto FLAT bundle - Fixo - Varejo - Ganho Tributário Cross"),[7]BENEFICIOS!$A:$E,5,0))),"Criar",IF(BK26="","",VLOOKUP(($BH26&amp;BK26&amp;"Template de desconto FLAT bundle - Fixo - Varejo - Ganho Tributário Cross"),[7]BENEFICIOS!$A:$E,5,0)))</f>
        <v>MKT-1-9856472058</v>
      </c>
      <c r="BM26" s="66"/>
      <c r="BN26" s="67"/>
      <c r="BO26" s="104" t="s">
        <v>243</v>
      </c>
      <c r="BP26" s="69">
        <v>44.9</v>
      </c>
      <c r="BQ26" s="64">
        <f>IF(BP26=0,"",IF(BP26=VLOOKUP("PCS-30874g",[7]ARBOR!$A:$C,3,0),0.0001,IF(BP26&gt;VLOOKUP("PCS-30874g",[7]ARBOR!$A:$C,3,0),"Maior que CAP!",IF((DOLLAR(BP26+(VLOOKUP("PCS-30874g",[7]ARBOR!$A:$C,3,0)*-TRUNC(BP26/VLOOKUP("PCS-30874g",[7]ARBOR!$A:$C,3,0)-1,4)),6))&lt;&gt;(DOLLAR(VLOOKUP("PCS-30874g",[7]ARBOR!$A:$C,3,0),6)),-TRUNC(BP26/VLOOKUP("PCS-30874g",[7]ARBOR!$A:$C,3,0)-1,4)+0.0001,-TRUNC(BP26/VLOOKUP("PCS-30874g",[7]ARBOR!$A:$C,3,0)-1,4)))))</f>
        <v>0.53679999999999994</v>
      </c>
      <c r="BR26" s="65" t="str">
        <f>IF(ISERROR(IF(BQ26="","",VLOOKUP(($BH26&amp;BQ26&amp;"Template de desconto FLAT bundle - Velox XDSL - Varejo"),[7]BENEFICIOS!$A:$E,5,0))),"Criar",IF(BQ26="","",VLOOKUP(($BH26&amp;BQ26&amp;"Template de desconto FLAT bundle - Velox XDSL - Varejo"),[7]BENEFICIOS!$A:$E,5,0)))</f>
        <v>MKT-1-9865126733</v>
      </c>
      <c r="BS26" s="104" t="s">
        <v>243</v>
      </c>
      <c r="BT26" s="69">
        <v>44.9</v>
      </c>
      <c r="BU26" s="64">
        <f>IF(BT26=0,"",IF(BT26=VLOOKUP("PCS-30577g",[7]ARBOR!$A:$C,3,0),0.0001,IF(BT26&gt;VLOOKUP("PCS-30577g",[7]ARBOR!$A:$C,3,0),"Maior que CAP!",IF((DOLLAR(BT26+(VLOOKUP("PCS-30577g",[7]ARBOR!$A:$C,3,0)*-TRUNC(BT26/VLOOKUP("PCS-30577g",[7]ARBOR!$A:$C,3,0)-1,4)),6))&lt;&gt;(DOLLAR(VLOOKUP("PCS-30577g",[7]ARBOR!$A:$C,3,0),6)),-TRUNC(BT26/VLOOKUP("PCS-30577g",[7]ARBOR!$A:$C,3,0)-1,4)+0.0001,-TRUNC(BT26/VLOOKUP("PCS-30577g",[7]ARBOR!$A:$C,3,0)-1,4)))))</f>
        <v>0.53679999999999994</v>
      </c>
      <c r="BV26" s="65" t="str">
        <f>IF(ISERROR(IF(BU26="","",VLOOKUP(($BH26&amp;BU26&amp;"Template de desconto FLAT bundle - Velox XDSL - Varejo"),[7]BENEFICIOS!$A:$E,5,0))),"Criar",IF(BU26="","",VLOOKUP(($BH26&amp;BU26&amp;"Template de desconto FLAT bundle - Velox XDSL - Varejo"),[7]BENEFICIOS!$A:$E,5,0)))</f>
        <v>MKT-1-9865126733</v>
      </c>
      <c r="BW26" s="104" t="s">
        <v>243</v>
      </c>
      <c r="BX26" s="69">
        <v>44.9</v>
      </c>
      <c r="BY26" s="64">
        <f>IF(BX26=0,"",IF(BX26=VLOOKUP("PCS-30604g",[7]ARBOR!$A:$C,3,0),0.0001,IF(BX26&gt;VLOOKUP("PCS-30604g",[7]ARBOR!$A:$C,3,0),"Maior que CAP!",IF((DOLLAR(BX26+(VLOOKUP("PCS-30604g",[7]ARBOR!$A:$C,3,0)*-TRUNC(BX26/VLOOKUP("PCS-30604g",[7]ARBOR!$A:$C,3,0)-1,4)),6))&lt;&gt;(DOLLAR(VLOOKUP("PCS-30604g",[7]ARBOR!$A:$C,3,0),6)),-TRUNC(BX26/VLOOKUP("PCS-30604g",[7]ARBOR!$A:$C,3,0)-1,4)+0.0001,-TRUNC(BX26/VLOOKUP("PCS-30604g",[7]ARBOR!$A:$C,3,0)-1,4)))))</f>
        <v>0.53679999999999994</v>
      </c>
      <c r="BZ26" s="65" t="str">
        <f>IF(ISERROR(IF(BY26="","",VLOOKUP(($BH26&amp;BY26&amp;"Template de desconto FLAT bundle - Velox XDSL - Varejo"),[7]BENEFICIOS!$A:$E,5,0))),"Criar",IF(BY26="","",VLOOKUP(($BH26&amp;BY26&amp;"Template de desconto FLAT bundle - Velox XDSL - Varejo"),[7]BENEFICIOS!$A:$E,5,0)))</f>
        <v>MKT-1-9865126733</v>
      </c>
      <c r="CA26" s="104" t="s">
        <v>243</v>
      </c>
      <c r="CB26" s="69">
        <v>44.9</v>
      </c>
      <c r="CC26" s="64">
        <f>IF(CB26=0,"",IF(CB26=VLOOKUP("PCS-30631g",[7]ARBOR!$A:$C,3,0),0.0001,IF(CB26&gt;VLOOKUP("PCS-30631g",[7]ARBOR!$A:$C,3,0),"Maior que CAP!",IF((DOLLAR(CB26+(VLOOKUP("PCS-30631g",[7]ARBOR!$A:$C,3,0)*-TRUNC(CB26/VLOOKUP("PCS-30631g",[7]ARBOR!$A:$C,3,0)-1,4)),6))&lt;&gt;(DOLLAR(VLOOKUP("PCS-30631g",[7]ARBOR!$A:$C,3,0),6)),-TRUNC(CB26/VLOOKUP("PCS-30631g",[7]ARBOR!$A:$C,3,0)-1,4)+0.0001,-TRUNC(CB26/VLOOKUP("PCS-30631g",[7]ARBOR!$A:$C,3,0)-1,4)))))</f>
        <v>0.54310000000000003</v>
      </c>
      <c r="CD26" s="65" t="str">
        <f>IF(ISERROR(IF(CC26="","",VLOOKUP(($BH26&amp;CC26&amp;"Template de desconto FLAT bundle - Velox XDSL - Varejo"),[7]BENEFICIOS!$A:$E,5,0))),"Criar",IF(CC26="","",VLOOKUP(($BH26&amp;CC26&amp;"Template de desconto FLAT bundle - Velox XDSL - Varejo"),[7]BENEFICIOS!$A:$E,5,0)))</f>
        <v>MKT-1-9865126826</v>
      </c>
      <c r="CE26" s="68" t="s">
        <v>164</v>
      </c>
      <c r="CF26" s="69">
        <v>49.9</v>
      </c>
      <c r="CG26" s="64">
        <f>IF(CF26=0,"",IF(CF26=VLOOKUP("PCS-30658g",[7]ARBOR!$A:$C,3,0),0.0001,IF(CF26&gt;VLOOKUP("PCS-30658g",[7]ARBOR!$A:$C,3,0),"Maior que CAP!",IF((DOLLAR(CF26+(VLOOKUP("PCS-30658g",[7]ARBOR!$A:$C,3,0)*-TRUNC(CF26/VLOOKUP("PCS-30658g",[7]ARBOR!$A:$C,3,0)-1,4)),6))&lt;&gt;(DOLLAR(VLOOKUP("PCS-30658g",[7]ARBOR!$A:$C,3,0),6)),-TRUNC(CF26/VLOOKUP("PCS-30658g",[7]ARBOR!$A:$C,3,0)-1,4)+0.0001,-TRUNC(CF26/VLOOKUP("PCS-30658g",[7]ARBOR!$A:$C,3,0)-1,4)))))</f>
        <v>0.55569999999999997</v>
      </c>
      <c r="CH26" s="65" t="str">
        <f>IF(ISERROR(IF(CG26="","",VLOOKUP(($BH26&amp;CG26&amp;"Template de desconto FLAT bundle - Velox XDSL - Varejo"),[7]BENEFICIOS!$A:$E,5,0))),"Criar",IF(CG26="","",VLOOKUP(($BH26&amp;CG26&amp;"Template de desconto FLAT bundle - Velox XDSL - Varejo"),[7]BENEFICIOS!$A:$E,5,0)))</f>
        <v>MKT-1-9865126919</v>
      </c>
      <c r="CI26" s="68" t="s">
        <v>164</v>
      </c>
      <c r="CJ26" s="69">
        <v>49.9</v>
      </c>
      <c r="CK26" s="64">
        <f>IF(CJ26=0,"",IF(CJ26=VLOOKUP("PCS-30685g",[7]ARBOR!$A:$C,3,0),0.0001,IF(CJ26&gt;VLOOKUP("PCS-30685g",[7]ARBOR!$A:$C,3,0),"Maior que CAP!",IF((DOLLAR(CJ26+(VLOOKUP("PCS-30685g",[7]ARBOR!$A:$C,3,0)*-TRUNC(CJ26/VLOOKUP("PCS-30685g",[7]ARBOR!$A:$C,3,0)-1,4)),6))&lt;&gt;(DOLLAR(VLOOKUP("PCS-30685g",[7]ARBOR!$A:$C,3,0),6)),-TRUNC(CJ26/VLOOKUP("PCS-30685g",[7]ARBOR!$A:$C,3,0)-1,4)+0.0001,-TRUNC(CJ26/VLOOKUP("PCS-30685g",[7]ARBOR!$A:$C,3,0)-1,4)))))</f>
        <v>0.60509999999999997</v>
      </c>
      <c r="CL26" s="65" t="str">
        <f>IF(ISERROR(IF(CK26="","",VLOOKUP(($BH26&amp;CK26&amp;"Template de desconto FLAT bundle - Velox XDSL - Varejo"),[7]BENEFICIOS!$A:$E,5,0))),"Criar",IF(CK26="","",VLOOKUP(($BH26&amp;CK26&amp;"Template de desconto FLAT bundle - Velox XDSL - Varejo"),[7]BENEFICIOS!$A:$E,5,0)))</f>
        <v>MKT-1-9865694381</v>
      </c>
      <c r="CM26" s="68" t="s">
        <v>164</v>
      </c>
      <c r="CN26" s="69">
        <v>49.9</v>
      </c>
      <c r="CO26" s="64">
        <f>IF(CN26=0,"",IF(CN26=VLOOKUP("PCS-30712g",[7]ARBOR!$A:$C,3,0),0.0001,IF(CN26&gt;VLOOKUP("PCS-30712g",[7]ARBOR!$A:$C,3,0),"Maior que CAP!",IF((DOLLAR(CN26+(VLOOKUP("PCS-30712g",[7]ARBOR!$A:$C,3,0)*-TRUNC(CN26/VLOOKUP("PCS-30712g",[7]ARBOR!$A:$C,3,0)-1,4)),6))&lt;&gt;(DOLLAR(VLOOKUP("PCS-30712g",[7]ARBOR!$A:$C,3,0),6)),-TRUNC(CN26/VLOOKUP("PCS-30712g",[7]ARBOR!$A:$C,3,0)-1,4)+0.0001,-TRUNC(CN26/VLOOKUP("PCS-30712g",[7]ARBOR!$A:$C,3,0)-1,4)))))</f>
        <v>0.64459999999999995</v>
      </c>
      <c r="CP26" s="65" t="str">
        <f>IF(ISERROR(IF(CO26="","",VLOOKUP(($BH26&amp;CO26&amp;"Template de desconto FLAT bundle - Velox XDSL - Varejo"),[7]BENEFICIOS!$A:$E,5,0))),"Criar",IF(CO26="","",VLOOKUP(($BH26&amp;CO26&amp;"Template de desconto FLAT bundle - Velox XDSL - Varejo"),[7]BENEFICIOS!$A:$E,5,0)))</f>
        <v>MKT-1-9865191105</v>
      </c>
      <c r="CQ26" s="68" t="s">
        <v>164</v>
      </c>
      <c r="CR26" s="69">
        <v>59.9</v>
      </c>
      <c r="CS26" s="64">
        <f>IF(CR26=0,"",IF(CR26=VLOOKUP("PCS-30739g",[7]ARBOR!$A:$C,3,0),0.0001,IF(CR26&gt;VLOOKUP("PCS-30739g",[7]ARBOR!$A:$C,3,0),"Maior que CAP!",IF((DOLLAR(CR26+(VLOOKUP("PCS-30739g",[7]ARBOR!$A:$C,3,0)*-TRUNC(CR26/VLOOKUP("PCS-30739g",[7]ARBOR!$A:$C,3,0)-1,4)),6))&lt;&gt;(DOLLAR(VLOOKUP("PCS-30739g",[7]ARBOR!$A:$C,3,0),6)),-TRUNC(CR26/VLOOKUP("PCS-30739g",[7]ARBOR!$A:$C,3,0)-1,4)+0.0001,-TRUNC(CR26/VLOOKUP("PCS-30739g",[7]ARBOR!$A:$C,3,0)-1,4)))))</f>
        <v>0.71560000000000001</v>
      </c>
      <c r="CT26" s="65" t="str">
        <f>IF(ISERROR(IF(CS26="","",VLOOKUP(($BH26&amp;CS26&amp;"Template de desconto FLAT bundle - Velox XDSL - Varejo"),[7]BENEFICIOS!$A:$E,5,0))),"Criar",IF(CS26="","",VLOOKUP(($BH26&amp;CS26&amp;"Template de desconto FLAT bundle - Velox XDSL - Varejo"),[7]BENEFICIOS!$A:$E,5,0)))</f>
        <v>MKT-1-9865191198</v>
      </c>
      <c r="CU26" s="69"/>
      <c r="CV26" s="70"/>
      <c r="CW26" s="64"/>
      <c r="CX26" s="65"/>
      <c r="CY26" s="68" t="s">
        <v>164</v>
      </c>
      <c r="CZ26" s="69">
        <v>59.9</v>
      </c>
      <c r="DA26" s="64">
        <f>IF(CZ26=0,"",IF(CZ26=VLOOKUP("PCS-30766g",[7]ARBOR!$A:$C,3,0),0.0001,IF(CZ26&gt;VLOOKUP("PCS-30766g",[7]ARBOR!$A:$C,3,0),"Maior que CAP!",IF((DOLLAR(CZ26+(VLOOKUP("PCS-30766g",[7]ARBOR!$A:$C,3,0)*-TRUNC(CZ26/VLOOKUP("PCS-30766g",[7]ARBOR!$A:$C,3,0)-1,4)),6))&lt;&gt;(DOLLAR(VLOOKUP("PCS-30766g",[7]ARBOR!$A:$C,3,0),6)),-TRUNC(CZ26/VLOOKUP("PCS-30766g",[7]ARBOR!$A:$C,3,0)-1,4)+0.0001,-TRUNC(CZ26/VLOOKUP("PCS-30766g",[7]ARBOR!$A:$C,3,0)-1,4)))))</f>
        <v>0.78669999999999995</v>
      </c>
      <c r="DB26" s="65" t="str">
        <f>IF(ISERROR(IF(DA26="","",VLOOKUP(($BH26&amp;DA26&amp;"Template de desconto FLAT bundle - Velox XDSL - Varejo"),[7]BENEFICIOS!$A:$E,5,0))),"Criar",IF(DA26="","",VLOOKUP(($BH26&amp;DA26&amp;"Template de desconto FLAT bundle - Velox XDSL - Varejo"),[7]BENEFICIOS!$A:$E,5,0)))</f>
        <v>MKT-1-9865191291</v>
      </c>
      <c r="DC26" s="69"/>
      <c r="DD26" s="70"/>
      <c r="DE26" s="64"/>
      <c r="DF26" s="65"/>
      <c r="DG26" s="68" t="s">
        <v>243</v>
      </c>
      <c r="DH26" s="69">
        <v>69.900000000000006</v>
      </c>
      <c r="DI26" s="64">
        <f>IF(DH26=0,"",IF(DH26=VLOOKUP("PCS-30793g",[7]ARBOR!$A:$C,3,0),0.0001,IF(DH26&gt;VLOOKUP("PCS-30793g",[7]ARBOR!$A:$C,3,0),"Maior que CAP!",IF((DOLLAR(DH26+(VLOOKUP("PCS-30793g",[7]ARBOR!$A:$C,3,0)*-TRUNC(DH26/VLOOKUP("PCS-30793g",[7]ARBOR!$A:$C,3,0)-1,4)),6))&lt;&gt;(DOLLAR(VLOOKUP("PCS-30793g",[7]ARBOR!$A:$C,3,0),6)),-TRUNC(DH26/VLOOKUP("PCS-30793g",[7]ARBOR!$A:$C,3,0)-1,4)+0.0001,-TRUNC(DH26/VLOOKUP("PCS-30793g",[7]ARBOR!$A:$C,3,0)-1,4)))))</f>
        <v>0.75109999999999999</v>
      </c>
      <c r="DJ26" s="65" t="str">
        <f>IF(ISERROR(IF(DI26="","",VLOOKUP(($BH26&amp;DI26&amp;"Template de desconto FLAT bundle - Velox XDSL - Varejo"),[7]BENEFICIOS!$A:$E,5,0))),"Criar",IF(DI26="","",VLOOKUP(($BH26&amp;DI26&amp;"Template de desconto FLAT bundle - Velox XDSL - Varejo"),[7]BENEFICIOS!$A:$E,5,0)))</f>
        <v>MKT-1-9865191384</v>
      </c>
      <c r="DK26" s="69"/>
      <c r="DL26" s="70"/>
      <c r="DM26" s="64"/>
      <c r="DN26" s="65"/>
      <c r="DO26" s="68" t="s">
        <v>164</v>
      </c>
      <c r="DP26" s="69">
        <v>69.900000000000006</v>
      </c>
      <c r="DQ26" s="64">
        <f>IF(DP26=0,"",IF(DP26=VLOOKUP("PCS-30820g",[7]ARBOR!$A:$C,3,0),0.0001,IF(DP26&gt;VLOOKUP("PCS-30820g",[7]ARBOR!$A:$C,3,0),"Maior que CAP!",IF((DOLLAR(DP26+(VLOOKUP("PCS-30820g",[7]ARBOR!$A:$C,3,0)*-TRUNC(DP26/VLOOKUP("PCS-30820g",[7]ARBOR!$A:$C,3,0)-1,4)),6))&lt;&gt;(DOLLAR(VLOOKUP("PCS-30820g",[7]ARBOR!$A:$C,3,0),6)),-TRUNC(DP26/VLOOKUP("PCS-30820g",[7]ARBOR!$A:$C,3,0)-1,4)+0.0001,-TRUNC(DP26/VLOOKUP("PCS-30820g",[7]ARBOR!$A:$C,3,0)-1,4)))))</f>
        <v>0.75109999999999999</v>
      </c>
      <c r="DR26" s="65" t="str">
        <f>IF(ISERROR(IF(DQ26="","",VLOOKUP(($BH26&amp;DQ26&amp;"Template de desconto FLAT bundle - Velox XDSL - Varejo"),[7]BENEFICIOS!$A:$E,5,0))),"Criar",IF(DQ26="","",VLOOKUP(($BH26&amp;DQ26&amp;"Template de desconto FLAT bundle - Velox XDSL - Varejo"),[7]BENEFICIOS!$A:$E,5,0)))</f>
        <v>MKT-1-9865191384</v>
      </c>
      <c r="DS26" s="69"/>
      <c r="DT26" s="70"/>
      <c r="DU26" s="64"/>
      <c r="DV26" s="65"/>
      <c r="DW26" s="71"/>
      <c r="DX26" s="64" t="str">
        <f>IF(DW26=0,"",IF(DW26=VLOOKUP("PCS-21448p2",[7]ARBOR!$A:$C,3,0),0.0001,IF(DW26&gt;VLOOKUP("PCS-21448p2",[7]ARBOR!$A:$C,3,0),"Maior que CAP!",IF((DOLLAR(DW26+(VLOOKUP("PCS-21448p2",[7]ARBOR!$A:$C,3,0)*-TRUNC(DW26/VLOOKUP("PCS-21448p2",[7]ARBOR!$A:$C,3,0)-1,4)),6))&lt;&gt;(DOLLAR(VLOOKUP("PCS-21448p2",[7]ARBOR!$A:$C,3,0),6)),-TRUNC(DW26/VLOOKUP("PCS-21448p2",[7]ARBOR!$A:$C,3,0)-1,4)+0.0001,-TRUNC(DW26/VLOOKUP("PCS-21448p2",[7]ARBOR!$A:$C,3,0)-1,4)))))</f>
        <v/>
      </c>
      <c r="DY26" s="65" t="str">
        <f>IF(ISERROR(IF(DX26="","",VLOOKUP(("Oi Conta Total Plug 10GB Downgrade"&amp;DX26&amp;"Template de desconto percentual BL Móvel - Internet Total - Varejo"),[7]BENEFICIOS!$A:$E,5,0))),"Criar",IF(DX26="","",VLOOKUP(("Oi Conta Total Plug 10GB Downgrade"&amp;DX26&amp;"Template de desconto percentual BL Móvel - Internet Total - Varejo"),[7]BENEFICIOS!$A:$E,5,0)))</f>
        <v/>
      </c>
      <c r="DZ26" s="71">
        <v>19.899999999999999</v>
      </c>
      <c r="EA26" s="72">
        <f>IF(DZ26=0,"",IF(DZ26=VLOOKUP("SVA",[7]ARBOR!$A:$C,3,0),0.0001,IF(DZ26&gt;VLOOKUP("SVA",[7]ARBOR!$A:$C,3,0),"Maior que CAP!",IF((DOLLAR(DZ26+(VLOOKUP("SVA",[7]ARBOR!$A:$C,3,0)*-TRUNC(DZ26/VLOOKUP("SVA",[7]ARBOR!$A:$C,3,0)-1,4)),6))&lt;&gt;(DOLLAR(VLOOKUP("SVA",[7]ARBOR!$A:$C,3,0),6)),-TRUNC(DZ26/VLOOKUP("SVA",[7]ARBOR!$A:$C,3,0)-1,4)+0.0001,-TRUNC(DZ26/VLOOKUP("SVA",[7]ARBOR!$A:$C,3,0)-1,4)))))</f>
        <v>7.1400000000000005E-2</v>
      </c>
      <c r="EB26" s="65" t="s">
        <v>244</v>
      </c>
      <c r="EC26" s="69"/>
      <c r="ED26" s="73"/>
      <c r="EE26" s="74"/>
      <c r="EF26" s="65"/>
      <c r="EG26" s="75">
        <f>IF(BI26="","",VLOOKUP(BI26,[7]ARBOR!A:C,3,0))</f>
        <v>479.46</v>
      </c>
      <c r="EH26" s="69">
        <v>15</v>
      </c>
      <c r="EI26" s="76">
        <f>IF(EH26="","",1-(EH26/VLOOKUP(BI26&amp;"ASS",[7]ARBOR!A:C,3,0)))</f>
        <v>0.34725848563968664</v>
      </c>
      <c r="EJ26" s="77" t="s">
        <v>227</v>
      </c>
      <c r="EK26" s="78" t="s">
        <v>228</v>
      </c>
      <c r="EL26" s="69">
        <v>154.36999999999998</v>
      </c>
      <c r="EM26" s="64">
        <f>IF(EL26=0,"",IF(EL26=EG26,0.0001,ROUND(1-((EL26+(VLOOKUP(BI26&amp;"ASS",[7]ARBOR!A:C,3,0)-EH26))/EG26),4)))</f>
        <v>0.66139999999999999</v>
      </c>
      <c r="EN26" s="65" t="str">
        <f>IF(ISERROR(IF(EM26="","",VLOOKUP(($BH26&amp;EM26&amp;"Template de desconto percentual FLAT Móvel - Conta Total - Varejo - Ganho Tributário Cross"),[7]BENEFICIOS!$A:$E,5,0))),"Criar",IF(EM26="","",VLOOKUP(($BH26&amp;EM26&amp;"Template de desconto percentual FLAT Móvel - Conta Total - Varejo - Ganho Tributário Cross"),[7]BENEFICIOS!$A:$E,5,0)))</f>
        <v>MKT-1-10032168071</v>
      </c>
      <c r="EO26" s="79"/>
      <c r="EP26" s="64"/>
      <c r="EQ26" s="72"/>
      <c r="ER26" s="72"/>
      <c r="ES26" s="64"/>
      <c r="ET26" s="80"/>
      <c r="EU26" s="81" t="s">
        <v>247</v>
      </c>
      <c r="EV26" s="81" t="s">
        <v>270</v>
      </c>
      <c r="EW26" s="82"/>
      <c r="EX26" s="83"/>
      <c r="EY26" s="84"/>
      <c r="EZ26" s="82"/>
      <c r="FA26" s="83"/>
      <c r="FB26" s="84"/>
      <c r="FC26" s="82"/>
      <c r="FD26" s="83" t="str">
        <f>IF(FC26=0,"",IF(FC26=VLOOKUP("PCS-10357",[7]ARBOR!$A:$C,3,0),0.0001,IF(FC26&gt;VLOOKUP("PCS-10357",[7]ARBOR!$A:$C,3,0),"Maior que CAP!",ROUND(-1*(FC26/VLOOKUP("PCS-10357",[7]ARBOR!$A:$C,3,0)-1),4))))</f>
        <v/>
      </c>
      <c r="FE26" s="84" t="str">
        <f>IF(ISERROR(IF(FD26="","",VLOOKUP(("Oi Internet Pra Celular 1GB"&amp;FD26&amp;"Template Flat Instância Dados"),[7]BENEFICIOS!$A:$E,5,0))),"Criar",IF(FD26="","",VLOOKUP(("Oi Internet Pra Celular 1GB"&amp;FD26&amp;"Template Flat Instância Dados"),[7]BENEFICIOS!$A:$E,5,0)))</f>
        <v/>
      </c>
      <c r="FF26" s="82"/>
      <c r="FG26" s="83" t="str">
        <f>IF(FF26=0,"",IF(FF26=VLOOKUP("PCS-813565",[7]ARBOR!$A:$C,3,0),0.0001,IF(FF26&gt;VLOOKUP("PCS-813565",[7]ARBOR!$A:$C,3,0),"Maior que CAP!",ROUND(-1*(FF26/VLOOKUP("PCS-813565",[7]ARBOR!$A:$C,3,0)-1),4))))</f>
        <v/>
      </c>
      <c r="FH26" s="84" t="str">
        <f>IF(ISERROR(IF(FG26="","",VLOOKUP(("Oi Internet Pra Celular 2GB"&amp;FG26&amp;"Template Flat Instância Dados"),[7]BENEFICIOS!$A:$E,5,0))),"Criar",IF(FG26="","",VLOOKUP(("Oi Internet Pra Celular 2GB"&amp;FG26&amp;"Template Flat Instância Dados"),[7]BENEFICIOS!$A:$E,5,0)))</f>
        <v/>
      </c>
      <c r="FI26" s="82"/>
      <c r="FJ26" s="83" t="str">
        <f>IF(FI26=0,"",IF(FI26=VLOOKUP("PCS-7171B",[7]ARBOR!$A:$C,3,0),0.0001,IF(FI26&gt;VLOOKUP("PCS-7171B",[7]ARBOR!$A:$C,3,0),"Maior que CAP!",ROUND(-1*(FI26/VLOOKUP("PCS-7171B",[7]ARBOR!$A:$C,3,0)-1),4))))</f>
        <v/>
      </c>
      <c r="FK26" s="84" t="str">
        <f>IF(ISERROR(IF(FJ26="","",VLOOKUP(("Oi Internet Pra Celular 3GB"&amp;FJ26&amp;"Template Flat Instância Dados"),[7]BENEFICIOS!$A:$E,5,0))),"Criar",IF(FJ26="","",VLOOKUP(("Oi Internet Pra Celular 3GB"&amp;FJ26&amp;"Template Flat Instância Dados"),[7]BENEFICIOS!$A:$E,5,0)))</f>
        <v/>
      </c>
      <c r="FL26" s="82"/>
      <c r="FM26" s="83"/>
      <c r="FN26" s="84"/>
      <c r="FO26" s="82">
        <v>35.53</v>
      </c>
      <c r="FP26" s="83">
        <f>IF(FO26=0,"",IF(FO26=VLOOKUP("PCS-7171A",[7]ARBOR!$A:$C,3,0),0.0001,IF(FO26&gt;VLOOKUP("PCS-7171A",[7]ARBOR!$A:$C,3,0),"Maior que CAP!",ROUND(-1*(FO26/VLOOKUP("PCS-7171A",[7]ARBOR!$A:$C,3,0)-1),4))))</f>
        <v>0.81899999999999995</v>
      </c>
      <c r="FQ26" s="84" t="str">
        <f>IF(ISERROR(IF(FP26="","",VLOOKUP(("Oi Internet Pra Celular 10GB"&amp;FP26&amp;"Template Flat Instância Dados"),[7]BENEFICIOS!$A:$E,5,0))),"Criar",IF(FP26="","",VLOOKUP(("Oi Internet Pra Celular 10GB"&amp;FP26&amp;"Template Flat Instância Dados"),[7]BENEFICIOS!$A:$E,5,0)))</f>
        <v>MKT-1-9869971287</v>
      </c>
      <c r="FR26" s="85">
        <v>0.74260000000000004</v>
      </c>
      <c r="FS26" s="86" t="s">
        <v>265</v>
      </c>
      <c r="FT26" s="48"/>
      <c r="FU26" s="87"/>
      <c r="FV26" s="88" t="s">
        <v>224</v>
      </c>
      <c r="FW26" s="49" t="s">
        <v>229</v>
      </c>
      <c r="FX26" s="89">
        <v>999</v>
      </c>
      <c r="FY26" s="49">
        <v>12</v>
      </c>
      <c r="FZ26" s="90" t="s">
        <v>230</v>
      </c>
      <c r="GA26" s="91" t="str">
        <f t="shared" si="1"/>
        <v>PCS-Fk83324</v>
      </c>
      <c r="GB26" s="92" t="str">
        <f t="shared" si="2"/>
        <v>PCS-SBL553142</v>
      </c>
      <c r="GC26" s="93" t="s">
        <v>231</v>
      </c>
      <c r="GD26" s="90" t="s">
        <v>232</v>
      </c>
      <c r="GE26" s="92" t="s">
        <v>233</v>
      </c>
      <c r="GF26" s="93" t="s">
        <v>234</v>
      </c>
      <c r="GG26" s="90" t="s">
        <v>235</v>
      </c>
      <c r="GH26" s="92" t="s">
        <v>236</v>
      </c>
      <c r="GI26" s="94" t="s">
        <v>237</v>
      </c>
      <c r="GJ26" s="95">
        <f>FO26+EL26+CN26+BJ26</f>
        <v>289.89999999999998</v>
      </c>
      <c r="GK26" s="96"/>
      <c r="GL26" s="97" t="s">
        <v>238</v>
      </c>
      <c r="GM26" s="98" t="s">
        <v>275</v>
      </c>
      <c r="GN26" s="97">
        <v>20.350000000000001</v>
      </c>
      <c r="GO26" s="99">
        <v>5.24</v>
      </c>
      <c r="GP26" s="76">
        <v>0.74250000000000005</v>
      </c>
      <c r="GQ26" s="97">
        <v>15.1</v>
      </c>
      <c r="GR26" s="97">
        <v>5.2500000000000018</v>
      </c>
      <c r="GS26" s="101"/>
      <c r="GT26" s="101"/>
      <c r="GU26" s="102" t="b">
        <v>0</v>
      </c>
      <c r="GV26" s="103">
        <v>1.0000000000001563E-2</v>
      </c>
      <c r="GW26" s="44" t="s">
        <v>298</v>
      </c>
      <c r="GX26" s="44" t="s">
        <v>241</v>
      </c>
    </row>
  </sheetData>
  <mergeCells count="36">
    <mergeCell ref="GK1:GU1"/>
    <mergeCell ref="EZ1:FB1"/>
    <mergeCell ref="FC1:FE1"/>
    <mergeCell ref="FF1:FH1"/>
    <mergeCell ref="FI1:FK1"/>
    <mergeCell ref="FL1:FN1"/>
    <mergeCell ref="FO1:FQ1"/>
    <mergeCell ref="FR1:FS1"/>
    <mergeCell ref="FT1:FU1"/>
    <mergeCell ref="FV1:GB1"/>
    <mergeCell ref="GC1:GE1"/>
    <mergeCell ref="GF1:GH1"/>
    <mergeCell ref="EW1:EY1"/>
    <mergeCell ref="CI1:CL1"/>
    <mergeCell ref="CM1:CP1"/>
    <mergeCell ref="CQ1:CX1"/>
    <mergeCell ref="CY1:DF1"/>
    <mergeCell ref="DG1:DN1"/>
    <mergeCell ref="DO1:DV1"/>
    <mergeCell ref="DW1:DY1"/>
    <mergeCell ref="DZ1:EF1"/>
    <mergeCell ref="EG1:EN1"/>
    <mergeCell ref="EO1:ET1"/>
    <mergeCell ref="EU1:EV1"/>
    <mergeCell ref="CE1:CH1"/>
    <mergeCell ref="F1:AQ1"/>
    <mergeCell ref="AR1:AT1"/>
    <mergeCell ref="AU1:AV1"/>
    <mergeCell ref="AW1:BC1"/>
    <mergeCell ref="BD1:BF1"/>
    <mergeCell ref="BG1:BI1"/>
    <mergeCell ref="BJ1:BN1"/>
    <mergeCell ref="BO1:BR1"/>
    <mergeCell ref="BS1:BV1"/>
    <mergeCell ref="BW1:BZ1"/>
    <mergeCell ref="CA1:CD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V177"/>
  <sheetViews>
    <sheetView tabSelected="1" topLeftCell="AL155" workbookViewId="0">
      <selection activeCell="AW163" sqref="AW163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26.42578125" bestFit="1" customWidth="1"/>
    <col min="15" max="15" width="7.425781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3" width="59.140625" bestFit="1" customWidth="1"/>
    <col min="34" max="34" width="40.28515625" bestFit="1" customWidth="1"/>
    <col min="35" max="35" width="34.28515625" customWidth="1"/>
    <col min="36" max="36" width="34.42578125" customWidth="1"/>
    <col min="37" max="37" width="34.5703125" customWidth="1"/>
    <col min="38" max="38" width="36.85546875" customWidth="1"/>
    <col min="39" max="39" width="24.42578125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0.42578125" customWidth="1"/>
    <col min="48" max="48" width="14.42578125" hidden="1" customWidth="1"/>
    <col min="49" max="49" width="11.7109375" customWidth="1"/>
    <col min="50" max="50" width="18" customWidth="1"/>
    <col min="51" max="51" width="0" hidden="1" customWidth="1"/>
  </cols>
  <sheetData>
    <row r="2" spans="1:48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</row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299</v>
      </c>
      <c r="P3" s="4" t="s">
        <v>15</v>
      </c>
      <c r="Q3" s="5" t="s">
        <v>314</v>
      </c>
      <c r="R3" s="5" t="s">
        <v>303</v>
      </c>
      <c r="S3" s="5" t="s">
        <v>304</v>
      </c>
      <c r="T3" s="5" t="s">
        <v>305</v>
      </c>
      <c r="U3" s="5" t="s">
        <v>306</v>
      </c>
      <c r="V3" s="5" t="s">
        <v>307</v>
      </c>
      <c r="W3" s="5" t="s">
        <v>308</v>
      </c>
      <c r="X3" s="5" t="s">
        <v>309</v>
      </c>
      <c r="Y3" s="5" t="s">
        <v>310</v>
      </c>
      <c r="Z3" s="5" t="s">
        <v>311</v>
      </c>
      <c r="AA3" s="5" t="s">
        <v>312</v>
      </c>
      <c r="AB3" s="5" t="s">
        <v>12</v>
      </c>
      <c r="AC3" s="5" t="s">
        <v>16</v>
      </c>
      <c r="AD3" s="5" t="s">
        <v>17</v>
      </c>
      <c r="AE3" s="5" t="s">
        <v>313</v>
      </c>
      <c r="AF3" s="5" t="s">
        <v>315</v>
      </c>
      <c r="AG3" s="5" t="s">
        <v>316</v>
      </c>
      <c r="AH3" s="5" t="s">
        <v>19</v>
      </c>
      <c r="AI3" s="5" t="s">
        <v>20</v>
      </c>
      <c r="AJ3" s="5" t="s">
        <v>21</v>
      </c>
      <c r="AK3" s="5" t="s">
        <v>22</v>
      </c>
      <c r="AL3" s="5" t="s">
        <v>23</v>
      </c>
      <c r="AM3" s="5" t="s">
        <v>24</v>
      </c>
      <c r="AN3" s="5" t="s">
        <v>25</v>
      </c>
      <c r="AO3" s="5" t="s">
        <v>26</v>
      </c>
      <c r="AP3" s="5" t="s">
        <v>27</v>
      </c>
      <c r="AQ3" s="5" t="s">
        <v>28</v>
      </c>
      <c r="AR3" s="5" t="s">
        <v>58</v>
      </c>
      <c r="AS3" s="5" t="s">
        <v>29</v>
      </c>
      <c r="AT3" s="5" t="s">
        <v>59</v>
      </c>
    </row>
    <row r="4" spans="1:48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300</v>
      </c>
      <c r="P4" s="10"/>
      <c r="Q4" s="5" t="s">
        <v>317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318</v>
      </c>
      <c r="AG4" s="5" t="s">
        <v>319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60</v>
      </c>
      <c r="AS4" s="5" t="s">
        <v>29</v>
      </c>
      <c r="AT4" s="5" t="s">
        <v>59</v>
      </c>
    </row>
    <row r="5" spans="1:48" x14ac:dyDescent="0.25">
      <c r="A5" t="s">
        <v>461</v>
      </c>
      <c r="B5" t="s">
        <v>301</v>
      </c>
      <c r="C5" t="s">
        <v>61</v>
      </c>
      <c r="D5">
        <v>99999</v>
      </c>
      <c r="F5">
        <v>10000</v>
      </c>
      <c r="G5" t="b">
        <v>0</v>
      </c>
      <c r="H5" t="s">
        <v>464</v>
      </c>
      <c r="K5" t="s">
        <v>474</v>
      </c>
      <c r="L5" t="s">
        <v>302</v>
      </c>
      <c r="M5" t="s">
        <v>321</v>
      </c>
      <c r="N5" t="s">
        <v>62</v>
      </c>
      <c r="O5">
        <v>69.900000000000006</v>
      </c>
      <c r="R5">
        <v>384.79999999999995</v>
      </c>
      <c r="S5">
        <v>140</v>
      </c>
      <c r="T5">
        <v>0</v>
      </c>
      <c r="U5">
        <v>75</v>
      </c>
      <c r="X5">
        <v>89.9</v>
      </c>
      <c r="Y5">
        <v>79.900000000000006</v>
      </c>
      <c r="Z5">
        <v>79.900000000000006</v>
      </c>
      <c r="AA5">
        <v>0</v>
      </c>
      <c r="AB5" t="s">
        <v>470</v>
      </c>
      <c r="AF5" t="s">
        <v>672</v>
      </c>
      <c r="AG5" t="s">
        <v>672</v>
      </c>
      <c r="AH5" t="s">
        <v>465</v>
      </c>
      <c r="AI5">
        <v>99999</v>
      </c>
      <c r="AJ5">
        <v>99999</v>
      </c>
      <c r="AK5">
        <v>0</v>
      </c>
      <c r="AL5" t="b">
        <v>1</v>
      </c>
      <c r="AM5" t="b">
        <v>1</v>
      </c>
      <c r="AN5" t="b">
        <v>0</v>
      </c>
      <c r="AO5">
        <v>99999</v>
      </c>
      <c r="AP5" t="s">
        <v>63</v>
      </c>
      <c r="AR5" t="b">
        <v>1</v>
      </c>
      <c r="AS5">
        <v>0</v>
      </c>
      <c r="AT5" t="s">
        <v>63</v>
      </c>
      <c r="AV5" t="s">
        <v>674</v>
      </c>
    </row>
    <row r="6" spans="1:48" x14ac:dyDescent="0.25">
      <c r="A6" t="s">
        <v>462</v>
      </c>
      <c r="B6" t="s">
        <v>301</v>
      </c>
      <c r="C6" t="s">
        <v>61</v>
      </c>
      <c r="D6">
        <v>99999</v>
      </c>
      <c r="F6">
        <v>10000</v>
      </c>
      <c r="G6" t="b">
        <v>0</v>
      </c>
      <c r="H6" t="s">
        <v>464</v>
      </c>
      <c r="K6" t="s">
        <v>474</v>
      </c>
      <c r="L6" t="s">
        <v>302</v>
      </c>
      <c r="M6" t="s">
        <v>321</v>
      </c>
      <c r="N6" t="s">
        <v>62</v>
      </c>
      <c r="O6">
        <v>79.900000000000006</v>
      </c>
      <c r="R6">
        <v>384.79999999999995</v>
      </c>
      <c r="S6">
        <v>140</v>
      </c>
      <c r="T6">
        <v>0</v>
      </c>
      <c r="U6">
        <v>75</v>
      </c>
      <c r="X6">
        <v>89.9</v>
      </c>
      <c r="Y6">
        <v>79.900000000000006</v>
      </c>
      <c r="Z6">
        <v>79.900000000000006</v>
      </c>
      <c r="AA6">
        <v>0</v>
      </c>
      <c r="AB6" t="s">
        <v>470</v>
      </c>
      <c r="AF6" t="s">
        <v>595</v>
      </c>
      <c r="AG6" t="s">
        <v>595</v>
      </c>
      <c r="AH6" t="s">
        <v>465</v>
      </c>
      <c r="AI6">
        <v>99999</v>
      </c>
      <c r="AJ6">
        <v>99999</v>
      </c>
      <c r="AK6">
        <v>0</v>
      </c>
      <c r="AL6" t="b">
        <v>1</v>
      </c>
      <c r="AM6" t="b">
        <v>1</v>
      </c>
      <c r="AN6" t="b">
        <v>0</v>
      </c>
      <c r="AO6">
        <v>99999</v>
      </c>
      <c r="AP6" t="s">
        <v>63</v>
      </c>
      <c r="AR6" t="b">
        <v>1</v>
      </c>
      <c r="AS6">
        <v>0</v>
      </c>
      <c r="AT6" t="s">
        <v>63</v>
      </c>
      <c r="AV6" t="s">
        <v>597</v>
      </c>
    </row>
    <row r="7" spans="1:48" x14ac:dyDescent="0.25">
      <c r="A7" t="s">
        <v>462</v>
      </c>
      <c r="B7" t="s">
        <v>301</v>
      </c>
      <c r="C7" t="s">
        <v>61</v>
      </c>
      <c r="D7">
        <v>99999</v>
      </c>
      <c r="F7">
        <v>10000</v>
      </c>
      <c r="G7" t="b">
        <v>0</v>
      </c>
      <c r="H7" t="s">
        <v>464</v>
      </c>
      <c r="K7" t="s">
        <v>474</v>
      </c>
      <c r="L7" t="s">
        <v>302</v>
      </c>
      <c r="M7" t="s">
        <v>321</v>
      </c>
      <c r="N7" t="s">
        <v>62</v>
      </c>
      <c r="O7">
        <v>99.9</v>
      </c>
      <c r="R7">
        <v>384.79999999999995</v>
      </c>
      <c r="S7">
        <v>140</v>
      </c>
      <c r="T7">
        <v>0</v>
      </c>
      <c r="U7">
        <v>75</v>
      </c>
      <c r="X7">
        <v>89.9</v>
      </c>
      <c r="Y7">
        <v>79.900000000000006</v>
      </c>
      <c r="Z7">
        <v>79.900000000000006</v>
      </c>
      <c r="AA7">
        <v>0</v>
      </c>
      <c r="AB7" t="s">
        <v>470</v>
      </c>
      <c r="AF7" t="s">
        <v>472</v>
      </c>
      <c r="AG7" t="s">
        <v>472</v>
      </c>
      <c r="AH7" t="s">
        <v>465</v>
      </c>
      <c r="AI7">
        <v>99999</v>
      </c>
      <c r="AJ7">
        <v>99999</v>
      </c>
      <c r="AK7">
        <v>0</v>
      </c>
      <c r="AL7" t="b">
        <v>1</v>
      </c>
      <c r="AM7" t="b">
        <v>1</v>
      </c>
      <c r="AN7" t="b">
        <v>0</v>
      </c>
      <c r="AO7">
        <v>99999</v>
      </c>
      <c r="AP7" t="s">
        <v>63</v>
      </c>
      <c r="AR7" t="b">
        <v>1</v>
      </c>
      <c r="AS7">
        <v>0</v>
      </c>
      <c r="AT7" t="s">
        <v>63</v>
      </c>
      <c r="AV7" t="s">
        <v>475</v>
      </c>
    </row>
    <row r="8" spans="1:48" x14ac:dyDescent="0.25">
      <c r="A8" t="s">
        <v>462</v>
      </c>
      <c r="B8" t="s">
        <v>301</v>
      </c>
      <c r="C8" t="s">
        <v>61</v>
      </c>
      <c r="D8">
        <v>99999</v>
      </c>
      <c r="F8">
        <v>10000</v>
      </c>
      <c r="G8" t="b">
        <v>0</v>
      </c>
      <c r="H8" t="s">
        <v>464</v>
      </c>
      <c r="K8" t="s">
        <v>474</v>
      </c>
      <c r="L8" t="s">
        <v>302</v>
      </c>
      <c r="M8" t="s">
        <v>321</v>
      </c>
      <c r="N8" t="s">
        <v>62</v>
      </c>
      <c r="O8">
        <v>99.9</v>
      </c>
      <c r="R8">
        <v>379.79999999999995</v>
      </c>
      <c r="S8">
        <v>140</v>
      </c>
      <c r="T8">
        <v>0</v>
      </c>
      <c r="U8">
        <v>70</v>
      </c>
      <c r="X8">
        <v>89.9</v>
      </c>
      <c r="Y8">
        <v>79.900000000000006</v>
      </c>
      <c r="Z8">
        <v>79.900000000000006</v>
      </c>
      <c r="AA8">
        <v>0</v>
      </c>
      <c r="AB8" t="s">
        <v>470</v>
      </c>
      <c r="AF8" t="s">
        <v>616</v>
      </c>
      <c r="AG8" t="s">
        <v>616</v>
      </c>
      <c r="AH8" t="s">
        <v>465</v>
      </c>
      <c r="AI8">
        <v>99999</v>
      </c>
      <c r="AJ8">
        <v>99999</v>
      </c>
      <c r="AK8">
        <v>0</v>
      </c>
      <c r="AL8" t="b">
        <v>1</v>
      </c>
      <c r="AM8" t="b">
        <v>1</v>
      </c>
      <c r="AN8" t="b">
        <v>0</v>
      </c>
      <c r="AO8">
        <v>99999</v>
      </c>
      <c r="AP8" t="s">
        <v>63</v>
      </c>
      <c r="AR8" t="b">
        <v>1</v>
      </c>
      <c r="AS8">
        <v>0</v>
      </c>
      <c r="AT8" t="s">
        <v>63</v>
      </c>
      <c r="AV8" t="s">
        <v>618</v>
      </c>
    </row>
    <row r="9" spans="1:48" x14ac:dyDescent="0.25">
      <c r="A9" t="s">
        <v>462</v>
      </c>
      <c r="B9" t="s">
        <v>301</v>
      </c>
      <c r="C9" t="s">
        <v>61</v>
      </c>
      <c r="D9">
        <v>99999</v>
      </c>
      <c r="F9">
        <v>10000</v>
      </c>
      <c r="G9" t="b">
        <v>0</v>
      </c>
      <c r="H9" t="s">
        <v>464</v>
      </c>
      <c r="K9" t="s">
        <v>494</v>
      </c>
      <c r="L9" t="s">
        <v>302</v>
      </c>
      <c r="M9" t="s">
        <v>321</v>
      </c>
      <c r="N9" t="s">
        <v>62</v>
      </c>
      <c r="O9">
        <v>69.900000000000006</v>
      </c>
      <c r="R9">
        <v>389.79999999999995</v>
      </c>
      <c r="S9">
        <v>140</v>
      </c>
      <c r="T9">
        <v>0</v>
      </c>
      <c r="U9">
        <v>75</v>
      </c>
      <c r="X9">
        <v>89.9</v>
      </c>
      <c r="Y9">
        <v>84.9</v>
      </c>
      <c r="Z9">
        <v>84.9</v>
      </c>
      <c r="AA9">
        <v>0</v>
      </c>
      <c r="AB9" t="s">
        <v>329</v>
      </c>
      <c r="AF9" t="s">
        <v>645</v>
      </c>
      <c r="AG9" t="s">
        <v>645</v>
      </c>
      <c r="AH9" t="s">
        <v>465</v>
      </c>
      <c r="AI9">
        <v>99999</v>
      </c>
      <c r="AJ9">
        <v>99999</v>
      </c>
      <c r="AK9">
        <v>0</v>
      </c>
      <c r="AL9" t="b">
        <v>1</v>
      </c>
      <c r="AM9" t="b">
        <v>1</v>
      </c>
      <c r="AN9" t="b">
        <v>0</v>
      </c>
      <c r="AO9">
        <v>99999</v>
      </c>
      <c r="AP9" t="s">
        <v>63</v>
      </c>
      <c r="AR9" t="b">
        <v>1</v>
      </c>
      <c r="AS9">
        <v>0</v>
      </c>
      <c r="AT9" t="s">
        <v>63</v>
      </c>
      <c r="AV9" t="s">
        <v>646</v>
      </c>
    </row>
    <row r="10" spans="1:48" x14ac:dyDescent="0.25">
      <c r="A10" t="s">
        <v>462</v>
      </c>
      <c r="B10" t="s">
        <v>301</v>
      </c>
      <c r="C10" t="s">
        <v>61</v>
      </c>
      <c r="D10">
        <v>99999</v>
      </c>
      <c r="F10">
        <v>10000</v>
      </c>
      <c r="G10" t="b">
        <v>0</v>
      </c>
      <c r="H10" t="s">
        <v>464</v>
      </c>
      <c r="K10" t="s">
        <v>494</v>
      </c>
      <c r="L10" t="s">
        <v>302</v>
      </c>
      <c r="M10" t="s">
        <v>321</v>
      </c>
      <c r="N10" t="s">
        <v>62</v>
      </c>
      <c r="O10">
        <v>79.900000000000006</v>
      </c>
      <c r="R10">
        <v>389.79999999999995</v>
      </c>
      <c r="S10">
        <v>140</v>
      </c>
      <c r="T10">
        <v>0</v>
      </c>
      <c r="U10">
        <v>75</v>
      </c>
      <c r="X10">
        <v>89.9</v>
      </c>
      <c r="Y10">
        <v>84.9</v>
      </c>
      <c r="Z10">
        <v>84.9</v>
      </c>
      <c r="AA10">
        <v>0</v>
      </c>
      <c r="AB10" t="s">
        <v>329</v>
      </c>
      <c r="AF10" t="s">
        <v>568</v>
      </c>
      <c r="AG10" t="s">
        <v>568</v>
      </c>
      <c r="AH10" t="s">
        <v>465</v>
      </c>
      <c r="AI10">
        <v>99999</v>
      </c>
      <c r="AJ10">
        <v>99999</v>
      </c>
      <c r="AK10">
        <v>0</v>
      </c>
      <c r="AL10" t="b">
        <v>1</v>
      </c>
      <c r="AM10" t="b">
        <v>1</v>
      </c>
      <c r="AN10" t="b">
        <v>0</v>
      </c>
      <c r="AO10">
        <v>99999</v>
      </c>
      <c r="AP10" t="s">
        <v>63</v>
      </c>
      <c r="AR10" t="b">
        <v>1</v>
      </c>
      <c r="AS10">
        <v>0</v>
      </c>
      <c r="AT10" t="s">
        <v>63</v>
      </c>
      <c r="AV10" t="s">
        <v>569</v>
      </c>
    </row>
    <row r="11" spans="1:48" x14ac:dyDescent="0.25">
      <c r="A11" t="s">
        <v>462</v>
      </c>
      <c r="B11" t="s">
        <v>301</v>
      </c>
      <c r="C11" t="s">
        <v>61</v>
      </c>
      <c r="D11">
        <v>99999</v>
      </c>
      <c r="F11">
        <v>10000</v>
      </c>
      <c r="G11" t="b">
        <v>0</v>
      </c>
      <c r="H11" t="s">
        <v>464</v>
      </c>
      <c r="K11" t="s">
        <v>494</v>
      </c>
      <c r="L11" t="s">
        <v>302</v>
      </c>
      <c r="M11" t="s">
        <v>321</v>
      </c>
      <c r="N11" t="s">
        <v>62</v>
      </c>
      <c r="O11">
        <v>99.9</v>
      </c>
      <c r="R11">
        <v>389.79999999999995</v>
      </c>
      <c r="S11">
        <v>140</v>
      </c>
      <c r="T11">
        <v>0</v>
      </c>
      <c r="U11">
        <v>75</v>
      </c>
      <c r="X11">
        <v>89.9</v>
      </c>
      <c r="Y11">
        <v>84.9</v>
      </c>
      <c r="Z11">
        <v>84.9</v>
      </c>
      <c r="AA11">
        <v>0</v>
      </c>
      <c r="AB11" t="s">
        <v>329</v>
      </c>
      <c r="AF11" t="s">
        <v>495</v>
      </c>
      <c r="AG11" t="s">
        <v>495</v>
      </c>
      <c r="AH11" t="s">
        <v>465</v>
      </c>
      <c r="AI11">
        <v>99999</v>
      </c>
      <c r="AJ11">
        <v>99999</v>
      </c>
      <c r="AK11">
        <v>0</v>
      </c>
      <c r="AL11" t="b">
        <v>1</v>
      </c>
      <c r="AM11" t="b">
        <v>1</v>
      </c>
      <c r="AN11" t="b">
        <v>0</v>
      </c>
      <c r="AO11">
        <v>99999</v>
      </c>
      <c r="AP11" t="s">
        <v>63</v>
      </c>
      <c r="AR11" t="b">
        <v>1</v>
      </c>
      <c r="AS11">
        <v>0</v>
      </c>
      <c r="AT11" t="s">
        <v>63</v>
      </c>
      <c r="AV11" t="s">
        <v>496</v>
      </c>
    </row>
    <row r="12" spans="1:48" x14ac:dyDescent="0.25">
      <c r="A12" t="s">
        <v>462</v>
      </c>
      <c r="B12" t="s">
        <v>301</v>
      </c>
      <c r="C12" t="s">
        <v>61</v>
      </c>
      <c r="D12">
        <v>99999</v>
      </c>
      <c r="F12">
        <v>10000</v>
      </c>
      <c r="G12" t="b">
        <v>0</v>
      </c>
      <c r="H12" t="s">
        <v>464</v>
      </c>
      <c r="K12" t="s">
        <v>494</v>
      </c>
      <c r="L12" t="s">
        <v>302</v>
      </c>
      <c r="M12" t="s">
        <v>321</v>
      </c>
      <c r="N12" t="s">
        <v>62</v>
      </c>
      <c r="O12">
        <v>99.9</v>
      </c>
      <c r="R12">
        <v>384.79999999999995</v>
      </c>
      <c r="S12">
        <v>140</v>
      </c>
      <c r="T12">
        <v>0</v>
      </c>
      <c r="U12">
        <v>70</v>
      </c>
      <c r="X12">
        <v>89.9</v>
      </c>
      <c r="Y12">
        <v>84.9</v>
      </c>
      <c r="Z12">
        <v>84.9</v>
      </c>
      <c r="AA12">
        <v>0</v>
      </c>
      <c r="AB12" t="s">
        <v>329</v>
      </c>
      <c r="AF12" t="s">
        <v>629</v>
      </c>
      <c r="AG12" t="s">
        <v>629</v>
      </c>
      <c r="AH12" t="s">
        <v>465</v>
      </c>
      <c r="AI12">
        <v>99999</v>
      </c>
      <c r="AJ12">
        <v>99999</v>
      </c>
      <c r="AK12">
        <v>0</v>
      </c>
      <c r="AL12" t="b">
        <v>1</v>
      </c>
      <c r="AM12" t="b">
        <v>1</v>
      </c>
      <c r="AN12" t="b">
        <v>0</v>
      </c>
      <c r="AO12">
        <v>99999</v>
      </c>
      <c r="AP12" t="s">
        <v>63</v>
      </c>
      <c r="AR12" t="b">
        <v>1</v>
      </c>
      <c r="AS12">
        <v>0</v>
      </c>
      <c r="AT12" t="s">
        <v>63</v>
      </c>
      <c r="AV12" t="s">
        <v>630</v>
      </c>
    </row>
    <row r="13" spans="1:48" x14ac:dyDescent="0.25">
      <c r="A13" t="s">
        <v>462</v>
      </c>
      <c r="B13" t="s">
        <v>301</v>
      </c>
      <c r="C13" t="s">
        <v>61</v>
      </c>
      <c r="D13">
        <v>99999</v>
      </c>
      <c r="F13">
        <v>10000</v>
      </c>
      <c r="G13" t="b">
        <v>0</v>
      </c>
      <c r="H13" t="s">
        <v>464</v>
      </c>
      <c r="K13" t="s">
        <v>471</v>
      </c>
      <c r="L13" t="s">
        <v>302</v>
      </c>
      <c r="M13" t="s">
        <v>321</v>
      </c>
      <c r="N13" t="s">
        <v>62</v>
      </c>
      <c r="O13">
        <v>69.900000000000006</v>
      </c>
      <c r="R13">
        <v>384.79999999999995</v>
      </c>
      <c r="S13">
        <v>140</v>
      </c>
      <c r="T13">
        <v>0</v>
      </c>
      <c r="U13">
        <v>75</v>
      </c>
      <c r="X13">
        <v>89.9</v>
      </c>
      <c r="Y13">
        <v>79.900000000000006</v>
      </c>
      <c r="Z13">
        <v>79.900000000000006</v>
      </c>
      <c r="AA13">
        <v>0</v>
      </c>
      <c r="AB13" t="s">
        <v>470</v>
      </c>
      <c r="AF13" t="s">
        <v>672</v>
      </c>
      <c r="AG13" t="s">
        <v>672</v>
      </c>
      <c r="AH13" t="s">
        <v>465</v>
      </c>
      <c r="AI13">
        <v>99999</v>
      </c>
      <c r="AJ13">
        <v>99999</v>
      </c>
      <c r="AK13">
        <v>0</v>
      </c>
      <c r="AL13" t="b">
        <v>1</v>
      </c>
      <c r="AM13" t="b">
        <v>1</v>
      </c>
      <c r="AN13" t="b">
        <v>0</v>
      </c>
      <c r="AO13">
        <v>99999</v>
      </c>
      <c r="AP13" t="s">
        <v>63</v>
      </c>
      <c r="AR13" t="b">
        <v>1</v>
      </c>
      <c r="AS13">
        <v>0</v>
      </c>
      <c r="AT13" t="s">
        <v>63</v>
      </c>
      <c r="AV13" t="s">
        <v>673</v>
      </c>
    </row>
    <row r="14" spans="1:48" x14ac:dyDescent="0.25">
      <c r="A14" t="s">
        <v>462</v>
      </c>
      <c r="B14" t="s">
        <v>301</v>
      </c>
      <c r="C14" t="s">
        <v>61</v>
      </c>
      <c r="D14">
        <v>99999</v>
      </c>
      <c r="F14">
        <v>10000</v>
      </c>
      <c r="G14" t="b">
        <v>0</v>
      </c>
      <c r="H14" t="s">
        <v>464</v>
      </c>
      <c r="K14" t="s">
        <v>471</v>
      </c>
      <c r="L14" t="s">
        <v>302</v>
      </c>
      <c r="M14" t="s">
        <v>321</v>
      </c>
      <c r="N14" t="s">
        <v>62</v>
      </c>
      <c r="O14">
        <v>79.900000000000006</v>
      </c>
      <c r="R14">
        <v>384.79999999999995</v>
      </c>
      <c r="S14">
        <v>140</v>
      </c>
      <c r="T14">
        <v>0</v>
      </c>
      <c r="U14">
        <v>75</v>
      </c>
      <c r="X14">
        <v>89.9</v>
      </c>
      <c r="Y14">
        <v>79.900000000000006</v>
      </c>
      <c r="Z14">
        <v>79.900000000000006</v>
      </c>
      <c r="AA14">
        <v>0</v>
      </c>
      <c r="AB14" t="s">
        <v>470</v>
      </c>
      <c r="AF14" t="s">
        <v>595</v>
      </c>
      <c r="AG14" t="s">
        <v>595</v>
      </c>
      <c r="AH14" t="s">
        <v>465</v>
      </c>
      <c r="AI14">
        <v>99999</v>
      </c>
      <c r="AJ14">
        <v>99999</v>
      </c>
      <c r="AK14">
        <v>0</v>
      </c>
      <c r="AL14" t="b">
        <v>1</v>
      </c>
      <c r="AM14" t="b">
        <v>1</v>
      </c>
      <c r="AN14" t="b">
        <v>0</v>
      </c>
      <c r="AO14">
        <v>99999</v>
      </c>
      <c r="AP14" t="s">
        <v>63</v>
      </c>
      <c r="AR14" t="b">
        <v>1</v>
      </c>
      <c r="AS14">
        <v>0</v>
      </c>
      <c r="AT14" t="s">
        <v>63</v>
      </c>
      <c r="AV14" t="s">
        <v>596</v>
      </c>
    </row>
    <row r="15" spans="1:48" x14ac:dyDescent="0.25">
      <c r="A15" t="s">
        <v>462</v>
      </c>
      <c r="B15" t="s">
        <v>301</v>
      </c>
      <c r="C15" t="s">
        <v>61</v>
      </c>
      <c r="D15">
        <v>99999</v>
      </c>
      <c r="F15">
        <v>10000</v>
      </c>
      <c r="G15" t="b">
        <v>0</v>
      </c>
      <c r="H15" t="s">
        <v>464</v>
      </c>
      <c r="K15" t="s">
        <v>471</v>
      </c>
      <c r="L15" t="s">
        <v>302</v>
      </c>
      <c r="M15" t="s">
        <v>321</v>
      </c>
      <c r="N15" t="s">
        <v>62</v>
      </c>
      <c r="O15">
        <v>99.9</v>
      </c>
      <c r="R15">
        <v>384.79999999999995</v>
      </c>
      <c r="S15">
        <v>140</v>
      </c>
      <c r="T15">
        <v>0</v>
      </c>
      <c r="U15">
        <v>75</v>
      </c>
      <c r="X15">
        <v>89.9</v>
      </c>
      <c r="Y15">
        <v>79.900000000000006</v>
      </c>
      <c r="Z15">
        <v>79.900000000000006</v>
      </c>
      <c r="AA15">
        <v>0</v>
      </c>
      <c r="AB15" t="s">
        <v>470</v>
      </c>
      <c r="AF15" t="s">
        <v>472</v>
      </c>
      <c r="AG15" t="s">
        <v>472</v>
      </c>
      <c r="AH15" t="s">
        <v>465</v>
      </c>
      <c r="AI15">
        <v>99999</v>
      </c>
      <c r="AJ15">
        <v>99999</v>
      </c>
      <c r="AK15">
        <v>0</v>
      </c>
      <c r="AL15" t="b">
        <v>1</v>
      </c>
      <c r="AM15" t="b">
        <v>1</v>
      </c>
      <c r="AN15" t="b">
        <v>0</v>
      </c>
      <c r="AO15">
        <v>99999</v>
      </c>
      <c r="AP15" t="s">
        <v>63</v>
      </c>
      <c r="AR15" t="b">
        <v>1</v>
      </c>
      <c r="AS15">
        <v>0</v>
      </c>
      <c r="AT15" t="s">
        <v>63</v>
      </c>
      <c r="AV15" t="s">
        <v>473</v>
      </c>
    </row>
    <row r="16" spans="1:48" x14ac:dyDescent="0.25">
      <c r="A16" t="s">
        <v>462</v>
      </c>
      <c r="B16" t="s">
        <v>301</v>
      </c>
      <c r="C16" t="s">
        <v>61</v>
      </c>
      <c r="D16">
        <v>99999</v>
      </c>
      <c r="F16">
        <v>10000</v>
      </c>
      <c r="G16" t="b">
        <v>0</v>
      </c>
      <c r="H16" t="s">
        <v>464</v>
      </c>
      <c r="K16" t="s">
        <v>471</v>
      </c>
      <c r="L16" t="s">
        <v>302</v>
      </c>
      <c r="M16" t="s">
        <v>321</v>
      </c>
      <c r="N16" t="s">
        <v>62</v>
      </c>
      <c r="O16">
        <v>99.9</v>
      </c>
      <c r="R16">
        <v>379.79999999999995</v>
      </c>
      <c r="S16">
        <v>140</v>
      </c>
      <c r="T16">
        <v>0</v>
      </c>
      <c r="U16">
        <v>70</v>
      </c>
      <c r="X16">
        <v>89.9</v>
      </c>
      <c r="Y16">
        <v>79.900000000000006</v>
      </c>
      <c r="Z16">
        <v>79.900000000000006</v>
      </c>
      <c r="AA16">
        <v>0</v>
      </c>
      <c r="AB16" t="s">
        <v>470</v>
      </c>
      <c r="AF16" t="s">
        <v>616</v>
      </c>
      <c r="AG16" t="s">
        <v>616</v>
      </c>
      <c r="AH16" t="s">
        <v>465</v>
      </c>
      <c r="AI16">
        <v>99999</v>
      </c>
      <c r="AJ16">
        <v>99999</v>
      </c>
      <c r="AK16">
        <v>0</v>
      </c>
      <c r="AL16" t="b">
        <v>1</v>
      </c>
      <c r="AM16" t="b">
        <v>1</v>
      </c>
      <c r="AN16" t="b">
        <v>0</v>
      </c>
      <c r="AO16">
        <v>99999</v>
      </c>
      <c r="AP16" t="s">
        <v>63</v>
      </c>
      <c r="AR16" t="b">
        <v>1</v>
      </c>
      <c r="AS16">
        <v>0</v>
      </c>
      <c r="AT16" t="s">
        <v>63</v>
      </c>
      <c r="AV16" t="s">
        <v>617</v>
      </c>
    </row>
    <row r="17" spans="1:48" x14ac:dyDescent="0.25">
      <c r="A17" t="s">
        <v>462</v>
      </c>
      <c r="B17" t="s">
        <v>301</v>
      </c>
      <c r="C17" t="s">
        <v>61</v>
      </c>
      <c r="D17">
        <v>99999</v>
      </c>
      <c r="F17">
        <v>20000</v>
      </c>
      <c r="G17" t="b">
        <v>0</v>
      </c>
      <c r="H17" t="s">
        <v>325</v>
      </c>
      <c r="K17" t="s">
        <v>474</v>
      </c>
      <c r="L17" t="s">
        <v>302</v>
      </c>
      <c r="M17" t="s">
        <v>321</v>
      </c>
      <c r="N17" t="s">
        <v>62</v>
      </c>
      <c r="O17">
        <v>69.900000000000006</v>
      </c>
      <c r="R17">
        <v>553.79999999999995</v>
      </c>
      <c r="S17">
        <v>190</v>
      </c>
      <c r="T17">
        <v>0</v>
      </c>
      <c r="U17">
        <v>75</v>
      </c>
      <c r="X17">
        <v>208.9</v>
      </c>
      <c r="Y17">
        <v>79.900000000000006</v>
      </c>
      <c r="Z17">
        <v>79.900000000000006</v>
      </c>
      <c r="AA17">
        <v>0</v>
      </c>
      <c r="AB17" t="s">
        <v>470</v>
      </c>
      <c r="AF17" t="s">
        <v>678</v>
      </c>
      <c r="AG17" t="s">
        <v>678</v>
      </c>
      <c r="AH17" t="s">
        <v>467</v>
      </c>
      <c r="AI17">
        <v>99999</v>
      </c>
      <c r="AJ17">
        <v>99999</v>
      </c>
      <c r="AK17">
        <v>0</v>
      </c>
      <c r="AL17" t="b">
        <v>1</v>
      </c>
      <c r="AM17" t="b">
        <v>1</v>
      </c>
      <c r="AN17" t="b">
        <v>0</v>
      </c>
      <c r="AO17">
        <v>99999</v>
      </c>
      <c r="AP17" t="s">
        <v>63</v>
      </c>
      <c r="AR17" t="b">
        <v>1</v>
      </c>
      <c r="AS17">
        <v>0</v>
      </c>
      <c r="AT17" t="s">
        <v>63</v>
      </c>
      <c r="AV17" t="s">
        <v>684</v>
      </c>
    </row>
    <row r="18" spans="1:48" x14ac:dyDescent="0.25">
      <c r="A18" t="s">
        <v>462</v>
      </c>
      <c r="B18" t="s">
        <v>301</v>
      </c>
      <c r="C18" t="s">
        <v>61</v>
      </c>
      <c r="D18">
        <v>99999</v>
      </c>
      <c r="F18">
        <v>20000</v>
      </c>
      <c r="G18" t="b">
        <v>0</v>
      </c>
      <c r="H18" t="s">
        <v>325</v>
      </c>
      <c r="K18" t="s">
        <v>474</v>
      </c>
      <c r="L18" t="s">
        <v>302</v>
      </c>
      <c r="M18" t="s">
        <v>321</v>
      </c>
      <c r="N18" t="s">
        <v>62</v>
      </c>
      <c r="O18">
        <v>79.900000000000006</v>
      </c>
      <c r="R18">
        <v>553.79999999999995</v>
      </c>
      <c r="S18">
        <v>190</v>
      </c>
      <c r="T18">
        <v>0</v>
      </c>
      <c r="U18">
        <v>75</v>
      </c>
      <c r="X18">
        <v>208.9</v>
      </c>
      <c r="Y18">
        <v>79.900000000000006</v>
      </c>
      <c r="Z18">
        <v>79.900000000000006</v>
      </c>
      <c r="AA18">
        <v>0</v>
      </c>
      <c r="AB18" t="s">
        <v>470</v>
      </c>
      <c r="AF18" t="s">
        <v>601</v>
      </c>
      <c r="AG18" t="s">
        <v>601</v>
      </c>
      <c r="AH18" t="s">
        <v>467</v>
      </c>
      <c r="AI18">
        <v>99999</v>
      </c>
      <c r="AJ18">
        <v>99999</v>
      </c>
      <c r="AK18">
        <v>0</v>
      </c>
      <c r="AL18" t="b">
        <v>1</v>
      </c>
      <c r="AM18" t="b">
        <v>1</v>
      </c>
      <c r="AN18" t="b">
        <v>0</v>
      </c>
      <c r="AO18">
        <v>99999</v>
      </c>
      <c r="AP18" t="s">
        <v>63</v>
      </c>
      <c r="AR18" t="b">
        <v>1</v>
      </c>
      <c r="AS18">
        <v>0</v>
      </c>
      <c r="AT18" t="s">
        <v>63</v>
      </c>
      <c r="AV18" t="s">
        <v>607</v>
      </c>
    </row>
    <row r="19" spans="1:48" x14ac:dyDescent="0.25">
      <c r="A19" t="s">
        <v>462</v>
      </c>
      <c r="B19" t="s">
        <v>301</v>
      </c>
      <c r="C19" t="s">
        <v>61</v>
      </c>
      <c r="D19">
        <v>99999</v>
      </c>
      <c r="F19">
        <v>20000</v>
      </c>
      <c r="G19" t="b">
        <v>0</v>
      </c>
      <c r="H19" t="s">
        <v>325</v>
      </c>
      <c r="K19" t="s">
        <v>474</v>
      </c>
      <c r="L19" t="s">
        <v>302</v>
      </c>
      <c r="M19" t="s">
        <v>321</v>
      </c>
      <c r="N19" t="s">
        <v>62</v>
      </c>
      <c r="O19">
        <v>89.9</v>
      </c>
      <c r="R19">
        <v>553.79999999999995</v>
      </c>
      <c r="S19">
        <v>190</v>
      </c>
      <c r="T19">
        <v>0</v>
      </c>
      <c r="U19">
        <v>75</v>
      </c>
      <c r="X19">
        <v>208.9</v>
      </c>
      <c r="Y19">
        <v>79.900000000000006</v>
      </c>
      <c r="Z19">
        <v>79.900000000000006</v>
      </c>
      <c r="AA19">
        <v>0</v>
      </c>
      <c r="AB19" t="s">
        <v>470</v>
      </c>
      <c r="AF19" t="s">
        <v>479</v>
      </c>
      <c r="AG19" t="s">
        <v>479</v>
      </c>
      <c r="AH19" t="s">
        <v>467</v>
      </c>
      <c r="AI19">
        <v>99999</v>
      </c>
      <c r="AJ19">
        <v>99999</v>
      </c>
      <c r="AK19">
        <v>0</v>
      </c>
      <c r="AL19" t="b">
        <v>1</v>
      </c>
      <c r="AM19" t="b">
        <v>1</v>
      </c>
      <c r="AN19" t="b">
        <v>0</v>
      </c>
      <c r="AO19">
        <v>99999</v>
      </c>
      <c r="AP19" t="s">
        <v>63</v>
      </c>
      <c r="AR19" t="b">
        <v>1</v>
      </c>
      <c r="AS19">
        <v>0</v>
      </c>
      <c r="AT19" t="s">
        <v>63</v>
      </c>
      <c r="AV19" t="s">
        <v>485</v>
      </c>
    </row>
    <row r="20" spans="1:48" x14ac:dyDescent="0.25">
      <c r="A20" t="s">
        <v>462</v>
      </c>
      <c r="B20" t="s">
        <v>301</v>
      </c>
      <c r="C20" t="s">
        <v>61</v>
      </c>
      <c r="D20">
        <v>99999</v>
      </c>
      <c r="F20">
        <v>20000</v>
      </c>
      <c r="G20" t="b">
        <v>0</v>
      </c>
      <c r="H20" t="s">
        <v>325</v>
      </c>
      <c r="K20" t="s">
        <v>474</v>
      </c>
      <c r="L20" t="s">
        <v>302</v>
      </c>
      <c r="M20" t="s">
        <v>321</v>
      </c>
      <c r="N20" t="s">
        <v>62</v>
      </c>
      <c r="O20">
        <v>89.9</v>
      </c>
      <c r="R20">
        <v>553.79999999999995</v>
      </c>
      <c r="S20">
        <v>190</v>
      </c>
      <c r="T20">
        <v>0</v>
      </c>
      <c r="U20">
        <v>75</v>
      </c>
      <c r="X20">
        <v>208.9</v>
      </c>
      <c r="Y20">
        <v>79.900000000000006</v>
      </c>
      <c r="Z20">
        <v>79.900000000000006</v>
      </c>
      <c r="AA20">
        <v>0</v>
      </c>
      <c r="AB20" s="108" t="s">
        <v>470</v>
      </c>
      <c r="AF20" t="s">
        <v>528</v>
      </c>
      <c r="AG20" t="s">
        <v>528</v>
      </c>
      <c r="AH20" t="s">
        <v>467</v>
      </c>
      <c r="AI20">
        <v>99999</v>
      </c>
      <c r="AJ20">
        <v>99999</v>
      </c>
      <c r="AK20">
        <v>0</v>
      </c>
      <c r="AL20" t="b">
        <v>1</v>
      </c>
      <c r="AM20" t="b">
        <v>1</v>
      </c>
      <c r="AN20" t="b">
        <v>0</v>
      </c>
      <c r="AO20">
        <v>99999</v>
      </c>
      <c r="AP20" t="s">
        <v>63</v>
      </c>
      <c r="AR20" t="b">
        <v>1</v>
      </c>
      <c r="AS20">
        <v>0</v>
      </c>
      <c r="AT20" t="s">
        <v>63</v>
      </c>
      <c r="AV20" t="s">
        <v>534</v>
      </c>
    </row>
    <row r="21" spans="1:48" x14ac:dyDescent="0.25">
      <c r="A21" t="s">
        <v>462</v>
      </c>
      <c r="B21" t="s">
        <v>301</v>
      </c>
      <c r="C21" t="s">
        <v>61</v>
      </c>
      <c r="D21">
        <v>99999</v>
      </c>
      <c r="F21">
        <v>20000</v>
      </c>
      <c r="G21" t="b">
        <v>0</v>
      </c>
      <c r="H21" t="s">
        <v>325</v>
      </c>
      <c r="K21" t="s">
        <v>474</v>
      </c>
      <c r="L21" t="s">
        <v>302</v>
      </c>
      <c r="M21" t="s">
        <v>321</v>
      </c>
      <c r="N21" t="s">
        <v>62</v>
      </c>
      <c r="O21">
        <v>89.9</v>
      </c>
      <c r="R21">
        <v>548.79999999999995</v>
      </c>
      <c r="S21">
        <v>190</v>
      </c>
      <c r="T21">
        <v>0</v>
      </c>
      <c r="U21">
        <v>70</v>
      </c>
      <c r="X21">
        <v>208.9</v>
      </c>
      <c r="Y21">
        <v>79.900000000000006</v>
      </c>
      <c r="Z21">
        <v>79.900000000000006</v>
      </c>
      <c r="AA21">
        <v>0</v>
      </c>
      <c r="AB21" t="s">
        <v>470</v>
      </c>
      <c r="AF21" t="s">
        <v>622</v>
      </c>
      <c r="AG21" t="s">
        <v>622</v>
      </c>
      <c r="AH21" t="s">
        <v>467</v>
      </c>
      <c r="AI21">
        <v>99999</v>
      </c>
      <c r="AJ21">
        <v>99999</v>
      </c>
      <c r="AK21">
        <v>0</v>
      </c>
      <c r="AL21" t="b">
        <v>1</v>
      </c>
      <c r="AM21" t="b">
        <v>1</v>
      </c>
      <c r="AN21" t="b">
        <v>0</v>
      </c>
      <c r="AO21">
        <v>99999</v>
      </c>
      <c r="AP21" t="s">
        <v>63</v>
      </c>
      <c r="AR21" t="b">
        <v>1</v>
      </c>
      <c r="AS21">
        <v>0</v>
      </c>
      <c r="AT21" t="s">
        <v>63</v>
      </c>
      <c r="AV21" t="s">
        <v>628</v>
      </c>
    </row>
    <row r="22" spans="1:48" x14ac:dyDescent="0.25">
      <c r="A22" t="s">
        <v>462</v>
      </c>
      <c r="B22" t="s">
        <v>301</v>
      </c>
      <c r="C22" t="s">
        <v>61</v>
      </c>
      <c r="D22">
        <v>99999</v>
      </c>
      <c r="F22">
        <v>20000</v>
      </c>
      <c r="G22" t="b">
        <v>0</v>
      </c>
      <c r="H22" t="s">
        <v>325</v>
      </c>
      <c r="K22" t="s">
        <v>502</v>
      </c>
      <c r="L22" t="s">
        <v>302</v>
      </c>
      <c r="M22" t="s">
        <v>321</v>
      </c>
      <c r="N22" t="s">
        <v>62</v>
      </c>
      <c r="O22">
        <v>69.900000000000006</v>
      </c>
      <c r="R22">
        <v>578.79999999999995</v>
      </c>
      <c r="S22">
        <v>190</v>
      </c>
      <c r="T22">
        <v>0</v>
      </c>
      <c r="U22">
        <v>75</v>
      </c>
      <c r="X22">
        <v>208.9</v>
      </c>
      <c r="Y22">
        <v>104.9</v>
      </c>
      <c r="Z22">
        <v>104.9</v>
      </c>
      <c r="AA22">
        <v>0</v>
      </c>
      <c r="AB22" t="s">
        <v>497</v>
      </c>
      <c r="AF22" t="s">
        <v>651</v>
      </c>
      <c r="AG22" t="s">
        <v>651</v>
      </c>
      <c r="AH22" t="s">
        <v>467</v>
      </c>
      <c r="AI22">
        <v>99999</v>
      </c>
      <c r="AJ22">
        <v>99999</v>
      </c>
      <c r="AK22">
        <v>0</v>
      </c>
      <c r="AL22" t="b">
        <v>1</v>
      </c>
      <c r="AM22" t="b">
        <v>1</v>
      </c>
      <c r="AN22" t="b">
        <v>0</v>
      </c>
      <c r="AO22">
        <v>99999</v>
      </c>
      <c r="AP22" t="s">
        <v>63</v>
      </c>
      <c r="AR22" t="b">
        <v>1</v>
      </c>
      <c r="AS22">
        <v>0</v>
      </c>
      <c r="AT22" t="s">
        <v>63</v>
      </c>
      <c r="AV22" t="s">
        <v>660</v>
      </c>
    </row>
    <row r="23" spans="1:48" x14ac:dyDescent="0.25">
      <c r="A23" t="s">
        <v>462</v>
      </c>
      <c r="B23" t="s">
        <v>301</v>
      </c>
      <c r="C23" t="s">
        <v>61</v>
      </c>
      <c r="D23">
        <v>99999</v>
      </c>
      <c r="F23">
        <v>20000</v>
      </c>
      <c r="G23" t="b">
        <v>0</v>
      </c>
      <c r="H23" t="s">
        <v>325</v>
      </c>
      <c r="K23" t="s">
        <v>502</v>
      </c>
      <c r="L23" t="s">
        <v>302</v>
      </c>
      <c r="M23" t="s">
        <v>321</v>
      </c>
      <c r="N23" t="s">
        <v>62</v>
      </c>
      <c r="O23">
        <v>79.900000000000006</v>
      </c>
      <c r="R23">
        <v>578.79999999999995</v>
      </c>
      <c r="S23">
        <v>190</v>
      </c>
      <c r="T23">
        <v>0</v>
      </c>
      <c r="U23">
        <v>75</v>
      </c>
      <c r="X23">
        <v>208.9</v>
      </c>
      <c r="Y23">
        <v>104.9</v>
      </c>
      <c r="Z23">
        <v>104.9</v>
      </c>
      <c r="AA23">
        <v>0</v>
      </c>
      <c r="AB23" t="s">
        <v>497</v>
      </c>
      <c r="AF23" t="s">
        <v>574</v>
      </c>
      <c r="AG23" t="s">
        <v>574</v>
      </c>
      <c r="AH23" t="s">
        <v>467</v>
      </c>
      <c r="AI23">
        <v>99999</v>
      </c>
      <c r="AJ23">
        <v>99999</v>
      </c>
      <c r="AK23">
        <v>0</v>
      </c>
      <c r="AL23" t="b">
        <v>1</v>
      </c>
      <c r="AM23" t="b">
        <v>1</v>
      </c>
      <c r="AN23" t="b">
        <v>0</v>
      </c>
      <c r="AO23">
        <v>99999</v>
      </c>
      <c r="AP23" t="s">
        <v>63</v>
      </c>
      <c r="AR23" t="b">
        <v>1</v>
      </c>
      <c r="AS23">
        <v>0</v>
      </c>
      <c r="AT23" t="s">
        <v>63</v>
      </c>
      <c r="AV23" t="s">
        <v>583</v>
      </c>
    </row>
    <row r="24" spans="1:48" x14ac:dyDescent="0.25">
      <c r="A24" t="s">
        <v>462</v>
      </c>
      <c r="B24" t="s">
        <v>301</v>
      </c>
      <c r="C24" t="s">
        <v>61</v>
      </c>
      <c r="D24">
        <v>99999</v>
      </c>
      <c r="F24">
        <v>20000</v>
      </c>
      <c r="G24" t="b">
        <v>0</v>
      </c>
      <c r="H24" t="s">
        <v>325</v>
      </c>
      <c r="K24" t="s">
        <v>502</v>
      </c>
      <c r="L24" t="s">
        <v>302</v>
      </c>
      <c r="M24" t="s">
        <v>321</v>
      </c>
      <c r="N24" t="s">
        <v>62</v>
      </c>
      <c r="O24">
        <v>89.9</v>
      </c>
      <c r="R24">
        <v>578.79999999999995</v>
      </c>
      <c r="S24">
        <v>190</v>
      </c>
      <c r="T24">
        <v>0</v>
      </c>
      <c r="U24">
        <v>75</v>
      </c>
      <c r="X24">
        <v>208.9</v>
      </c>
      <c r="Y24">
        <v>104.9</v>
      </c>
      <c r="Z24">
        <v>104.9</v>
      </c>
      <c r="AA24">
        <v>0</v>
      </c>
      <c r="AB24" t="s">
        <v>497</v>
      </c>
      <c r="AF24" t="s">
        <v>504</v>
      </c>
      <c r="AG24" t="s">
        <v>504</v>
      </c>
      <c r="AH24" t="s">
        <v>467</v>
      </c>
      <c r="AI24">
        <v>99999</v>
      </c>
      <c r="AJ24">
        <v>99999</v>
      </c>
      <c r="AK24">
        <v>0</v>
      </c>
      <c r="AL24" t="b">
        <v>1</v>
      </c>
      <c r="AM24" t="b">
        <v>1</v>
      </c>
      <c r="AN24" t="b">
        <v>0</v>
      </c>
      <c r="AO24">
        <v>99999</v>
      </c>
      <c r="AP24" t="s">
        <v>63</v>
      </c>
      <c r="AR24" t="b">
        <v>1</v>
      </c>
      <c r="AS24">
        <v>0</v>
      </c>
      <c r="AT24" t="s">
        <v>63</v>
      </c>
      <c r="AV24" t="s">
        <v>513</v>
      </c>
    </row>
    <row r="25" spans="1:48" x14ac:dyDescent="0.25">
      <c r="A25" t="s">
        <v>462</v>
      </c>
      <c r="B25" t="s">
        <v>301</v>
      </c>
      <c r="C25" t="s">
        <v>61</v>
      </c>
      <c r="D25">
        <v>99999</v>
      </c>
      <c r="F25">
        <v>20000</v>
      </c>
      <c r="G25" t="b">
        <v>0</v>
      </c>
      <c r="H25" t="s">
        <v>325</v>
      </c>
      <c r="K25" t="s">
        <v>502</v>
      </c>
      <c r="L25" t="s">
        <v>302</v>
      </c>
      <c r="M25" t="s">
        <v>321</v>
      </c>
      <c r="N25" t="s">
        <v>62</v>
      </c>
      <c r="O25">
        <v>89.9</v>
      </c>
      <c r="R25">
        <v>578.79999999999995</v>
      </c>
      <c r="S25">
        <v>190</v>
      </c>
      <c r="T25">
        <v>0</v>
      </c>
      <c r="U25">
        <v>75</v>
      </c>
      <c r="X25">
        <v>208.9</v>
      </c>
      <c r="Y25">
        <v>104.9</v>
      </c>
      <c r="Z25">
        <v>104.9</v>
      </c>
      <c r="AA25">
        <v>0</v>
      </c>
      <c r="AB25" t="s">
        <v>497</v>
      </c>
      <c r="AF25" t="s">
        <v>547</v>
      </c>
      <c r="AG25" t="s">
        <v>547</v>
      </c>
      <c r="AH25" t="s">
        <v>467</v>
      </c>
      <c r="AI25">
        <v>99999</v>
      </c>
      <c r="AJ25">
        <v>99999</v>
      </c>
      <c r="AK25">
        <v>0</v>
      </c>
      <c r="AL25" t="b">
        <v>1</v>
      </c>
      <c r="AM25" t="b">
        <v>1</v>
      </c>
      <c r="AN25" t="b">
        <v>0</v>
      </c>
      <c r="AO25">
        <v>99999</v>
      </c>
      <c r="AP25" t="s">
        <v>63</v>
      </c>
      <c r="AR25" t="b">
        <v>1</v>
      </c>
      <c r="AS25">
        <v>0</v>
      </c>
      <c r="AT25" t="s">
        <v>63</v>
      </c>
      <c r="AV25" t="s">
        <v>556</v>
      </c>
    </row>
    <row r="26" spans="1:48" x14ac:dyDescent="0.25">
      <c r="A26" t="s">
        <v>462</v>
      </c>
      <c r="B26" t="s">
        <v>301</v>
      </c>
      <c r="C26" t="s">
        <v>61</v>
      </c>
      <c r="D26">
        <v>99999</v>
      </c>
      <c r="F26">
        <v>20000</v>
      </c>
      <c r="G26" t="b">
        <v>0</v>
      </c>
      <c r="H26" t="s">
        <v>325</v>
      </c>
      <c r="K26" t="s">
        <v>502</v>
      </c>
      <c r="L26" t="s">
        <v>302</v>
      </c>
      <c r="M26" t="s">
        <v>321</v>
      </c>
      <c r="N26" t="s">
        <v>62</v>
      </c>
      <c r="O26">
        <v>89.9</v>
      </c>
      <c r="R26">
        <v>573.79999999999995</v>
      </c>
      <c r="S26">
        <v>190</v>
      </c>
      <c r="T26">
        <v>0</v>
      </c>
      <c r="U26">
        <v>70</v>
      </c>
      <c r="X26">
        <v>208.9</v>
      </c>
      <c r="Y26">
        <v>104.9</v>
      </c>
      <c r="Z26">
        <v>104.9</v>
      </c>
      <c r="AA26">
        <v>0</v>
      </c>
      <c r="AB26" t="s">
        <v>497</v>
      </c>
      <c r="AF26" t="s">
        <v>635</v>
      </c>
      <c r="AG26" t="s">
        <v>635</v>
      </c>
      <c r="AH26" t="s">
        <v>467</v>
      </c>
      <c r="AI26">
        <v>99999</v>
      </c>
      <c r="AJ26">
        <v>99999</v>
      </c>
      <c r="AK26">
        <v>0</v>
      </c>
      <c r="AL26" t="b">
        <v>1</v>
      </c>
      <c r="AM26" t="b">
        <v>1</v>
      </c>
      <c r="AN26" t="b">
        <v>0</v>
      </c>
      <c r="AO26">
        <v>99999</v>
      </c>
      <c r="AP26" t="s">
        <v>63</v>
      </c>
      <c r="AR26" t="b">
        <v>1</v>
      </c>
      <c r="AS26">
        <v>0</v>
      </c>
      <c r="AT26" t="s">
        <v>63</v>
      </c>
      <c r="AV26" t="s">
        <v>644</v>
      </c>
    </row>
    <row r="27" spans="1:48" x14ac:dyDescent="0.25">
      <c r="A27" t="s">
        <v>462</v>
      </c>
      <c r="B27" t="s">
        <v>301</v>
      </c>
      <c r="C27" t="s">
        <v>61</v>
      </c>
      <c r="D27">
        <v>99999</v>
      </c>
      <c r="F27">
        <v>20000</v>
      </c>
      <c r="G27" t="b">
        <v>0</v>
      </c>
      <c r="H27" t="s">
        <v>325</v>
      </c>
      <c r="K27" t="s">
        <v>494</v>
      </c>
      <c r="L27" t="s">
        <v>302</v>
      </c>
      <c r="M27" t="s">
        <v>321</v>
      </c>
      <c r="N27" t="s">
        <v>62</v>
      </c>
      <c r="O27">
        <v>69.900000000000006</v>
      </c>
      <c r="R27">
        <v>558.79999999999995</v>
      </c>
      <c r="S27">
        <v>190</v>
      </c>
      <c r="T27">
        <v>0</v>
      </c>
      <c r="U27">
        <v>75</v>
      </c>
      <c r="X27">
        <v>208.9</v>
      </c>
      <c r="Y27">
        <v>84.9</v>
      </c>
      <c r="Z27">
        <v>84.9</v>
      </c>
      <c r="AA27">
        <v>0</v>
      </c>
      <c r="AB27" t="s">
        <v>497</v>
      </c>
      <c r="AF27" t="s">
        <v>651</v>
      </c>
      <c r="AG27" t="s">
        <v>651</v>
      </c>
      <c r="AH27" t="s">
        <v>467</v>
      </c>
      <c r="AI27">
        <v>99999</v>
      </c>
      <c r="AJ27">
        <v>99999</v>
      </c>
      <c r="AK27">
        <v>0</v>
      </c>
      <c r="AL27" t="b">
        <v>1</v>
      </c>
      <c r="AM27" t="b">
        <v>1</v>
      </c>
      <c r="AN27" t="b">
        <v>0</v>
      </c>
      <c r="AO27">
        <v>99999</v>
      </c>
      <c r="AP27" t="s">
        <v>63</v>
      </c>
      <c r="AR27" t="b">
        <v>1</v>
      </c>
      <c r="AS27">
        <v>0</v>
      </c>
      <c r="AT27" t="s">
        <v>63</v>
      </c>
      <c r="AV27" t="s">
        <v>654</v>
      </c>
    </row>
    <row r="28" spans="1:48" x14ac:dyDescent="0.25">
      <c r="A28" t="s">
        <v>462</v>
      </c>
      <c r="B28" t="s">
        <v>301</v>
      </c>
      <c r="C28" t="s">
        <v>61</v>
      </c>
      <c r="D28">
        <v>99999</v>
      </c>
      <c r="F28">
        <v>20000</v>
      </c>
      <c r="G28" t="b">
        <v>0</v>
      </c>
      <c r="H28" t="s">
        <v>325</v>
      </c>
      <c r="K28" t="s">
        <v>494</v>
      </c>
      <c r="L28" t="s">
        <v>302</v>
      </c>
      <c r="M28" t="s">
        <v>321</v>
      </c>
      <c r="N28" t="s">
        <v>62</v>
      </c>
      <c r="O28">
        <v>79.900000000000006</v>
      </c>
      <c r="R28">
        <v>558.79999999999995</v>
      </c>
      <c r="S28">
        <v>190</v>
      </c>
      <c r="T28">
        <v>0</v>
      </c>
      <c r="U28">
        <v>75</v>
      </c>
      <c r="X28">
        <v>208.9</v>
      </c>
      <c r="Y28">
        <v>84.9</v>
      </c>
      <c r="Z28">
        <v>84.9</v>
      </c>
      <c r="AA28">
        <v>0</v>
      </c>
      <c r="AB28" t="s">
        <v>497</v>
      </c>
      <c r="AF28" t="s">
        <v>574</v>
      </c>
      <c r="AG28" t="s">
        <v>574</v>
      </c>
      <c r="AH28" t="s">
        <v>467</v>
      </c>
      <c r="AI28">
        <v>99999</v>
      </c>
      <c r="AJ28">
        <v>99999</v>
      </c>
      <c r="AK28">
        <v>0</v>
      </c>
      <c r="AL28" t="b">
        <v>1</v>
      </c>
      <c r="AM28" t="b">
        <v>1</v>
      </c>
      <c r="AN28" t="b">
        <v>0</v>
      </c>
      <c r="AO28">
        <v>99999</v>
      </c>
      <c r="AP28" t="s">
        <v>63</v>
      </c>
      <c r="AR28" t="b">
        <v>1</v>
      </c>
      <c r="AS28">
        <v>0</v>
      </c>
      <c r="AT28" t="s">
        <v>63</v>
      </c>
      <c r="AV28" t="s">
        <v>577</v>
      </c>
    </row>
    <row r="29" spans="1:48" x14ac:dyDescent="0.25">
      <c r="A29" t="s">
        <v>462</v>
      </c>
      <c r="B29" t="s">
        <v>301</v>
      </c>
      <c r="C29" t="s">
        <v>61</v>
      </c>
      <c r="D29">
        <v>99999</v>
      </c>
      <c r="F29">
        <v>20000</v>
      </c>
      <c r="G29" t="b">
        <v>0</v>
      </c>
      <c r="H29" t="s">
        <v>325</v>
      </c>
      <c r="K29" t="s">
        <v>494</v>
      </c>
      <c r="L29" t="s">
        <v>302</v>
      </c>
      <c r="M29" t="s">
        <v>321</v>
      </c>
      <c r="N29" t="s">
        <v>62</v>
      </c>
      <c r="O29">
        <v>89.9</v>
      </c>
      <c r="R29">
        <v>558.79999999999995</v>
      </c>
      <c r="S29">
        <v>190</v>
      </c>
      <c r="T29">
        <v>0</v>
      </c>
      <c r="U29">
        <v>75</v>
      </c>
      <c r="X29">
        <v>208.9</v>
      </c>
      <c r="Y29">
        <v>84.9</v>
      </c>
      <c r="Z29">
        <v>84.9</v>
      </c>
      <c r="AA29">
        <v>0</v>
      </c>
      <c r="AB29" t="s">
        <v>497</v>
      </c>
      <c r="AF29" t="s">
        <v>504</v>
      </c>
      <c r="AG29" t="s">
        <v>504</v>
      </c>
      <c r="AH29" t="s">
        <v>467</v>
      </c>
      <c r="AI29">
        <v>99999</v>
      </c>
      <c r="AJ29">
        <v>99999</v>
      </c>
      <c r="AK29">
        <v>0</v>
      </c>
      <c r="AL29" t="b">
        <v>1</v>
      </c>
      <c r="AM29" t="b">
        <v>1</v>
      </c>
      <c r="AN29" t="b">
        <v>0</v>
      </c>
      <c r="AO29">
        <v>99999</v>
      </c>
      <c r="AP29" t="s">
        <v>63</v>
      </c>
      <c r="AR29" t="b">
        <v>1</v>
      </c>
      <c r="AS29">
        <v>0</v>
      </c>
      <c r="AT29" t="s">
        <v>63</v>
      </c>
      <c r="AV29" t="s">
        <v>507</v>
      </c>
    </row>
    <row r="30" spans="1:48" x14ac:dyDescent="0.25">
      <c r="A30" t="s">
        <v>462</v>
      </c>
      <c r="B30" t="s">
        <v>301</v>
      </c>
      <c r="C30" t="s">
        <v>61</v>
      </c>
      <c r="D30">
        <v>99999</v>
      </c>
      <c r="F30">
        <v>20000</v>
      </c>
      <c r="G30" t="b">
        <v>0</v>
      </c>
      <c r="H30" t="s">
        <v>325</v>
      </c>
      <c r="K30" t="s">
        <v>494</v>
      </c>
      <c r="L30" t="s">
        <v>302</v>
      </c>
      <c r="M30" t="s">
        <v>321</v>
      </c>
      <c r="N30" t="s">
        <v>62</v>
      </c>
      <c r="O30">
        <v>89.9</v>
      </c>
      <c r="R30">
        <v>558.79999999999995</v>
      </c>
      <c r="S30">
        <v>190</v>
      </c>
      <c r="T30">
        <v>0</v>
      </c>
      <c r="U30">
        <v>75</v>
      </c>
      <c r="X30">
        <v>208.9</v>
      </c>
      <c r="Y30">
        <v>84.9</v>
      </c>
      <c r="Z30">
        <v>84.9</v>
      </c>
      <c r="AA30">
        <v>0</v>
      </c>
      <c r="AB30" t="s">
        <v>497</v>
      </c>
      <c r="AF30" t="s">
        <v>547</v>
      </c>
      <c r="AG30" t="s">
        <v>547</v>
      </c>
      <c r="AH30" t="s">
        <v>467</v>
      </c>
      <c r="AI30">
        <v>99999</v>
      </c>
      <c r="AJ30">
        <v>99999</v>
      </c>
      <c r="AK30">
        <v>0</v>
      </c>
      <c r="AL30" t="b">
        <v>1</v>
      </c>
      <c r="AM30" t="b">
        <v>1</v>
      </c>
      <c r="AN30" t="b">
        <v>0</v>
      </c>
      <c r="AO30">
        <v>99999</v>
      </c>
      <c r="AP30" t="s">
        <v>63</v>
      </c>
      <c r="AR30" t="b">
        <v>1</v>
      </c>
      <c r="AS30">
        <v>0</v>
      </c>
      <c r="AT30" t="s">
        <v>63</v>
      </c>
      <c r="AV30" t="s">
        <v>550</v>
      </c>
    </row>
    <row r="31" spans="1:48" x14ac:dyDescent="0.25">
      <c r="A31" t="s">
        <v>462</v>
      </c>
      <c r="B31" t="s">
        <v>301</v>
      </c>
      <c r="C31" t="s">
        <v>61</v>
      </c>
      <c r="D31">
        <v>99999</v>
      </c>
      <c r="F31">
        <v>20000</v>
      </c>
      <c r="G31" t="b">
        <v>0</v>
      </c>
      <c r="H31" t="s">
        <v>325</v>
      </c>
      <c r="K31" t="s">
        <v>494</v>
      </c>
      <c r="L31" t="s">
        <v>302</v>
      </c>
      <c r="M31" t="s">
        <v>321</v>
      </c>
      <c r="N31" t="s">
        <v>62</v>
      </c>
      <c r="O31">
        <v>89.9</v>
      </c>
      <c r="R31">
        <v>553.79999999999995</v>
      </c>
      <c r="S31">
        <v>190</v>
      </c>
      <c r="T31">
        <v>0</v>
      </c>
      <c r="U31">
        <v>70</v>
      </c>
      <c r="X31">
        <v>208.9</v>
      </c>
      <c r="Y31">
        <v>84.9</v>
      </c>
      <c r="Z31">
        <v>84.9</v>
      </c>
      <c r="AA31">
        <v>0</v>
      </c>
      <c r="AB31" t="s">
        <v>497</v>
      </c>
      <c r="AF31" t="s">
        <v>635</v>
      </c>
      <c r="AG31" t="s">
        <v>635</v>
      </c>
      <c r="AH31" t="s">
        <v>467</v>
      </c>
      <c r="AI31">
        <v>99999</v>
      </c>
      <c r="AJ31">
        <v>99999</v>
      </c>
      <c r="AK31">
        <v>0</v>
      </c>
      <c r="AL31" t="b">
        <v>1</v>
      </c>
      <c r="AM31" t="b">
        <v>1</v>
      </c>
      <c r="AN31" t="b">
        <v>0</v>
      </c>
      <c r="AO31">
        <v>99999</v>
      </c>
      <c r="AP31" t="s">
        <v>63</v>
      </c>
      <c r="AR31" t="b">
        <v>1</v>
      </c>
      <c r="AS31">
        <v>0</v>
      </c>
      <c r="AT31" t="s">
        <v>63</v>
      </c>
      <c r="AV31" t="s">
        <v>638</v>
      </c>
    </row>
    <row r="32" spans="1:48" x14ac:dyDescent="0.25">
      <c r="A32" t="s">
        <v>462</v>
      </c>
      <c r="B32" t="s">
        <v>301</v>
      </c>
      <c r="C32" t="s">
        <v>61</v>
      </c>
      <c r="D32">
        <v>99999</v>
      </c>
      <c r="F32">
        <v>20000</v>
      </c>
      <c r="G32" t="b">
        <v>0</v>
      </c>
      <c r="H32" t="s">
        <v>325</v>
      </c>
      <c r="K32" t="s">
        <v>500</v>
      </c>
      <c r="L32" t="s">
        <v>302</v>
      </c>
      <c r="M32" t="s">
        <v>321</v>
      </c>
      <c r="N32" t="s">
        <v>62</v>
      </c>
      <c r="O32">
        <v>69.900000000000006</v>
      </c>
      <c r="R32">
        <v>568.79999999999995</v>
      </c>
      <c r="S32">
        <v>190</v>
      </c>
      <c r="T32">
        <v>0</v>
      </c>
      <c r="U32">
        <v>75</v>
      </c>
      <c r="X32">
        <v>208.9</v>
      </c>
      <c r="Y32">
        <v>94.9</v>
      </c>
      <c r="Z32">
        <v>94.9</v>
      </c>
      <c r="AA32">
        <v>0</v>
      </c>
      <c r="AB32" t="s">
        <v>497</v>
      </c>
      <c r="AF32" t="s">
        <v>651</v>
      </c>
      <c r="AG32" t="s">
        <v>651</v>
      </c>
      <c r="AH32" t="s">
        <v>467</v>
      </c>
      <c r="AI32">
        <v>99999</v>
      </c>
      <c r="AJ32">
        <v>99999</v>
      </c>
      <c r="AK32">
        <v>0</v>
      </c>
      <c r="AL32" t="b">
        <v>1</v>
      </c>
      <c r="AM32" t="b">
        <v>1</v>
      </c>
      <c r="AN32" t="b">
        <v>0</v>
      </c>
      <c r="AO32">
        <v>99999</v>
      </c>
      <c r="AP32" t="s">
        <v>63</v>
      </c>
      <c r="AR32" t="b">
        <v>1</v>
      </c>
      <c r="AS32">
        <v>0</v>
      </c>
      <c r="AT32" t="s">
        <v>63</v>
      </c>
      <c r="AV32" t="s">
        <v>657</v>
      </c>
    </row>
    <row r="33" spans="1:48" x14ac:dyDescent="0.25">
      <c r="A33" t="s">
        <v>462</v>
      </c>
      <c r="B33" t="s">
        <v>301</v>
      </c>
      <c r="C33" t="s">
        <v>61</v>
      </c>
      <c r="D33">
        <v>99999</v>
      </c>
      <c r="F33">
        <v>20000</v>
      </c>
      <c r="G33" t="b">
        <v>0</v>
      </c>
      <c r="H33" t="s">
        <v>325</v>
      </c>
      <c r="K33" t="s">
        <v>500</v>
      </c>
      <c r="L33" t="s">
        <v>302</v>
      </c>
      <c r="M33" t="s">
        <v>321</v>
      </c>
      <c r="N33" t="s">
        <v>62</v>
      </c>
      <c r="O33">
        <v>79.900000000000006</v>
      </c>
      <c r="R33">
        <v>568.79999999999995</v>
      </c>
      <c r="S33">
        <v>190</v>
      </c>
      <c r="T33">
        <v>0</v>
      </c>
      <c r="U33">
        <v>75</v>
      </c>
      <c r="X33">
        <v>208.9</v>
      </c>
      <c r="Y33">
        <v>94.9</v>
      </c>
      <c r="Z33">
        <v>94.9</v>
      </c>
      <c r="AA33">
        <v>0</v>
      </c>
      <c r="AB33" t="s">
        <v>497</v>
      </c>
      <c r="AF33" t="s">
        <v>574</v>
      </c>
      <c r="AG33" t="s">
        <v>574</v>
      </c>
      <c r="AH33" t="s">
        <v>467</v>
      </c>
      <c r="AI33">
        <v>99999</v>
      </c>
      <c r="AJ33">
        <v>99999</v>
      </c>
      <c r="AK33">
        <v>0</v>
      </c>
      <c r="AL33" t="b">
        <v>1</v>
      </c>
      <c r="AM33" t="b">
        <v>1</v>
      </c>
      <c r="AN33" t="b">
        <v>0</v>
      </c>
      <c r="AO33">
        <v>99999</v>
      </c>
      <c r="AP33" t="s">
        <v>63</v>
      </c>
      <c r="AR33" t="b">
        <v>1</v>
      </c>
      <c r="AS33">
        <v>0</v>
      </c>
      <c r="AT33" t="s">
        <v>63</v>
      </c>
      <c r="AV33" t="s">
        <v>580</v>
      </c>
    </row>
    <row r="34" spans="1:48" x14ac:dyDescent="0.25">
      <c r="A34" t="s">
        <v>462</v>
      </c>
      <c r="B34" t="s">
        <v>301</v>
      </c>
      <c r="C34" t="s">
        <v>61</v>
      </c>
      <c r="D34">
        <v>99999</v>
      </c>
      <c r="F34">
        <v>20000</v>
      </c>
      <c r="G34" t="b">
        <v>0</v>
      </c>
      <c r="H34" t="s">
        <v>325</v>
      </c>
      <c r="K34" t="s">
        <v>500</v>
      </c>
      <c r="L34" t="s">
        <v>302</v>
      </c>
      <c r="M34" t="s">
        <v>321</v>
      </c>
      <c r="N34" t="s">
        <v>62</v>
      </c>
      <c r="O34">
        <v>89.9</v>
      </c>
      <c r="R34">
        <v>568.79999999999995</v>
      </c>
      <c r="S34">
        <v>190</v>
      </c>
      <c r="T34">
        <v>0</v>
      </c>
      <c r="U34">
        <v>75</v>
      </c>
      <c r="X34">
        <v>208.9</v>
      </c>
      <c r="Y34">
        <v>94.9</v>
      </c>
      <c r="Z34">
        <v>94.9</v>
      </c>
      <c r="AA34">
        <v>0</v>
      </c>
      <c r="AB34" t="s">
        <v>497</v>
      </c>
      <c r="AF34" t="s">
        <v>504</v>
      </c>
      <c r="AG34" t="s">
        <v>504</v>
      </c>
      <c r="AH34" t="s">
        <v>467</v>
      </c>
      <c r="AI34">
        <v>99999</v>
      </c>
      <c r="AJ34">
        <v>99999</v>
      </c>
      <c r="AK34">
        <v>0</v>
      </c>
      <c r="AL34" t="b">
        <v>1</v>
      </c>
      <c r="AM34" t="b">
        <v>1</v>
      </c>
      <c r="AN34" t="b">
        <v>0</v>
      </c>
      <c r="AO34">
        <v>99999</v>
      </c>
      <c r="AP34" t="s">
        <v>63</v>
      </c>
      <c r="AR34" t="b">
        <v>1</v>
      </c>
      <c r="AS34">
        <v>0</v>
      </c>
      <c r="AT34" t="s">
        <v>63</v>
      </c>
      <c r="AV34" t="s">
        <v>510</v>
      </c>
    </row>
    <row r="35" spans="1:48" x14ac:dyDescent="0.25">
      <c r="A35" t="s">
        <v>462</v>
      </c>
      <c r="B35" t="s">
        <v>301</v>
      </c>
      <c r="C35" t="s">
        <v>61</v>
      </c>
      <c r="D35">
        <v>99999</v>
      </c>
      <c r="F35">
        <v>20000</v>
      </c>
      <c r="G35" t="b">
        <v>0</v>
      </c>
      <c r="H35" t="s">
        <v>325</v>
      </c>
      <c r="K35" t="s">
        <v>500</v>
      </c>
      <c r="L35" t="s">
        <v>302</v>
      </c>
      <c r="M35" t="s">
        <v>321</v>
      </c>
      <c r="N35" t="s">
        <v>62</v>
      </c>
      <c r="O35">
        <v>89.9</v>
      </c>
      <c r="R35">
        <v>568.79999999999995</v>
      </c>
      <c r="S35">
        <v>190</v>
      </c>
      <c r="T35">
        <v>0</v>
      </c>
      <c r="U35">
        <v>75</v>
      </c>
      <c r="X35">
        <v>208.9</v>
      </c>
      <c r="Y35">
        <v>94.9</v>
      </c>
      <c r="Z35">
        <v>94.9</v>
      </c>
      <c r="AA35">
        <v>0</v>
      </c>
      <c r="AB35" t="s">
        <v>497</v>
      </c>
      <c r="AF35" t="s">
        <v>547</v>
      </c>
      <c r="AG35" t="s">
        <v>547</v>
      </c>
      <c r="AH35" t="s">
        <v>467</v>
      </c>
      <c r="AI35">
        <v>99999</v>
      </c>
      <c r="AJ35">
        <v>99999</v>
      </c>
      <c r="AK35">
        <v>0</v>
      </c>
      <c r="AL35" t="b">
        <v>1</v>
      </c>
      <c r="AM35" t="b">
        <v>1</v>
      </c>
      <c r="AN35" t="b">
        <v>0</v>
      </c>
      <c r="AO35">
        <v>99999</v>
      </c>
      <c r="AP35" t="s">
        <v>63</v>
      </c>
      <c r="AR35" t="b">
        <v>1</v>
      </c>
      <c r="AS35">
        <v>0</v>
      </c>
      <c r="AT35" t="s">
        <v>63</v>
      </c>
      <c r="AV35" t="s">
        <v>553</v>
      </c>
    </row>
    <row r="36" spans="1:48" x14ac:dyDescent="0.25">
      <c r="A36" t="s">
        <v>462</v>
      </c>
      <c r="B36" t="s">
        <v>301</v>
      </c>
      <c r="C36" t="s">
        <v>61</v>
      </c>
      <c r="D36">
        <v>99999</v>
      </c>
      <c r="F36">
        <v>20000</v>
      </c>
      <c r="G36" t="b">
        <v>0</v>
      </c>
      <c r="H36" t="s">
        <v>325</v>
      </c>
      <c r="K36" t="s">
        <v>500</v>
      </c>
      <c r="L36" t="s">
        <v>302</v>
      </c>
      <c r="M36" t="s">
        <v>321</v>
      </c>
      <c r="N36" t="s">
        <v>62</v>
      </c>
      <c r="O36">
        <v>89.9</v>
      </c>
      <c r="R36">
        <v>563.79999999999995</v>
      </c>
      <c r="S36">
        <v>190</v>
      </c>
      <c r="T36">
        <v>0</v>
      </c>
      <c r="U36">
        <v>70</v>
      </c>
      <c r="X36">
        <v>208.9</v>
      </c>
      <c r="Y36">
        <v>94.9</v>
      </c>
      <c r="Z36">
        <v>94.9</v>
      </c>
      <c r="AA36">
        <v>0</v>
      </c>
      <c r="AB36" t="s">
        <v>497</v>
      </c>
      <c r="AF36" t="s">
        <v>635</v>
      </c>
      <c r="AG36" t="s">
        <v>635</v>
      </c>
      <c r="AH36" t="s">
        <v>467</v>
      </c>
      <c r="AI36">
        <v>99999</v>
      </c>
      <c r="AJ36">
        <v>99999</v>
      </c>
      <c r="AK36">
        <v>0</v>
      </c>
      <c r="AL36" t="b">
        <v>1</v>
      </c>
      <c r="AM36" t="b">
        <v>1</v>
      </c>
      <c r="AN36" t="b">
        <v>0</v>
      </c>
      <c r="AO36">
        <v>99999</v>
      </c>
      <c r="AP36" t="s">
        <v>63</v>
      </c>
      <c r="AR36" t="b">
        <v>1</v>
      </c>
      <c r="AS36">
        <v>0</v>
      </c>
      <c r="AT36" t="s">
        <v>63</v>
      </c>
      <c r="AV36" t="s">
        <v>641</v>
      </c>
    </row>
    <row r="37" spans="1:48" x14ac:dyDescent="0.25">
      <c r="A37" t="s">
        <v>462</v>
      </c>
      <c r="B37" t="s">
        <v>301</v>
      </c>
      <c r="C37" t="s">
        <v>61</v>
      </c>
      <c r="D37">
        <v>99999</v>
      </c>
      <c r="F37">
        <v>20000</v>
      </c>
      <c r="G37" t="b">
        <v>0</v>
      </c>
      <c r="H37" t="s">
        <v>325</v>
      </c>
      <c r="K37" t="s">
        <v>471</v>
      </c>
      <c r="L37" t="s">
        <v>302</v>
      </c>
      <c r="M37" t="s">
        <v>321</v>
      </c>
      <c r="N37" t="s">
        <v>62</v>
      </c>
      <c r="O37">
        <v>69.900000000000006</v>
      </c>
      <c r="R37">
        <v>553.79999999999995</v>
      </c>
      <c r="S37">
        <v>190</v>
      </c>
      <c r="T37">
        <v>0</v>
      </c>
      <c r="U37">
        <v>75</v>
      </c>
      <c r="X37">
        <v>208.9</v>
      </c>
      <c r="Y37">
        <v>79.900000000000006</v>
      </c>
      <c r="Z37">
        <v>79.900000000000006</v>
      </c>
      <c r="AA37">
        <v>0</v>
      </c>
      <c r="AB37" t="s">
        <v>470</v>
      </c>
      <c r="AF37" t="s">
        <v>678</v>
      </c>
      <c r="AG37" t="s">
        <v>678</v>
      </c>
      <c r="AH37" t="s">
        <v>467</v>
      </c>
      <c r="AI37">
        <v>99999</v>
      </c>
      <c r="AJ37">
        <v>99999</v>
      </c>
      <c r="AK37">
        <v>0</v>
      </c>
      <c r="AL37" t="b">
        <v>1</v>
      </c>
      <c r="AM37" t="b">
        <v>1</v>
      </c>
      <c r="AN37" t="b">
        <v>0</v>
      </c>
      <c r="AO37">
        <v>99999</v>
      </c>
      <c r="AP37" t="s">
        <v>63</v>
      </c>
      <c r="AR37" t="b">
        <v>1</v>
      </c>
      <c r="AS37">
        <v>0</v>
      </c>
      <c r="AT37" t="s">
        <v>63</v>
      </c>
      <c r="AV37" t="s">
        <v>681</v>
      </c>
    </row>
    <row r="38" spans="1:48" x14ac:dyDescent="0.25">
      <c r="A38" t="s">
        <v>462</v>
      </c>
      <c r="B38" t="s">
        <v>301</v>
      </c>
      <c r="C38" t="s">
        <v>61</v>
      </c>
      <c r="D38">
        <v>99999</v>
      </c>
      <c r="F38">
        <v>20000</v>
      </c>
      <c r="G38" t="b">
        <v>0</v>
      </c>
      <c r="H38" t="s">
        <v>325</v>
      </c>
      <c r="K38" t="s">
        <v>471</v>
      </c>
      <c r="L38" t="s">
        <v>302</v>
      </c>
      <c r="M38" t="s">
        <v>321</v>
      </c>
      <c r="N38" t="s">
        <v>62</v>
      </c>
      <c r="O38">
        <v>79.900000000000006</v>
      </c>
      <c r="R38">
        <v>553.79999999999995</v>
      </c>
      <c r="S38">
        <v>190</v>
      </c>
      <c r="T38">
        <v>0</v>
      </c>
      <c r="U38">
        <v>75</v>
      </c>
      <c r="X38">
        <v>208.9</v>
      </c>
      <c r="Y38">
        <v>79.900000000000006</v>
      </c>
      <c r="Z38">
        <v>79.900000000000006</v>
      </c>
      <c r="AA38">
        <v>0</v>
      </c>
      <c r="AB38" t="s">
        <v>470</v>
      </c>
      <c r="AF38" t="s">
        <v>601</v>
      </c>
      <c r="AG38" t="s">
        <v>601</v>
      </c>
      <c r="AH38" t="s">
        <v>467</v>
      </c>
      <c r="AI38">
        <v>99999</v>
      </c>
      <c r="AJ38">
        <v>99999</v>
      </c>
      <c r="AK38">
        <v>0</v>
      </c>
      <c r="AL38" t="b">
        <v>1</v>
      </c>
      <c r="AM38" t="b">
        <v>1</v>
      </c>
      <c r="AN38" t="b">
        <v>0</v>
      </c>
      <c r="AO38">
        <v>99999</v>
      </c>
      <c r="AP38" t="s">
        <v>63</v>
      </c>
      <c r="AR38" t="b">
        <v>1</v>
      </c>
      <c r="AS38">
        <v>0</v>
      </c>
      <c r="AT38" t="s">
        <v>63</v>
      </c>
      <c r="AV38" t="s">
        <v>604</v>
      </c>
    </row>
    <row r="39" spans="1:48" x14ac:dyDescent="0.25">
      <c r="A39" t="s">
        <v>462</v>
      </c>
      <c r="B39" t="s">
        <v>301</v>
      </c>
      <c r="C39" t="s">
        <v>61</v>
      </c>
      <c r="D39">
        <v>99999</v>
      </c>
      <c r="F39">
        <v>20000</v>
      </c>
      <c r="G39" t="b">
        <v>0</v>
      </c>
      <c r="H39" t="s">
        <v>325</v>
      </c>
      <c r="K39" t="s">
        <v>471</v>
      </c>
      <c r="L39" t="s">
        <v>302</v>
      </c>
      <c r="M39" t="s">
        <v>321</v>
      </c>
      <c r="N39" t="s">
        <v>62</v>
      </c>
      <c r="O39">
        <v>89.9</v>
      </c>
      <c r="R39">
        <v>553.79999999999995</v>
      </c>
      <c r="S39">
        <v>190</v>
      </c>
      <c r="T39">
        <v>0</v>
      </c>
      <c r="U39">
        <v>75</v>
      </c>
      <c r="X39">
        <v>208.9</v>
      </c>
      <c r="Y39">
        <v>79.900000000000006</v>
      </c>
      <c r="Z39">
        <v>79.900000000000006</v>
      </c>
      <c r="AA39">
        <v>0</v>
      </c>
      <c r="AB39" t="s">
        <v>470</v>
      </c>
      <c r="AF39" t="s">
        <v>479</v>
      </c>
      <c r="AG39" t="s">
        <v>479</v>
      </c>
      <c r="AH39" t="s">
        <v>467</v>
      </c>
      <c r="AI39">
        <v>99999</v>
      </c>
      <c r="AJ39">
        <v>99999</v>
      </c>
      <c r="AK39">
        <v>0</v>
      </c>
      <c r="AL39" t="b">
        <v>1</v>
      </c>
      <c r="AM39" t="b">
        <v>1</v>
      </c>
      <c r="AN39" t="b">
        <v>0</v>
      </c>
      <c r="AO39">
        <v>99999</v>
      </c>
      <c r="AP39" t="s">
        <v>63</v>
      </c>
      <c r="AR39" t="b">
        <v>1</v>
      </c>
      <c r="AS39">
        <v>0</v>
      </c>
      <c r="AT39" t="s">
        <v>63</v>
      </c>
      <c r="AV39" t="s">
        <v>482</v>
      </c>
    </row>
    <row r="40" spans="1:48" x14ac:dyDescent="0.25">
      <c r="A40" t="s">
        <v>462</v>
      </c>
      <c r="B40" t="s">
        <v>301</v>
      </c>
      <c r="C40" t="s">
        <v>61</v>
      </c>
      <c r="D40">
        <v>99999</v>
      </c>
      <c r="F40">
        <v>20000</v>
      </c>
      <c r="G40" t="b">
        <v>0</v>
      </c>
      <c r="H40" t="s">
        <v>325</v>
      </c>
      <c r="K40" t="s">
        <v>471</v>
      </c>
      <c r="L40" t="s">
        <v>302</v>
      </c>
      <c r="M40" t="s">
        <v>321</v>
      </c>
      <c r="N40" t="s">
        <v>62</v>
      </c>
      <c r="O40">
        <v>89.9</v>
      </c>
      <c r="R40">
        <v>553.79999999999995</v>
      </c>
      <c r="S40">
        <v>190</v>
      </c>
      <c r="T40">
        <v>0</v>
      </c>
      <c r="U40">
        <v>75</v>
      </c>
      <c r="X40">
        <v>208.9</v>
      </c>
      <c r="Y40">
        <v>79.900000000000006</v>
      </c>
      <c r="Z40">
        <v>79.900000000000006</v>
      </c>
      <c r="AA40">
        <v>0</v>
      </c>
      <c r="AB40" t="s">
        <v>470</v>
      </c>
      <c r="AF40" t="s">
        <v>528</v>
      </c>
      <c r="AG40" t="s">
        <v>528</v>
      </c>
      <c r="AH40" t="s">
        <v>467</v>
      </c>
      <c r="AI40">
        <v>99999</v>
      </c>
      <c r="AJ40">
        <v>99999</v>
      </c>
      <c r="AK40">
        <v>0</v>
      </c>
      <c r="AL40" t="b">
        <v>1</v>
      </c>
      <c r="AM40" t="b">
        <v>1</v>
      </c>
      <c r="AN40" t="b">
        <v>0</v>
      </c>
      <c r="AO40">
        <v>99999</v>
      </c>
      <c r="AP40" t="s">
        <v>63</v>
      </c>
      <c r="AR40" t="b">
        <v>1</v>
      </c>
      <c r="AS40">
        <v>0</v>
      </c>
      <c r="AT40" t="s">
        <v>63</v>
      </c>
      <c r="AV40" t="s">
        <v>531</v>
      </c>
    </row>
    <row r="41" spans="1:48" x14ac:dyDescent="0.25">
      <c r="A41" t="s">
        <v>462</v>
      </c>
      <c r="B41" t="s">
        <v>301</v>
      </c>
      <c r="C41" t="s">
        <v>61</v>
      </c>
      <c r="D41">
        <v>99999</v>
      </c>
      <c r="F41">
        <v>20000</v>
      </c>
      <c r="G41" t="b">
        <v>0</v>
      </c>
      <c r="H41" t="s">
        <v>325</v>
      </c>
      <c r="K41" t="s">
        <v>471</v>
      </c>
      <c r="L41" t="s">
        <v>302</v>
      </c>
      <c r="M41" t="s">
        <v>321</v>
      </c>
      <c r="N41" t="s">
        <v>62</v>
      </c>
      <c r="O41">
        <v>89.9</v>
      </c>
      <c r="R41">
        <v>548.79999999999995</v>
      </c>
      <c r="S41">
        <v>190</v>
      </c>
      <c r="T41">
        <v>0</v>
      </c>
      <c r="U41">
        <v>70</v>
      </c>
      <c r="X41">
        <v>208.9</v>
      </c>
      <c r="Y41">
        <v>79.900000000000006</v>
      </c>
      <c r="Z41">
        <v>79.900000000000006</v>
      </c>
      <c r="AA41">
        <v>0</v>
      </c>
      <c r="AB41" t="s">
        <v>470</v>
      </c>
      <c r="AF41" t="s">
        <v>622</v>
      </c>
      <c r="AG41" t="s">
        <v>622</v>
      </c>
      <c r="AH41" t="s">
        <v>467</v>
      </c>
      <c r="AI41">
        <v>99999</v>
      </c>
      <c r="AJ41">
        <v>99999</v>
      </c>
      <c r="AK41">
        <v>0</v>
      </c>
      <c r="AL41" t="b">
        <v>1</v>
      </c>
      <c r="AM41" t="b">
        <v>1</v>
      </c>
      <c r="AN41" t="b">
        <v>0</v>
      </c>
      <c r="AO41">
        <v>99999</v>
      </c>
      <c r="AP41" t="s">
        <v>63</v>
      </c>
      <c r="AR41" t="b">
        <v>1</v>
      </c>
      <c r="AS41">
        <v>0</v>
      </c>
      <c r="AT41" t="s">
        <v>63</v>
      </c>
      <c r="AV41" t="s">
        <v>625</v>
      </c>
    </row>
    <row r="42" spans="1:48" x14ac:dyDescent="0.25">
      <c r="A42" t="s">
        <v>462</v>
      </c>
      <c r="B42" t="s">
        <v>301</v>
      </c>
      <c r="C42" t="s">
        <v>61</v>
      </c>
      <c r="D42">
        <v>99999</v>
      </c>
      <c r="F42">
        <v>20000</v>
      </c>
      <c r="G42" t="b">
        <v>0</v>
      </c>
      <c r="H42" t="s">
        <v>323</v>
      </c>
      <c r="K42" t="s">
        <v>474</v>
      </c>
      <c r="L42" t="s">
        <v>302</v>
      </c>
      <c r="M42" t="s">
        <v>321</v>
      </c>
      <c r="N42" t="s">
        <v>62</v>
      </c>
      <c r="O42">
        <v>69.900000000000006</v>
      </c>
      <c r="R42">
        <v>519.79999999999995</v>
      </c>
      <c r="S42">
        <v>190</v>
      </c>
      <c r="T42">
        <v>0</v>
      </c>
      <c r="U42">
        <v>75</v>
      </c>
      <c r="X42">
        <v>174.9</v>
      </c>
      <c r="Y42">
        <v>79.900000000000006</v>
      </c>
      <c r="Z42">
        <v>79.900000000000006</v>
      </c>
      <c r="AA42">
        <v>0</v>
      </c>
      <c r="AB42" t="s">
        <v>470</v>
      </c>
      <c r="AF42" t="s">
        <v>678</v>
      </c>
      <c r="AG42" t="s">
        <v>678</v>
      </c>
      <c r="AH42" t="s">
        <v>467</v>
      </c>
      <c r="AI42">
        <v>99999</v>
      </c>
      <c r="AJ42">
        <v>99999</v>
      </c>
      <c r="AK42">
        <v>0</v>
      </c>
      <c r="AL42" t="b">
        <v>1</v>
      </c>
      <c r="AM42" t="b">
        <v>1</v>
      </c>
      <c r="AN42" t="b">
        <v>0</v>
      </c>
      <c r="AO42">
        <v>99999</v>
      </c>
      <c r="AP42" t="s">
        <v>63</v>
      </c>
      <c r="AR42" t="b">
        <v>1</v>
      </c>
      <c r="AS42">
        <v>0</v>
      </c>
      <c r="AT42" t="s">
        <v>63</v>
      </c>
      <c r="AV42" t="s">
        <v>682</v>
      </c>
    </row>
    <row r="43" spans="1:48" x14ac:dyDescent="0.25">
      <c r="A43" t="s">
        <v>462</v>
      </c>
      <c r="B43" t="s">
        <v>301</v>
      </c>
      <c r="C43" t="s">
        <v>61</v>
      </c>
      <c r="D43">
        <v>99999</v>
      </c>
      <c r="F43">
        <v>20000</v>
      </c>
      <c r="G43" t="b">
        <v>0</v>
      </c>
      <c r="H43" t="s">
        <v>323</v>
      </c>
      <c r="K43" t="s">
        <v>474</v>
      </c>
      <c r="L43" t="s">
        <v>302</v>
      </c>
      <c r="M43" t="s">
        <v>321</v>
      </c>
      <c r="N43" t="s">
        <v>62</v>
      </c>
      <c r="O43">
        <v>79.900000000000006</v>
      </c>
      <c r="R43">
        <v>519.79999999999995</v>
      </c>
      <c r="S43">
        <v>190</v>
      </c>
      <c r="T43">
        <v>0</v>
      </c>
      <c r="U43">
        <v>75</v>
      </c>
      <c r="X43">
        <v>174.9</v>
      </c>
      <c r="Y43">
        <v>79.900000000000006</v>
      </c>
      <c r="Z43">
        <v>79.900000000000006</v>
      </c>
      <c r="AA43">
        <v>0</v>
      </c>
      <c r="AB43" t="s">
        <v>470</v>
      </c>
      <c r="AF43" t="s">
        <v>601</v>
      </c>
      <c r="AG43" t="s">
        <v>601</v>
      </c>
      <c r="AH43" t="s">
        <v>467</v>
      </c>
      <c r="AI43">
        <v>99999</v>
      </c>
      <c r="AJ43">
        <v>99999</v>
      </c>
      <c r="AK43">
        <v>0</v>
      </c>
      <c r="AL43" t="b">
        <v>1</v>
      </c>
      <c r="AM43" t="b">
        <v>1</v>
      </c>
      <c r="AN43" t="b">
        <v>0</v>
      </c>
      <c r="AO43">
        <v>99999</v>
      </c>
      <c r="AP43" t="s">
        <v>63</v>
      </c>
      <c r="AR43" t="b">
        <v>1</v>
      </c>
      <c r="AS43">
        <v>0</v>
      </c>
      <c r="AT43" t="s">
        <v>63</v>
      </c>
      <c r="AV43" t="s">
        <v>605</v>
      </c>
    </row>
    <row r="44" spans="1:48" x14ac:dyDescent="0.25">
      <c r="A44" t="s">
        <v>462</v>
      </c>
      <c r="B44" t="s">
        <v>301</v>
      </c>
      <c r="C44" t="s">
        <v>61</v>
      </c>
      <c r="D44">
        <v>99999</v>
      </c>
      <c r="F44">
        <v>20000</v>
      </c>
      <c r="G44" t="b">
        <v>0</v>
      </c>
      <c r="H44" t="s">
        <v>323</v>
      </c>
      <c r="K44" t="s">
        <v>474</v>
      </c>
      <c r="L44" t="s">
        <v>302</v>
      </c>
      <c r="M44" t="s">
        <v>321</v>
      </c>
      <c r="N44" t="s">
        <v>62</v>
      </c>
      <c r="O44">
        <v>89.9</v>
      </c>
      <c r="R44">
        <v>519.79999999999995</v>
      </c>
      <c r="S44">
        <v>190</v>
      </c>
      <c r="T44">
        <v>0</v>
      </c>
      <c r="U44">
        <v>75</v>
      </c>
      <c r="X44">
        <v>174.9</v>
      </c>
      <c r="Y44">
        <v>79.900000000000006</v>
      </c>
      <c r="Z44">
        <v>79.900000000000006</v>
      </c>
      <c r="AA44">
        <v>0</v>
      </c>
      <c r="AB44" t="s">
        <v>470</v>
      </c>
      <c r="AF44" t="s">
        <v>479</v>
      </c>
      <c r="AG44" t="s">
        <v>479</v>
      </c>
      <c r="AH44" t="s">
        <v>467</v>
      </c>
      <c r="AI44">
        <v>99999</v>
      </c>
      <c r="AJ44">
        <v>99999</v>
      </c>
      <c r="AK44">
        <v>0</v>
      </c>
      <c r="AL44" t="b">
        <v>1</v>
      </c>
      <c r="AM44" t="b">
        <v>1</v>
      </c>
      <c r="AN44" t="b">
        <v>0</v>
      </c>
      <c r="AO44">
        <v>99999</v>
      </c>
      <c r="AP44" t="s">
        <v>63</v>
      </c>
      <c r="AR44" t="b">
        <v>1</v>
      </c>
      <c r="AS44">
        <v>0</v>
      </c>
      <c r="AT44" t="s">
        <v>63</v>
      </c>
      <c r="AV44" t="s">
        <v>483</v>
      </c>
    </row>
    <row r="45" spans="1:48" x14ac:dyDescent="0.25">
      <c r="A45" t="s">
        <v>462</v>
      </c>
      <c r="B45" t="s">
        <v>301</v>
      </c>
      <c r="C45" t="s">
        <v>61</v>
      </c>
      <c r="D45">
        <v>99999</v>
      </c>
      <c r="F45">
        <v>20000</v>
      </c>
      <c r="G45" t="b">
        <v>0</v>
      </c>
      <c r="H45" t="s">
        <v>323</v>
      </c>
      <c r="K45" t="s">
        <v>474</v>
      </c>
      <c r="L45" t="s">
        <v>302</v>
      </c>
      <c r="M45" t="s">
        <v>321</v>
      </c>
      <c r="N45" t="s">
        <v>62</v>
      </c>
      <c r="O45">
        <v>89.9</v>
      </c>
      <c r="R45">
        <v>519.79999999999995</v>
      </c>
      <c r="S45">
        <v>190</v>
      </c>
      <c r="T45">
        <v>0</v>
      </c>
      <c r="U45">
        <v>75</v>
      </c>
      <c r="X45">
        <v>174.9</v>
      </c>
      <c r="Y45">
        <v>79.900000000000006</v>
      </c>
      <c r="Z45">
        <v>79.900000000000006</v>
      </c>
      <c r="AA45">
        <v>0</v>
      </c>
      <c r="AB45" t="s">
        <v>470</v>
      </c>
      <c r="AF45" t="s">
        <v>528</v>
      </c>
      <c r="AG45" t="s">
        <v>528</v>
      </c>
      <c r="AH45" t="s">
        <v>467</v>
      </c>
      <c r="AI45">
        <v>99999</v>
      </c>
      <c r="AJ45">
        <v>99999</v>
      </c>
      <c r="AK45">
        <v>0</v>
      </c>
      <c r="AL45" t="b">
        <v>1</v>
      </c>
      <c r="AM45" t="b">
        <v>1</v>
      </c>
      <c r="AN45" t="b">
        <v>0</v>
      </c>
      <c r="AO45">
        <v>99999</v>
      </c>
      <c r="AP45" t="s">
        <v>63</v>
      </c>
      <c r="AR45" t="b">
        <v>1</v>
      </c>
      <c r="AS45">
        <v>0</v>
      </c>
      <c r="AT45" t="s">
        <v>63</v>
      </c>
      <c r="AV45" t="s">
        <v>532</v>
      </c>
    </row>
    <row r="46" spans="1:48" x14ac:dyDescent="0.25">
      <c r="A46" t="s">
        <v>462</v>
      </c>
      <c r="B46" t="s">
        <v>301</v>
      </c>
      <c r="C46" t="s">
        <v>61</v>
      </c>
      <c r="D46">
        <v>99999</v>
      </c>
      <c r="F46">
        <v>20000</v>
      </c>
      <c r="G46" t="b">
        <v>0</v>
      </c>
      <c r="H46" t="s">
        <v>323</v>
      </c>
      <c r="K46" t="s">
        <v>474</v>
      </c>
      <c r="L46" t="s">
        <v>302</v>
      </c>
      <c r="M46" t="s">
        <v>321</v>
      </c>
      <c r="N46" t="s">
        <v>62</v>
      </c>
      <c r="O46">
        <v>89.9</v>
      </c>
      <c r="R46">
        <v>514.79999999999995</v>
      </c>
      <c r="S46">
        <v>190</v>
      </c>
      <c r="T46">
        <v>0</v>
      </c>
      <c r="U46">
        <v>70</v>
      </c>
      <c r="X46">
        <v>174.9</v>
      </c>
      <c r="Y46">
        <v>79.900000000000006</v>
      </c>
      <c r="Z46">
        <v>79.900000000000006</v>
      </c>
      <c r="AA46">
        <v>0</v>
      </c>
      <c r="AB46" t="s">
        <v>470</v>
      </c>
      <c r="AF46" t="s">
        <v>622</v>
      </c>
      <c r="AG46" t="s">
        <v>622</v>
      </c>
      <c r="AH46" t="s">
        <v>467</v>
      </c>
      <c r="AI46">
        <v>99999</v>
      </c>
      <c r="AJ46">
        <v>99999</v>
      </c>
      <c r="AK46">
        <v>0</v>
      </c>
      <c r="AL46" t="b">
        <v>1</v>
      </c>
      <c r="AM46" t="b">
        <v>1</v>
      </c>
      <c r="AN46" t="b">
        <v>0</v>
      </c>
      <c r="AO46">
        <v>99999</v>
      </c>
      <c r="AP46" t="s">
        <v>63</v>
      </c>
      <c r="AR46" t="b">
        <v>1</v>
      </c>
      <c r="AS46">
        <v>0</v>
      </c>
      <c r="AT46" t="s">
        <v>63</v>
      </c>
      <c r="AV46" t="s">
        <v>626</v>
      </c>
    </row>
    <row r="47" spans="1:48" x14ac:dyDescent="0.25">
      <c r="A47" t="s">
        <v>462</v>
      </c>
      <c r="B47" t="s">
        <v>301</v>
      </c>
      <c r="C47" t="s">
        <v>61</v>
      </c>
      <c r="D47">
        <v>99999</v>
      </c>
      <c r="F47">
        <v>20000</v>
      </c>
      <c r="G47" t="b">
        <v>0</v>
      </c>
      <c r="H47" t="s">
        <v>323</v>
      </c>
      <c r="K47" t="s">
        <v>502</v>
      </c>
      <c r="L47" t="s">
        <v>302</v>
      </c>
      <c r="M47" t="s">
        <v>321</v>
      </c>
      <c r="N47" t="s">
        <v>62</v>
      </c>
      <c r="O47">
        <v>69.900000000000006</v>
      </c>
      <c r="R47">
        <v>544.79999999999995</v>
      </c>
      <c r="S47">
        <v>190</v>
      </c>
      <c r="T47">
        <v>0</v>
      </c>
      <c r="U47">
        <v>75</v>
      </c>
      <c r="X47">
        <v>174.9</v>
      </c>
      <c r="Y47">
        <v>104.9</v>
      </c>
      <c r="Z47">
        <v>104.9</v>
      </c>
      <c r="AA47">
        <v>0</v>
      </c>
      <c r="AB47" t="s">
        <v>497</v>
      </c>
      <c r="AF47" t="s">
        <v>651</v>
      </c>
      <c r="AG47" t="s">
        <v>651</v>
      </c>
      <c r="AH47" t="s">
        <v>467</v>
      </c>
      <c r="AI47">
        <v>99999</v>
      </c>
      <c r="AJ47">
        <v>99999</v>
      </c>
      <c r="AK47">
        <v>0</v>
      </c>
      <c r="AL47" t="b">
        <v>1</v>
      </c>
      <c r="AM47" t="b">
        <v>1</v>
      </c>
      <c r="AN47" t="b">
        <v>0</v>
      </c>
      <c r="AO47">
        <v>99999</v>
      </c>
      <c r="AP47" t="s">
        <v>63</v>
      </c>
      <c r="AR47" t="b">
        <v>1</v>
      </c>
      <c r="AS47">
        <v>0</v>
      </c>
      <c r="AT47" t="s">
        <v>63</v>
      </c>
      <c r="AV47" t="s">
        <v>658</v>
      </c>
    </row>
    <row r="48" spans="1:48" x14ac:dyDescent="0.25">
      <c r="A48" t="s">
        <v>462</v>
      </c>
      <c r="B48" t="s">
        <v>301</v>
      </c>
      <c r="C48" t="s">
        <v>61</v>
      </c>
      <c r="D48">
        <v>99999</v>
      </c>
      <c r="F48">
        <v>20000</v>
      </c>
      <c r="G48" t="b">
        <v>0</v>
      </c>
      <c r="H48" t="s">
        <v>323</v>
      </c>
      <c r="K48" t="s">
        <v>502</v>
      </c>
      <c r="L48" t="s">
        <v>302</v>
      </c>
      <c r="M48" t="s">
        <v>321</v>
      </c>
      <c r="N48" t="s">
        <v>62</v>
      </c>
      <c r="O48">
        <v>79.900000000000006</v>
      </c>
      <c r="R48">
        <v>544.79999999999995</v>
      </c>
      <c r="S48">
        <v>190</v>
      </c>
      <c r="T48">
        <v>0</v>
      </c>
      <c r="U48">
        <v>75</v>
      </c>
      <c r="X48">
        <v>174.9</v>
      </c>
      <c r="Y48">
        <v>104.9</v>
      </c>
      <c r="Z48">
        <v>104.9</v>
      </c>
      <c r="AA48">
        <v>0</v>
      </c>
      <c r="AB48" t="s">
        <v>497</v>
      </c>
      <c r="AF48" t="s">
        <v>574</v>
      </c>
      <c r="AG48" t="s">
        <v>574</v>
      </c>
      <c r="AH48" t="s">
        <v>467</v>
      </c>
      <c r="AI48">
        <v>99999</v>
      </c>
      <c r="AJ48">
        <v>99999</v>
      </c>
      <c r="AK48">
        <v>0</v>
      </c>
      <c r="AL48" t="b">
        <v>1</v>
      </c>
      <c r="AM48" t="b">
        <v>1</v>
      </c>
      <c r="AN48" t="b">
        <v>0</v>
      </c>
      <c r="AO48">
        <v>99999</v>
      </c>
      <c r="AP48" t="s">
        <v>63</v>
      </c>
      <c r="AR48" t="b">
        <v>1</v>
      </c>
      <c r="AS48">
        <v>0</v>
      </c>
      <c r="AT48" t="s">
        <v>63</v>
      </c>
      <c r="AV48" t="s">
        <v>581</v>
      </c>
    </row>
    <row r="49" spans="1:48" x14ac:dyDescent="0.25">
      <c r="A49" t="s">
        <v>462</v>
      </c>
      <c r="B49" t="s">
        <v>301</v>
      </c>
      <c r="C49" t="s">
        <v>61</v>
      </c>
      <c r="D49">
        <v>99999</v>
      </c>
      <c r="F49">
        <v>20000</v>
      </c>
      <c r="G49" t="b">
        <v>0</v>
      </c>
      <c r="H49" t="s">
        <v>323</v>
      </c>
      <c r="K49" t="s">
        <v>502</v>
      </c>
      <c r="L49" t="s">
        <v>302</v>
      </c>
      <c r="M49" t="s">
        <v>321</v>
      </c>
      <c r="N49" t="s">
        <v>62</v>
      </c>
      <c r="O49">
        <v>89.9</v>
      </c>
      <c r="R49">
        <v>544.79999999999995</v>
      </c>
      <c r="S49">
        <v>190</v>
      </c>
      <c r="T49">
        <v>0</v>
      </c>
      <c r="U49">
        <v>75</v>
      </c>
      <c r="X49">
        <v>174.9</v>
      </c>
      <c r="Y49">
        <v>104.9</v>
      </c>
      <c r="Z49">
        <v>104.9</v>
      </c>
      <c r="AA49">
        <v>0</v>
      </c>
      <c r="AB49" t="s">
        <v>497</v>
      </c>
      <c r="AF49" t="s">
        <v>504</v>
      </c>
      <c r="AG49" t="s">
        <v>504</v>
      </c>
      <c r="AH49" t="s">
        <v>467</v>
      </c>
      <c r="AI49">
        <v>99999</v>
      </c>
      <c r="AJ49">
        <v>99999</v>
      </c>
      <c r="AK49">
        <v>0</v>
      </c>
      <c r="AL49" t="b">
        <v>1</v>
      </c>
      <c r="AM49" t="b">
        <v>1</v>
      </c>
      <c r="AN49" t="b">
        <v>0</v>
      </c>
      <c r="AO49">
        <v>99999</v>
      </c>
      <c r="AP49" t="s">
        <v>63</v>
      </c>
      <c r="AR49" t="b">
        <v>1</v>
      </c>
      <c r="AS49">
        <v>0</v>
      </c>
      <c r="AT49" t="s">
        <v>63</v>
      </c>
      <c r="AV49" t="s">
        <v>511</v>
      </c>
    </row>
    <row r="50" spans="1:48" x14ac:dyDescent="0.25">
      <c r="A50" t="s">
        <v>462</v>
      </c>
      <c r="B50" t="s">
        <v>301</v>
      </c>
      <c r="C50" t="s">
        <v>61</v>
      </c>
      <c r="D50">
        <v>99999</v>
      </c>
      <c r="F50">
        <v>20000</v>
      </c>
      <c r="G50" t="b">
        <v>0</v>
      </c>
      <c r="H50" t="s">
        <v>323</v>
      </c>
      <c r="K50" t="s">
        <v>502</v>
      </c>
      <c r="L50" t="s">
        <v>302</v>
      </c>
      <c r="M50" t="s">
        <v>321</v>
      </c>
      <c r="N50" t="s">
        <v>62</v>
      </c>
      <c r="O50">
        <v>89.9</v>
      </c>
      <c r="R50">
        <v>544.79999999999995</v>
      </c>
      <c r="S50">
        <v>190</v>
      </c>
      <c r="T50">
        <v>0</v>
      </c>
      <c r="U50">
        <v>75</v>
      </c>
      <c r="X50">
        <v>174.9</v>
      </c>
      <c r="Y50">
        <v>104.9</v>
      </c>
      <c r="Z50">
        <v>104.9</v>
      </c>
      <c r="AA50">
        <v>0</v>
      </c>
      <c r="AB50" t="s">
        <v>497</v>
      </c>
      <c r="AF50" t="s">
        <v>547</v>
      </c>
      <c r="AG50" t="s">
        <v>547</v>
      </c>
      <c r="AH50" t="s">
        <v>467</v>
      </c>
      <c r="AI50">
        <v>99999</v>
      </c>
      <c r="AJ50">
        <v>99999</v>
      </c>
      <c r="AK50">
        <v>0</v>
      </c>
      <c r="AL50" t="b">
        <v>1</v>
      </c>
      <c r="AM50" t="b">
        <v>1</v>
      </c>
      <c r="AN50" t="b">
        <v>0</v>
      </c>
      <c r="AO50">
        <v>99999</v>
      </c>
      <c r="AP50" t="s">
        <v>63</v>
      </c>
      <c r="AR50" t="b">
        <v>1</v>
      </c>
      <c r="AS50">
        <v>0</v>
      </c>
      <c r="AT50" t="s">
        <v>63</v>
      </c>
      <c r="AV50" t="s">
        <v>554</v>
      </c>
    </row>
    <row r="51" spans="1:48" x14ac:dyDescent="0.25">
      <c r="A51" t="s">
        <v>462</v>
      </c>
      <c r="B51" t="s">
        <v>301</v>
      </c>
      <c r="C51" t="s">
        <v>61</v>
      </c>
      <c r="D51">
        <v>99999</v>
      </c>
      <c r="F51">
        <v>20000</v>
      </c>
      <c r="G51" t="b">
        <v>0</v>
      </c>
      <c r="H51" t="s">
        <v>323</v>
      </c>
      <c r="K51" t="s">
        <v>502</v>
      </c>
      <c r="L51" t="s">
        <v>302</v>
      </c>
      <c r="M51" t="s">
        <v>321</v>
      </c>
      <c r="N51" t="s">
        <v>62</v>
      </c>
      <c r="O51">
        <v>89.9</v>
      </c>
      <c r="R51">
        <v>539.79999999999995</v>
      </c>
      <c r="S51">
        <v>190</v>
      </c>
      <c r="T51">
        <v>0</v>
      </c>
      <c r="U51">
        <v>70</v>
      </c>
      <c r="X51">
        <v>174.9</v>
      </c>
      <c r="Y51">
        <v>104.9</v>
      </c>
      <c r="Z51">
        <v>104.9</v>
      </c>
      <c r="AA51">
        <v>0</v>
      </c>
      <c r="AB51" t="s">
        <v>497</v>
      </c>
      <c r="AF51" t="s">
        <v>635</v>
      </c>
      <c r="AG51" t="s">
        <v>635</v>
      </c>
      <c r="AH51" t="s">
        <v>467</v>
      </c>
      <c r="AI51">
        <v>99999</v>
      </c>
      <c r="AJ51">
        <v>99999</v>
      </c>
      <c r="AK51">
        <v>0</v>
      </c>
      <c r="AL51" t="b">
        <v>1</v>
      </c>
      <c r="AM51" t="b">
        <v>1</v>
      </c>
      <c r="AN51" t="b">
        <v>0</v>
      </c>
      <c r="AO51">
        <v>99999</v>
      </c>
      <c r="AP51" t="s">
        <v>63</v>
      </c>
      <c r="AR51" t="b">
        <v>1</v>
      </c>
      <c r="AS51">
        <v>0</v>
      </c>
      <c r="AT51" t="s">
        <v>63</v>
      </c>
      <c r="AV51" t="s">
        <v>642</v>
      </c>
    </row>
    <row r="52" spans="1:48" x14ac:dyDescent="0.25">
      <c r="A52" t="s">
        <v>462</v>
      </c>
      <c r="B52" t="s">
        <v>301</v>
      </c>
      <c r="C52" t="s">
        <v>61</v>
      </c>
      <c r="D52">
        <v>99999</v>
      </c>
      <c r="F52">
        <v>20000</v>
      </c>
      <c r="G52" t="b">
        <v>0</v>
      </c>
      <c r="H52" t="s">
        <v>323</v>
      </c>
      <c r="K52" t="s">
        <v>494</v>
      </c>
      <c r="L52" t="s">
        <v>302</v>
      </c>
      <c r="M52" t="s">
        <v>321</v>
      </c>
      <c r="N52" t="s">
        <v>62</v>
      </c>
      <c r="O52">
        <v>69.900000000000006</v>
      </c>
      <c r="R52">
        <v>524.79999999999995</v>
      </c>
      <c r="S52">
        <v>190</v>
      </c>
      <c r="T52">
        <v>0</v>
      </c>
      <c r="U52">
        <v>75</v>
      </c>
      <c r="X52">
        <v>174.9</v>
      </c>
      <c r="Y52">
        <v>84.9</v>
      </c>
      <c r="Z52">
        <v>84.9</v>
      </c>
      <c r="AA52">
        <v>0</v>
      </c>
      <c r="AB52" t="s">
        <v>497</v>
      </c>
      <c r="AF52" t="s">
        <v>651</v>
      </c>
      <c r="AG52" t="s">
        <v>651</v>
      </c>
      <c r="AH52" t="s">
        <v>467</v>
      </c>
      <c r="AI52">
        <v>99999</v>
      </c>
      <c r="AJ52">
        <v>99999</v>
      </c>
      <c r="AK52">
        <v>0</v>
      </c>
      <c r="AL52" t="b">
        <v>1</v>
      </c>
      <c r="AM52" t="b">
        <v>1</v>
      </c>
      <c r="AN52" t="b">
        <v>0</v>
      </c>
      <c r="AO52">
        <v>99999</v>
      </c>
      <c r="AP52" t="s">
        <v>63</v>
      </c>
      <c r="AR52" t="b">
        <v>1</v>
      </c>
      <c r="AS52">
        <v>0</v>
      </c>
      <c r="AT52" t="s">
        <v>63</v>
      </c>
      <c r="AV52" t="s">
        <v>652</v>
      </c>
    </row>
    <row r="53" spans="1:48" x14ac:dyDescent="0.25">
      <c r="A53" t="s">
        <v>462</v>
      </c>
      <c r="B53" t="s">
        <v>301</v>
      </c>
      <c r="C53" t="s">
        <v>61</v>
      </c>
      <c r="D53">
        <v>99999</v>
      </c>
      <c r="F53">
        <v>20000</v>
      </c>
      <c r="G53" t="b">
        <v>0</v>
      </c>
      <c r="H53" t="s">
        <v>323</v>
      </c>
      <c r="K53" t="s">
        <v>494</v>
      </c>
      <c r="L53" t="s">
        <v>302</v>
      </c>
      <c r="M53" t="s">
        <v>321</v>
      </c>
      <c r="N53" t="s">
        <v>62</v>
      </c>
      <c r="O53">
        <v>79.900000000000006</v>
      </c>
      <c r="R53">
        <v>524.79999999999995</v>
      </c>
      <c r="S53">
        <v>190</v>
      </c>
      <c r="T53">
        <v>0</v>
      </c>
      <c r="U53">
        <v>75</v>
      </c>
      <c r="X53">
        <v>174.9</v>
      </c>
      <c r="Y53">
        <v>84.9</v>
      </c>
      <c r="Z53">
        <v>84.9</v>
      </c>
      <c r="AA53">
        <v>0</v>
      </c>
      <c r="AB53" t="s">
        <v>497</v>
      </c>
      <c r="AF53" t="s">
        <v>574</v>
      </c>
      <c r="AG53" t="s">
        <v>574</v>
      </c>
      <c r="AH53" t="s">
        <v>467</v>
      </c>
      <c r="AI53">
        <v>99999</v>
      </c>
      <c r="AJ53">
        <v>99999</v>
      </c>
      <c r="AK53">
        <v>0</v>
      </c>
      <c r="AL53" t="b">
        <v>1</v>
      </c>
      <c r="AM53" t="b">
        <v>1</v>
      </c>
      <c r="AN53" t="b">
        <v>0</v>
      </c>
      <c r="AO53">
        <v>99999</v>
      </c>
      <c r="AP53" t="s">
        <v>63</v>
      </c>
      <c r="AR53" t="b">
        <v>1</v>
      </c>
      <c r="AS53">
        <v>0</v>
      </c>
      <c r="AT53" t="s">
        <v>63</v>
      </c>
      <c r="AV53" t="s">
        <v>575</v>
      </c>
    </row>
    <row r="54" spans="1:48" x14ac:dyDescent="0.25">
      <c r="A54" t="s">
        <v>462</v>
      </c>
      <c r="B54" t="s">
        <v>301</v>
      </c>
      <c r="C54" t="s">
        <v>61</v>
      </c>
      <c r="D54">
        <v>99999</v>
      </c>
      <c r="F54">
        <v>20000</v>
      </c>
      <c r="G54" t="b">
        <v>0</v>
      </c>
      <c r="H54" t="s">
        <v>323</v>
      </c>
      <c r="K54" t="s">
        <v>494</v>
      </c>
      <c r="L54" t="s">
        <v>302</v>
      </c>
      <c r="M54" t="s">
        <v>321</v>
      </c>
      <c r="N54" t="s">
        <v>62</v>
      </c>
      <c r="O54">
        <v>89.9</v>
      </c>
      <c r="R54">
        <v>524.79999999999995</v>
      </c>
      <c r="S54">
        <v>190</v>
      </c>
      <c r="T54">
        <v>0</v>
      </c>
      <c r="U54">
        <v>75</v>
      </c>
      <c r="X54">
        <v>174.9</v>
      </c>
      <c r="Y54">
        <v>84.9</v>
      </c>
      <c r="Z54">
        <v>84.9</v>
      </c>
      <c r="AA54">
        <v>0</v>
      </c>
      <c r="AB54" t="s">
        <v>497</v>
      </c>
      <c r="AF54" t="s">
        <v>504</v>
      </c>
      <c r="AG54" t="s">
        <v>504</v>
      </c>
      <c r="AH54" t="s">
        <v>467</v>
      </c>
      <c r="AI54">
        <v>99999</v>
      </c>
      <c r="AJ54">
        <v>99999</v>
      </c>
      <c r="AK54">
        <v>0</v>
      </c>
      <c r="AL54" t="b">
        <v>1</v>
      </c>
      <c r="AM54" t="b">
        <v>1</v>
      </c>
      <c r="AN54" t="b">
        <v>0</v>
      </c>
      <c r="AO54">
        <v>99999</v>
      </c>
      <c r="AP54" t="s">
        <v>63</v>
      </c>
      <c r="AR54" t="b">
        <v>1</v>
      </c>
      <c r="AS54">
        <v>0</v>
      </c>
      <c r="AT54" t="s">
        <v>63</v>
      </c>
      <c r="AV54" t="s">
        <v>505</v>
      </c>
    </row>
    <row r="55" spans="1:48" x14ac:dyDescent="0.25">
      <c r="A55" t="s">
        <v>462</v>
      </c>
      <c r="B55" t="s">
        <v>301</v>
      </c>
      <c r="C55" t="s">
        <v>61</v>
      </c>
      <c r="D55">
        <v>99999</v>
      </c>
      <c r="F55">
        <v>20000</v>
      </c>
      <c r="G55" t="b">
        <v>0</v>
      </c>
      <c r="H55" t="s">
        <v>323</v>
      </c>
      <c r="K55" t="s">
        <v>494</v>
      </c>
      <c r="L55" t="s">
        <v>302</v>
      </c>
      <c r="M55" t="s">
        <v>321</v>
      </c>
      <c r="N55" t="s">
        <v>62</v>
      </c>
      <c r="O55">
        <v>89.9</v>
      </c>
      <c r="R55">
        <v>524.79999999999995</v>
      </c>
      <c r="S55">
        <v>190</v>
      </c>
      <c r="T55">
        <v>0</v>
      </c>
      <c r="U55">
        <v>75</v>
      </c>
      <c r="X55">
        <v>174.9</v>
      </c>
      <c r="Y55">
        <v>84.9</v>
      </c>
      <c r="Z55">
        <v>84.9</v>
      </c>
      <c r="AA55">
        <v>0</v>
      </c>
      <c r="AB55" t="s">
        <v>497</v>
      </c>
      <c r="AF55" t="s">
        <v>547</v>
      </c>
      <c r="AG55" t="s">
        <v>547</v>
      </c>
      <c r="AH55" t="s">
        <v>467</v>
      </c>
      <c r="AI55">
        <v>99999</v>
      </c>
      <c r="AJ55">
        <v>99999</v>
      </c>
      <c r="AK55">
        <v>0</v>
      </c>
      <c r="AL55" t="b">
        <v>1</v>
      </c>
      <c r="AM55" t="b">
        <v>1</v>
      </c>
      <c r="AN55" t="b">
        <v>0</v>
      </c>
      <c r="AO55">
        <v>99999</v>
      </c>
      <c r="AP55" t="s">
        <v>63</v>
      </c>
      <c r="AR55" t="b">
        <v>1</v>
      </c>
      <c r="AS55">
        <v>0</v>
      </c>
      <c r="AT55" t="s">
        <v>63</v>
      </c>
      <c r="AV55" t="s">
        <v>548</v>
      </c>
    </row>
    <row r="56" spans="1:48" x14ac:dyDescent="0.25">
      <c r="A56" t="s">
        <v>462</v>
      </c>
      <c r="B56" t="s">
        <v>301</v>
      </c>
      <c r="C56" t="s">
        <v>61</v>
      </c>
      <c r="D56">
        <v>99999</v>
      </c>
      <c r="F56">
        <v>20000</v>
      </c>
      <c r="G56" t="b">
        <v>0</v>
      </c>
      <c r="H56" t="s">
        <v>323</v>
      </c>
      <c r="K56" t="s">
        <v>494</v>
      </c>
      <c r="L56" t="s">
        <v>302</v>
      </c>
      <c r="M56" t="s">
        <v>321</v>
      </c>
      <c r="N56" t="s">
        <v>62</v>
      </c>
      <c r="O56">
        <v>89.9</v>
      </c>
      <c r="R56">
        <v>519.79999999999995</v>
      </c>
      <c r="S56">
        <v>190</v>
      </c>
      <c r="T56">
        <v>0</v>
      </c>
      <c r="U56">
        <v>70</v>
      </c>
      <c r="X56">
        <v>174.9</v>
      </c>
      <c r="Y56">
        <v>84.9</v>
      </c>
      <c r="Z56">
        <v>84.9</v>
      </c>
      <c r="AA56">
        <v>0</v>
      </c>
      <c r="AB56" t="s">
        <v>497</v>
      </c>
      <c r="AF56" t="s">
        <v>635</v>
      </c>
      <c r="AG56" t="s">
        <v>635</v>
      </c>
      <c r="AH56" t="s">
        <v>467</v>
      </c>
      <c r="AI56">
        <v>99999</v>
      </c>
      <c r="AJ56">
        <v>99999</v>
      </c>
      <c r="AK56">
        <v>0</v>
      </c>
      <c r="AL56" t="b">
        <v>1</v>
      </c>
      <c r="AM56" t="b">
        <v>1</v>
      </c>
      <c r="AN56" t="b">
        <v>0</v>
      </c>
      <c r="AO56">
        <v>99999</v>
      </c>
      <c r="AP56" t="s">
        <v>63</v>
      </c>
      <c r="AR56" t="b">
        <v>1</v>
      </c>
      <c r="AS56">
        <v>0</v>
      </c>
      <c r="AT56" t="s">
        <v>63</v>
      </c>
      <c r="AV56" t="s">
        <v>636</v>
      </c>
    </row>
    <row r="57" spans="1:48" x14ac:dyDescent="0.25">
      <c r="A57" t="s">
        <v>462</v>
      </c>
      <c r="B57" t="s">
        <v>301</v>
      </c>
      <c r="C57" t="s">
        <v>61</v>
      </c>
      <c r="D57">
        <v>99999</v>
      </c>
      <c r="F57">
        <v>20000</v>
      </c>
      <c r="G57" t="b">
        <v>0</v>
      </c>
      <c r="H57" t="s">
        <v>323</v>
      </c>
      <c r="K57" t="s">
        <v>500</v>
      </c>
      <c r="L57" t="s">
        <v>302</v>
      </c>
      <c r="M57" t="s">
        <v>321</v>
      </c>
      <c r="N57" t="s">
        <v>62</v>
      </c>
      <c r="O57">
        <v>69.900000000000006</v>
      </c>
      <c r="R57">
        <v>534.79999999999995</v>
      </c>
      <c r="S57">
        <v>190</v>
      </c>
      <c r="T57">
        <v>0</v>
      </c>
      <c r="U57">
        <v>75</v>
      </c>
      <c r="X57">
        <v>174.9</v>
      </c>
      <c r="Y57">
        <v>94.9</v>
      </c>
      <c r="Z57">
        <v>94.9</v>
      </c>
      <c r="AA57">
        <v>0</v>
      </c>
      <c r="AB57" t="s">
        <v>497</v>
      </c>
      <c r="AF57" t="s">
        <v>651</v>
      </c>
      <c r="AG57" t="s">
        <v>651</v>
      </c>
      <c r="AH57" t="s">
        <v>467</v>
      </c>
      <c r="AI57">
        <v>99999</v>
      </c>
      <c r="AJ57">
        <v>99999</v>
      </c>
      <c r="AK57">
        <v>0</v>
      </c>
      <c r="AL57" t="b">
        <v>1</v>
      </c>
      <c r="AM57" t="b">
        <v>1</v>
      </c>
      <c r="AN57" t="b">
        <v>0</v>
      </c>
      <c r="AO57">
        <v>99999</v>
      </c>
      <c r="AP57" t="s">
        <v>63</v>
      </c>
      <c r="AR57" t="b">
        <v>1</v>
      </c>
      <c r="AS57">
        <v>0</v>
      </c>
      <c r="AT57" t="s">
        <v>63</v>
      </c>
      <c r="AV57" t="s">
        <v>655</v>
      </c>
    </row>
    <row r="58" spans="1:48" x14ac:dyDescent="0.25">
      <c r="A58" t="s">
        <v>462</v>
      </c>
      <c r="B58" t="s">
        <v>301</v>
      </c>
      <c r="C58" t="s">
        <v>61</v>
      </c>
      <c r="D58">
        <v>99999</v>
      </c>
      <c r="F58">
        <v>20000</v>
      </c>
      <c r="G58" t="b">
        <v>0</v>
      </c>
      <c r="H58" t="s">
        <v>323</v>
      </c>
      <c r="K58" t="s">
        <v>500</v>
      </c>
      <c r="L58" t="s">
        <v>302</v>
      </c>
      <c r="M58" t="s">
        <v>321</v>
      </c>
      <c r="N58" t="s">
        <v>62</v>
      </c>
      <c r="O58">
        <v>79.900000000000006</v>
      </c>
      <c r="R58">
        <v>534.79999999999995</v>
      </c>
      <c r="S58">
        <v>190</v>
      </c>
      <c r="T58">
        <v>0</v>
      </c>
      <c r="U58">
        <v>75</v>
      </c>
      <c r="X58">
        <v>174.9</v>
      </c>
      <c r="Y58">
        <v>94.9</v>
      </c>
      <c r="Z58">
        <v>94.9</v>
      </c>
      <c r="AA58">
        <v>0</v>
      </c>
      <c r="AB58" t="s">
        <v>497</v>
      </c>
      <c r="AF58" t="s">
        <v>574</v>
      </c>
      <c r="AG58" t="s">
        <v>574</v>
      </c>
      <c r="AH58" t="s">
        <v>467</v>
      </c>
      <c r="AI58">
        <v>99999</v>
      </c>
      <c r="AJ58">
        <v>99999</v>
      </c>
      <c r="AK58">
        <v>0</v>
      </c>
      <c r="AL58" t="b">
        <v>1</v>
      </c>
      <c r="AM58" t="b">
        <v>1</v>
      </c>
      <c r="AN58" t="b">
        <v>0</v>
      </c>
      <c r="AO58">
        <v>99999</v>
      </c>
      <c r="AP58" t="s">
        <v>63</v>
      </c>
      <c r="AR58" t="b">
        <v>1</v>
      </c>
      <c r="AS58">
        <v>0</v>
      </c>
      <c r="AT58" t="s">
        <v>63</v>
      </c>
      <c r="AV58" t="s">
        <v>578</v>
      </c>
    </row>
    <row r="59" spans="1:48" x14ac:dyDescent="0.25">
      <c r="A59" t="s">
        <v>462</v>
      </c>
      <c r="B59" t="s">
        <v>301</v>
      </c>
      <c r="C59" t="s">
        <v>61</v>
      </c>
      <c r="D59">
        <v>99999</v>
      </c>
      <c r="F59">
        <v>20000</v>
      </c>
      <c r="G59" t="b">
        <v>0</v>
      </c>
      <c r="H59" t="s">
        <v>323</v>
      </c>
      <c r="K59" t="s">
        <v>500</v>
      </c>
      <c r="L59" t="s">
        <v>302</v>
      </c>
      <c r="M59" t="s">
        <v>321</v>
      </c>
      <c r="N59" t="s">
        <v>62</v>
      </c>
      <c r="O59">
        <v>89.9</v>
      </c>
      <c r="R59">
        <v>534.79999999999995</v>
      </c>
      <c r="S59">
        <v>190</v>
      </c>
      <c r="T59">
        <v>0</v>
      </c>
      <c r="U59">
        <v>75</v>
      </c>
      <c r="X59">
        <v>174.9</v>
      </c>
      <c r="Y59">
        <v>94.9</v>
      </c>
      <c r="Z59">
        <v>94.9</v>
      </c>
      <c r="AA59">
        <v>0</v>
      </c>
      <c r="AB59" s="108" t="s">
        <v>497</v>
      </c>
      <c r="AF59" t="s">
        <v>504</v>
      </c>
      <c r="AG59" t="s">
        <v>504</v>
      </c>
      <c r="AH59" t="s">
        <v>467</v>
      </c>
      <c r="AI59">
        <v>99999</v>
      </c>
      <c r="AJ59">
        <v>99999</v>
      </c>
      <c r="AK59">
        <v>0</v>
      </c>
      <c r="AL59" t="b">
        <v>1</v>
      </c>
      <c r="AM59" t="b">
        <v>1</v>
      </c>
      <c r="AN59" t="b">
        <v>0</v>
      </c>
      <c r="AO59">
        <v>99999</v>
      </c>
      <c r="AP59" t="s">
        <v>63</v>
      </c>
      <c r="AR59" t="b">
        <v>1</v>
      </c>
      <c r="AS59">
        <v>0</v>
      </c>
      <c r="AT59" t="s">
        <v>63</v>
      </c>
      <c r="AV59" t="s">
        <v>508</v>
      </c>
    </row>
    <row r="60" spans="1:48" x14ac:dyDescent="0.25">
      <c r="A60" t="s">
        <v>462</v>
      </c>
      <c r="B60" t="s">
        <v>301</v>
      </c>
      <c r="C60" t="s">
        <v>61</v>
      </c>
      <c r="D60">
        <v>99999</v>
      </c>
      <c r="F60">
        <v>20000</v>
      </c>
      <c r="G60" t="b">
        <v>0</v>
      </c>
      <c r="H60" t="s">
        <v>323</v>
      </c>
      <c r="K60" t="s">
        <v>500</v>
      </c>
      <c r="L60" t="s">
        <v>302</v>
      </c>
      <c r="M60" t="s">
        <v>321</v>
      </c>
      <c r="N60" t="s">
        <v>62</v>
      </c>
      <c r="O60">
        <v>89.9</v>
      </c>
      <c r="R60">
        <v>534.79999999999995</v>
      </c>
      <c r="S60">
        <v>190</v>
      </c>
      <c r="T60">
        <v>0</v>
      </c>
      <c r="U60">
        <v>75</v>
      </c>
      <c r="X60">
        <v>174.9</v>
      </c>
      <c r="Y60">
        <v>94.9</v>
      </c>
      <c r="Z60">
        <v>94.9</v>
      </c>
      <c r="AA60">
        <v>0</v>
      </c>
      <c r="AB60" t="s">
        <v>497</v>
      </c>
      <c r="AF60" t="s">
        <v>547</v>
      </c>
      <c r="AG60" t="s">
        <v>547</v>
      </c>
      <c r="AH60" t="s">
        <v>467</v>
      </c>
      <c r="AI60">
        <v>99999</v>
      </c>
      <c r="AJ60">
        <v>99999</v>
      </c>
      <c r="AK60">
        <v>0</v>
      </c>
      <c r="AL60" t="b">
        <v>1</v>
      </c>
      <c r="AM60" t="b">
        <v>1</v>
      </c>
      <c r="AN60" t="b">
        <v>0</v>
      </c>
      <c r="AO60">
        <v>99999</v>
      </c>
      <c r="AP60" t="s">
        <v>63</v>
      </c>
      <c r="AR60" t="b">
        <v>1</v>
      </c>
      <c r="AS60">
        <v>0</v>
      </c>
      <c r="AT60" t="s">
        <v>63</v>
      </c>
      <c r="AV60" t="s">
        <v>551</v>
      </c>
    </row>
    <row r="61" spans="1:48" x14ac:dyDescent="0.25">
      <c r="A61" t="s">
        <v>462</v>
      </c>
      <c r="B61" t="s">
        <v>301</v>
      </c>
      <c r="C61" t="s">
        <v>61</v>
      </c>
      <c r="D61">
        <v>99999</v>
      </c>
      <c r="F61">
        <v>20000</v>
      </c>
      <c r="G61" t="b">
        <v>0</v>
      </c>
      <c r="H61" t="s">
        <v>323</v>
      </c>
      <c r="K61" t="s">
        <v>500</v>
      </c>
      <c r="L61" t="s">
        <v>302</v>
      </c>
      <c r="M61" t="s">
        <v>321</v>
      </c>
      <c r="N61" t="s">
        <v>62</v>
      </c>
      <c r="O61">
        <v>89.9</v>
      </c>
      <c r="R61">
        <v>529.79999999999995</v>
      </c>
      <c r="S61">
        <v>190</v>
      </c>
      <c r="T61">
        <v>0</v>
      </c>
      <c r="U61">
        <v>70</v>
      </c>
      <c r="X61">
        <v>174.9</v>
      </c>
      <c r="Y61">
        <v>94.9</v>
      </c>
      <c r="Z61">
        <v>94.9</v>
      </c>
      <c r="AA61">
        <v>0</v>
      </c>
      <c r="AB61" t="s">
        <v>497</v>
      </c>
      <c r="AF61" t="s">
        <v>635</v>
      </c>
      <c r="AG61" t="s">
        <v>635</v>
      </c>
      <c r="AH61" t="s">
        <v>467</v>
      </c>
      <c r="AI61">
        <v>99999</v>
      </c>
      <c r="AJ61">
        <v>99999</v>
      </c>
      <c r="AK61">
        <v>0</v>
      </c>
      <c r="AL61" t="b">
        <v>1</v>
      </c>
      <c r="AM61" t="b">
        <v>1</v>
      </c>
      <c r="AN61" t="b">
        <v>0</v>
      </c>
      <c r="AO61">
        <v>99999</v>
      </c>
      <c r="AP61" t="s">
        <v>63</v>
      </c>
      <c r="AR61" t="b">
        <v>1</v>
      </c>
      <c r="AS61">
        <v>0</v>
      </c>
      <c r="AT61" t="s">
        <v>63</v>
      </c>
      <c r="AV61" t="s">
        <v>639</v>
      </c>
    </row>
    <row r="62" spans="1:48" x14ac:dyDescent="0.25">
      <c r="A62" t="s">
        <v>462</v>
      </c>
      <c r="B62" t="s">
        <v>301</v>
      </c>
      <c r="C62" t="s">
        <v>61</v>
      </c>
      <c r="D62">
        <v>99999</v>
      </c>
      <c r="F62">
        <v>20000</v>
      </c>
      <c r="G62" t="b">
        <v>0</v>
      </c>
      <c r="H62" t="s">
        <v>323</v>
      </c>
      <c r="K62" t="s">
        <v>471</v>
      </c>
      <c r="L62" t="s">
        <v>302</v>
      </c>
      <c r="M62" t="s">
        <v>321</v>
      </c>
      <c r="N62" t="s">
        <v>62</v>
      </c>
      <c r="O62">
        <v>69.900000000000006</v>
      </c>
      <c r="R62">
        <v>519.79999999999995</v>
      </c>
      <c r="S62">
        <v>190</v>
      </c>
      <c r="T62">
        <v>0</v>
      </c>
      <c r="U62">
        <v>75</v>
      </c>
      <c r="X62">
        <v>174.9</v>
      </c>
      <c r="Y62">
        <v>79.900000000000006</v>
      </c>
      <c r="Z62">
        <v>79.900000000000006</v>
      </c>
      <c r="AA62">
        <v>0</v>
      </c>
      <c r="AB62" t="s">
        <v>470</v>
      </c>
      <c r="AF62" t="s">
        <v>678</v>
      </c>
      <c r="AG62" t="s">
        <v>678</v>
      </c>
      <c r="AH62" t="s">
        <v>467</v>
      </c>
      <c r="AI62">
        <v>99999</v>
      </c>
      <c r="AJ62">
        <v>99999</v>
      </c>
      <c r="AK62">
        <v>0</v>
      </c>
      <c r="AL62" t="b">
        <v>1</v>
      </c>
      <c r="AM62" t="b">
        <v>1</v>
      </c>
      <c r="AN62" t="b">
        <v>0</v>
      </c>
      <c r="AO62">
        <v>99999</v>
      </c>
      <c r="AP62" t="s">
        <v>63</v>
      </c>
      <c r="AR62" t="b">
        <v>1</v>
      </c>
      <c r="AS62">
        <v>0</v>
      </c>
      <c r="AT62" t="s">
        <v>63</v>
      </c>
      <c r="AV62" t="s">
        <v>679</v>
      </c>
    </row>
    <row r="63" spans="1:48" x14ac:dyDescent="0.25">
      <c r="A63" t="s">
        <v>462</v>
      </c>
      <c r="B63" t="s">
        <v>301</v>
      </c>
      <c r="C63" t="s">
        <v>61</v>
      </c>
      <c r="D63">
        <v>99999</v>
      </c>
      <c r="F63">
        <v>20000</v>
      </c>
      <c r="G63" t="b">
        <v>0</v>
      </c>
      <c r="H63" t="s">
        <v>323</v>
      </c>
      <c r="K63" t="s">
        <v>471</v>
      </c>
      <c r="L63" t="s">
        <v>302</v>
      </c>
      <c r="M63" t="s">
        <v>321</v>
      </c>
      <c r="N63" t="s">
        <v>62</v>
      </c>
      <c r="O63">
        <v>79.900000000000006</v>
      </c>
      <c r="R63">
        <v>519.79999999999995</v>
      </c>
      <c r="S63">
        <v>190</v>
      </c>
      <c r="T63">
        <v>0</v>
      </c>
      <c r="U63">
        <v>75</v>
      </c>
      <c r="X63">
        <v>174.9</v>
      </c>
      <c r="Y63">
        <v>79.900000000000006</v>
      </c>
      <c r="Z63">
        <v>79.900000000000006</v>
      </c>
      <c r="AA63">
        <v>0</v>
      </c>
      <c r="AB63" t="s">
        <v>470</v>
      </c>
      <c r="AF63" t="s">
        <v>601</v>
      </c>
      <c r="AG63" t="s">
        <v>601</v>
      </c>
      <c r="AH63" t="s">
        <v>467</v>
      </c>
      <c r="AI63">
        <v>99999</v>
      </c>
      <c r="AJ63">
        <v>99999</v>
      </c>
      <c r="AK63">
        <v>0</v>
      </c>
      <c r="AL63" t="b">
        <v>1</v>
      </c>
      <c r="AM63" t="b">
        <v>1</v>
      </c>
      <c r="AN63" t="b">
        <v>0</v>
      </c>
      <c r="AO63">
        <v>99999</v>
      </c>
      <c r="AP63" t="s">
        <v>63</v>
      </c>
      <c r="AR63" t="b">
        <v>1</v>
      </c>
      <c r="AS63">
        <v>0</v>
      </c>
      <c r="AT63" t="s">
        <v>63</v>
      </c>
      <c r="AV63" t="s">
        <v>602</v>
      </c>
    </row>
    <row r="64" spans="1:48" x14ac:dyDescent="0.25">
      <c r="A64" t="s">
        <v>462</v>
      </c>
      <c r="B64" t="s">
        <v>301</v>
      </c>
      <c r="C64" t="s">
        <v>61</v>
      </c>
      <c r="D64">
        <v>99999</v>
      </c>
      <c r="F64">
        <v>20000</v>
      </c>
      <c r="G64" t="b">
        <v>0</v>
      </c>
      <c r="H64" t="s">
        <v>323</v>
      </c>
      <c r="K64" t="s">
        <v>471</v>
      </c>
      <c r="L64" t="s">
        <v>302</v>
      </c>
      <c r="M64" t="s">
        <v>321</v>
      </c>
      <c r="N64" t="s">
        <v>62</v>
      </c>
      <c r="O64">
        <v>89.9</v>
      </c>
      <c r="R64">
        <v>519.79999999999995</v>
      </c>
      <c r="S64">
        <v>190</v>
      </c>
      <c r="T64">
        <v>0</v>
      </c>
      <c r="U64">
        <v>75</v>
      </c>
      <c r="X64">
        <v>174.9</v>
      </c>
      <c r="Y64">
        <v>79.900000000000006</v>
      </c>
      <c r="Z64">
        <v>79.900000000000006</v>
      </c>
      <c r="AA64">
        <v>0</v>
      </c>
      <c r="AB64" t="s">
        <v>470</v>
      </c>
      <c r="AF64" t="s">
        <v>479</v>
      </c>
      <c r="AG64" t="s">
        <v>479</v>
      </c>
      <c r="AH64" t="s">
        <v>467</v>
      </c>
      <c r="AI64">
        <v>99999</v>
      </c>
      <c r="AJ64">
        <v>99999</v>
      </c>
      <c r="AK64">
        <v>0</v>
      </c>
      <c r="AL64" t="b">
        <v>1</v>
      </c>
      <c r="AM64" t="b">
        <v>1</v>
      </c>
      <c r="AN64" t="b">
        <v>0</v>
      </c>
      <c r="AO64">
        <v>99999</v>
      </c>
      <c r="AP64" t="s">
        <v>63</v>
      </c>
      <c r="AR64" t="b">
        <v>1</v>
      </c>
      <c r="AS64">
        <v>0</v>
      </c>
      <c r="AT64" t="s">
        <v>63</v>
      </c>
      <c r="AV64" t="s">
        <v>480</v>
      </c>
    </row>
    <row r="65" spans="1:48" x14ac:dyDescent="0.25">
      <c r="A65" t="s">
        <v>462</v>
      </c>
      <c r="B65" t="s">
        <v>301</v>
      </c>
      <c r="C65" t="s">
        <v>61</v>
      </c>
      <c r="D65">
        <v>99999</v>
      </c>
      <c r="F65">
        <v>20000</v>
      </c>
      <c r="G65" t="b">
        <v>0</v>
      </c>
      <c r="H65" t="s">
        <v>323</v>
      </c>
      <c r="K65" t="s">
        <v>471</v>
      </c>
      <c r="L65" t="s">
        <v>302</v>
      </c>
      <c r="M65" t="s">
        <v>321</v>
      </c>
      <c r="N65" t="s">
        <v>62</v>
      </c>
      <c r="O65">
        <v>89.9</v>
      </c>
      <c r="R65">
        <v>519.79999999999995</v>
      </c>
      <c r="S65">
        <v>190</v>
      </c>
      <c r="T65">
        <v>0</v>
      </c>
      <c r="U65">
        <v>75</v>
      </c>
      <c r="X65">
        <v>174.9</v>
      </c>
      <c r="Y65">
        <v>79.900000000000006</v>
      </c>
      <c r="Z65">
        <v>79.900000000000006</v>
      </c>
      <c r="AA65">
        <v>0</v>
      </c>
      <c r="AB65" t="s">
        <v>470</v>
      </c>
      <c r="AF65" t="s">
        <v>528</v>
      </c>
      <c r="AG65" t="s">
        <v>528</v>
      </c>
      <c r="AH65" t="s">
        <v>467</v>
      </c>
      <c r="AI65">
        <v>99999</v>
      </c>
      <c r="AJ65">
        <v>99999</v>
      </c>
      <c r="AK65">
        <v>0</v>
      </c>
      <c r="AL65" t="b">
        <v>1</v>
      </c>
      <c r="AM65" t="b">
        <v>1</v>
      </c>
      <c r="AN65" t="b">
        <v>0</v>
      </c>
      <c r="AO65">
        <v>99999</v>
      </c>
      <c r="AP65" t="s">
        <v>63</v>
      </c>
      <c r="AR65" t="b">
        <v>1</v>
      </c>
      <c r="AS65">
        <v>0</v>
      </c>
      <c r="AT65" t="s">
        <v>63</v>
      </c>
      <c r="AV65" t="s">
        <v>529</v>
      </c>
    </row>
    <row r="66" spans="1:48" x14ac:dyDescent="0.25">
      <c r="A66" t="s">
        <v>462</v>
      </c>
      <c r="B66" t="s">
        <v>301</v>
      </c>
      <c r="C66" t="s">
        <v>61</v>
      </c>
      <c r="D66">
        <v>99999</v>
      </c>
      <c r="F66">
        <v>20000</v>
      </c>
      <c r="G66" t="b">
        <v>0</v>
      </c>
      <c r="H66" t="s">
        <v>323</v>
      </c>
      <c r="K66" t="s">
        <v>471</v>
      </c>
      <c r="L66" t="s">
        <v>302</v>
      </c>
      <c r="M66" t="s">
        <v>321</v>
      </c>
      <c r="N66" t="s">
        <v>62</v>
      </c>
      <c r="O66">
        <v>89.9</v>
      </c>
      <c r="R66">
        <v>514.79999999999995</v>
      </c>
      <c r="S66">
        <v>190</v>
      </c>
      <c r="T66">
        <v>0</v>
      </c>
      <c r="U66">
        <v>70</v>
      </c>
      <c r="X66">
        <v>174.9</v>
      </c>
      <c r="Y66">
        <v>79.900000000000006</v>
      </c>
      <c r="Z66">
        <v>79.900000000000006</v>
      </c>
      <c r="AA66">
        <v>0</v>
      </c>
      <c r="AB66" t="s">
        <v>470</v>
      </c>
      <c r="AF66" t="s">
        <v>622</v>
      </c>
      <c r="AG66" t="s">
        <v>622</v>
      </c>
      <c r="AH66" t="s">
        <v>467</v>
      </c>
      <c r="AI66">
        <v>99999</v>
      </c>
      <c r="AJ66">
        <v>99999</v>
      </c>
      <c r="AK66">
        <v>0</v>
      </c>
      <c r="AL66" t="b">
        <v>1</v>
      </c>
      <c r="AM66" t="b">
        <v>1</v>
      </c>
      <c r="AN66" t="b">
        <v>0</v>
      </c>
      <c r="AO66">
        <v>99999</v>
      </c>
      <c r="AP66" t="s">
        <v>63</v>
      </c>
      <c r="AR66" t="b">
        <v>1</v>
      </c>
      <c r="AS66">
        <v>0</v>
      </c>
      <c r="AT66" t="s">
        <v>63</v>
      </c>
      <c r="AV66" t="s">
        <v>623</v>
      </c>
    </row>
    <row r="67" spans="1:48" x14ac:dyDescent="0.25">
      <c r="A67" t="s">
        <v>462</v>
      </c>
      <c r="B67" t="s">
        <v>301</v>
      </c>
      <c r="C67" t="s">
        <v>61</v>
      </c>
      <c r="D67">
        <v>99999</v>
      </c>
      <c r="F67">
        <v>20000</v>
      </c>
      <c r="G67" t="b">
        <v>0</v>
      </c>
      <c r="H67" t="s">
        <v>324</v>
      </c>
      <c r="K67" t="s">
        <v>474</v>
      </c>
      <c r="L67" t="s">
        <v>302</v>
      </c>
      <c r="M67" t="s">
        <v>321</v>
      </c>
      <c r="N67" t="s">
        <v>62</v>
      </c>
      <c r="O67">
        <v>69.900000000000006</v>
      </c>
      <c r="R67">
        <v>529.79999999999995</v>
      </c>
      <c r="S67">
        <v>190</v>
      </c>
      <c r="T67">
        <v>0</v>
      </c>
      <c r="U67">
        <v>75</v>
      </c>
      <c r="X67">
        <v>184.9</v>
      </c>
      <c r="Y67">
        <v>79.900000000000006</v>
      </c>
      <c r="Z67">
        <v>79.900000000000006</v>
      </c>
      <c r="AA67">
        <v>0</v>
      </c>
      <c r="AB67" t="s">
        <v>470</v>
      </c>
      <c r="AF67" t="s">
        <v>678</v>
      </c>
      <c r="AG67" t="s">
        <v>678</v>
      </c>
      <c r="AH67" t="s">
        <v>467</v>
      </c>
      <c r="AI67">
        <v>99999</v>
      </c>
      <c r="AJ67">
        <v>99999</v>
      </c>
      <c r="AK67">
        <v>0</v>
      </c>
      <c r="AL67" t="b">
        <v>1</v>
      </c>
      <c r="AM67" t="b">
        <v>1</v>
      </c>
      <c r="AN67" t="b">
        <v>0</v>
      </c>
      <c r="AO67">
        <v>99999</v>
      </c>
      <c r="AP67" t="s">
        <v>63</v>
      </c>
      <c r="AR67" t="b">
        <v>1</v>
      </c>
      <c r="AS67">
        <v>0</v>
      </c>
      <c r="AT67" t="s">
        <v>63</v>
      </c>
      <c r="AV67" t="s">
        <v>683</v>
      </c>
    </row>
    <row r="68" spans="1:48" x14ac:dyDescent="0.25">
      <c r="A68" t="s">
        <v>462</v>
      </c>
      <c r="B68" t="s">
        <v>301</v>
      </c>
      <c r="C68" t="s">
        <v>61</v>
      </c>
      <c r="D68">
        <v>99999</v>
      </c>
      <c r="F68">
        <v>20000</v>
      </c>
      <c r="G68" t="b">
        <v>0</v>
      </c>
      <c r="H68" t="s">
        <v>324</v>
      </c>
      <c r="K68" t="s">
        <v>474</v>
      </c>
      <c r="L68" t="s">
        <v>302</v>
      </c>
      <c r="M68" t="s">
        <v>321</v>
      </c>
      <c r="N68" t="s">
        <v>62</v>
      </c>
      <c r="O68">
        <v>79.900000000000006</v>
      </c>
      <c r="R68">
        <v>529.79999999999995</v>
      </c>
      <c r="S68">
        <v>190</v>
      </c>
      <c r="T68">
        <v>0</v>
      </c>
      <c r="U68">
        <v>75</v>
      </c>
      <c r="X68">
        <v>184.9</v>
      </c>
      <c r="Y68">
        <v>79.900000000000006</v>
      </c>
      <c r="Z68">
        <v>79.900000000000006</v>
      </c>
      <c r="AA68">
        <v>0</v>
      </c>
      <c r="AB68" t="s">
        <v>470</v>
      </c>
      <c r="AF68" t="s">
        <v>601</v>
      </c>
      <c r="AG68" t="s">
        <v>601</v>
      </c>
      <c r="AH68" t="s">
        <v>467</v>
      </c>
      <c r="AI68">
        <v>99999</v>
      </c>
      <c r="AJ68">
        <v>99999</v>
      </c>
      <c r="AK68">
        <v>0</v>
      </c>
      <c r="AL68" t="b">
        <v>1</v>
      </c>
      <c r="AM68" t="b">
        <v>1</v>
      </c>
      <c r="AN68" t="b">
        <v>0</v>
      </c>
      <c r="AO68">
        <v>99999</v>
      </c>
      <c r="AP68" t="s">
        <v>63</v>
      </c>
      <c r="AR68" t="b">
        <v>1</v>
      </c>
      <c r="AS68">
        <v>0</v>
      </c>
      <c r="AT68" t="s">
        <v>63</v>
      </c>
      <c r="AV68" t="s">
        <v>606</v>
      </c>
    </row>
    <row r="69" spans="1:48" x14ac:dyDescent="0.25">
      <c r="A69" t="s">
        <v>462</v>
      </c>
      <c r="B69" t="s">
        <v>301</v>
      </c>
      <c r="C69" t="s">
        <v>61</v>
      </c>
      <c r="D69">
        <v>99999</v>
      </c>
      <c r="F69">
        <v>20000</v>
      </c>
      <c r="G69" t="b">
        <v>0</v>
      </c>
      <c r="H69" t="s">
        <v>324</v>
      </c>
      <c r="K69" t="s">
        <v>474</v>
      </c>
      <c r="L69" t="s">
        <v>302</v>
      </c>
      <c r="M69" t="s">
        <v>321</v>
      </c>
      <c r="N69" t="s">
        <v>62</v>
      </c>
      <c r="O69">
        <v>89.9</v>
      </c>
      <c r="R69">
        <v>529.79999999999995</v>
      </c>
      <c r="S69">
        <v>190</v>
      </c>
      <c r="T69">
        <v>0</v>
      </c>
      <c r="U69">
        <v>75</v>
      </c>
      <c r="X69">
        <v>184.9</v>
      </c>
      <c r="Y69">
        <v>79.900000000000006</v>
      </c>
      <c r="Z69">
        <v>79.900000000000006</v>
      </c>
      <c r="AA69">
        <v>0</v>
      </c>
      <c r="AB69" t="s">
        <v>470</v>
      </c>
      <c r="AF69" t="s">
        <v>479</v>
      </c>
      <c r="AG69" t="s">
        <v>479</v>
      </c>
      <c r="AH69" t="s">
        <v>467</v>
      </c>
      <c r="AI69">
        <v>99999</v>
      </c>
      <c r="AJ69">
        <v>99999</v>
      </c>
      <c r="AK69">
        <v>0</v>
      </c>
      <c r="AL69" t="b">
        <v>1</v>
      </c>
      <c r="AM69" t="b">
        <v>1</v>
      </c>
      <c r="AN69" t="b">
        <v>0</v>
      </c>
      <c r="AO69">
        <v>99999</v>
      </c>
      <c r="AP69" t="s">
        <v>63</v>
      </c>
      <c r="AR69" t="b">
        <v>1</v>
      </c>
      <c r="AS69">
        <v>0</v>
      </c>
      <c r="AT69" t="s">
        <v>63</v>
      </c>
      <c r="AV69" t="s">
        <v>484</v>
      </c>
    </row>
    <row r="70" spans="1:48" x14ac:dyDescent="0.25">
      <c r="A70" t="s">
        <v>462</v>
      </c>
      <c r="B70" t="s">
        <v>301</v>
      </c>
      <c r="C70" t="s">
        <v>61</v>
      </c>
      <c r="D70">
        <v>99999</v>
      </c>
      <c r="F70">
        <v>20000</v>
      </c>
      <c r="G70" t="b">
        <v>0</v>
      </c>
      <c r="H70" t="s">
        <v>324</v>
      </c>
      <c r="K70" t="s">
        <v>474</v>
      </c>
      <c r="L70" t="s">
        <v>302</v>
      </c>
      <c r="M70" t="s">
        <v>321</v>
      </c>
      <c r="N70" t="s">
        <v>62</v>
      </c>
      <c r="O70">
        <v>89.9</v>
      </c>
      <c r="R70">
        <v>529.79999999999995</v>
      </c>
      <c r="S70">
        <v>190</v>
      </c>
      <c r="T70">
        <v>0</v>
      </c>
      <c r="U70">
        <v>75</v>
      </c>
      <c r="X70">
        <v>184.9</v>
      </c>
      <c r="Y70">
        <v>79.900000000000006</v>
      </c>
      <c r="Z70">
        <v>79.900000000000006</v>
      </c>
      <c r="AA70">
        <v>0</v>
      </c>
      <c r="AB70" t="s">
        <v>470</v>
      </c>
      <c r="AF70" t="s">
        <v>528</v>
      </c>
      <c r="AG70" t="s">
        <v>528</v>
      </c>
      <c r="AH70" t="s">
        <v>467</v>
      </c>
      <c r="AI70">
        <v>99999</v>
      </c>
      <c r="AJ70">
        <v>99999</v>
      </c>
      <c r="AK70">
        <v>0</v>
      </c>
      <c r="AL70" t="b">
        <v>1</v>
      </c>
      <c r="AM70" t="b">
        <v>1</v>
      </c>
      <c r="AN70" t="b">
        <v>0</v>
      </c>
      <c r="AO70">
        <v>99999</v>
      </c>
      <c r="AP70" t="s">
        <v>63</v>
      </c>
      <c r="AR70" t="b">
        <v>1</v>
      </c>
      <c r="AS70">
        <v>0</v>
      </c>
      <c r="AT70" t="s">
        <v>63</v>
      </c>
      <c r="AV70" t="s">
        <v>533</v>
      </c>
    </row>
    <row r="71" spans="1:48" x14ac:dyDescent="0.25">
      <c r="A71" t="s">
        <v>462</v>
      </c>
      <c r="B71" t="s">
        <v>301</v>
      </c>
      <c r="C71" t="s">
        <v>61</v>
      </c>
      <c r="D71">
        <v>99999</v>
      </c>
      <c r="F71">
        <v>20000</v>
      </c>
      <c r="G71" t="b">
        <v>0</v>
      </c>
      <c r="H71" t="s">
        <v>324</v>
      </c>
      <c r="K71" t="s">
        <v>474</v>
      </c>
      <c r="L71" t="s">
        <v>302</v>
      </c>
      <c r="M71" t="s">
        <v>321</v>
      </c>
      <c r="N71" t="s">
        <v>62</v>
      </c>
      <c r="O71">
        <v>89.9</v>
      </c>
      <c r="R71">
        <v>524.79999999999995</v>
      </c>
      <c r="S71">
        <v>190</v>
      </c>
      <c r="T71">
        <v>0</v>
      </c>
      <c r="U71">
        <v>70</v>
      </c>
      <c r="X71">
        <v>184.9</v>
      </c>
      <c r="Y71">
        <v>79.900000000000006</v>
      </c>
      <c r="Z71">
        <v>79.900000000000006</v>
      </c>
      <c r="AA71">
        <v>0</v>
      </c>
      <c r="AB71" t="s">
        <v>470</v>
      </c>
      <c r="AF71" t="s">
        <v>622</v>
      </c>
      <c r="AG71" t="s">
        <v>622</v>
      </c>
      <c r="AH71" t="s">
        <v>467</v>
      </c>
      <c r="AI71">
        <v>99999</v>
      </c>
      <c r="AJ71">
        <v>99999</v>
      </c>
      <c r="AK71">
        <v>0</v>
      </c>
      <c r="AL71" t="b">
        <v>1</v>
      </c>
      <c r="AM71" t="b">
        <v>1</v>
      </c>
      <c r="AN71" t="b">
        <v>0</v>
      </c>
      <c r="AO71">
        <v>99999</v>
      </c>
      <c r="AP71" t="s">
        <v>63</v>
      </c>
      <c r="AR71" t="b">
        <v>1</v>
      </c>
      <c r="AS71">
        <v>0</v>
      </c>
      <c r="AT71" t="s">
        <v>63</v>
      </c>
      <c r="AV71" t="s">
        <v>627</v>
      </c>
    </row>
    <row r="72" spans="1:48" x14ac:dyDescent="0.25">
      <c r="A72" t="s">
        <v>462</v>
      </c>
      <c r="B72" t="s">
        <v>301</v>
      </c>
      <c r="C72" t="s">
        <v>61</v>
      </c>
      <c r="D72">
        <v>99999</v>
      </c>
      <c r="F72">
        <v>20000</v>
      </c>
      <c r="G72" t="b">
        <v>0</v>
      </c>
      <c r="H72" t="s">
        <v>324</v>
      </c>
      <c r="K72" t="s">
        <v>502</v>
      </c>
      <c r="L72" t="s">
        <v>302</v>
      </c>
      <c r="M72" t="s">
        <v>321</v>
      </c>
      <c r="N72" t="s">
        <v>62</v>
      </c>
      <c r="O72">
        <v>69.900000000000006</v>
      </c>
      <c r="R72">
        <v>554.79999999999995</v>
      </c>
      <c r="S72">
        <v>190</v>
      </c>
      <c r="T72">
        <v>0</v>
      </c>
      <c r="U72">
        <v>75</v>
      </c>
      <c r="X72">
        <v>184.9</v>
      </c>
      <c r="Y72">
        <v>104.9</v>
      </c>
      <c r="Z72">
        <v>104.9</v>
      </c>
      <c r="AA72">
        <v>0</v>
      </c>
      <c r="AB72" t="s">
        <v>497</v>
      </c>
      <c r="AF72" t="s">
        <v>651</v>
      </c>
      <c r="AG72" t="s">
        <v>651</v>
      </c>
      <c r="AH72" t="s">
        <v>467</v>
      </c>
      <c r="AI72">
        <v>99999</v>
      </c>
      <c r="AJ72">
        <v>99999</v>
      </c>
      <c r="AK72">
        <v>0</v>
      </c>
      <c r="AL72" t="b">
        <v>1</v>
      </c>
      <c r="AM72" t="b">
        <v>1</v>
      </c>
      <c r="AN72" t="b">
        <v>0</v>
      </c>
      <c r="AO72">
        <v>99999</v>
      </c>
      <c r="AP72" t="s">
        <v>63</v>
      </c>
      <c r="AR72" t="b">
        <v>1</v>
      </c>
      <c r="AS72">
        <v>0</v>
      </c>
      <c r="AT72" t="s">
        <v>63</v>
      </c>
      <c r="AV72" t="s">
        <v>659</v>
      </c>
    </row>
    <row r="73" spans="1:48" x14ac:dyDescent="0.25">
      <c r="A73" t="s">
        <v>462</v>
      </c>
      <c r="B73" t="s">
        <v>301</v>
      </c>
      <c r="C73" t="s">
        <v>61</v>
      </c>
      <c r="D73">
        <v>99999</v>
      </c>
      <c r="F73">
        <v>20000</v>
      </c>
      <c r="G73" t="b">
        <v>0</v>
      </c>
      <c r="H73" t="s">
        <v>324</v>
      </c>
      <c r="K73" t="s">
        <v>502</v>
      </c>
      <c r="L73" t="s">
        <v>302</v>
      </c>
      <c r="M73" t="s">
        <v>321</v>
      </c>
      <c r="N73" t="s">
        <v>62</v>
      </c>
      <c r="O73">
        <v>79.900000000000006</v>
      </c>
      <c r="R73">
        <v>554.79999999999995</v>
      </c>
      <c r="S73">
        <v>190</v>
      </c>
      <c r="T73">
        <v>0</v>
      </c>
      <c r="U73">
        <v>75</v>
      </c>
      <c r="X73">
        <v>184.9</v>
      </c>
      <c r="Y73">
        <v>104.9</v>
      </c>
      <c r="Z73">
        <v>104.9</v>
      </c>
      <c r="AA73">
        <v>0</v>
      </c>
      <c r="AB73" t="s">
        <v>497</v>
      </c>
      <c r="AF73" t="s">
        <v>574</v>
      </c>
      <c r="AG73" t="s">
        <v>574</v>
      </c>
      <c r="AH73" t="s">
        <v>467</v>
      </c>
      <c r="AI73">
        <v>99999</v>
      </c>
      <c r="AJ73">
        <v>99999</v>
      </c>
      <c r="AK73">
        <v>0</v>
      </c>
      <c r="AL73" t="b">
        <v>1</v>
      </c>
      <c r="AM73" t="b">
        <v>1</v>
      </c>
      <c r="AN73" t="b">
        <v>0</v>
      </c>
      <c r="AO73">
        <v>99999</v>
      </c>
      <c r="AP73" t="s">
        <v>63</v>
      </c>
      <c r="AR73" t="b">
        <v>1</v>
      </c>
      <c r="AS73">
        <v>0</v>
      </c>
      <c r="AT73" t="s">
        <v>63</v>
      </c>
      <c r="AV73" t="s">
        <v>582</v>
      </c>
    </row>
    <row r="74" spans="1:48" x14ac:dyDescent="0.25">
      <c r="A74" t="s">
        <v>462</v>
      </c>
      <c r="B74" t="s">
        <v>301</v>
      </c>
      <c r="C74" t="s">
        <v>61</v>
      </c>
      <c r="D74">
        <v>99999</v>
      </c>
      <c r="F74">
        <v>20000</v>
      </c>
      <c r="G74" t="b">
        <v>0</v>
      </c>
      <c r="H74" t="s">
        <v>324</v>
      </c>
      <c r="K74" t="s">
        <v>502</v>
      </c>
      <c r="L74" t="s">
        <v>302</v>
      </c>
      <c r="M74" t="s">
        <v>321</v>
      </c>
      <c r="N74" t="s">
        <v>62</v>
      </c>
      <c r="O74">
        <v>89.9</v>
      </c>
      <c r="R74">
        <v>554.79999999999995</v>
      </c>
      <c r="S74">
        <v>190</v>
      </c>
      <c r="T74">
        <v>0</v>
      </c>
      <c r="U74">
        <v>75</v>
      </c>
      <c r="X74">
        <v>184.9</v>
      </c>
      <c r="Y74">
        <v>104.9</v>
      </c>
      <c r="Z74">
        <v>104.9</v>
      </c>
      <c r="AA74">
        <v>0</v>
      </c>
      <c r="AB74" t="s">
        <v>497</v>
      </c>
      <c r="AF74" t="s">
        <v>504</v>
      </c>
      <c r="AG74" t="s">
        <v>504</v>
      </c>
      <c r="AH74" t="s">
        <v>467</v>
      </c>
      <c r="AI74">
        <v>99999</v>
      </c>
      <c r="AJ74">
        <v>99999</v>
      </c>
      <c r="AK74">
        <v>0</v>
      </c>
      <c r="AL74" t="b">
        <v>1</v>
      </c>
      <c r="AM74" t="b">
        <v>1</v>
      </c>
      <c r="AN74" t="b">
        <v>0</v>
      </c>
      <c r="AO74">
        <v>99999</v>
      </c>
      <c r="AP74" t="s">
        <v>63</v>
      </c>
      <c r="AR74" t="b">
        <v>1</v>
      </c>
      <c r="AS74">
        <v>0</v>
      </c>
      <c r="AT74" t="s">
        <v>63</v>
      </c>
      <c r="AV74" t="s">
        <v>512</v>
      </c>
    </row>
    <row r="75" spans="1:48" x14ac:dyDescent="0.25">
      <c r="A75" t="s">
        <v>462</v>
      </c>
      <c r="B75" t="s">
        <v>301</v>
      </c>
      <c r="C75" t="s">
        <v>61</v>
      </c>
      <c r="D75">
        <v>99999</v>
      </c>
      <c r="F75">
        <v>20000</v>
      </c>
      <c r="G75" t="b">
        <v>0</v>
      </c>
      <c r="H75" t="s">
        <v>324</v>
      </c>
      <c r="K75" t="s">
        <v>502</v>
      </c>
      <c r="L75" t="s">
        <v>302</v>
      </c>
      <c r="M75" t="s">
        <v>321</v>
      </c>
      <c r="N75" t="s">
        <v>62</v>
      </c>
      <c r="O75">
        <v>89.9</v>
      </c>
      <c r="R75">
        <v>554.79999999999995</v>
      </c>
      <c r="S75">
        <v>190</v>
      </c>
      <c r="T75">
        <v>0</v>
      </c>
      <c r="U75">
        <v>75</v>
      </c>
      <c r="X75">
        <v>184.9</v>
      </c>
      <c r="Y75">
        <v>104.9</v>
      </c>
      <c r="Z75">
        <v>104.9</v>
      </c>
      <c r="AA75">
        <v>0</v>
      </c>
      <c r="AB75" t="s">
        <v>497</v>
      </c>
      <c r="AF75" t="s">
        <v>547</v>
      </c>
      <c r="AG75" t="s">
        <v>547</v>
      </c>
      <c r="AH75" t="s">
        <v>467</v>
      </c>
      <c r="AI75">
        <v>99999</v>
      </c>
      <c r="AJ75">
        <v>99999</v>
      </c>
      <c r="AK75">
        <v>0</v>
      </c>
      <c r="AL75" t="b">
        <v>1</v>
      </c>
      <c r="AM75" t="b">
        <v>1</v>
      </c>
      <c r="AN75" t="b">
        <v>0</v>
      </c>
      <c r="AO75">
        <v>99999</v>
      </c>
      <c r="AP75" t="s">
        <v>63</v>
      </c>
      <c r="AR75" t="b">
        <v>1</v>
      </c>
      <c r="AS75">
        <v>0</v>
      </c>
      <c r="AT75" t="s">
        <v>63</v>
      </c>
      <c r="AV75" t="s">
        <v>555</v>
      </c>
    </row>
    <row r="76" spans="1:48" x14ac:dyDescent="0.25">
      <c r="A76" t="s">
        <v>462</v>
      </c>
      <c r="B76" t="s">
        <v>301</v>
      </c>
      <c r="C76" t="s">
        <v>61</v>
      </c>
      <c r="D76">
        <v>99999</v>
      </c>
      <c r="F76">
        <v>20000</v>
      </c>
      <c r="G76" t="b">
        <v>0</v>
      </c>
      <c r="H76" t="s">
        <v>324</v>
      </c>
      <c r="K76" t="s">
        <v>502</v>
      </c>
      <c r="L76" t="s">
        <v>302</v>
      </c>
      <c r="M76" t="s">
        <v>321</v>
      </c>
      <c r="N76" t="s">
        <v>62</v>
      </c>
      <c r="O76">
        <v>89.9</v>
      </c>
      <c r="R76">
        <v>549.79999999999995</v>
      </c>
      <c r="S76">
        <v>190</v>
      </c>
      <c r="T76">
        <v>0</v>
      </c>
      <c r="U76">
        <v>70</v>
      </c>
      <c r="X76">
        <v>184.9</v>
      </c>
      <c r="Y76">
        <v>104.9</v>
      </c>
      <c r="Z76">
        <v>104.9</v>
      </c>
      <c r="AA76">
        <v>0</v>
      </c>
      <c r="AB76" t="s">
        <v>497</v>
      </c>
      <c r="AF76" t="s">
        <v>635</v>
      </c>
      <c r="AG76" t="s">
        <v>635</v>
      </c>
      <c r="AH76" t="s">
        <v>467</v>
      </c>
      <c r="AI76">
        <v>99999</v>
      </c>
      <c r="AJ76">
        <v>99999</v>
      </c>
      <c r="AK76">
        <v>0</v>
      </c>
      <c r="AL76" t="b">
        <v>1</v>
      </c>
      <c r="AM76" t="b">
        <v>1</v>
      </c>
      <c r="AN76" t="b">
        <v>0</v>
      </c>
      <c r="AO76">
        <v>99999</v>
      </c>
      <c r="AP76" t="s">
        <v>63</v>
      </c>
      <c r="AR76" t="b">
        <v>1</v>
      </c>
      <c r="AS76">
        <v>0</v>
      </c>
      <c r="AT76" t="s">
        <v>63</v>
      </c>
      <c r="AV76" t="s">
        <v>643</v>
      </c>
    </row>
    <row r="77" spans="1:48" x14ac:dyDescent="0.25">
      <c r="A77" t="s">
        <v>462</v>
      </c>
      <c r="B77" t="s">
        <v>301</v>
      </c>
      <c r="C77" t="s">
        <v>61</v>
      </c>
      <c r="D77">
        <v>99999</v>
      </c>
      <c r="F77">
        <v>20000</v>
      </c>
      <c r="G77" t="b">
        <v>0</v>
      </c>
      <c r="H77" t="s">
        <v>324</v>
      </c>
      <c r="K77" t="s">
        <v>494</v>
      </c>
      <c r="L77" t="s">
        <v>302</v>
      </c>
      <c r="M77" t="s">
        <v>321</v>
      </c>
      <c r="N77" t="s">
        <v>62</v>
      </c>
      <c r="O77">
        <v>69.900000000000006</v>
      </c>
      <c r="R77">
        <v>534.79999999999995</v>
      </c>
      <c r="S77">
        <v>190</v>
      </c>
      <c r="T77">
        <v>0</v>
      </c>
      <c r="U77">
        <v>75</v>
      </c>
      <c r="X77">
        <v>184.9</v>
      </c>
      <c r="Y77">
        <v>84.9</v>
      </c>
      <c r="Z77">
        <v>84.9</v>
      </c>
      <c r="AA77">
        <v>0</v>
      </c>
      <c r="AB77" t="s">
        <v>497</v>
      </c>
      <c r="AF77" t="s">
        <v>651</v>
      </c>
      <c r="AG77" t="s">
        <v>651</v>
      </c>
      <c r="AH77" t="s">
        <v>467</v>
      </c>
      <c r="AI77">
        <v>99999</v>
      </c>
      <c r="AJ77">
        <v>99999</v>
      </c>
      <c r="AK77">
        <v>0</v>
      </c>
      <c r="AL77" t="b">
        <v>1</v>
      </c>
      <c r="AM77" t="b">
        <v>1</v>
      </c>
      <c r="AN77" t="b">
        <v>0</v>
      </c>
      <c r="AO77">
        <v>99999</v>
      </c>
      <c r="AP77" t="s">
        <v>63</v>
      </c>
      <c r="AR77" t="b">
        <v>1</v>
      </c>
      <c r="AS77">
        <v>0</v>
      </c>
      <c r="AT77" t="s">
        <v>63</v>
      </c>
      <c r="AV77" t="s">
        <v>653</v>
      </c>
    </row>
    <row r="78" spans="1:48" x14ac:dyDescent="0.25">
      <c r="A78" t="s">
        <v>462</v>
      </c>
      <c r="B78" t="s">
        <v>301</v>
      </c>
      <c r="C78" t="s">
        <v>61</v>
      </c>
      <c r="D78">
        <v>99999</v>
      </c>
      <c r="F78">
        <v>20000</v>
      </c>
      <c r="G78" t="b">
        <v>0</v>
      </c>
      <c r="H78" t="s">
        <v>324</v>
      </c>
      <c r="K78" t="s">
        <v>494</v>
      </c>
      <c r="L78" t="s">
        <v>302</v>
      </c>
      <c r="M78" t="s">
        <v>321</v>
      </c>
      <c r="N78" t="s">
        <v>62</v>
      </c>
      <c r="O78">
        <v>79.900000000000006</v>
      </c>
      <c r="R78">
        <v>534.79999999999995</v>
      </c>
      <c r="S78">
        <v>190</v>
      </c>
      <c r="T78">
        <v>0</v>
      </c>
      <c r="U78">
        <v>75</v>
      </c>
      <c r="X78">
        <v>184.9</v>
      </c>
      <c r="Y78">
        <v>84.9</v>
      </c>
      <c r="Z78">
        <v>84.9</v>
      </c>
      <c r="AA78">
        <v>0</v>
      </c>
      <c r="AB78" t="s">
        <v>497</v>
      </c>
      <c r="AF78" t="s">
        <v>574</v>
      </c>
      <c r="AG78" t="s">
        <v>574</v>
      </c>
      <c r="AH78" t="s">
        <v>467</v>
      </c>
      <c r="AI78">
        <v>99999</v>
      </c>
      <c r="AJ78">
        <v>99999</v>
      </c>
      <c r="AK78">
        <v>0</v>
      </c>
      <c r="AL78" t="b">
        <v>1</v>
      </c>
      <c r="AM78" t="b">
        <v>1</v>
      </c>
      <c r="AN78" t="b">
        <v>0</v>
      </c>
      <c r="AO78">
        <v>99999</v>
      </c>
      <c r="AP78" t="s">
        <v>63</v>
      </c>
      <c r="AR78" t="b">
        <v>1</v>
      </c>
      <c r="AS78">
        <v>0</v>
      </c>
      <c r="AT78" t="s">
        <v>63</v>
      </c>
      <c r="AV78" t="s">
        <v>576</v>
      </c>
    </row>
    <row r="79" spans="1:48" x14ac:dyDescent="0.25">
      <c r="A79" t="s">
        <v>462</v>
      </c>
      <c r="B79" t="s">
        <v>301</v>
      </c>
      <c r="C79" t="s">
        <v>61</v>
      </c>
      <c r="D79">
        <v>99999</v>
      </c>
      <c r="F79">
        <v>20000</v>
      </c>
      <c r="G79" t="b">
        <v>0</v>
      </c>
      <c r="H79" t="s">
        <v>324</v>
      </c>
      <c r="K79" t="s">
        <v>494</v>
      </c>
      <c r="L79" t="s">
        <v>302</v>
      </c>
      <c r="M79" t="s">
        <v>321</v>
      </c>
      <c r="N79" t="s">
        <v>62</v>
      </c>
      <c r="O79">
        <v>89.9</v>
      </c>
      <c r="R79">
        <v>534.79999999999995</v>
      </c>
      <c r="S79">
        <v>190</v>
      </c>
      <c r="T79">
        <v>0</v>
      </c>
      <c r="U79">
        <v>75</v>
      </c>
      <c r="X79">
        <v>184.9</v>
      </c>
      <c r="Y79">
        <v>84.9</v>
      </c>
      <c r="Z79">
        <v>84.9</v>
      </c>
      <c r="AA79">
        <v>0</v>
      </c>
      <c r="AB79" t="s">
        <v>497</v>
      </c>
      <c r="AF79" t="s">
        <v>504</v>
      </c>
      <c r="AG79" t="s">
        <v>504</v>
      </c>
      <c r="AH79" t="s">
        <v>467</v>
      </c>
      <c r="AI79">
        <v>99999</v>
      </c>
      <c r="AJ79">
        <v>99999</v>
      </c>
      <c r="AK79">
        <v>0</v>
      </c>
      <c r="AL79" t="b">
        <v>1</v>
      </c>
      <c r="AM79" t="b">
        <v>1</v>
      </c>
      <c r="AN79" t="b">
        <v>0</v>
      </c>
      <c r="AO79">
        <v>99999</v>
      </c>
      <c r="AP79" t="s">
        <v>63</v>
      </c>
      <c r="AR79" t="b">
        <v>1</v>
      </c>
      <c r="AS79">
        <v>0</v>
      </c>
      <c r="AT79" t="s">
        <v>63</v>
      </c>
      <c r="AV79" t="s">
        <v>506</v>
      </c>
    </row>
    <row r="80" spans="1:48" x14ac:dyDescent="0.25">
      <c r="A80" t="s">
        <v>462</v>
      </c>
      <c r="B80" t="s">
        <v>301</v>
      </c>
      <c r="C80" t="s">
        <v>61</v>
      </c>
      <c r="D80">
        <v>99999</v>
      </c>
      <c r="F80">
        <v>20000</v>
      </c>
      <c r="G80" t="b">
        <v>0</v>
      </c>
      <c r="H80" t="s">
        <v>324</v>
      </c>
      <c r="K80" t="s">
        <v>494</v>
      </c>
      <c r="L80" t="s">
        <v>302</v>
      </c>
      <c r="M80" t="s">
        <v>321</v>
      </c>
      <c r="N80" t="s">
        <v>62</v>
      </c>
      <c r="O80">
        <v>89.9</v>
      </c>
      <c r="R80">
        <v>534.79999999999995</v>
      </c>
      <c r="S80">
        <v>190</v>
      </c>
      <c r="T80">
        <v>0</v>
      </c>
      <c r="U80">
        <v>75</v>
      </c>
      <c r="X80">
        <v>184.9</v>
      </c>
      <c r="Y80">
        <v>84.9</v>
      </c>
      <c r="Z80">
        <v>84.9</v>
      </c>
      <c r="AA80">
        <v>0</v>
      </c>
      <c r="AB80" t="s">
        <v>497</v>
      </c>
      <c r="AF80" t="s">
        <v>547</v>
      </c>
      <c r="AG80" t="s">
        <v>547</v>
      </c>
      <c r="AH80" t="s">
        <v>467</v>
      </c>
      <c r="AI80">
        <v>99999</v>
      </c>
      <c r="AJ80">
        <v>99999</v>
      </c>
      <c r="AK80">
        <v>0</v>
      </c>
      <c r="AL80" t="b">
        <v>1</v>
      </c>
      <c r="AM80" t="b">
        <v>1</v>
      </c>
      <c r="AN80" t="b">
        <v>0</v>
      </c>
      <c r="AO80">
        <v>99999</v>
      </c>
      <c r="AP80" t="s">
        <v>63</v>
      </c>
      <c r="AR80" t="b">
        <v>1</v>
      </c>
      <c r="AS80">
        <v>0</v>
      </c>
      <c r="AT80" t="s">
        <v>63</v>
      </c>
      <c r="AV80" t="s">
        <v>549</v>
      </c>
    </row>
    <row r="81" spans="1:48" x14ac:dyDescent="0.25">
      <c r="A81" t="s">
        <v>462</v>
      </c>
      <c r="B81" t="s">
        <v>301</v>
      </c>
      <c r="C81" t="s">
        <v>61</v>
      </c>
      <c r="D81">
        <v>99999</v>
      </c>
      <c r="F81">
        <v>20000</v>
      </c>
      <c r="G81" t="b">
        <v>0</v>
      </c>
      <c r="H81" t="s">
        <v>324</v>
      </c>
      <c r="K81" t="s">
        <v>494</v>
      </c>
      <c r="L81" t="s">
        <v>302</v>
      </c>
      <c r="M81" t="s">
        <v>321</v>
      </c>
      <c r="N81" t="s">
        <v>62</v>
      </c>
      <c r="O81">
        <v>89.9</v>
      </c>
      <c r="R81">
        <v>529.79999999999995</v>
      </c>
      <c r="S81">
        <v>190</v>
      </c>
      <c r="T81">
        <v>0</v>
      </c>
      <c r="U81">
        <v>70</v>
      </c>
      <c r="X81">
        <v>184.9</v>
      </c>
      <c r="Y81">
        <v>84.9</v>
      </c>
      <c r="Z81">
        <v>84.9</v>
      </c>
      <c r="AA81">
        <v>0</v>
      </c>
      <c r="AB81" t="s">
        <v>497</v>
      </c>
      <c r="AF81" t="s">
        <v>635</v>
      </c>
      <c r="AG81" t="s">
        <v>635</v>
      </c>
      <c r="AH81" t="s">
        <v>467</v>
      </c>
      <c r="AI81">
        <v>99999</v>
      </c>
      <c r="AJ81">
        <v>99999</v>
      </c>
      <c r="AK81">
        <v>0</v>
      </c>
      <c r="AL81" t="b">
        <v>1</v>
      </c>
      <c r="AM81" t="b">
        <v>1</v>
      </c>
      <c r="AN81" t="b">
        <v>0</v>
      </c>
      <c r="AO81">
        <v>99999</v>
      </c>
      <c r="AP81" t="s">
        <v>63</v>
      </c>
      <c r="AR81" t="b">
        <v>1</v>
      </c>
      <c r="AS81">
        <v>0</v>
      </c>
      <c r="AT81" t="s">
        <v>63</v>
      </c>
      <c r="AV81" t="s">
        <v>637</v>
      </c>
    </row>
    <row r="82" spans="1:48" x14ac:dyDescent="0.25">
      <c r="A82" t="s">
        <v>462</v>
      </c>
      <c r="B82" t="s">
        <v>301</v>
      </c>
      <c r="C82" t="s">
        <v>61</v>
      </c>
      <c r="D82">
        <v>99999</v>
      </c>
      <c r="F82">
        <v>20000</v>
      </c>
      <c r="G82" t="b">
        <v>0</v>
      </c>
      <c r="H82" t="s">
        <v>324</v>
      </c>
      <c r="K82" t="s">
        <v>500</v>
      </c>
      <c r="L82" t="s">
        <v>302</v>
      </c>
      <c r="M82" t="s">
        <v>321</v>
      </c>
      <c r="N82" t="s">
        <v>62</v>
      </c>
      <c r="O82">
        <v>69.900000000000006</v>
      </c>
      <c r="R82">
        <v>544.79999999999995</v>
      </c>
      <c r="S82">
        <v>190</v>
      </c>
      <c r="T82">
        <v>0</v>
      </c>
      <c r="U82">
        <v>75</v>
      </c>
      <c r="X82">
        <v>184.9</v>
      </c>
      <c r="Y82">
        <v>94.9</v>
      </c>
      <c r="Z82">
        <v>94.9</v>
      </c>
      <c r="AA82">
        <v>0</v>
      </c>
      <c r="AB82" t="s">
        <v>497</v>
      </c>
      <c r="AF82" t="s">
        <v>651</v>
      </c>
      <c r="AG82" t="s">
        <v>651</v>
      </c>
      <c r="AH82" t="s">
        <v>467</v>
      </c>
      <c r="AI82">
        <v>99999</v>
      </c>
      <c r="AJ82">
        <v>99999</v>
      </c>
      <c r="AK82">
        <v>0</v>
      </c>
      <c r="AL82" t="b">
        <v>1</v>
      </c>
      <c r="AM82" t="b">
        <v>1</v>
      </c>
      <c r="AN82" t="b">
        <v>0</v>
      </c>
      <c r="AO82">
        <v>99999</v>
      </c>
      <c r="AP82" t="s">
        <v>63</v>
      </c>
      <c r="AR82" t="b">
        <v>1</v>
      </c>
      <c r="AS82">
        <v>0</v>
      </c>
      <c r="AT82" t="s">
        <v>63</v>
      </c>
      <c r="AV82" t="s">
        <v>656</v>
      </c>
    </row>
    <row r="83" spans="1:48" x14ac:dyDescent="0.25">
      <c r="A83" t="s">
        <v>462</v>
      </c>
      <c r="B83" t="s">
        <v>301</v>
      </c>
      <c r="C83" t="s">
        <v>61</v>
      </c>
      <c r="D83">
        <v>99999</v>
      </c>
      <c r="F83">
        <v>20000</v>
      </c>
      <c r="G83" t="b">
        <v>0</v>
      </c>
      <c r="H83" t="s">
        <v>324</v>
      </c>
      <c r="K83" t="s">
        <v>500</v>
      </c>
      <c r="L83" t="s">
        <v>302</v>
      </c>
      <c r="M83" t="s">
        <v>321</v>
      </c>
      <c r="N83" t="s">
        <v>62</v>
      </c>
      <c r="O83">
        <v>79.900000000000006</v>
      </c>
      <c r="R83">
        <v>544.79999999999995</v>
      </c>
      <c r="S83">
        <v>190</v>
      </c>
      <c r="T83">
        <v>0</v>
      </c>
      <c r="U83">
        <v>75</v>
      </c>
      <c r="X83">
        <v>184.9</v>
      </c>
      <c r="Y83">
        <v>94.9</v>
      </c>
      <c r="Z83">
        <v>94.9</v>
      </c>
      <c r="AA83">
        <v>0</v>
      </c>
      <c r="AB83" t="s">
        <v>497</v>
      </c>
      <c r="AF83" t="s">
        <v>574</v>
      </c>
      <c r="AG83" t="s">
        <v>574</v>
      </c>
      <c r="AH83" t="s">
        <v>467</v>
      </c>
      <c r="AI83">
        <v>99999</v>
      </c>
      <c r="AJ83">
        <v>99999</v>
      </c>
      <c r="AK83">
        <v>0</v>
      </c>
      <c r="AL83" t="b">
        <v>1</v>
      </c>
      <c r="AM83" t="b">
        <v>1</v>
      </c>
      <c r="AN83" t="b">
        <v>0</v>
      </c>
      <c r="AO83">
        <v>99999</v>
      </c>
      <c r="AP83" t="s">
        <v>63</v>
      </c>
      <c r="AR83" t="b">
        <v>1</v>
      </c>
      <c r="AS83">
        <v>0</v>
      </c>
      <c r="AT83" t="s">
        <v>63</v>
      </c>
      <c r="AV83" t="s">
        <v>579</v>
      </c>
    </row>
    <row r="84" spans="1:48" x14ac:dyDescent="0.25">
      <c r="A84" t="s">
        <v>462</v>
      </c>
      <c r="B84" t="s">
        <v>301</v>
      </c>
      <c r="C84" t="s">
        <v>61</v>
      </c>
      <c r="D84">
        <v>99999</v>
      </c>
      <c r="F84">
        <v>20000</v>
      </c>
      <c r="G84" t="b">
        <v>0</v>
      </c>
      <c r="H84" t="s">
        <v>324</v>
      </c>
      <c r="K84" t="s">
        <v>500</v>
      </c>
      <c r="L84" t="s">
        <v>302</v>
      </c>
      <c r="M84" t="s">
        <v>321</v>
      </c>
      <c r="N84" t="s">
        <v>62</v>
      </c>
      <c r="O84">
        <v>89.9</v>
      </c>
      <c r="R84">
        <v>544.79999999999995</v>
      </c>
      <c r="S84">
        <v>190</v>
      </c>
      <c r="T84">
        <v>0</v>
      </c>
      <c r="U84">
        <v>75</v>
      </c>
      <c r="X84">
        <v>184.9</v>
      </c>
      <c r="Y84">
        <v>94.9</v>
      </c>
      <c r="Z84">
        <v>94.9</v>
      </c>
      <c r="AA84">
        <v>0</v>
      </c>
      <c r="AB84" t="s">
        <v>497</v>
      </c>
      <c r="AF84" t="s">
        <v>504</v>
      </c>
      <c r="AG84" t="s">
        <v>504</v>
      </c>
      <c r="AH84" t="s">
        <v>467</v>
      </c>
      <c r="AI84">
        <v>99999</v>
      </c>
      <c r="AJ84">
        <v>99999</v>
      </c>
      <c r="AK84">
        <v>0</v>
      </c>
      <c r="AL84" t="b">
        <v>1</v>
      </c>
      <c r="AM84" t="b">
        <v>1</v>
      </c>
      <c r="AN84" t="b">
        <v>0</v>
      </c>
      <c r="AO84">
        <v>99999</v>
      </c>
      <c r="AP84" t="s">
        <v>63</v>
      </c>
      <c r="AR84" t="b">
        <v>1</v>
      </c>
      <c r="AS84">
        <v>0</v>
      </c>
      <c r="AT84" t="s">
        <v>63</v>
      </c>
      <c r="AV84" t="s">
        <v>509</v>
      </c>
    </row>
    <row r="85" spans="1:48" x14ac:dyDescent="0.25">
      <c r="A85" t="s">
        <v>462</v>
      </c>
      <c r="B85" t="s">
        <v>301</v>
      </c>
      <c r="C85" t="s">
        <v>61</v>
      </c>
      <c r="D85">
        <v>99999</v>
      </c>
      <c r="F85">
        <v>20000</v>
      </c>
      <c r="G85" t="b">
        <v>0</v>
      </c>
      <c r="H85" t="s">
        <v>324</v>
      </c>
      <c r="K85" t="s">
        <v>500</v>
      </c>
      <c r="L85" t="s">
        <v>302</v>
      </c>
      <c r="M85" t="s">
        <v>321</v>
      </c>
      <c r="N85" t="s">
        <v>62</v>
      </c>
      <c r="O85">
        <v>89.9</v>
      </c>
      <c r="R85">
        <v>544.79999999999995</v>
      </c>
      <c r="S85">
        <v>190</v>
      </c>
      <c r="T85">
        <v>0</v>
      </c>
      <c r="U85">
        <v>75</v>
      </c>
      <c r="X85">
        <v>184.9</v>
      </c>
      <c r="Y85">
        <v>94.9</v>
      </c>
      <c r="Z85">
        <v>94.9</v>
      </c>
      <c r="AA85">
        <v>0</v>
      </c>
      <c r="AB85" t="s">
        <v>497</v>
      </c>
      <c r="AF85" t="s">
        <v>547</v>
      </c>
      <c r="AG85" t="s">
        <v>547</v>
      </c>
      <c r="AH85" t="s">
        <v>467</v>
      </c>
      <c r="AI85">
        <v>99999</v>
      </c>
      <c r="AJ85">
        <v>99999</v>
      </c>
      <c r="AK85">
        <v>0</v>
      </c>
      <c r="AL85" t="b">
        <v>1</v>
      </c>
      <c r="AM85" t="b">
        <v>1</v>
      </c>
      <c r="AN85" t="b">
        <v>0</v>
      </c>
      <c r="AO85">
        <v>99999</v>
      </c>
      <c r="AP85" t="s">
        <v>63</v>
      </c>
      <c r="AR85" t="b">
        <v>1</v>
      </c>
      <c r="AS85">
        <v>0</v>
      </c>
      <c r="AT85" t="s">
        <v>63</v>
      </c>
      <c r="AV85" t="s">
        <v>552</v>
      </c>
    </row>
    <row r="86" spans="1:48" x14ac:dyDescent="0.25">
      <c r="A86" t="s">
        <v>462</v>
      </c>
      <c r="B86" t="s">
        <v>301</v>
      </c>
      <c r="C86" t="s">
        <v>61</v>
      </c>
      <c r="D86">
        <v>99999</v>
      </c>
      <c r="F86">
        <v>20000</v>
      </c>
      <c r="G86" t="b">
        <v>0</v>
      </c>
      <c r="H86" t="s">
        <v>324</v>
      </c>
      <c r="K86" t="s">
        <v>500</v>
      </c>
      <c r="L86" t="s">
        <v>302</v>
      </c>
      <c r="M86" t="s">
        <v>321</v>
      </c>
      <c r="N86" t="s">
        <v>62</v>
      </c>
      <c r="O86">
        <v>89.9</v>
      </c>
      <c r="R86">
        <v>539.79999999999995</v>
      </c>
      <c r="S86">
        <v>190</v>
      </c>
      <c r="T86">
        <v>0</v>
      </c>
      <c r="U86">
        <v>70</v>
      </c>
      <c r="X86">
        <v>184.9</v>
      </c>
      <c r="Y86">
        <v>94.9</v>
      </c>
      <c r="Z86">
        <v>94.9</v>
      </c>
      <c r="AA86">
        <v>0</v>
      </c>
      <c r="AB86" t="s">
        <v>497</v>
      </c>
      <c r="AF86" t="s">
        <v>635</v>
      </c>
      <c r="AG86" t="s">
        <v>635</v>
      </c>
      <c r="AH86" t="s">
        <v>467</v>
      </c>
      <c r="AI86">
        <v>99999</v>
      </c>
      <c r="AJ86">
        <v>99999</v>
      </c>
      <c r="AK86">
        <v>0</v>
      </c>
      <c r="AL86" t="b">
        <v>1</v>
      </c>
      <c r="AM86" t="b">
        <v>1</v>
      </c>
      <c r="AN86" t="b">
        <v>0</v>
      </c>
      <c r="AO86">
        <v>99999</v>
      </c>
      <c r="AP86" t="s">
        <v>63</v>
      </c>
      <c r="AR86" t="b">
        <v>1</v>
      </c>
      <c r="AS86">
        <v>0</v>
      </c>
      <c r="AT86" t="s">
        <v>63</v>
      </c>
      <c r="AV86" t="s">
        <v>640</v>
      </c>
    </row>
    <row r="87" spans="1:48" x14ac:dyDescent="0.25">
      <c r="A87" t="s">
        <v>462</v>
      </c>
      <c r="B87" t="s">
        <v>301</v>
      </c>
      <c r="C87" t="s">
        <v>61</v>
      </c>
      <c r="D87">
        <v>99999</v>
      </c>
      <c r="F87">
        <v>20000</v>
      </c>
      <c r="G87" t="b">
        <v>0</v>
      </c>
      <c r="H87" t="s">
        <v>324</v>
      </c>
      <c r="K87" t="s">
        <v>471</v>
      </c>
      <c r="L87" t="s">
        <v>302</v>
      </c>
      <c r="M87" t="s">
        <v>321</v>
      </c>
      <c r="N87" t="s">
        <v>62</v>
      </c>
      <c r="O87">
        <v>69.900000000000006</v>
      </c>
      <c r="R87">
        <v>529.79999999999995</v>
      </c>
      <c r="S87">
        <v>190</v>
      </c>
      <c r="T87">
        <v>0</v>
      </c>
      <c r="U87">
        <v>75</v>
      </c>
      <c r="X87">
        <v>184.9</v>
      </c>
      <c r="Y87">
        <v>79.900000000000006</v>
      </c>
      <c r="Z87">
        <v>79.900000000000006</v>
      </c>
      <c r="AA87">
        <v>0</v>
      </c>
      <c r="AB87" t="s">
        <v>470</v>
      </c>
      <c r="AF87" t="s">
        <v>678</v>
      </c>
      <c r="AG87" t="s">
        <v>678</v>
      </c>
      <c r="AH87" t="s">
        <v>467</v>
      </c>
      <c r="AI87">
        <v>99999</v>
      </c>
      <c r="AJ87">
        <v>99999</v>
      </c>
      <c r="AK87">
        <v>0</v>
      </c>
      <c r="AL87" t="b">
        <v>1</v>
      </c>
      <c r="AM87" t="b">
        <v>1</v>
      </c>
      <c r="AN87" t="b">
        <v>0</v>
      </c>
      <c r="AO87">
        <v>99999</v>
      </c>
      <c r="AP87" t="s">
        <v>63</v>
      </c>
      <c r="AR87" t="b">
        <v>1</v>
      </c>
      <c r="AS87">
        <v>0</v>
      </c>
      <c r="AT87" t="s">
        <v>63</v>
      </c>
      <c r="AV87" t="s">
        <v>680</v>
      </c>
    </row>
    <row r="88" spans="1:48" x14ac:dyDescent="0.25">
      <c r="A88" t="s">
        <v>462</v>
      </c>
      <c r="B88" t="s">
        <v>301</v>
      </c>
      <c r="C88" t="s">
        <v>61</v>
      </c>
      <c r="D88">
        <v>99999</v>
      </c>
      <c r="F88">
        <v>20000</v>
      </c>
      <c r="G88" t="b">
        <v>0</v>
      </c>
      <c r="H88" t="s">
        <v>324</v>
      </c>
      <c r="K88" t="s">
        <v>471</v>
      </c>
      <c r="L88" t="s">
        <v>302</v>
      </c>
      <c r="M88" t="s">
        <v>321</v>
      </c>
      <c r="N88" t="s">
        <v>62</v>
      </c>
      <c r="O88">
        <v>79.900000000000006</v>
      </c>
      <c r="R88">
        <v>529.79999999999995</v>
      </c>
      <c r="S88">
        <v>190</v>
      </c>
      <c r="T88">
        <v>0</v>
      </c>
      <c r="U88">
        <v>75</v>
      </c>
      <c r="X88">
        <v>184.9</v>
      </c>
      <c r="Y88">
        <v>79.900000000000006</v>
      </c>
      <c r="Z88">
        <v>79.900000000000006</v>
      </c>
      <c r="AA88">
        <v>0</v>
      </c>
      <c r="AB88" t="s">
        <v>470</v>
      </c>
      <c r="AF88" t="s">
        <v>601</v>
      </c>
      <c r="AG88" t="s">
        <v>601</v>
      </c>
      <c r="AH88" t="s">
        <v>467</v>
      </c>
      <c r="AI88">
        <v>99999</v>
      </c>
      <c r="AJ88">
        <v>99999</v>
      </c>
      <c r="AK88">
        <v>0</v>
      </c>
      <c r="AL88" t="b">
        <v>1</v>
      </c>
      <c r="AM88" t="b">
        <v>1</v>
      </c>
      <c r="AN88" t="b">
        <v>0</v>
      </c>
      <c r="AO88">
        <v>99999</v>
      </c>
      <c r="AP88" t="s">
        <v>63</v>
      </c>
      <c r="AR88" t="b">
        <v>1</v>
      </c>
      <c r="AS88">
        <v>0</v>
      </c>
      <c r="AT88" t="s">
        <v>63</v>
      </c>
      <c r="AV88" t="s">
        <v>603</v>
      </c>
    </row>
    <row r="89" spans="1:48" x14ac:dyDescent="0.25">
      <c r="A89" t="s">
        <v>462</v>
      </c>
      <c r="B89" t="s">
        <v>301</v>
      </c>
      <c r="C89" t="s">
        <v>61</v>
      </c>
      <c r="D89">
        <v>99999</v>
      </c>
      <c r="F89">
        <v>20000</v>
      </c>
      <c r="G89" t="b">
        <v>0</v>
      </c>
      <c r="H89" t="s">
        <v>324</v>
      </c>
      <c r="K89" t="s">
        <v>471</v>
      </c>
      <c r="L89" t="s">
        <v>302</v>
      </c>
      <c r="M89" t="s">
        <v>321</v>
      </c>
      <c r="N89" t="s">
        <v>62</v>
      </c>
      <c r="O89">
        <v>89.9</v>
      </c>
      <c r="R89">
        <v>529.79999999999995</v>
      </c>
      <c r="S89">
        <v>190</v>
      </c>
      <c r="T89">
        <v>0</v>
      </c>
      <c r="U89">
        <v>75</v>
      </c>
      <c r="X89">
        <v>184.9</v>
      </c>
      <c r="Y89">
        <v>79.900000000000006</v>
      </c>
      <c r="Z89">
        <v>79.900000000000006</v>
      </c>
      <c r="AA89">
        <v>0</v>
      </c>
      <c r="AB89" t="s">
        <v>470</v>
      </c>
      <c r="AF89" t="s">
        <v>479</v>
      </c>
      <c r="AG89" t="s">
        <v>479</v>
      </c>
      <c r="AH89" t="s">
        <v>467</v>
      </c>
      <c r="AI89">
        <v>99999</v>
      </c>
      <c r="AJ89">
        <v>99999</v>
      </c>
      <c r="AK89">
        <v>0</v>
      </c>
      <c r="AL89" t="b">
        <v>1</v>
      </c>
      <c r="AM89" t="b">
        <v>1</v>
      </c>
      <c r="AN89" t="b">
        <v>0</v>
      </c>
      <c r="AO89">
        <v>99999</v>
      </c>
      <c r="AP89" t="s">
        <v>63</v>
      </c>
      <c r="AR89" t="b">
        <v>1</v>
      </c>
      <c r="AS89">
        <v>0</v>
      </c>
      <c r="AT89" t="s">
        <v>63</v>
      </c>
      <c r="AV89" t="s">
        <v>481</v>
      </c>
    </row>
    <row r="90" spans="1:48" x14ac:dyDescent="0.25">
      <c r="A90" t="s">
        <v>462</v>
      </c>
      <c r="B90" t="s">
        <v>301</v>
      </c>
      <c r="C90" t="s">
        <v>61</v>
      </c>
      <c r="D90">
        <v>99999</v>
      </c>
      <c r="F90">
        <v>20000</v>
      </c>
      <c r="G90" t="b">
        <v>0</v>
      </c>
      <c r="H90" t="s">
        <v>324</v>
      </c>
      <c r="K90" t="s">
        <v>471</v>
      </c>
      <c r="L90" t="s">
        <v>302</v>
      </c>
      <c r="M90" t="s">
        <v>321</v>
      </c>
      <c r="N90" t="s">
        <v>62</v>
      </c>
      <c r="O90">
        <v>89.9</v>
      </c>
      <c r="R90">
        <v>529.79999999999995</v>
      </c>
      <c r="S90">
        <v>190</v>
      </c>
      <c r="T90">
        <v>0</v>
      </c>
      <c r="U90">
        <v>75</v>
      </c>
      <c r="X90">
        <v>184.9</v>
      </c>
      <c r="Y90">
        <v>79.900000000000006</v>
      </c>
      <c r="Z90">
        <v>79.900000000000006</v>
      </c>
      <c r="AA90">
        <v>0</v>
      </c>
      <c r="AB90" t="s">
        <v>470</v>
      </c>
      <c r="AF90" t="s">
        <v>528</v>
      </c>
      <c r="AG90" t="s">
        <v>528</v>
      </c>
      <c r="AH90" t="s">
        <v>467</v>
      </c>
      <c r="AI90">
        <v>99999</v>
      </c>
      <c r="AJ90">
        <v>99999</v>
      </c>
      <c r="AK90">
        <v>0</v>
      </c>
      <c r="AL90" t="b">
        <v>1</v>
      </c>
      <c r="AM90" t="b">
        <v>1</v>
      </c>
      <c r="AN90" t="b">
        <v>0</v>
      </c>
      <c r="AO90">
        <v>99999</v>
      </c>
      <c r="AP90" t="s">
        <v>63</v>
      </c>
      <c r="AR90" t="b">
        <v>1</v>
      </c>
      <c r="AS90">
        <v>0</v>
      </c>
      <c r="AT90" t="s">
        <v>63</v>
      </c>
      <c r="AV90" t="s">
        <v>530</v>
      </c>
    </row>
    <row r="91" spans="1:48" x14ac:dyDescent="0.25">
      <c r="A91" t="s">
        <v>462</v>
      </c>
      <c r="B91" t="s">
        <v>301</v>
      </c>
      <c r="C91" t="s">
        <v>61</v>
      </c>
      <c r="D91">
        <v>99999</v>
      </c>
      <c r="F91">
        <v>20000</v>
      </c>
      <c r="G91" t="b">
        <v>0</v>
      </c>
      <c r="H91" t="s">
        <v>324</v>
      </c>
      <c r="K91" t="s">
        <v>471</v>
      </c>
      <c r="L91" t="s">
        <v>302</v>
      </c>
      <c r="M91" t="s">
        <v>321</v>
      </c>
      <c r="N91" t="s">
        <v>62</v>
      </c>
      <c r="O91">
        <v>89.9</v>
      </c>
      <c r="R91">
        <v>524.79999999999995</v>
      </c>
      <c r="S91">
        <v>190</v>
      </c>
      <c r="T91">
        <v>0</v>
      </c>
      <c r="U91">
        <v>70</v>
      </c>
      <c r="X91">
        <v>184.9</v>
      </c>
      <c r="Y91">
        <v>79.900000000000006</v>
      </c>
      <c r="Z91">
        <v>79.900000000000006</v>
      </c>
      <c r="AA91">
        <v>0</v>
      </c>
      <c r="AB91" t="s">
        <v>470</v>
      </c>
      <c r="AF91" t="s">
        <v>622</v>
      </c>
      <c r="AG91" t="s">
        <v>622</v>
      </c>
      <c r="AH91" t="s">
        <v>467</v>
      </c>
      <c r="AI91">
        <v>99999</v>
      </c>
      <c r="AJ91">
        <v>99999</v>
      </c>
      <c r="AK91">
        <v>0</v>
      </c>
      <c r="AL91" t="b">
        <v>1</v>
      </c>
      <c r="AM91" t="b">
        <v>1</v>
      </c>
      <c r="AN91" t="b">
        <v>0</v>
      </c>
      <c r="AO91">
        <v>99999</v>
      </c>
      <c r="AP91" t="s">
        <v>63</v>
      </c>
      <c r="AR91" t="b">
        <v>1</v>
      </c>
      <c r="AS91">
        <v>0</v>
      </c>
      <c r="AT91" t="s">
        <v>63</v>
      </c>
      <c r="AV91" t="s">
        <v>624</v>
      </c>
    </row>
    <row r="92" spans="1:48" x14ac:dyDescent="0.25">
      <c r="A92" t="s">
        <v>462</v>
      </c>
      <c r="B92" t="s">
        <v>301</v>
      </c>
      <c r="C92" t="s">
        <v>61</v>
      </c>
      <c r="D92">
        <v>99999</v>
      </c>
      <c r="F92">
        <v>20000</v>
      </c>
      <c r="G92" t="b">
        <v>0</v>
      </c>
      <c r="H92" t="s">
        <v>466</v>
      </c>
      <c r="K92" t="s">
        <v>474</v>
      </c>
      <c r="L92" t="s">
        <v>302</v>
      </c>
      <c r="M92" t="s">
        <v>321</v>
      </c>
      <c r="N92" t="s">
        <v>62</v>
      </c>
      <c r="O92">
        <v>69.900000000000006</v>
      </c>
      <c r="R92">
        <v>484.79999999999995</v>
      </c>
      <c r="S92">
        <v>190</v>
      </c>
      <c r="T92">
        <v>0</v>
      </c>
      <c r="U92">
        <v>75</v>
      </c>
      <c r="X92">
        <v>139.9</v>
      </c>
      <c r="Y92">
        <v>79.900000000000006</v>
      </c>
      <c r="Z92">
        <v>79.900000000000006</v>
      </c>
      <c r="AA92">
        <v>0</v>
      </c>
      <c r="AB92" t="s">
        <v>470</v>
      </c>
      <c r="AF92" t="s">
        <v>675</v>
      </c>
      <c r="AG92" t="s">
        <v>675</v>
      </c>
      <c r="AH92" t="s">
        <v>467</v>
      </c>
      <c r="AI92">
        <v>99999</v>
      </c>
      <c r="AJ92">
        <v>99999</v>
      </c>
      <c r="AK92">
        <v>0</v>
      </c>
      <c r="AL92" t="b">
        <v>1</v>
      </c>
      <c r="AM92" t="b">
        <v>1</v>
      </c>
      <c r="AN92" t="b">
        <v>0</v>
      </c>
      <c r="AO92">
        <v>99999</v>
      </c>
      <c r="AP92" t="s">
        <v>63</v>
      </c>
      <c r="AR92" t="b">
        <v>1</v>
      </c>
      <c r="AS92">
        <v>0</v>
      </c>
      <c r="AT92" t="s">
        <v>63</v>
      </c>
      <c r="AV92" t="s">
        <v>677</v>
      </c>
    </row>
    <row r="93" spans="1:48" x14ac:dyDescent="0.25">
      <c r="A93" t="s">
        <v>462</v>
      </c>
      <c r="B93" t="s">
        <v>301</v>
      </c>
      <c r="C93" t="s">
        <v>61</v>
      </c>
      <c r="D93">
        <v>99999</v>
      </c>
      <c r="F93">
        <v>20000</v>
      </c>
      <c r="G93" t="b">
        <v>0</v>
      </c>
      <c r="H93" t="s">
        <v>466</v>
      </c>
      <c r="K93" t="s">
        <v>474</v>
      </c>
      <c r="L93" t="s">
        <v>302</v>
      </c>
      <c r="M93" t="s">
        <v>321</v>
      </c>
      <c r="N93" t="s">
        <v>62</v>
      </c>
      <c r="O93">
        <v>79.900000000000006</v>
      </c>
      <c r="R93">
        <v>484.79999999999995</v>
      </c>
      <c r="S93">
        <v>190</v>
      </c>
      <c r="T93">
        <v>0</v>
      </c>
      <c r="U93">
        <v>75</v>
      </c>
      <c r="X93">
        <v>139.9</v>
      </c>
      <c r="Y93">
        <v>79.900000000000006</v>
      </c>
      <c r="Z93">
        <v>79.900000000000006</v>
      </c>
      <c r="AA93">
        <v>0</v>
      </c>
      <c r="AB93" t="s">
        <v>470</v>
      </c>
      <c r="AF93" t="s">
        <v>598</v>
      </c>
      <c r="AG93" t="s">
        <v>598</v>
      </c>
      <c r="AH93" t="s">
        <v>467</v>
      </c>
      <c r="AI93">
        <v>99999</v>
      </c>
      <c r="AJ93">
        <v>99999</v>
      </c>
      <c r="AK93">
        <v>0</v>
      </c>
      <c r="AL93" t="b">
        <v>1</v>
      </c>
      <c r="AM93" t="b">
        <v>1</v>
      </c>
      <c r="AN93" t="b">
        <v>0</v>
      </c>
      <c r="AO93">
        <v>99999</v>
      </c>
      <c r="AP93" t="s">
        <v>63</v>
      </c>
      <c r="AR93" t="b">
        <v>1</v>
      </c>
      <c r="AS93">
        <v>0</v>
      </c>
      <c r="AT93" t="s">
        <v>63</v>
      </c>
      <c r="AV93" t="s">
        <v>600</v>
      </c>
    </row>
    <row r="94" spans="1:48" x14ac:dyDescent="0.25">
      <c r="A94" t="s">
        <v>462</v>
      </c>
      <c r="B94" t="s">
        <v>301</v>
      </c>
      <c r="C94" t="s">
        <v>61</v>
      </c>
      <c r="D94">
        <v>99999</v>
      </c>
      <c r="F94">
        <v>20000</v>
      </c>
      <c r="G94" t="b">
        <v>0</v>
      </c>
      <c r="H94" t="s">
        <v>466</v>
      </c>
      <c r="K94" t="s">
        <v>474</v>
      </c>
      <c r="L94" t="s">
        <v>302</v>
      </c>
      <c r="M94" t="s">
        <v>321</v>
      </c>
      <c r="N94" t="s">
        <v>62</v>
      </c>
      <c r="O94">
        <v>89.9</v>
      </c>
      <c r="R94">
        <v>484.79999999999995</v>
      </c>
      <c r="S94">
        <v>190</v>
      </c>
      <c r="T94">
        <v>0</v>
      </c>
      <c r="U94">
        <v>75</v>
      </c>
      <c r="X94">
        <v>139.9</v>
      </c>
      <c r="Y94">
        <v>79.900000000000006</v>
      </c>
      <c r="Z94">
        <v>79.900000000000006</v>
      </c>
      <c r="AA94">
        <v>0</v>
      </c>
      <c r="AB94" t="s">
        <v>470</v>
      </c>
      <c r="AF94" t="s">
        <v>476</v>
      </c>
      <c r="AG94" t="s">
        <v>476</v>
      </c>
      <c r="AH94" t="s">
        <v>467</v>
      </c>
      <c r="AI94">
        <v>99999</v>
      </c>
      <c r="AJ94">
        <v>99999</v>
      </c>
      <c r="AK94">
        <v>0</v>
      </c>
      <c r="AL94" t="b">
        <v>1</v>
      </c>
      <c r="AM94" t="b">
        <v>1</v>
      </c>
      <c r="AN94" t="b">
        <v>0</v>
      </c>
      <c r="AO94">
        <v>99999</v>
      </c>
      <c r="AP94" t="s">
        <v>63</v>
      </c>
      <c r="AR94" t="b">
        <v>1</v>
      </c>
      <c r="AS94">
        <v>0</v>
      </c>
      <c r="AT94" t="s">
        <v>63</v>
      </c>
      <c r="AV94" t="s">
        <v>478</v>
      </c>
    </row>
    <row r="95" spans="1:48" x14ac:dyDescent="0.25">
      <c r="A95" t="s">
        <v>462</v>
      </c>
      <c r="B95" t="s">
        <v>301</v>
      </c>
      <c r="C95" t="s">
        <v>61</v>
      </c>
      <c r="D95">
        <v>99999</v>
      </c>
      <c r="F95">
        <v>20000</v>
      </c>
      <c r="G95" t="b">
        <v>0</v>
      </c>
      <c r="H95" t="s">
        <v>466</v>
      </c>
      <c r="K95" t="s">
        <v>474</v>
      </c>
      <c r="L95" t="s">
        <v>302</v>
      </c>
      <c r="M95" t="s">
        <v>321</v>
      </c>
      <c r="N95" t="s">
        <v>62</v>
      </c>
      <c r="O95">
        <v>89.9</v>
      </c>
      <c r="R95">
        <v>484.79999999999995</v>
      </c>
      <c r="S95">
        <v>190</v>
      </c>
      <c r="T95">
        <v>0</v>
      </c>
      <c r="U95">
        <v>75</v>
      </c>
      <c r="X95">
        <v>139.9</v>
      </c>
      <c r="Y95">
        <v>79.900000000000006</v>
      </c>
      <c r="Z95">
        <v>79.900000000000006</v>
      </c>
      <c r="AA95">
        <v>0</v>
      </c>
      <c r="AB95" t="s">
        <v>470</v>
      </c>
      <c r="AF95" t="s">
        <v>525</v>
      </c>
      <c r="AG95" t="s">
        <v>525</v>
      </c>
      <c r="AH95" t="s">
        <v>467</v>
      </c>
      <c r="AI95">
        <v>99999</v>
      </c>
      <c r="AJ95">
        <v>99999</v>
      </c>
      <c r="AK95">
        <v>0</v>
      </c>
      <c r="AL95" t="b">
        <v>1</v>
      </c>
      <c r="AM95" t="b">
        <v>1</v>
      </c>
      <c r="AN95" t="b">
        <v>0</v>
      </c>
      <c r="AO95">
        <v>99999</v>
      </c>
      <c r="AP95" t="s">
        <v>63</v>
      </c>
      <c r="AR95" t="b">
        <v>1</v>
      </c>
      <c r="AS95">
        <v>0</v>
      </c>
      <c r="AT95" t="s">
        <v>63</v>
      </c>
      <c r="AV95" t="s">
        <v>527</v>
      </c>
    </row>
    <row r="96" spans="1:48" x14ac:dyDescent="0.25">
      <c r="A96" t="s">
        <v>462</v>
      </c>
      <c r="B96" t="s">
        <v>301</v>
      </c>
      <c r="C96" t="s">
        <v>61</v>
      </c>
      <c r="D96">
        <v>99999</v>
      </c>
      <c r="F96">
        <v>20000</v>
      </c>
      <c r="G96" t="b">
        <v>0</v>
      </c>
      <c r="H96" t="s">
        <v>466</v>
      </c>
      <c r="K96" t="s">
        <v>474</v>
      </c>
      <c r="L96" t="s">
        <v>302</v>
      </c>
      <c r="M96" t="s">
        <v>321</v>
      </c>
      <c r="N96" t="s">
        <v>62</v>
      </c>
      <c r="O96">
        <v>89.9</v>
      </c>
      <c r="R96">
        <v>479.79999999999995</v>
      </c>
      <c r="S96">
        <v>190</v>
      </c>
      <c r="T96">
        <v>0</v>
      </c>
      <c r="U96">
        <v>70</v>
      </c>
      <c r="X96">
        <v>139.9</v>
      </c>
      <c r="Y96">
        <v>79.900000000000006</v>
      </c>
      <c r="Z96">
        <v>79.900000000000006</v>
      </c>
      <c r="AA96">
        <v>0</v>
      </c>
      <c r="AB96" t="s">
        <v>470</v>
      </c>
      <c r="AF96" t="s">
        <v>619</v>
      </c>
      <c r="AG96" t="s">
        <v>619</v>
      </c>
      <c r="AH96" t="s">
        <v>467</v>
      </c>
      <c r="AI96">
        <v>99999</v>
      </c>
      <c r="AJ96">
        <v>99999</v>
      </c>
      <c r="AK96">
        <v>0</v>
      </c>
      <c r="AL96" t="b">
        <v>1</v>
      </c>
      <c r="AM96" t="b">
        <v>1</v>
      </c>
      <c r="AN96" t="b">
        <v>0</v>
      </c>
      <c r="AO96">
        <v>99999</v>
      </c>
      <c r="AP96" t="s">
        <v>63</v>
      </c>
      <c r="AR96" t="b">
        <v>1</v>
      </c>
      <c r="AS96">
        <v>0</v>
      </c>
      <c r="AT96" t="s">
        <v>63</v>
      </c>
      <c r="AV96" t="s">
        <v>621</v>
      </c>
    </row>
    <row r="97" spans="1:48" x14ac:dyDescent="0.25">
      <c r="A97" t="s">
        <v>462</v>
      </c>
      <c r="B97" t="s">
        <v>301</v>
      </c>
      <c r="C97" t="s">
        <v>61</v>
      </c>
      <c r="D97">
        <v>99999</v>
      </c>
      <c r="F97">
        <v>20000</v>
      </c>
      <c r="G97" t="b">
        <v>0</v>
      </c>
      <c r="H97" t="s">
        <v>466</v>
      </c>
      <c r="K97" t="s">
        <v>502</v>
      </c>
      <c r="L97" t="s">
        <v>302</v>
      </c>
      <c r="M97" t="s">
        <v>321</v>
      </c>
      <c r="N97" t="s">
        <v>62</v>
      </c>
      <c r="O97">
        <v>69.900000000000006</v>
      </c>
      <c r="R97">
        <v>509.79999999999995</v>
      </c>
      <c r="S97">
        <v>190</v>
      </c>
      <c r="T97">
        <v>0</v>
      </c>
      <c r="U97">
        <v>75</v>
      </c>
      <c r="X97">
        <v>139.9</v>
      </c>
      <c r="Y97">
        <v>104.9</v>
      </c>
      <c r="Z97">
        <v>104.9</v>
      </c>
      <c r="AA97">
        <v>0</v>
      </c>
      <c r="AB97" t="s">
        <v>497</v>
      </c>
      <c r="AF97" t="s">
        <v>647</v>
      </c>
      <c r="AG97" t="s">
        <v>647</v>
      </c>
      <c r="AH97" t="s">
        <v>467</v>
      </c>
      <c r="AI97">
        <v>99999</v>
      </c>
      <c r="AJ97">
        <v>99999</v>
      </c>
      <c r="AK97">
        <v>0</v>
      </c>
      <c r="AL97" t="b">
        <v>1</v>
      </c>
      <c r="AM97" t="b">
        <v>1</v>
      </c>
      <c r="AN97" t="b">
        <v>0</v>
      </c>
      <c r="AO97">
        <v>99999</v>
      </c>
      <c r="AP97" t="s">
        <v>63</v>
      </c>
      <c r="AR97" t="b">
        <v>1</v>
      </c>
      <c r="AS97">
        <v>0</v>
      </c>
      <c r="AT97" t="s">
        <v>63</v>
      </c>
      <c r="AV97" t="s">
        <v>650</v>
      </c>
    </row>
    <row r="98" spans="1:48" x14ac:dyDescent="0.25">
      <c r="A98" t="s">
        <v>462</v>
      </c>
      <c r="B98" t="s">
        <v>301</v>
      </c>
      <c r="C98" t="s">
        <v>61</v>
      </c>
      <c r="D98">
        <v>99999</v>
      </c>
      <c r="F98">
        <v>20000</v>
      </c>
      <c r="G98" t="b">
        <v>0</v>
      </c>
      <c r="H98" t="s">
        <v>466</v>
      </c>
      <c r="K98" t="s">
        <v>502</v>
      </c>
      <c r="L98" t="s">
        <v>302</v>
      </c>
      <c r="M98" t="s">
        <v>321</v>
      </c>
      <c r="N98" t="s">
        <v>62</v>
      </c>
      <c r="O98">
        <v>79.900000000000006</v>
      </c>
      <c r="R98">
        <v>509.79999999999995</v>
      </c>
      <c r="S98">
        <v>190</v>
      </c>
      <c r="T98">
        <v>0</v>
      </c>
      <c r="U98">
        <v>75</v>
      </c>
      <c r="X98">
        <v>139.9</v>
      </c>
      <c r="Y98">
        <v>104.9</v>
      </c>
      <c r="Z98">
        <v>104.9</v>
      </c>
      <c r="AA98">
        <v>0</v>
      </c>
      <c r="AB98" t="s">
        <v>497</v>
      </c>
      <c r="AF98" t="s">
        <v>570</v>
      </c>
      <c r="AG98" t="s">
        <v>570</v>
      </c>
      <c r="AH98" t="s">
        <v>467</v>
      </c>
      <c r="AI98">
        <v>99999</v>
      </c>
      <c r="AJ98">
        <v>99999</v>
      </c>
      <c r="AK98">
        <v>0</v>
      </c>
      <c r="AL98" t="b">
        <v>1</v>
      </c>
      <c r="AM98" t="b">
        <v>1</v>
      </c>
      <c r="AN98" t="b">
        <v>0</v>
      </c>
      <c r="AO98">
        <v>99999</v>
      </c>
      <c r="AP98" t="s">
        <v>63</v>
      </c>
      <c r="AR98" t="b">
        <v>1</v>
      </c>
      <c r="AS98">
        <v>0</v>
      </c>
      <c r="AT98" t="s">
        <v>63</v>
      </c>
      <c r="AV98" t="s">
        <v>573</v>
      </c>
    </row>
    <row r="99" spans="1:48" x14ac:dyDescent="0.25">
      <c r="A99" t="s">
        <v>462</v>
      </c>
      <c r="B99" t="s">
        <v>301</v>
      </c>
      <c r="C99" t="s">
        <v>61</v>
      </c>
      <c r="D99">
        <v>99999</v>
      </c>
      <c r="F99">
        <v>20000</v>
      </c>
      <c r="G99" t="b">
        <v>0</v>
      </c>
      <c r="H99" t="s">
        <v>466</v>
      </c>
      <c r="K99" t="s">
        <v>502</v>
      </c>
      <c r="L99" t="s">
        <v>302</v>
      </c>
      <c r="M99" t="s">
        <v>321</v>
      </c>
      <c r="N99" t="s">
        <v>62</v>
      </c>
      <c r="O99">
        <v>89.9</v>
      </c>
      <c r="R99">
        <v>509.79999999999995</v>
      </c>
      <c r="S99">
        <v>190</v>
      </c>
      <c r="T99">
        <v>0</v>
      </c>
      <c r="U99">
        <v>75</v>
      </c>
      <c r="X99">
        <v>139.9</v>
      </c>
      <c r="Y99">
        <v>104.9</v>
      </c>
      <c r="Z99">
        <v>104.9</v>
      </c>
      <c r="AA99">
        <v>0</v>
      </c>
      <c r="AB99" s="108" t="s">
        <v>497</v>
      </c>
      <c r="AF99" t="s">
        <v>498</v>
      </c>
      <c r="AG99" t="s">
        <v>498</v>
      </c>
      <c r="AH99" t="s">
        <v>467</v>
      </c>
      <c r="AI99">
        <v>99999</v>
      </c>
      <c r="AJ99">
        <v>99999</v>
      </c>
      <c r="AK99">
        <v>0</v>
      </c>
      <c r="AL99" t="b">
        <v>1</v>
      </c>
      <c r="AM99" t="b">
        <v>1</v>
      </c>
      <c r="AN99" t="b">
        <v>0</v>
      </c>
      <c r="AO99">
        <v>99999</v>
      </c>
      <c r="AP99" t="s">
        <v>63</v>
      </c>
      <c r="AR99" t="b">
        <v>1</v>
      </c>
      <c r="AS99">
        <v>0</v>
      </c>
      <c r="AT99" t="s">
        <v>63</v>
      </c>
      <c r="AV99" t="s">
        <v>503</v>
      </c>
    </row>
    <row r="100" spans="1:48" x14ac:dyDescent="0.25">
      <c r="A100" t="s">
        <v>462</v>
      </c>
      <c r="B100" t="s">
        <v>301</v>
      </c>
      <c r="C100" t="s">
        <v>61</v>
      </c>
      <c r="D100">
        <v>99999</v>
      </c>
      <c r="F100">
        <v>20000</v>
      </c>
      <c r="G100" t="b">
        <v>0</v>
      </c>
      <c r="H100" t="s">
        <v>466</v>
      </c>
      <c r="K100" t="s">
        <v>502</v>
      </c>
      <c r="L100" t="s">
        <v>302</v>
      </c>
      <c r="M100" t="s">
        <v>321</v>
      </c>
      <c r="N100" t="s">
        <v>62</v>
      </c>
      <c r="O100">
        <v>89.9</v>
      </c>
      <c r="R100">
        <v>509.79999999999995</v>
      </c>
      <c r="S100">
        <v>190</v>
      </c>
      <c r="T100">
        <v>0</v>
      </c>
      <c r="U100">
        <v>75</v>
      </c>
      <c r="X100">
        <v>139.9</v>
      </c>
      <c r="Y100">
        <v>104.9</v>
      </c>
      <c r="Z100">
        <v>104.9</v>
      </c>
      <c r="AA100">
        <v>0</v>
      </c>
      <c r="AB100" t="s">
        <v>497</v>
      </c>
      <c r="AF100" t="s">
        <v>543</v>
      </c>
      <c r="AG100" t="s">
        <v>543</v>
      </c>
      <c r="AH100" t="s">
        <v>467</v>
      </c>
      <c r="AI100">
        <v>99999</v>
      </c>
      <c r="AJ100">
        <v>99999</v>
      </c>
      <c r="AK100">
        <v>0</v>
      </c>
      <c r="AL100" t="b">
        <v>1</v>
      </c>
      <c r="AM100" t="b">
        <v>1</v>
      </c>
      <c r="AN100" t="b">
        <v>0</v>
      </c>
      <c r="AO100">
        <v>99999</v>
      </c>
      <c r="AP100" t="s">
        <v>63</v>
      </c>
      <c r="AR100" t="b">
        <v>1</v>
      </c>
      <c r="AS100">
        <v>0</v>
      </c>
      <c r="AT100" t="s">
        <v>63</v>
      </c>
      <c r="AV100" t="s">
        <v>546</v>
      </c>
    </row>
    <row r="101" spans="1:48" x14ac:dyDescent="0.25">
      <c r="A101" t="s">
        <v>462</v>
      </c>
      <c r="B101" t="s">
        <v>301</v>
      </c>
      <c r="C101" t="s">
        <v>61</v>
      </c>
      <c r="D101">
        <v>99999</v>
      </c>
      <c r="F101">
        <v>20000</v>
      </c>
      <c r="G101" t="b">
        <v>0</v>
      </c>
      <c r="H101" t="s">
        <v>466</v>
      </c>
      <c r="K101" t="s">
        <v>502</v>
      </c>
      <c r="L101" t="s">
        <v>302</v>
      </c>
      <c r="M101" t="s">
        <v>321</v>
      </c>
      <c r="N101" t="s">
        <v>62</v>
      </c>
      <c r="O101">
        <v>89.9</v>
      </c>
      <c r="R101">
        <v>504.79999999999995</v>
      </c>
      <c r="S101">
        <v>190</v>
      </c>
      <c r="T101">
        <v>0</v>
      </c>
      <c r="U101">
        <v>70</v>
      </c>
      <c r="X101">
        <v>139.9</v>
      </c>
      <c r="Y101">
        <v>104.9</v>
      </c>
      <c r="Z101">
        <v>104.9</v>
      </c>
      <c r="AA101">
        <v>0</v>
      </c>
      <c r="AB101" t="s">
        <v>497</v>
      </c>
      <c r="AF101" t="s">
        <v>631</v>
      </c>
      <c r="AG101" t="s">
        <v>631</v>
      </c>
      <c r="AH101" t="s">
        <v>467</v>
      </c>
      <c r="AI101">
        <v>99999</v>
      </c>
      <c r="AJ101">
        <v>99999</v>
      </c>
      <c r="AK101">
        <v>0</v>
      </c>
      <c r="AL101" t="b">
        <v>1</v>
      </c>
      <c r="AM101" t="b">
        <v>1</v>
      </c>
      <c r="AN101" t="b">
        <v>0</v>
      </c>
      <c r="AO101">
        <v>99999</v>
      </c>
      <c r="AP101" t="s">
        <v>63</v>
      </c>
      <c r="AR101" t="b">
        <v>1</v>
      </c>
      <c r="AS101">
        <v>0</v>
      </c>
      <c r="AT101" t="s">
        <v>63</v>
      </c>
      <c r="AV101" t="s">
        <v>634</v>
      </c>
    </row>
    <row r="102" spans="1:48" x14ac:dyDescent="0.25">
      <c r="A102" t="s">
        <v>462</v>
      </c>
      <c r="B102" t="s">
        <v>301</v>
      </c>
      <c r="C102" t="s">
        <v>61</v>
      </c>
      <c r="D102">
        <v>99999</v>
      </c>
      <c r="F102">
        <v>20000</v>
      </c>
      <c r="G102" t="b">
        <v>0</v>
      </c>
      <c r="H102" t="s">
        <v>466</v>
      </c>
      <c r="K102" t="s">
        <v>494</v>
      </c>
      <c r="L102" t="s">
        <v>302</v>
      </c>
      <c r="M102" t="s">
        <v>321</v>
      </c>
      <c r="N102" t="s">
        <v>62</v>
      </c>
      <c r="O102">
        <v>69.900000000000006</v>
      </c>
      <c r="R102">
        <v>489.79999999999995</v>
      </c>
      <c r="S102">
        <v>190</v>
      </c>
      <c r="T102">
        <v>0</v>
      </c>
      <c r="U102">
        <v>75</v>
      </c>
      <c r="X102">
        <v>139.9</v>
      </c>
      <c r="Y102">
        <v>84.9</v>
      </c>
      <c r="Z102">
        <v>84.9</v>
      </c>
      <c r="AA102">
        <v>0</v>
      </c>
      <c r="AB102" t="s">
        <v>497</v>
      </c>
      <c r="AF102" t="s">
        <v>647</v>
      </c>
      <c r="AG102" t="s">
        <v>647</v>
      </c>
      <c r="AH102" t="s">
        <v>467</v>
      </c>
      <c r="AI102">
        <v>99999</v>
      </c>
      <c r="AJ102">
        <v>99999</v>
      </c>
      <c r="AK102">
        <v>0</v>
      </c>
      <c r="AL102" t="b">
        <v>1</v>
      </c>
      <c r="AM102" t="b">
        <v>1</v>
      </c>
      <c r="AN102" t="b">
        <v>0</v>
      </c>
      <c r="AO102">
        <v>99999</v>
      </c>
      <c r="AP102" t="s">
        <v>63</v>
      </c>
      <c r="AR102" t="b">
        <v>1</v>
      </c>
      <c r="AS102">
        <v>0</v>
      </c>
      <c r="AT102" t="s">
        <v>63</v>
      </c>
      <c r="AV102" t="s">
        <v>648</v>
      </c>
    </row>
    <row r="103" spans="1:48" x14ac:dyDescent="0.25">
      <c r="A103" t="s">
        <v>462</v>
      </c>
      <c r="B103" t="s">
        <v>301</v>
      </c>
      <c r="C103" t="s">
        <v>61</v>
      </c>
      <c r="D103">
        <v>99999</v>
      </c>
      <c r="F103">
        <v>20000</v>
      </c>
      <c r="G103" t="b">
        <v>0</v>
      </c>
      <c r="H103" t="s">
        <v>466</v>
      </c>
      <c r="K103" t="s">
        <v>494</v>
      </c>
      <c r="L103" t="s">
        <v>302</v>
      </c>
      <c r="M103" t="s">
        <v>321</v>
      </c>
      <c r="N103" t="s">
        <v>62</v>
      </c>
      <c r="O103">
        <v>79.900000000000006</v>
      </c>
      <c r="R103">
        <v>489.79999999999995</v>
      </c>
      <c r="S103">
        <v>190</v>
      </c>
      <c r="T103">
        <v>0</v>
      </c>
      <c r="U103">
        <v>75</v>
      </c>
      <c r="X103">
        <v>139.9</v>
      </c>
      <c r="Y103">
        <v>84.9</v>
      </c>
      <c r="Z103">
        <v>84.9</v>
      </c>
      <c r="AA103">
        <v>0</v>
      </c>
      <c r="AB103" t="s">
        <v>497</v>
      </c>
      <c r="AF103" t="s">
        <v>570</v>
      </c>
      <c r="AG103" t="s">
        <v>570</v>
      </c>
      <c r="AH103" t="s">
        <v>467</v>
      </c>
      <c r="AI103">
        <v>99999</v>
      </c>
      <c r="AJ103">
        <v>99999</v>
      </c>
      <c r="AK103">
        <v>0</v>
      </c>
      <c r="AL103" t="b">
        <v>1</v>
      </c>
      <c r="AM103" t="b">
        <v>1</v>
      </c>
      <c r="AN103" t="b">
        <v>0</v>
      </c>
      <c r="AO103">
        <v>99999</v>
      </c>
      <c r="AP103" t="s">
        <v>63</v>
      </c>
      <c r="AR103" t="b">
        <v>1</v>
      </c>
      <c r="AS103">
        <v>0</v>
      </c>
      <c r="AT103" t="s">
        <v>63</v>
      </c>
      <c r="AV103" t="s">
        <v>571</v>
      </c>
    </row>
    <row r="104" spans="1:48" x14ac:dyDescent="0.25">
      <c r="A104" t="s">
        <v>462</v>
      </c>
      <c r="B104" t="s">
        <v>301</v>
      </c>
      <c r="C104" t="s">
        <v>61</v>
      </c>
      <c r="D104">
        <v>99999</v>
      </c>
      <c r="F104">
        <v>20000</v>
      </c>
      <c r="G104" t="b">
        <v>0</v>
      </c>
      <c r="H104" t="s">
        <v>466</v>
      </c>
      <c r="K104" t="s">
        <v>494</v>
      </c>
      <c r="L104" t="s">
        <v>302</v>
      </c>
      <c r="M104" t="s">
        <v>321</v>
      </c>
      <c r="N104" t="s">
        <v>62</v>
      </c>
      <c r="O104">
        <v>89.9</v>
      </c>
      <c r="R104">
        <v>489.79999999999995</v>
      </c>
      <c r="S104">
        <v>190</v>
      </c>
      <c r="T104">
        <v>0</v>
      </c>
      <c r="U104">
        <v>75</v>
      </c>
      <c r="X104">
        <v>139.9</v>
      </c>
      <c r="Y104">
        <v>84.9</v>
      </c>
      <c r="Z104">
        <v>84.9</v>
      </c>
      <c r="AA104">
        <v>0</v>
      </c>
      <c r="AB104" t="s">
        <v>497</v>
      </c>
      <c r="AF104" t="s">
        <v>498</v>
      </c>
      <c r="AG104" t="s">
        <v>498</v>
      </c>
      <c r="AH104" t="s">
        <v>467</v>
      </c>
      <c r="AI104">
        <v>99999</v>
      </c>
      <c r="AJ104">
        <v>99999</v>
      </c>
      <c r="AK104">
        <v>0</v>
      </c>
      <c r="AL104" t="b">
        <v>1</v>
      </c>
      <c r="AM104" t="b">
        <v>1</v>
      </c>
      <c r="AN104" t="b">
        <v>0</v>
      </c>
      <c r="AO104">
        <v>99999</v>
      </c>
      <c r="AP104" t="s">
        <v>63</v>
      </c>
      <c r="AR104" t="b">
        <v>1</v>
      </c>
      <c r="AS104">
        <v>0</v>
      </c>
      <c r="AT104" t="s">
        <v>63</v>
      </c>
      <c r="AV104" t="s">
        <v>499</v>
      </c>
    </row>
    <row r="105" spans="1:48" x14ac:dyDescent="0.25">
      <c r="A105" t="s">
        <v>462</v>
      </c>
      <c r="B105" t="s">
        <v>301</v>
      </c>
      <c r="C105" t="s">
        <v>61</v>
      </c>
      <c r="D105">
        <v>99999</v>
      </c>
      <c r="F105">
        <v>20000</v>
      </c>
      <c r="G105" t="b">
        <v>0</v>
      </c>
      <c r="H105" t="s">
        <v>466</v>
      </c>
      <c r="K105" t="s">
        <v>494</v>
      </c>
      <c r="L105" t="s">
        <v>302</v>
      </c>
      <c r="M105" t="s">
        <v>321</v>
      </c>
      <c r="N105" t="s">
        <v>62</v>
      </c>
      <c r="O105">
        <v>89.9</v>
      </c>
      <c r="R105">
        <v>489.79999999999995</v>
      </c>
      <c r="S105">
        <v>190</v>
      </c>
      <c r="T105">
        <v>0</v>
      </c>
      <c r="U105">
        <v>75</v>
      </c>
      <c r="X105">
        <v>139.9</v>
      </c>
      <c r="Y105">
        <v>84.9</v>
      </c>
      <c r="Z105">
        <v>84.9</v>
      </c>
      <c r="AA105">
        <v>0</v>
      </c>
      <c r="AB105" t="s">
        <v>497</v>
      </c>
      <c r="AF105" t="s">
        <v>543</v>
      </c>
      <c r="AG105" t="s">
        <v>543</v>
      </c>
      <c r="AH105" t="s">
        <v>467</v>
      </c>
      <c r="AI105">
        <v>99999</v>
      </c>
      <c r="AJ105">
        <v>99999</v>
      </c>
      <c r="AK105">
        <v>0</v>
      </c>
      <c r="AL105" t="b">
        <v>1</v>
      </c>
      <c r="AM105" t="b">
        <v>1</v>
      </c>
      <c r="AN105" t="b">
        <v>0</v>
      </c>
      <c r="AO105">
        <v>99999</v>
      </c>
      <c r="AP105" t="s">
        <v>63</v>
      </c>
      <c r="AR105" t="b">
        <v>1</v>
      </c>
      <c r="AS105">
        <v>0</v>
      </c>
      <c r="AT105" t="s">
        <v>63</v>
      </c>
      <c r="AV105" t="s">
        <v>544</v>
      </c>
    </row>
    <row r="106" spans="1:48" x14ac:dyDescent="0.25">
      <c r="A106" t="s">
        <v>462</v>
      </c>
      <c r="B106" t="s">
        <v>301</v>
      </c>
      <c r="C106" t="s">
        <v>61</v>
      </c>
      <c r="D106">
        <v>99999</v>
      </c>
      <c r="F106">
        <v>20000</v>
      </c>
      <c r="G106" t="b">
        <v>0</v>
      </c>
      <c r="H106" t="s">
        <v>466</v>
      </c>
      <c r="K106" t="s">
        <v>494</v>
      </c>
      <c r="L106" t="s">
        <v>302</v>
      </c>
      <c r="M106" t="s">
        <v>321</v>
      </c>
      <c r="N106" t="s">
        <v>62</v>
      </c>
      <c r="O106">
        <v>89.9</v>
      </c>
      <c r="R106">
        <v>484.79999999999995</v>
      </c>
      <c r="S106">
        <v>190</v>
      </c>
      <c r="T106">
        <v>0</v>
      </c>
      <c r="U106">
        <v>70</v>
      </c>
      <c r="X106">
        <v>139.9</v>
      </c>
      <c r="Y106">
        <v>84.9</v>
      </c>
      <c r="Z106">
        <v>84.9</v>
      </c>
      <c r="AA106">
        <v>0</v>
      </c>
      <c r="AB106" t="s">
        <v>497</v>
      </c>
      <c r="AF106" t="s">
        <v>631</v>
      </c>
      <c r="AG106" t="s">
        <v>631</v>
      </c>
      <c r="AH106" t="s">
        <v>467</v>
      </c>
      <c r="AI106">
        <v>99999</v>
      </c>
      <c r="AJ106">
        <v>99999</v>
      </c>
      <c r="AK106">
        <v>0</v>
      </c>
      <c r="AL106" t="b">
        <v>1</v>
      </c>
      <c r="AM106" t="b">
        <v>1</v>
      </c>
      <c r="AN106" t="b">
        <v>0</v>
      </c>
      <c r="AO106">
        <v>99999</v>
      </c>
      <c r="AP106" t="s">
        <v>63</v>
      </c>
      <c r="AR106" t="b">
        <v>1</v>
      </c>
      <c r="AS106">
        <v>0</v>
      </c>
      <c r="AT106" t="s">
        <v>63</v>
      </c>
      <c r="AV106" t="s">
        <v>632</v>
      </c>
    </row>
    <row r="107" spans="1:48" x14ac:dyDescent="0.25">
      <c r="A107" t="s">
        <v>462</v>
      </c>
      <c r="B107" t="s">
        <v>301</v>
      </c>
      <c r="C107" t="s">
        <v>61</v>
      </c>
      <c r="D107">
        <v>99999</v>
      </c>
      <c r="F107">
        <v>20000</v>
      </c>
      <c r="G107" t="b">
        <v>0</v>
      </c>
      <c r="H107" t="s">
        <v>466</v>
      </c>
      <c r="K107" t="s">
        <v>500</v>
      </c>
      <c r="L107" t="s">
        <v>302</v>
      </c>
      <c r="M107" t="s">
        <v>321</v>
      </c>
      <c r="N107" t="s">
        <v>62</v>
      </c>
      <c r="O107">
        <v>69.900000000000006</v>
      </c>
      <c r="R107">
        <v>499.79999999999995</v>
      </c>
      <c r="S107">
        <v>190</v>
      </c>
      <c r="T107">
        <v>0</v>
      </c>
      <c r="U107">
        <v>75</v>
      </c>
      <c r="X107">
        <v>139.9</v>
      </c>
      <c r="Y107">
        <v>94.9</v>
      </c>
      <c r="Z107">
        <v>94.9</v>
      </c>
      <c r="AA107">
        <v>0</v>
      </c>
      <c r="AB107" t="s">
        <v>497</v>
      </c>
      <c r="AF107" t="s">
        <v>647</v>
      </c>
      <c r="AG107" t="s">
        <v>647</v>
      </c>
      <c r="AH107" t="s">
        <v>467</v>
      </c>
      <c r="AI107">
        <v>99999</v>
      </c>
      <c r="AJ107">
        <v>99999</v>
      </c>
      <c r="AK107">
        <v>0</v>
      </c>
      <c r="AL107" t="b">
        <v>1</v>
      </c>
      <c r="AM107" t="b">
        <v>1</v>
      </c>
      <c r="AN107" t="b">
        <v>0</v>
      </c>
      <c r="AO107">
        <v>99999</v>
      </c>
      <c r="AP107" t="s">
        <v>63</v>
      </c>
      <c r="AR107" t="b">
        <v>1</v>
      </c>
      <c r="AS107">
        <v>0</v>
      </c>
      <c r="AT107" t="s">
        <v>63</v>
      </c>
      <c r="AV107" t="s">
        <v>649</v>
      </c>
    </row>
    <row r="108" spans="1:48" x14ac:dyDescent="0.25">
      <c r="A108" t="s">
        <v>462</v>
      </c>
      <c r="B108" t="s">
        <v>301</v>
      </c>
      <c r="C108" t="s">
        <v>61</v>
      </c>
      <c r="D108">
        <v>99999</v>
      </c>
      <c r="F108">
        <v>20000</v>
      </c>
      <c r="G108" t="b">
        <v>0</v>
      </c>
      <c r="H108" t="s">
        <v>466</v>
      </c>
      <c r="K108" t="s">
        <v>500</v>
      </c>
      <c r="L108" t="s">
        <v>302</v>
      </c>
      <c r="M108" t="s">
        <v>321</v>
      </c>
      <c r="N108" t="s">
        <v>62</v>
      </c>
      <c r="O108">
        <v>79.900000000000006</v>
      </c>
      <c r="R108">
        <v>499.79999999999995</v>
      </c>
      <c r="S108">
        <v>190</v>
      </c>
      <c r="T108">
        <v>0</v>
      </c>
      <c r="U108">
        <v>75</v>
      </c>
      <c r="X108">
        <v>139.9</v>
      </c>
      <c r="Y108">
        <v>94.9</v>
      </c>
      <c r="Z108">
        <v>94.9</v>
      </c>
      <c r="AA108">
        <v>0</v>
      </c>
      <c r="AB108" t="s">
        <v>497</v>
      </c>
      <c r="AF108" t="s">
        <v>570</v>
      </c>
      <c r="AG108" t="s">
        <v>570</v>
      </c>
      <c r="AH108" t="s">
        <v>467</v>
      </c>
      <c r="AI108">
        <v>99999</v>
      </c>
      <c r="AJ108">
        <v>99999</v>
      </c>
      <c r="AK108">
        <v>0</v>
      </c>
      <c r="AL108" t="b">
        <v>1</v>
      </c>
      <c r="AM108" t="b">
        <v>1</v>
      </c>
      <c r="AN108" t="b">
        <v>0</v>
      </c>
      <c r="AO108">
        <v>99999</v>
      </c>
      <c r="AP108" t="s">
        <v>63</v>
      </c>
      <c r="AR108" t="b">
        <v>1</v>
      </c>
      <c r="AS108">
        <v>0</v>
      </c>
      <c r="AT108" t="s">
        <v>63</v>
      </c>
      <c r="AV108" t="s">
        <v>572</v>
      </c>
    </row>
    <row r="109" spans="1:48" x14ac:dyDescent="0.25">
      <c r="A109" t="s">
        <v>462</v>
      </c>
      <c r="B109" t="s">
        <v>301</v>
      </c>
      <c r="C109" t="s">
        <v>61</v>
      </c>
      <c r="D109">
        <v>99999</v>
      </c>
      <c r="F109">
        <v>20000</v>
      </c>
      <c r="G109" t="b">
        <v>0</v>
      </c>
      <c r="H109" t="s">
        <v>466</v>
      </c>
      <c r="K109" t="s">
        <v>500</v>
      </c>
      <c r="L109" t="s">
        <v>302</v>
      </c>
      <c r="M109" t="s">
        <v>321</v>
      </c>
      <c r="N109" t="s">
        <v>62</v>
      </c>
      <c r="O109">
        <v>89.9</v>
      </c>
      <c r="R109">
        <v>499.79999999999995</v>
      </c>
      <c r="S109">
        <v>190</v>
      </c>
      <c r="T109">
        <v>0</v>
      </c>
      <c r="U109">
        <v>75</v>
      </c>
      <c r="X109">
        <v>139.9</v>
      </c>
      <c r="Y109">
        <v>94.9</v>
      </c>
      <c r="Z109">
        <v>94.9</v>
      </c>
      <c r="AA109">
        <v>0</v>
      </c>
      <c r="AB109" t="s">
        <v>497</v>
      </c>
      <c r="AF109" t="s">
        <v>498</v>
      </c>
      <c r="AG109" t="s">
        <v>498</v>
      </c>
      <c r="AH109" t="s">
        <v>467</v>
      </c>
      <c r="AI109">
        <v>99999</v>
      </c>
      <c r="AJ109">
        <v>99999</v>
      </c>
      <c r="AK109">
        <v>0</v>
      </c>
      <c r="AL109" t="b">
        <v>1</v>
      </c>
      <c r="AM109" t="b">
        <v>1</v>
      </c>
      <c r="AN109" t="b">
        <v>0</v>
      </c>
      <c r="AO109">
        <v>99999</v>
      </c>
      <c r="AP109" t="s">
        <v>63</v>
      </c>
      <c r="AR109" t="b">
        <v>1</v>
      </c>
      <c r="AS109">
        <v>0</v>
      </c>
      <c r="AT109" t="s">
        <v>63</v>
      </c>
      <c r="AV109" t="s">
        <v>501</v>
      </c>
    </row>
    <row r="110" spans="1:48" x14ac:dyDescent="0.25">
      <c r="A110" t="s">
        <v>462</v>
      </c>
      <c r="B110" t="s">
        <v>301</v>
      </c>
      <c r="C110" t="s">
        <v>61</v>
      </c>
      <c r="D110">
        <v>99999</v>
      </c>
      <c r="F110">
        <v>20000</v>
      </c>
      <c r="G110" t="b">
        <v>0</v>
      </c>
      <c r="H110" t="s">
        <v>466</v>
      </c>
      <c r="K110" t="s">
        <v>500</v>
      </c>
      <c r="L110" t="s">
        <v>302</v>
      </c>
      <c r="M110" t="s">
        <v>321</v>
      </c>
      <c r="N110" t="s">
        <v>62</v>
      </c>
      <c r="O110">
        <v>89.9</v>
      </c>
      <c r="R110">
        <v>499.79999999999995</v>
      </c>
      <c r="S110">
        <v>190</v>
      </c>
      <c r="T110">
        <v>0</v>
      </c>
      <c r="U110">
        <v>75</v>
      </c>
      <c r="X110">
        <v>139.9</v>
      </c>
      <c r="Y110">
        <v>94.9</v>
      </c>
      <c r="Z110">
        <v>94.9</v>
      </c>
      <c r="AA110">
        <v>0</v>
      </c>
      <c r="AB110" t="s">
        <v>497</v>
      </c>
      <c r="AF110" t="s">
        <v>543</v>
      </c>
      <c r="AG110" t="s">
        <v>543</v>
      </c>
      <c r="AH110" t="s">
        <v>467</v>
      </c>
      <c r="AI110">
        <v>99999</v>
      </c>
      <c r="AJ110">
        <v>99999</v>
      </c>
      <c r="AK110">
        <v>0</v>
      </c>
      <c r="AL110" t="b">
        <v>1</v>
      </c>
      <c r="AM110" t="b">
        <v>1</v>
      </c>
      <c r="AN110" t="b">
        <v>0</v>
      </c>
      <c r="AO110">
        <v>99999</v>
      </c>
      <c r="AP110" t="s">
        <v>63</v>
      </c>
      <c r="AR110" t="b">
        <v>1</v>
      </c>
      <c r="AS110">
        <v>0</v>
      </c>
      <c r="AT110" t="s">
        <v>63</v>
      </c>
      <c r="AV110" t="s">
        <v>545</v>
      </c>
    </row>
    <row r="111" spans="1:48" x14ac:dyDescent="0.25">
      <c r="A111" t="s">
        <v>462</v>
      </c>
      <c r="B111" t="s">
        <v>301</v>
      </c>
      <c r="C111" t="s">
        <v>61</v>
      </c>
      <c r="D111">
        <v>99999</v>
      </c>
      <c r="F111">
        <v>20000</v>
      </c>
      <c r="G111" t="b">
        <v>0</v>
      </c>
      <c r="H111" t="s">
        <v>466</v>
      </c>
      <c r="K111" t="s">
        <v>500</v>
      </c>
      <c r="L111" t="s">
        <v>302</v>
      </c>
      <c r="M111" t="s">
        <v>321</v>
      </c>
      <c r="N111" t="s">
        <v>62</v>
      </c>
      <c r="O111">
        <v>89.9</v>
      </c>
      <c r="R111">
        <v>494.79999999999995</v>
      </c>
      <c r="S111">
        <v>190</v>
      </c>
      <c r="T111">
        <v>0</v>
      </c>
      <c r="U111">
        <v>70</v>
      </c>
      <c r="X111">
        <v>139.9</v>
      </c>
      <c r="Y111">
        <v>94.9</v>
      </c>
      <c r="Z111">
        <v>94.9</v>
      </c>
      <c r="AA111">
        <v>0</v>
      </c>
      <c r="AB111" t="s">
        <v>497</v>
      </c>
      <c r="AF111" t="s">
        <v>631</v>
      </c>
      <c r="AG111" t="s">
        <v>631</v>
      </c>
      <c r="AH111" t="s">
        <v>467</v>
      </c>
      <c r="AI111">
        <v>99999</v>
      </c>
      <c r="AJ111">
        <v>99999</v>
      </c>
      <c r="AK111">
        <v>0</v>
      </c>
      <c r="AL111" t="b">
        <v>1</v>
      </c>
      <c r="AM111" t="b">
        <v>1</v>
      </c>
      <c r="AN111" t="b">
        <v>0</v>
      </c>
      <c r="AO111">
        <v>99999</v>
      </c>
      <c r="AP111" t="s">
        <v>63</v>
      </c>
      <c r="AR111" t="b">
        <v>1</v>
      </c>
      <c r="AS111">
        <v>0</v>
      </c>
      <c r="AT111" t="s">
        <v>63</v>
      </c>
      <c r="AV111" t="s">
        <v>633</v>
      </c>
    </row>
    <row r="112" spans="1:48" x14ac:dyDescent="0.25">
      <c r="A112" t="s">
        <v>462</v>
      </c>
      <c r="B112" t="s">
        <v>301</v>
      </c>
      <c r="C112" t="s">
        <v>61</v>
      </c>
      <c r="D112">
        <v>99999</v>
      </c>
      <c r="F112">
        <v>20000</v>
      </c>
      <c r="G112" t="b">
        <v>0</v>
      </c>
      <c r="H112" t="s">
        <v>466</v>
      </c>
      <c r="K112" t="s">
        <v>471</v>
      </c>
      <c r="L112" t="s">
        <v>302</v>
      </c>
      <c r="M112" t="s">
        <v>321</v>
      </c>
      <c r="N112" t="s">
        <v>62</v>
      </c>
      <c r="O112">
        <v>69.900000000000006</v>
      </c>
      <c r="R112">
        <v>484.79999999999995</v>
      </c>
      <c r="S112">
        <v>190</v>
      </c>
      <c r="T112">
        <v>0</v>
      </c>
      <c r="U112">
        <v>75</v>
      </c>
      <c r="X112">
        <v>139.9</v>
      </c>
      <c r="Y112">
        <v>79.900000000000006</v>
      </c>
      <c r="Z112">
        <v>79.900000000000006</v>
      </c>
      <c r="AA112">
        <v>0</v>
      </c>
      <c r="AB112" t="s">
        <v>470</v>
      </c>
      <c r="AF112" t="s">
        <v>675</v>
      </c>
      <c r="AG112" t="s">
        <v>675</v>
      </c>
      <c r="AH112" t="s">
        <v>467</v>
      </c>
      <c r="AI112">
        <v>99999</v>
      </c>
      <c r="AJ112">
        <v>99999</v>
      </c>
      <c r="AK112">
        <v>0</v>
      </c>
      <c r="AL112" t="b">
        <v>1</v>
      </c>
      <c r="AM112" t="b">
        <v>1</v>
      </c>
      <c r="AN112" t="b">
        <v>0</v>
      </c>
      <c r="AO112">
        <v>99999</v>
      </c>
      <c r="AP112" t="s">
        <v>63</v>
      </c>
      <c r="AR112" t="b">
        <v>1</v>
      </c>
      <c r="AS112">
        <v>0</v>
      </c>
      <c r="AT112" t="s">
        <v>63</v>
      </c>
      <c r="AV112" t="s">
        <v>676</v>
      </c>
    </row>
    <row r="113" spans="1:48" x14ac:dyDescent="0.25">
      <c r="A113" t="s">
        <v>462</v>
      </c>
      <c r="B113" t="s">
        <v>301</v>
      </c>
      <c r="C113" t="s">
        <v>61</v>
      </c>
      <c r="D113">
        <v>99999</v>
      </c>
      <c r="F113">
        <v>20000</v>
      </c>
      <c r="G113" t="b">
        <v>0</v>
      </c>
      <c r="H113" t="s">
        <v>466</v>
      </c>
      <c r="K113" t="s">
        <v>471</v>
      </c>
      <c r="L113" t="s">
        <v>302</v>
      </c>
      <c r="M113" t="s">
        <v>321</v>
      </c>
      <c r="N113" t="s">
        <v>62</v>
      </c>
      <c r="O113">
        <v>79.900000000000006</v>
      </c>
      <c r="R113">
        <v>484.79999999999995</v>
      </c>
      <c r="S113">
        <v>190</v>
      </c>
      <c r="T113">
        <v>0</v>
      </c>
      <c r="U113">
        <v>75</v>
      </c>
      <c r="X113">
        <v>139.9</v>
      </c>
      <c r="Y113">
        <v>79.900000000000006</v>
      </c>
      <c r="Z113">
        <v>79.900000000000006</v>
      </c>
      <c r="AA113">
        <v>0</v>
      </c>
      <c r="AB113" t="s">
        <v>470</v>
      </c>
      <c r="AF113" t="s">
        <v>598</v>
      </c>
      <c r="AG113" t="s">
        <v>598</v>
      </c>
      <c r="AH113" t="s">
        <v>467</v>
      </c>
      <c r="AI113">
        <v>99999</v>
      </c>
      <c r="AJ113">
        <v>99999</v>
      </c>
      <c r="AK113">
        <v>0</v>
      </c>
      <c r="AL113" t="b">
        <v>1</v>
      </c>
      <c r="AM113" t="b">
        <v>1</v>
      </c>
      <c r="AN113" t="b">
        <v>0</v>
      </c>
      <c r="AO113">
        <v>99999</v>
      </c>
      <c r="AP113" t="s">
        <v>63</v>
      </c>
      <c r="AR113" t="b">
        <v>1</v>
      </c>
      <c r="AS113">
        <v>0</v>
      </c>
      <c r="AT113" t="s">
        <v>63</v>
      </c>
      <c r="AV113" t="s">
        <v>599</v>
      </c>
    </row>
    <row r="114" spans="1:48" x14ac:dyDescent="0.25">
      <c r="A114" t="s">
        <v>462</v>
      </c>
      <c r="B114" t="s">
        <v>301</v>
      </c>
      <c r="C114" t="s">
        <v>61</v>
      </c>
      <c r="D114">
        <v>99999</v>
      </c>
      <c r="F114">
        <v>20000</v>
      </c>
      <c r="G114" t="b">
        <v>0</v>
      </c>
      <c r="H114" t="s">
        <v>466</v>
      </c>
      <c r="K114" t="s">
        <v>471</v>
      </c>
      <c r="L114" t="s">
        <v>302</v>
      </c>
      <c r="M114" t="s">
        <v>321</v>
      </c>
      <c r="N114" t="s">
        <v>62</v>
      </c>
      <c r="O114">
        <v>89.9</v>
      </c>
      <c r="R114">
        <v>484.79999999999995</v>
      </c>
      <c r="S114">
        <v>190</v>
      </c>
      <c r="T114">
        <v>0</v>
      </c>
      <c r="U114">
        <v>75</v>
      </c>
      <c r="X114">
        <v>139.9</v>
      </c>
      <c r="Y114">
        <v>79.900000000000006</v>
      </c>
      <c r="Z114">
        <v>79.900000000000006</v>
      </c>
      <c r="AA114">
        <v>0</v>
      </c>
      <c r="AB114" t="s">
        <v>470</v>
      </c>
      <c r="AF114" t="s">
        <v>476</v>
      </c>
      <c r="AG114" t="s">
        <v>476</v>
      </c>
      <c r="AH114" t="s">
        <v>467</v>
      </c>
      <c r="AI114">
        <v>99999</v>
      </c>
      <c r="AJ114">
        <v>99999</v>
      </c>
      <c r="AK114">
        <v>0</v>
      </c>
      <c r="AL114" t="b">
        <v>1</v>
      </c>
      <c r="AM114" t="b">
        <v>1</v>
      </c>
      <c r="AN114" t="b">
        <v>0</v>
      </c>
      <c r="AO114">
        <v>99999</v>
      </c>
      <c r="AP114" t="s">
        <v>63</v>
      </c>
      <c r="AR114" t="b">
        <v>1</v>
      </c>
      <c r="AS114">
        <v>0</v>
      </c>
      <c r="AT114" t="s">
        <v>63</v>
      </c>
      <c r="AV114" t="s">
        <v>477</v>
      </c>
    </row>
    <row r="115" spans="1:48" x14ac:dyDescent="0.25">
      <c r="A115" t="s">
        <v>462</v>
      </c>
      <c r="B115" t="s">
        <v>301</v>
      </c>
      <c r="C115" t="s">
        <v>61</v>
      </c>
      <c r="D115">
        <v>99999</v>
      </c>
      <c r="F115">
        <v>20000</v>
      </c>
      <c r="G115" t="b">
        <v>0</v>
      </c>
      <c r="H115" t="s">
        <v>466</v>
      </c>
      <c r="K115" t="s">
        <v>471</v>
      </c>
      <c r="L115" t="s">
        <v>302</v>
      </c>
      <c r="M115" t="s">
        <v>321</v>
      </c>
      <c r="N115" t="s">
        <v>62</v>
      </c>
      <c r="O115">
        <v>89.9</v>
      </c>
      <c r="R115">
        <v>484.79999999999995</v>
      </c>
      <c r="S115">
        <v>190</v>
      </c>
      <c r="T115">
        <v>0</v>
      </c>
      <c r="U115">
        <v>75</v>
      </c>
      <c r="X115">
        <v>139.9</v>
      </c>
      <c r="Y115">
        <v>79.900000000000006</v>
      </c>
      <c r="Z115">
        <v>79.900000000000006</v>
      </c>
      <c r="AA115">
        <v>0</v>
      </c>
      <c r="AB115" t="s">
        <v>470</v>
      </c>
      <c r="AF115" t="s">
        <v>525</v>
      </c>
      <c r="AG115" t="s">
        <v>525</v>
      </c>
      <c r="AH115" t="s">
        <v>467</v>
      </c>
      <c r="AI115">
        <v>99999</v>
      </c>
      <c r="AJ115">
        <v>99999</v>
      </c>
      <c r="AK115">
        <v>0</v>
      </c>
      <c r="AL115" t="b">
        <v>1</v>
      </c>
      <c r="AM115" t="b">
        <v>1</v>
      </c>
      <c r="AN115" t="b">
        <v>0</v>
      </c>
      <c r="AO115">
        <v>99999</v>
      </c>
      <c r="AP115" t="s">
        <v>63</v>
      </c>
      <c r="AR115" t="b">
        <v>1</v>
      </c>
      <c r="AS115">
        <v>0</v>
      </c>
      <c r="AT115" t="s">
        <v>63</v>
      </c>
      <c r="AV115" t="s">
        <v>526</v>
      </c>
    </row>
    <row r="116" spans="1:48" x14ac:dyDescent="0.25">
      <c r="A116" t="s">
        <v>462</v>
      </c>
      <c r="B116" t="s">
        <v>301</v>
      </c>
      <c r="C116" t="s">
        <v>61</v>
      </c>
      <c r="D116">
        <v>99999</v>
      </c>
      <c r="F116">
        <v>20000</v>
      </c>
      <c r="G116" t="b">
        <v>0</v>
      </c>
      <c r="H116" t="s">
        <v>466</v>
      </c>
      <c r="K116" t="s">
        <v>471</v>
      </c>
      <c r="L116" t="s">
        <v>302</v>
      </c>
      <c r="M116" t="s">
        <v>321</v>
      </c>
      <c r="N116" t="s">
        <v>62</v>
      </c>
      <c r="O116">
        <v>89.9</v>
      </c>
      <c r="R116">
        <v>479.79999999999995</v>
      </c>
      <c r="S116">
        <v>190</v>
      </c>
      <c r="T116">
        <v>0</v>
      </c>
      <c r="U116">
        <v>70</v>
      </c>
      <c r="X116">
        <v>139.9</v>
      </c>
      <c r="Y116">
        <v>79.900000000000006</v>
      </c>
      <c r="Z116">
        <v>79.900000000000006</v>
      </c>
      <c r="AA116">
        <v>0</v>
      </c>
      <c r="AB116" t="s">
        <v>470</v>
      </c>
      <c r="AF116" t="s">
        <v>619</v>
      </c>
      <c r="AG116" t="s">
        <v>619</v>
      </c>
      <c r="AH116" t="s">
        <v>467</v>
      </c>
      <c r="AI116">
        <v>99999</v>
      </c>
      <c r="AJ116">
        <v>99999</v>
      </c>
      <c r="AK116">
        <v>0</v>
      </c>
      <c r="AL116" t="b">
        <v>1</v>
      </c>
      <c r="AM116" t="b">
        <v>1</v>
      </c>
      <c r="AN116" t="b">
        <v>0</v>
      </c>
      <c r="AO116">
        <v>99999</v>
      </c>
      <c r="AP116" t="s">
        <v>63</v>
      </c>
      <c r="AR116" t="b">
        <v>1</v>
      </c>
      <c r="AS116">
        <v>0</v>
      </c>
      <c r="AT116" t="s">
        <v>63</v>
      </c>
      <c r="AV116" t="s">
        <v>620</v>
      </c>
    </row>
    <row r="117" spans="1:48" x14ac:dyDescent="0.25">
      <c r="A117" t="s">
        <v>462</v>
      </c>
      <c r="B117" t="s">
        <v>301</v>
      </c>
      <c r="C117" t="s">
        <v>61</v>
      </c>
      <c r="D117">
        <v>99999</v>
      </c>
      <c r="F117">
        <v>40000</v>
      </c>
      <c r="G117" t="b">
        <v>1</v>
      </c>
      <c r="H117" t="s">
        <v>328</v>
      </c>
      <c r="K117" t="s">
        <v>474</v>
      </c>
      <c r="L117" t="s">
        <v>302</v>
      </c>
      <c r="M117" t="s">
        <v>321</v>
      </c>
      <c r="N117" t="s">
        <v>62</v>
      </c>
      <c r="O117">
        <v>69.900000000000006</v>
      </c>
      <c r="R117">
        <v>639.79999999999995</v>
      </c>
      <c r="S117">
        <v>250</v>
      </c>
      <c r="T117">
        <v>0</v>
      </c>
      <c r="U117">
        <v>75</v>
      </c>
      <c r="X117">
        <v>234.9</v>
      </c>
      <c r="Y117">
        <v>79.900000000000006</v>
      </c>
      <c r="Z117">
        <v>79.900000000000006</v>
      </c>
      <c r="AA117">
        <v>0</v>
      </c>
      <c r="AB117" t="s">
        <v>470</v>
      </c>
      <c r="AF117" t="s">
        <v>690</v>
      </c>
      <c r="AG117" t="s">
        <v>690</v>
      </c>
      <c r="AH117" t="s">
        <v>469</v>
      </c>
      <c r="AI117">
        <v>99999</v>
      </c>
      <c r="AJ117">
        <v>99999</v>
      </c>
      <c r="AK117">
        <v>0</v>
      </c>
      <c r="AL117" t="b">
        <v>1</v>
      </c>
      <c r="AM117" t="b">
        <v>1</v>
      </c>
      <c r="AN117" t="b">
        <v>1</v>
      </c>
      <c r="AO117">
        <v>99999</v>
      </c>
      <c r="AP117" t="s">
        <v>63</v>
      </c>
      <c r="AR117" t="b">
        <v>1</v>
      </c>
      <c r="AS117">
        <v>0</v>
      </c>
      <c r="AT117" t="s">
        <v>63</v>
      </c>
      <c r="AV117" t="s">
        <v>692</v>
      </c>
    </row>
    <row r="118" spans="1:48" x14ac:dyDescent="0.25">
      <c r="A118" t="s">
        <v>462</v>
      </c>
      <c r="B118" t="s">
        <v>301</v>
      </c>
      <c r="C118" t="s">
        <v>61</v>
      </c>
      <c r="D118">
        <v>99999</v>
      </c>
      <c r="F118">
        <v>40000</v>
      </c>
      <c r="G118" t="b">
        <v>1</v>
      </c>
      <c r="H118" t="s">
        <v>328</v>
      </c>
      <c r="K118" t="s">
        <v>474</v>
      </c>
      <c r="L118" t="s">
        <v>302</v>
      </c>
      <c r="M118" t="s">
        <v>321</v>
      </c>
      <c r="N118" t="s">
        <v>62</v>
      </c>
      <c r="O118">
        <v>79.900000000000006</v>
      </c>
      <c r="R118">
        <v>639.79999999999995</v>
      </c>
      <c r="S118">
        <v>250</v>
      </c>
      <c r="T118">
        <v>0</v>
      </c>
      <c r="U118">
        <v>75</v>
      </c>
      <c r="X118">
        <v>234.9</v>
      </c>
      <c r="Y118">
        <v>79.900000000000006</v>
      </c>
      <c r="Z118">
        <v>79.900000000000006</v>
      </c>
      <c r="AA118">
        <v>0</v>
      </c>
      <c r="AB118" t="s">
        <v>470</v>
      </c>
      <c r="AF118" t="s">
        <v>491</v>
      </c>
      <c r="AG118" t="s">
        <v>491</v>
      </c>
      <c r="AH118" t="s">
        <v>469</v>
      </c>
      <c r="AI118">
        <v>99999</v>
      </c>
      <c r="AJ118">
        <v>99999</v>
      </c>
      <c r="AK118">
        <v>0</v>
      </c>
      <c r="AL118" t="b">
        <v>1</v>
      </c>
      <c r="AM118" t="b">
        <v>1</v>
      </c>
      <c r="AN118" t="b">
        <v>1</v>
      </c>
      <c r="AO118">
        <v>99999</v>
      </c>
      <c r="AP118" t="s">
        <v>63</v>
      </c>
      <c r="AR118" t="b">
        <v>1</v>
      </c>
      <c r="AS118">
        <v>0</v>
      </c>
      <c r="AT118" t="s">
        <v>63</v>
      </c>
      <c r="AV118" t="s">
        <v>493</v>
      </c>
    </row>
    <row r="119" spans="1:48" x14ac:dyDescent="0.25">
      <c r="A119" t="s">
        <v>462</v>
      </c>
      <c r="B119" t="s">
        <v>301</v>
      </c>
      <c r="C119" t="s">
        <v>61</v>
      </c>
      <c r="D119">
        <v>99999</v>
      </c>
      <c r="F119">
        <v>40000</v>
      </c>
      <c r="G119" t="b">
        <v>1</v>
      </c>
      <c r="H119" t="s">
        <v>328</v>
      </c>
      <c r="K119" t="s">
        <v>474</v>
      </c>
      <c r="L119" t="s">
        <v>302</v>
      </c>
      <c r="M119" t="s">
        <v>321</v>
      </c>
      <c r="N119" t="s">
        <v>62</v>
      </c>
      <c r="O119">
        <v>79.900000000000006</v>
      </c>
      <c r="R119">
        <v>639.79999999999995</v>
      </c>
      <c r="S119">
        <v>250</v>
      </c>
      <c r="T119">
        <v>0</v>
      </c>
      <c r="U119">
        <v>75</v>
      </c>
      <c r="X119">
        <v>234.9</v>
      </c>
      <c r="Y119">
        <v>79.900000000000006</v>
      </c>
      <c r="Z119">
        <v>79.900000000000006</v>
      </c>
      <c r="AA119">
        <v>0</v>
      </c>
      <c r="AB119" t="s">
        <v>470</v>
      </c>
      <c r="AF119" t="s">
        <v>540</v>
      </c>
      <c r="AG119" t="s">
        <v>540</v>
      </c>
      <c r="AH119" t="s">
        <v>469</v>
      </c>
      <c r="AI119">
        <v>99999</v>
      </c>
      <c r="AJ119">
        <v>99999</v>
      </c>
      <c r="AK119">
        <v>0</v>
      </c>
      <c r="AL119" t="b">
        <v>1</v>
      </c>
      <c r="AM119" t="b">
        <v>1</v>
      </c>
      <c r="AN119" t="b">
        <v>1</v>
      </c>
      <c r="AO119">
        <v>99999</v>
      </c>
      <c r="AP119" t="s">
        <v>63</v>
      </c>
      <c r="AR119" t="b">
        <v>1</v>
      </c>
      <c r="AS119">
        <v>0</v>
      </c>
      <c r="AT119" t="s">
        <v>63</v>
      </c>
      <c r="AV119" t="s">
        <v>542</v>
      </c>
    </row>
    <row r="120" spans="1:48" x14ac:dyDescent="0.25">
      <c r="A120" t="s">
        <v>462</v>
      </c>
      <c r="B120" t="s">
        <v>301</v>
      </c>
      <c r="C120" t="s">
        <v>61</v>
      </c>
      <c r="D120">
        <v>99999</v>
      </c>
      <c r="F120">
        <v>40000</v>
      </c>
      <c r="G120" t="b">
        <v>1</v>
      </c>
      <c r="H120" t="s">
        <v>328</v>
      </c>
      <c r="K120" t="s">
        <v>474</v>
      </c>
      <c r="L120" t="s">
        <v>302</v>
      </c>
      <c r="M120" t="s">
        <v>321</v>
      </c>
      <c r="N120" t="s">
        <v>62</v>
      </c>
      <c r="O120">
        <v>79.900000000000006</v>
      </c>
      <c r="R120">
        <v>639.79999999999995</v>
      </c>
      <c r="S120">
        <v>250</v>
      </c>
      <c r="T120">
        <v>0</v>
      </c>
      <c r="U120">
        <v>75</v>
      </c>
      <c r="X120">
        <v>234.9</v>
      </c>
      <c r="Y120">
        <v>79.900000000000006</v>
      </c>
      <c r="Z120">
        <v>79.900000000000006</v>
      </c>
      <c r="AA120">
        <v>0</v>
      </c>
      <c r="AB120" t="s">
        <v>470</v>
      </c>
      <c r="AF120" t="s">
        <v>613</v>
      </c>
      <c r="AG120" t="s">
        <v>613</v>
      </c>
      <c r="AH120" t="s">
        <v>469</v>
      </c>
      <c r="AI120">
        <v>99999</v>
      </c>
      <c r="AJ120">
        <v>99999</v>
      </c>
      <c r="AK120">
        <v>0</v>
      </c>
      <c r="AL120" t="b">
        <v>1</v>
      </c>
      <c r="AM120" t="b">
        <v>1</v>
      </c>
      <c r="AN120" t="b">
        <v>1</v>
      </c>
      <c r="AO120">
        <v>99999</v>
      </c>
      <c r="AP120" t="s">
        <v>63</v>
      </c>
      <c r="AR120" t="b">
        <v>1</v>
      </c>
      <c r="AS120">
        <v>0</v>
      </c>
      <c r="AT120" t="s">
        <v>63</v>
      </c>
      <c r="AV120" t="s">
        <v>615</v>
      </c>
    </row>
    <row r="121" spans="1:48" x14ac:dyDescent="0.25">
      <c r="A121" t="s">
        <v>462</v>
      </c>
      <c r="B121" t="s">
        <v>301</v>
      </c>
      <c r="C121" t="s">
        <v>61</v>
      </c>
      <c r="D121">
        <v>99999</v>
      </c>
      <c r="F121">
        <v>40000</v>
      </c>
      <c r="G121" t="b">
        <v>1</v>
      </c>
      <c r="H121" t="s">
        <v>328</v>
      </c>
      <c r="K121" t="s">
        <v>502</v>
      </c>
      <c r="L121" t="s">
        <v>302</v>
      </c>
      <c r="M121" t="s">
        <v>321</v>
      </c>
      <c r="N121" t="s">
        <v>62</v>
      </c>
      <c r="O121">
        <v>69.900000000000006</v>
      </c>
      <c r="R121">
        <v>664.8</v>
      </c>
      <c r="S121">
        <v>250</v>
      </c>
      <c r="T121">
        <v>0</v>
      </c>
      <c r="U121">
        <v>75</v>
      </c>
      <c r="X121">
        <v>234.9</v>
      </c>
      <c r="Y121">
        <v>104.9</v>
      </c>
      <c r="Z121">
        <v>104.9</v>
      </c>
      <c r="AA121">
        <v>0</v>
      </c>
      <c r="AB121" t="s">
        <v>468</v>
      </c>
      <c r="AF121" t="s">
        <v>668</v>
      </c>
      <c r="AG121" t="s">
        <v>668</v>
      </c>
      <c r="AH121" t="s">
        <v>469</v>
      </c>
      <c r="AI121">
        <v>99999</v>
      </c>
      <c r="AJ121">
        <v>99999</v>
      </c>
      <c r="AK121">
        <v>0</v>
      </c>
      <c r="AL121" t="b">
        <v>1</v>
      </c>
      <c r="AM121" t="b">
        <v>1</v>
      </c>
      <c r="AN121" t="b">
        <v>1</v>
      </c>
      <c r="AO121">
        <v>99999</v>
      </c>
      <c r="AP121" t="s">
        <v>63</v>
      </c>
      <c r="AR121" t="b">
        <v>1</v>
      </c>
      <c r="AS121">
        <v>0</v>
      </c>
      <c r="AT121" t="s">
        <v>63</v>
      </c>
      <c r="AV121" t="s">
        <v>671</v>
      </c>
    </row>
    <row r="122" spans="1:48" x14ac:dyDescent="0.25">
      <c r="A122" t="s">
        <v>462</v>
      </c>
      <c r="B122" t="s">
        <v>301</v>
      </c>
      <c r="C122" t="s">
        <v>61</v>
      </c>
      <c r="D122">
        <v>99999</v>
      </c>
      <c r="F122">
        <v>40000</v>
      </c>
      <c r="G122" t="b">
        <v>1</v>
      </c>
      <c r="H122" t="s">
        <v>328</v>
      </c>
      <c r="K122" t="s">
        <v>502</v>
      </c>
      <c r="L122" t="s">
        <v>302</v>
      </c>
      <c r="M122" t="s">
        <v>321</v>
      </c>
      <c r="N122" t="s">
        <v>62</v>
      </c>
      <c r="O122">
        <v>79.900000000000006</v>
      </c>
      <c r="R122">
        <v>664.8</v>
      </c>
      <c r="S122">
        <v>250</v>
      </c>
      <c r="T122">
        <v>0</v>
      </c>
      <c r="U122">
        <v>75</v>
      </c>
      <c r="X122">
        <v>234.9</v>
      </c>
      <c r="Y122">
        <v>104.9</v>
      </c>
      <c r="Z122">
        <v>104.9</v>
      </c>
      <c r="AA122">
        <v>0</v>
      </c>
      <c r="AB122" t="s">
        <v>468</v>
      </c>
      <c r="AF122" t="s">
        <v>521</v>
      </c>
      <c r="AG122" t="s">
        <v>521</v>
      </c>
      <c r="AH122" t="s">
        <v>469</v>
      </c>
      <c r="AI122">
        <v>99999</v>
      </c>
      <c r="AJ122">
        <v>99999</v>
      </c>
      <c r="AK122">
        <v>0</v>
      </c>
      <c r="AL122" t="b">
        <v>1</v>
      </c>
      <c r="AM122" t="b">
        <v>1</v>
      </c>
      <c r="AN122" t="b">
        <v>1</v>
      </c>
      <c r="AO122">
        <v>99999</v>
      </c>
      <c r="AP122" t="s">
        <v>63</v>
      </c>
      <c r="AR122" t="b">
        <v>1</v>
      </c>
      <c r="AS122">
        <v>0</v>
      </c>
      <c r="AT122" t="s">
        <v>63</v>
      </c>
      <c r="AV122" t="s">
        <v>524</v>
      </c>
    </row>
    <row r="123" spans="1:48" x14ac:dyDescent="0.25">
      <c r="A123" t="s">
        <v>462</v>
      </c>
      <c r="B123" t="s">
        <v>301</v>
      </c>
      <c r="C123" t="s">
        <v>61</v>
      </c>
      <c r="D123">
        <v>99999</v>
      </c>
      <c r="F123">
        <v>40000</v>
      </c>
      <c r="G123" t="b">
        <v>1</v>
      </c>
      <c r="H123" t="s">
        <v>328</v>
      </c>
      <c r="K123" t="s">
        <v>502</v>
      </c>
      <c r="L123" t="s">
        <v>302</v>
      </c>
      <c r="M123" t="s">
        <v>321</v>
      </c>
      <c r="N123" t="s">
        <v>62</v>
      </c>
      <c r="O123">
        <v>79.900000000000006</v>
      </c>
      <c r="R123">
        <v>664.8</v>
      </c>
      <c r="S123">
        <v>250</v>
      </c>
      <c r="T123">
        <v>0</v>
      </c>
      <c r="U123">
        <v>75</v>
      </c>
      <c r="X123">
        <v>234.9</v>
      </c>
      <c r="Y123">
        <v>104.9</v>
      </c>
      <c r="Z123">
        <v>104.9</v>
      </c>
      <c r="AA123">
        <v>0</v>
      </c>
      <c r="AB123" t="s">
        <v>468</v>
      </c>
      <c r="AF123" t="s">
        <v>564</v>
      </c>
      <c r="AG123" t="s">
        <v>564</v>
      </c>
      <c r="AH123" t="s">
        <v>469</v>
      </c>
      <c r="AI123">
        <v>99999</v>
      </c>
      <c r="AJ123">
        <v>99999</v>
      </c>
      <c r="AK123">
        <v>0</v>
      </c>
      <c r="AL123" t="b">
        <v>1</v>
      </c>
      <c r="AM123" t="b">
        <v>1</v>
      </c>
      <c r="AN123" t="b">
        <v>1</v>
      </c>
      <c r="AO123">
        <v>99999</v>
      </c>
      <c r="AP123" t="s">
        <v>63</v>
      </c>
      <c r="AR123" t="b">
        <v>1</v>
      </c>
      <c r="AS123">
        <v>0</v>
      </c>
      <c r="AT123" t="s">
        <v>63</v>
      </c>
      <c r="AV123" t="s">
        <v>567</v>
      </c>
    </row>
    <row r="124" spans="1:48" x14ac:dyDescent="0.25">
      <c r="A124" t="s">
        <v>462</v>
      </c>
      <c r="B124" t="s">
        <v>301</v>
      </c>
      <c r="C124" t="s">
        <v>61</v>
      </c>
      <c r="D124">
        <v>99999</v>
      </c>
      <c r="F124">
        <v>40000</v>
      </c>
      <c r="G124" t="b">
        <v>1</v>
      </c>
      <c r="H124" t="s">
        <v>328</v>
      </c>
      <c r="K124" t="s">
        <v>502</v>
      </c>
      <c r="L124" t="s">
        <v>302</v>
      </c>
      <c r="M124" t="s">
        <v>321</v>
      </c>
      <c r="N124" t="s">
        <v>62</v>
      </c>
      <c r="O124">
        <v>79.900000000000006</v>
      </c>
      <c r="R124">
        <v>664.8</v>
      </c>
      <c r="S124">
        <v>250</v>
      </c>
      <c r="T124">
        <v>0</v>
      </c>
      <c r="U124">
        <v>75</v>
      </c>
      <c r="X124">
        <v>234.9</v>
      </c>
      <c r="Y124">
        <v>104.9</v>
      </c>
      <c r="Z124">
        <v>104.9</v>
      </c>
      <c r="AA124">
        <v>0</v>
      </c>
      <c r="AB124" t="s">
        <v>468</v>
      </c>
      <c r="AF124" t="s">
        <v>591</v>
      </c>
      <c r="AG124" t="s">
        <v>591</v>
      </c>
      <c r="AH124" t="s">
        <v>469</v>
      </c>
      <c r="AI124">
        <v>99999</v>
      </c>
      <c r="AJ124">
        <v>99999</v>
      </c>
      <c r="AK124">
        <v>0</v>
      </c>
      <c r="AL124" t="b">
        <v>1</v>
      </c>
      <c r="AM124" t="b">
        <v>1</v>
      </c>
      <c r="AN124" t="b">
        <v>1</v>
      </c>
      <c r="AO124">
        <v>99999</v>
      </c>
      <c r="AP124" t="s">
        <v>63</v>
      </c>
      <c r="AR124" t="b">
        <v>1</v>
      </c>
      <c r="AS124">
        <v>0</v>
      </c>
      <c r="AT124" t="s">
        <v>63</v>
      </c>
      <c r="AV124" t="s">
        <v>594</v>
      </c>
    </row>
    <row r="125" spans="1:48" x14ac:dyDescent="0.25">
      <c r="A125" t="s">
        <v>462</v>
      </c>
      <c r="B125" t="s">
        <v>301</v>
      </c>
      <c r="C125" t="s">
        <v>61</v>
      </c>
      <c r="D125">
        <v>99999</v>
      </c>
      <c r="F125">
        <v>40000</v>
      </c>
      <c r="G125" t="b">
        <v>1</v>
      </c>
      <c r="H125" t="s">
        <v>328</v>
      </c>
      <c r="K125" t="s">
        <v>494</v>
      </c>
      <c r="L125" t="s">
        <v>302</v>
      </c>
      <c r="M125" t="s">
        <v>321</v>
      </c>
      <c r="N125" t="s">
        <v>62</v>
      </c>
      <c r="O125">
        <v>69.900000000000006</v>
      </c>
      <c r="R125">
        <v>644.79999999999995</v>
      </c>
      <c r="S125">
        <v>250</v>
      </c>
      <c r="T125">
        <v>0</v>
      </c>
      <c r="U125">
        <v>75</v>
      </c>
      <c r="X125">
        <v>234.9</v>
      </c>
      <c r="Y125">
        <v>84.9</v>
      </c>
      <c r="Z125">
        <v>84.9</v>
      </c>
      <c r="AA125">
        <v>0</v>
      </c>
      <c r="AB125" t="s">
        <v>468</v>
      </c>
      <c r="AF125" t="s">
        <v>668</v>
      </c>
      <c r="AG125" t="s">
        <v>668</v>
      </c>
      <c r="AH125" t="s">
        <v>469</v>
      </c>
      <c r="AI125">
        <v>99999</v>
      </c>
      <c r="AJ125">
        <v>99999</v>
      </c>
      <c r="AK125">
        <v>0</v>
      </c>
      <c r="AL125" t="b">
        <v>1</v>
      </c>
      <c r="AM125" t="b">
        <v>1</v>
      </c>
      <c r="AN125" t="b">
        <v>1</v>
      </c>
      <c r="AO125">
        <v>99999</v>
      </c>
      <c r="AP125" t="s">
        <v>63</v>
      </c>
      <c r="AR125" t="b">
        <v>1</v>
      </c>
      <c r="AS125">
        <v>0</v>
      </c>
      <c r="AT125" t="s">
        <v>63</v>
      </c>
      <c r="AV125" t="s">
        <v>669</v>
      </c>
    </row>
    <row r="126" spans="1:48" x14ac:dyDescent="0.25">
      <c r="A126" t="s">
        <v>462</v>
      </c>
      <c r="B126" t="s">
        <v>301</v>
      </c>
      <c r="C126" t="s">
        <v>61</v>
      </c>
      <c r="D126">
        <v>99999</v>
      </c>
      <c r="F126">
        <v>40000</v>
      </c>
      <c r="G126" t="b">
        <v>1</v>
      </c>
      <c r="H126" t="s">
        <v>328</v>
      </c>
      <c r="K126" t="s">
        <v>494</v>
      </c>
      <c r="L126" t="s">
        <v>302</v>
      </c>
      <c r="M126" t="s">
        <v>321</v>
      </c>
      <c r="N126" t="s">
        <v>62</v>
      </c>
      <c r="O126">
        <v>79.900000000000006</v>
      </c>
      <c r="R126">
        <v>644.79999999999995</v>
      </c>
      <c r="S126">
        <v>250</v>
      </c>
      <c r="T126">
        <v>0</v>
      </c>
      <c r="U126">
        <v>75</v>
      </c>
      <c r="X126">
        <v>234.9</v>
      </c>
      <c r="Y126">
        <v>84.9</v>
      </c>
      <c r="Z126">
        <v>84.9</v>
      </c>
      <c r="AA126">
        <v>0</v>
      </c>
      <c r="AB126" t="s">
        <v>468</v>
      </c>
      <c r="AF126" t="s">
        <v>521</v>
      </c>
      <c r="AG126" t="s">
        <v>521</v>
      </c>
      <c r="AH126" t="s">
        <v>469</v>
      </c>
      <c r="AI126">
        <v>99999</v>
      </c>
      <c r="AJ126">
        <v>99999</v>
      </c>
      <c r="AK126">
        <v>0</v>
      </c>
      <c r="AL126" t="b">
        <v>1</v>
      </c>
      <c r="AM126" t="b">
        <v>1</v>
      </c>
      <c r="AN126" t="b">
        <v>1</v>
      </c>
      <c r="AO126">
        <v>99999</v>
      </c>
      <c r="AP126" t="s">
        <v>63</v>
      </c>
      <c r="AR126" t="b">
        <v>1</v>
      </c>
      <c r="AS126">
        <v>0</v>
      </c>
      <c r="AT126" t="s">
        <v>63</v>
      </c>
      <c r="AV126" t="s">
        <v>522</v>
      </c>
    </row>
    <row r="127" spans="1:48" x14ac:dyDescent="0.25">
      <c r="A127" t="s">
        <v>462</v>
      </c>
      <c r="B127" t="s">
        <v>301</v>
      </c>
      <c r="C127" t="s">
        <v>61</v>
      </c>
      <c r="D127">
        <v>99999</v>
      </c>
      <c r="F127">
        <v>40000</v>
      </c>
      <c r="G127" t="b">
        <v>1</v>
      </c>
      <c r="H127" t="s">
        <v>328</v>
      </c>
      <c r="K127" t="s">
        <v>494</v>
      </c>
      <c r="L127" t="s">
        <v>302</v>
      </c>
      <c r="M127" t="s">
        <v>321</v>
      </c>
      <c r="N127" t="s">
        <v>62</v>
      </c>
      <c r="O127">
        <v>79.900000000000006</v>
      </c>
      <c r="R127">
        <v>644.79999999999995</v>
      </c>
      <c r="S127">
        <v>250</v>
      </c>
      <c r="T127">
        <v>0</v>
      </c>
      <c r="U127">
        <v>75</v>
      </c>
      <c r="X127">
        <v>234.9</v>
      </c>
      <c r="Y127">
        <v>84.9</v>
      </c>
      <c r="Z127">
        <v>84.9</v>
      </c>
      <c r="AA127">
        <v>0</v>
      </c>
      <c r="AB127" t="s">
        <v>468</v>
      </c>
      <c r="AF127" t="s">
        <v>564</v>
      </c>
      <c r="AG127" t="s">
        <v>564</v>
      </c>
      <c r="AH127" t="s">
        <v>469</v>
      </c>
      <c r="AI127">
        <v>99999</v>
      </c>
      <c r="AJ127">
        <v>99999</v>
      </c>
      <c r="AK127">
        <v>0</v>
      </c>
      <c r="AL127" t="b">
        <v>1</v>
      </c>
      <c r="AM127" t="b">
        <v>1</v>
      </c>
      <c r="AN127" t="b">
        <v>1</v>
      </c>
      <c r="AO127">
        <v>99999</v>
      </c>
      <c r="AP127" t="s">
        <v>63</v>
      </c>
      <c r="AR127" t="b">
        <v>1</v>
      </c>
      <c r="AS127">
        <v>0</v>
      </c>
      <c r="AT127" t="s">
        <v>63</v>
      </c>
      <c r="AV127" t="s">
        <v>565</v>
      </c>
    </row>
    <row r="128" spans="1:48" x14ac:dyDescent="0.25">
      <c r="A128" t="s">
        <v>462</v>
      </c>
      <c r="B128" t="s">
        <v>301</v>
      </c>
      <c r="C128" t="s">
        <v>61</v>
      </c>
      <c r="D128">
        <v>99999</v>
      </c>
      <c r="F128">
        <v>40000</v>
      </c>
      <c r="G128" t="b">
        <v>1</v>
      </c>
      <c r="H128" t="s">
        <v>328</v>
      </c>
      <c r="K128" t="s">
        <v>494</v>
      </c>
      <c r="L128" t="s">
        <v>302</v>
      </c>
      <c r="M128" t="s">
        <v>321</v>
      </c>
      <c r="N128" t="s">
        <v>62</v>
      </c>
      <c r="O128">
        <v>79.900000000000006</v>
      </c>
      <c r="R128">
        <v>644.79999999999995</v>
      </c>
      <c r="S128">
        <v>250</v>
      </c>
      <c r="T128">
        <v>0</v>
      </c>
      <c r="U128">
        <v>75</v>
      </c>
      <c r="X128">
        <v>234.9</v>
      </c>
      <c r="Y128">
        <v>84.9</v>
      </c>
      <c r="Z128">
        <v>84.9</v>
      </c>
      <c r="AA128">
        <v>0</v>
      </c>
      <c r="AB128" t="s">
        <v>468</v>
      </c>
      <c r="AF128" t="s">
        <v>591</v>
      </c>
      <c r="AG128" t="s">
        <v>591</v>
      </c>
      <c r="AH128" t="s">
        <v>469</v>
      </c>
      <c r="AI128">
        <v>99999</v>
      </c>
      <c r="AJ128">
        <v>99999</v>
      </c>
      <c r="AK128">
        <v>0</v>
      </c>
      <c r="AL128" t="b">
        <v>1</v>
      </c>
      <c r="AM128" t="b">
        <v>1</v>
      </c>
      <c r="AN128" t="b">
        <v>1</v>
      </c>
      <c r="AO128">
        <v>99999</v>
      </c>
      <c r="AP128" t="s">
        <v>63</v>
      </c>
      <c r="AR128" t="b">
        <v>1</v>
      </c>
      <c r="AS128">
        <v>0</v>
      </c>
      <c r="AT128" t="s">
        <v>63</v>
      </c>
      <c r="AV128" t="s">
        <v>592</v>
      </c>
    </row>
    <row r="129" spans="1:48" x14ac:dyDescent="0.25">
      <c r="A129" t="s">
        <v>462</v>
      </c>
      <c r="B129" t="s">
        <v>301</v>
      </c>
      <c r="C129" t="s">
        <v>61</v>
      </c>
      <c r="D129">
        <v>99999</v>
      </c>
      <c r="F129">
        <v>40000</v>
      </c>
      <c r="G129" t="b">
        <v>1</v>
      </c>
      <c r="H129" t="s">
        <v>328</v>
      </c>
      <c r="K129" t="s">
        <v>500</v>
      </c>
      <c r="L129" t="s">
        <v>302</v>
      </c>
      <c r="M129" t="s">
        <v>321</v>
      </c>
      <c r="N129" t="s">
        <v>62</v>
      </c>
      <c r="O129">
        <v>69.900000000000006</v>
      </c>
      <c r="R129">
        <v>654.79999999999995</v>
      </c>
      <c r="S129">
        <v>250</v>
      </c>
      <c r="T129">
        <v>0</v>
      </c>
      <c r="U129">
        <v>75</v>
      </c>
      <c r="X129">
        <v>234.9</v>
      </c>
      <c r="Y129">
        <v>94.9</v>
      </c>
      <c r="Z129">
        <v>94.9</v>
      </c>
      <c r="AA129">
        <v>0</v>
      </c>
      <c r="AB129" t="s">
        <v>468</v>
      </c>
      <c r="AF129" t="s">
        <v>668</v>
      </c>
      <c r="AG129" t="s">
        <v>668</v>
      </c>
      <c r="AH129" t="s">
        <v>469</v>
      </c>
      <c r="AI129">
        <v>99999</v>
      </c>
      <c r="AJ129">
        <v>99999</v>
      </c>
      <c r="AK129">
        <v>0</v>
      </c>
      <c r="AL129" t="b">
        <v>1</v>
      </c>
      <c r="AM129" t="b">
        <v>1</v>
      </c>
      <c r="AN129" t="b">
        <v>1</v>
      </c>
      <c r="AO129">
        <v>99999</v>
      </c>
      <c r="AP129" t="s">
        <v>63</v>
      </c>
      <c r="AR129" t="b">
        <v>1</v>
      </c>
      <c r="AS129">
        <v>0</v>
      </c>
      <c r="AT129" t="s">
        <v>63</v>
      </c>
      <c r="AV129" t="s">
        <v>670</v>
      </c>
    </row>
    <row r="130" spans="1:48" x14ac:dyDescent="0.25">
      <c r="A130" t="s">
        <v>462</v>
      </c>
      <c r="B130" t="s">
        <v>301</v>
      </c>
      <c r="C130" t="s">
        <v>61</v>
      </c>
      <c r="D130">
        <v>99999</v>
      </c>
      <c r="F130">
        <v>40000</v>
      </c>
      <c r="G130" t="b">
        <v>1</v>
      </c>
      <c r="H130" t="s">
        <v>328</v>
      </c>
      <c r="K130" t="s">
        <v>500</v>
      </c>
      <c r="L130" t="s">
        <v>302</v>
      </c>
      <c r="M130" t="s">
        <v>321</v>
      </c>
      <c r="N130" t="s">
        <v>62</v>
      </c>
      <c r="O130">
        <v>79.900000000000006</v>
      </c>
      <c r="R130">
        <v>654.79999999999995</v>
      </c>
      <c r="S130">
        <v>250</v>
      </c>
      <c r="T130">
        <v>0</v>
      </c>
      <c r="U130">
        <v>75</v>
      </c>
      <c r="X130">
        <v>234.9</v>
      </c>
      <c r="Y130">
        <v>94.9</v>
      </c>
      <c r="Z130">
        <v>94.9</v>
      </c>
      <c r="AA130">
        <v>0</v>
      </c>
      <c r="AB130" t="s">
        <v>468</v>
      </c>
      <c r="AF130" t="s">
        <v>521</v>
      </c>
      <c r="AG130" t="s">
        <v>521</v>
      </c>
      <c r="AH130" t="s">
        <v>469</v>
      </c>
      <c r="AI130">
        <v>99999</v>
      </c>
      <c r="AJ130">
        <v>99999</v>
      </c>
      <c r="AK130">
        <v>0</v>
      </c>
      <c r="AL130" t="b">
        <v>1</v>
      </c>
      <c r="AM130" t="b">
        <v>1</v>
      </c>
      <c r="AN130" t="b">
        <v>1</v>
      </c>
      <c r="AO130">
        <v>99999</v>
      </c>
      <c r="AP130" t="s">
        <v>63</v>
      </c>
      <c r="AR130" t="b">
        <v>1</v>
      </c>
      <c r="AS130">
        <v>0</v>
      </c>
      <c r="AT130" t="s">
        <v>63</v>
      </c>
      <c r="AV130" t="s">
        <v>523</v>
      </c>
    </row>
    <row r="131" spans="1:48" x14ac:dyDescent="0.25">
      <c r="A131" t="s">
        <v>462</v>
      </c>
      <c r="B131" t="s">
        <v>301</v>
      </c>
      <c r="C131" t="s">
        <v>61</v>
      </c>
      <c r="D131">
        <v>99999</v>
      </c>
      <c r="F131">
        <v>40000</v>
      </c>
      <c r="G131" t="b">
        <v>1</v>
      </c>
      <c r="H131" t="s">
        <v>328</v>
      </c>
      <c r="K131" t="s">
        <v>500</v>
      </c>
      <c r="L131" t="s">
        <v>302</v>
      </c>
      <c r="M131" t="s">
        <v>321</v>
      </c>
      <c r="N131" t="s">
        <v>62</v>
      </c>
      <c r="O131">
        <v>79.900000000000006</v>
      </c>
      <c r="R131">
        <v>654.79999999999995</v>
      </c>
      <c r="S131">
        <v>250</v>
      </c>
      <c r="T131">
        <v>0</v>
      </c>
      <c r="U131">
        <v>75</v>
      </c>
      <c r="X131">
        <v>234.9</v>
      </c>
      <c r="Y131">
        <v>94.9</v>
      </c>
      <c r="Z131">
        <v>94.9</v>
      </c>
      <c r="AA131">
        <v>0</v>
      </c>
      <c r="AB131" t="s">
        <v>468</v>
      </c>
      <c r="AF131" t="s">
        <v>564</v>
      </c>
      <c r="AG131" t="s">
        <v>564</v>
      </c>
      <c r="AH131" t="s">
        <v>469</v>
      </c>
      <c r="AI131">
        <v>99999</v>
      </c>
      <c r="AJ131">
        <v>99999</v>
      </c>
      <c r="AK131">
        <v>0</v>
      </c>
      <c r="AL131" t="b">
        <v>1</v>
      </c>
      <c r="AM131" t="b">
        <v>1</v>
      </c>
      <c r="AN131" t="b">
        <v>1</v>
      </c>
      <c r="AO131">
        <v>99999</v>
      </c>
      <c r="AP131" t="s">
        <v>63</v>
      </c>
      <c r="AR131" t="b">
        <v>1</v>
      </c>
      <c r="AS131">
        <v>0</v>
      </c>
      <c r="AT131" t="s">
        <v>63</v>
      </c>
      <c r="AV131" t="s">
        <v>566</v>
      </c>
    </row>
    <row r="132" spans="1:48" x14ac:dyDescent="0.25">
      <c r="A132" t="s">
        <v>462</v>
      </c>
      <c r="B132" t="s">
        <v>301</v>
      </c>
      <c r="C132" t="s">
        <v>61</v>
      </c>
      <c r="D132">
        <v>99999</v>
      </c>
      <c r="F132">
        <v>40000</v>
      </c>
      <c r="G132" t="b">
        <v>1</v>
      </c>
      <c r="H132" t="s">
        <v>328</v>
      </c>
      <c r="K132" t="s">
        <v>500</v>
      </c>
      <c r="L132" t="s">
        <v>302</v>
      </c>
      <c r="M132" t="s">
        <v>321</v>
      </c>
      <c r="N132" t="s">
        <v>62</v>
      </c>
      <c r="O132">
        <v>79.900000000000006</v>
      </c>
      <c r="R132">
        <v>654.79999999999995</v>
      </c>
      <c r="S132">
        <v>250</v>
      </c>
      <c r="T132">
        <v>0</v>
      </c>
      <c r="U132">
        <v>75</v>
      </c>
      <c r="X132">
        <v>234.9</v>
      </c>
      <c r="Y132">
        <v>94.9</v>
      </c>
      <c r="Z132">
        <v>94.9</v>
      </c>
      <c r="AA132">
        <v>0</v>
      </c>
      <c r="AB132" t="s">
        <v>468</v>
      </c>
      <c r="AF132" t="s">
        <v>591</v>
      </c>
      <c r="AG132" t="s">
        <v>591</v>
      </c>
      <c r="AH132" t="s">
        <v>469</v>
      </c>
      <c r="AI132">
        <v>99999</v>
      </c>
      <c r="AJ132">
        <v>99999</v>
      </c>
      <c r="AK132">
        <v>0</v>
      </c>
      <c r="AL132" t="b">
        <v>1</v>
      </c>
      <c r="AM132" t="b">
        <v>1</v>
      </c>
      <c r="AN132" t="b">
        <v>1</v>
      </c>
      <c r="AO132">
        <v>99999</v>
      </c>
      <c r="AP132" t="s">
        <v>63</v>
      </c>
      <c r="AR132" t="b">
        <v>1</v>
      </c>
      <c r="AS132">
        <v>0</v>
      </c>
      <c r="AT132" t="s">
        <v>63</v>
      </c>
      <c r="AV132" t="s">
        <v>593</v>
      </c>
    </row>
    <row r="133" spans="1:48" x14ac:dyDescent="0.25">
      <c r="A133" t="s">
        <v>462</v>
      </c>
      <c r="B133" t="s">
        <v>301</v>
      </c>
      <c r="C133" t="s">
        <v>61</v>
      </c>
      <c r="D133">
        <v>99999</v>
      </c>
      <c r="F133">
        <v>40000</v>
      </c>
      <c r="G133" t="b">
        <v>1</v>
      </c>
      <c r="H133" t="s">
        <v>328</v>
      </c>
      <c r="K133" t="s">
        <v>471</v>
      </c>
      <c r="L133" t="s">
        <v>302</v>
      </c>
      <c r="M133" t="s">
        <v>321</v>
      </c>
      <c r="N133" t="s">
        <v>62</v>
      </c>
      <c r="O133">
        <v>69.900000000000006</v>
      </c>
      <c r="R133">
        <v>639.79999999999995</v>
      </c>
      <c r="S133">
        <v>250</v>
      </c>
      <c r="T133">
        <v>0</v>
      </c>
      <c r="U133">
        <v>75</v>
      </c>
      <c r="X133">
        <v>234.9</v>
      </c>
      <c r="Y133">
        <v>79.900000000000006</v>
      </c>
      <c r="Z133">
        <v>79.900000000000006</v>
      </c>
      <c r="AA133">
        <v>0</v>
      </c>
      <c r="AB133" t="s">
        <v>470</v>
      </c>
      <c r="AF133" t="s">
        <v>690</v>
      </c>
      <c r="AG133" t="s">
        <v>690</v>
      </c>
      <c r="AH133" t="s">
        <v>469</v>
      </c>
      <c r="AI133">
        <v>99999</v>
      </c>
      <c r="AJ133">
        <v>99999</v>
      </c>
      <c r="AK133">
        <v>0</v>
      </c>
      <c r="AL133" t="b">
        <v>1</v>
      </c>
      <c r="AM133" t="b">
        <v>1</v>
      </c>
      <c r="AN133" t="b">
        <v>1</v>
      </c>
      <c r="AO133">
        <v>99999</v>
      </c>
      <c r="AP133" t="s">
        <v>63</v>
      </c>
      <c r="AR133" t="b">
        <v>1</v>
      </c>
      <c r="AS133">
        <v>0</v>
      </c>
      <c r="AT133" t="s">
        <v>63</v>
      </c>
      <c r="AV133" t="s">
        <v>691</v>
      </c>
    </row>
    <row r="134" spans="1:48" x14ac:dyDescent="0.25">
      <c r="A134" t="s">
        <v>462</v>
      </c>
      <c r="B134" t="s">
        <v>301</v>
      </c>
      <c r="C134" t="s">
        <v>61</v>
      </c>
      <c r="D134">
        <v>99999</v>
      </c>
      <c r="F134">
        <v>40000</v>
      </c>
      <c r="G134" t="b">
        <v>1</v>
      </c>
      <c r="H134" t="s">
        <v>328</v>
      </c>
      <c r="K134" t="s">
        <v>471</v>
      </c>
      <c r="L134" t="s">
        <v>302</v>
      </c>
      <c r="M134" t="s">
        <v>321</v>
      </c>
      <c r="N134" t="s">
        <v>62</v>
      </c>
      <c r="O134">
        <v>79.900000000000006</v>
      </c>
      <c r="R134">
        <v>639.79999999999995</v>
      </c>
      <c r="S134">
        <v>250</v>
      </c>
      <c r="T134">
        <v>0</v>
      </c>
      <c r="U134">
        <v>75</v>
      </c>
      <c r="X134">
        <v>234.9</v>
      </c>
      <c r="Y134">
        <v>79.900000000000006</v>
      </c>
      <c r="Z134">
        <v>79.900000000000006</v>
      </c>
      <c r="AA134">
        <v>0</v>
      </c>
      <c r="AB134" t="s">
        <v>470</v>
      </c>
      <c r="AF134" t="s">
        <v>491</v>
      </c>
      <c r="AG134" t="s">
        <v>491</v>
      </c>
      <c r="AH134" t="s">
        <v>469</v>
      </c>
      <c r="AI134">
        <v>99999</v>
      </c>
      <c r="AJ134">
        <v>99999</v>
      </c>
      <c r="AK134">
        <v>0</v>
      </c>
      <c r="AL134" t="b">
        <v>1</v>
      </c>
      <c r="AM134" t="b">
        <v>1</v>
      </c>
      <c r="AN134" t="b">
        <v>1</v>
      </c>
      <c r="AO134">
        <v>99999</v>
      </c>
      <c r="AP134" t="s">
        <v>63</v>
      </c>
      <c r="AR134" t="b">
        <v>1</v>
      </c>
      <c r="AS134">
        <v>0</v>
      </c>
      <c r="AT134" t="s">
        <v>63</v>
      </c>
      <c r="AV134" t="s">
        <v>492</v>
      </c>
    </row>
    <row r="135" spans="1:48" x14ac:dyDescent="0.25">
      <c r="A135" t="s">
        <v>462</v>
      </c>
      <c r="B135" t="s">
        <v>301</v>
      </c>
      <c r="C135" t="s">
        <v>61</v>
      </c>
      <c r="D135">
        <v>99999</v>
      </c>
      <c r="F135">
        <v>40000</v>
      </c>
      <c r="G135" t="b">
        <v>1</v>
      </c>
      <c r="H135" t="s">
        <v>328</v>
      </c>
      <c r="K135" t="s">
        <v>471</v>
      </c>
      <c r="L135" t="s">
        <v>302</v>
      </c>
      <c r="M135" t="s">
        <v>321</v>
      </c>
      <c r="N135" t="s">
        <v>62</v>
      </c>
      <c r="O135">
        <v>79.900000000000006</v>
      </c>
      <c r="R135">
        <v>639.79999999999995</v>
      </c>
      <c r="S135">
        <v>250</v>
      </c>
      <c r="T135">
        <v>0</v>
      </c>
      <c r="U135">
        <v>75</v>
      </c>
      <c r="X135">
        <v>234.9</v>
      </c>
      <c r="Y135">
        <v>79.900000000000006</v>
      </c>
      <c r="Z135">
        <v>79.900000000000006</v>
      </c>
      <c r="AA135">
        <v>0</v>
      </c>
      <c r="AB135" t="s">
        <v>470</v>
      </c>
      <c r="AF135" t="s">
        <v>540</v>
      </c>
      <c r="AG135" t="s">
        <v>540</v>
      </c>
      <c r="AH135" t="s">
        <v>469</v>
      </c>
      <c r="AI135">
        <v>99999</v>
      </c>
      <c r="AJ135">
        <v>99999</v>
      </c>
      <c r="AK135">
        <v>0</v>
      </c>
      <c r="AL135" t="b">
        <v>1</v>
      </c>
      <c r="AM135" t="b">
        <v>1</v>
      </c>
      <c r="AN135" t="b">
        <v>1</v>
      </c>
      <c r="AO135">
        <v>99999</v>
      </c>
      <c r="AP135" t="s">
        <v>63</v>
      </c>
      <c r="AR135" t="b">
        <v>1</v>
      </c>
      <c r="AS135">
        <v>0</v>
      </c>
      <c r="AT135" t="s">
        <v>63</v>
      </c>
      <c r="AV135" t="s">
        <v>541</v>
      </c>
    </row>
    <row r="136" spans="1:48" x14ac:dyDescent="0.25">
      <c r="A136" t="s">
        <v>462</v>
      </c>
      <c r="B136" t="s">
        <v>301</v>
      </c>
      <c r="C136" t="s">
        <v>61</v>
      </c>
      <c r="D136">
        <v>99999</v>
      </c>
      <c r="F136">
        <v>40000</v>
      </c>
      <c r="G136" t="b">
        <v>1</v>
      </c>
      <c r="H136" t="s">
        <v>328</v>
      </c>
      <c r="K136" t="s">
        <v>471</v>
      </c>
      <c r="L136" t="s">
        <v>302</v>
      </c>
      <c r="M136" t="s">
        <v>321</v>
      </c>
      <c r="N136" t="s">
        <v>62</v>
      </c>
      <c r="O136">
        <v>79.900000000000006</v>
      </c>
      <c r="R136">
        <v>639.79999999999995</v>
      </c>
      <c r="S136">
        <v>250</v>
      </c>
      <c r="T136">
        <v>0</v>
      </c>
      <c r="U136">
        <v>75</v>
      </c>
      <c r="X136">
        <v>234.9</v>
      </c>
      <c r="Y136">
        <v>79.900000000000006</v>
      </c>
      <c r="Z136">
        <v>79.900000000000006</v>
      </c>
      <c r="AA136">
        <v>0</v>
      </c>
      <c r="AB136" t="s">
        <v>470</v>
      </c>
      <c r="AF136" t="s">
        <v>613</v>
      </c>
      <c r="AG136" t="s">
        <v>613</v>
      </c>
      <c r="AH136" t="s">
        <v>469</v>
      </c>
      <c r="AI136">
        <v>99999</v>
      </c>
      <c r="AJ136">
        <v>99999</v>
      </c>
      <c r="AK136">
        <v>0</v>
      </c>
      <c r="AL136" t="b">
        <v>1</v>
      </c>
      <c r="AM136" t="b">
        <v>1</v>
      </c>
      <c r="AN136" t="b">
        <v>1</v>
      </c>
      <c r="AO136">
        <v>99999</v>
      </c>
      <c r="AP136" t="s">
        <v>63</v>
      </c>
      <c r="AR136" t="b">
        <v>1</v>
      </c>
      <c r="AS136">
        <v>0</v>
      </c>
      <c r="AT136" t="s">
        <v>63</v>
      </c>
      <c r="AV136" t="s">
        <v>614</v>
      </c>
    </row>
    <row r="137" spans="1:48" x14ac:dyDescent="0.25">
      <c r="A137" t="s">
        <v>462</v>
      </c>
      <c r="B137" t="s">
        <v>301</v>
      </c>
      <c r="C137" t="s">
        <v>61</v>
      </c>
      <c r="D137">
        <v>99999</v>
      </c>
      <c r="F137">
        <v>40000</v>
      </c>
      <c r="G137" t="b">
        <v>1</v>
      </c>
      <c r="H137" t="s">
        <v>326</v>
      </c>
      <c r="K137" t="s">
        <v>474</v>
      </c>
      <c r="L137" t="s">
        <v>302</v>
      </c>
      <c r="M137" t="s">
        <v>321</v>
      </c>
      <c r="N137" t="s">
        <v>62</v>
      </c>
      <c r="O137">
        <v>69.900000000000006</v>
      </c>
      <c r="R137">
        <v>604.79999999999995</v>
      </c>
      <c r="S137">
        <v>250</v>
      </c>
      <c r="T137">
        <v>0</v>
      </c>
      <c r="U137">
        <v>75</v>
      </c>
      <c r="X137">
        <v>199.9</v>
      </c>
      <c r="Y137">
        <v>79.900000000000006</v>
      </c>
      <c r="Z137">
        <v>79.900000000000006</v>
      </c>
      <c r="AA137">
        <v>0</v>
      </c>
      <c r="AB137" t="s">
        <v>470</v>
      </c>
      <c r="AF137" t="s">
        <v>685</v>
      </c>
      <c r="AG137" t="s">
        <v>685</v>
      </c>
      <c r="AH137" t="s">
        <v>469</v>
      </c>
      <c r="AI137">
        <v>99999</v>
      </c>
      <c r="AJ137">
        <v>99999</v>
      </c>
      <c r="AK137">
        <v>0</v>
      </c>
      <c r="AL137" t="b">
        <v>1</v>
      </c>
      <c r="AM137" t="b">
        <v>1</v>
      </c>
      <c r="AN137" t="b">
        <v>1</v>
      </c>
      <c r="AO137">
        <v>99999</v>
      </c>
      <c r="AP137" t="s">
        <v>63</v>
      </c>
      <c r="AR137" t="b">
        <v>1</v>
      </c>
      <c r="AS137">
        <v>0</v>
      </c>
      <c r="AT137" t="s">
        <v>63</v>
      </c>
      <c r="AV137" t="s">
        <v>688</v>
      </c>
    </row>
    <row r="138" spans="1:48" x14ac:dyDescent="0.25">
      <c r="A138" t="s">
        <v>462</v>
      </c>
      <c r="B138" t="s">
        <v>301</v>
      </c>
      <c r="C138" t="s">
        <v>61</v>
      </c>
      <c r="D138">
        <v>99999</v>
      </c>
      <c r="F138">
        <v>40000</v>
      </c>
      <c r="G138" t="b">
        <v>1</v>
      </c>
      <c r="H138" t="s">
        <v>326</v>
      </c>
      <c r="K138" t="s">
        <v>474</v>
      </c>
      <c r="L138" t="s">
        <v>302</v>
      </c>
      <c r="M138" t="s">
        <v>321</v>
      </c>
      <c r="N138" t="s">
        <v>62</v>
      </c>
      <c r="O138">
        <v>79.900000000000006</v>
      </c>
      <c r="R138">
        <v>604.79999999999995</v>
      </c>
      <c r="S138">
        <v>250</v>
      </c>
      <c r="T138">
        <v>0</v>
      </c>
      <c r="U138">
        <v>75</v>
      </c>
      <c r="X138">
        <v>199.9</v>
      </c>
      <c r="Y138">
        <v>79.900000000000006</v>
      </c>
      <c r="Z138">
        <v>79.900000000000006</v>
      </c>
      <c r="AA138">
        <v>0</v>
      </c>
      <c r="AB138" t="s">
        <v>470</v>
      </c>
      <c r="AF138" t="s">
        <v>486</v>
      </c>
      <c r="AG138" t="s">
        <v>486</v>
      </c>
      <c r="AH138" t="s">
        <v>469</v>
      </c>
      <c r="AI138">
        <v>99999</v>
      </c>
      <c r="AJ138">
        <v>99999</v>
      </c>
      <c r="AK138">
        <v>0</v>
      </c>
      <c r="AL138" t="b">
        <v>1</v>
      </c>
      <c r="AM138" t="b">
        <v>1</v>
      </c>
      <c r="AN138" t="b">
        <v>1</v>
      </c>
      <c r="AO138">
        <v>99999</v>
      </c>
      <c r="AP138" t="s">
        <v>63</v>
      </c>
      <c r="AR138" t="b">
        <v>1</v>
      </c>
      <c r="AS138">
        <v>0</v>
      </c>
      <c r="AT138" t="s">
        <v>63</v>
      </c>
      <c r="AV138" t="s">
        <v>489</v>
      </c>
    </row>
    <row r="139" spans="1:48" x14ac:dyDescent="0.25">
      <c r="A139" t="s">
        <v>462</v>
      </c>
      <c r="B139" t="s">
        <v>301</v>
      </c>
      <c r="C139" t="s">
        <v>61</v>
      </c>
      <c r="D139">
        <v>99999</v>
      </c>
      <c r="F139">
        <v>40000</v>
      </c>
      <c r="G139" t="b">
        <v>1</v>
      </c>
      <c r="H139" t="s">
        <v>326</v>
      </c>
      <c r="K139" t="s">
        <v>474</v>
      </c>
      <c r="L139" t="s">
        <v>302</v>
      </c>
      <c r="M139" t="s">
        <v>321</v>
      </c>
      <c r="N139" t="s">
        <v>62</v>
      </c>
      <c r="O139">
        <v>79.900000000000006</v>
      </c>
      <c r="R139">
        <v>604.79999999999995</v>
      </c>
      <c r="S139">
        <v>250</v>
      </c>
      <c r="T139">
        <v>0</v>
      </c>
      <c r="U139">
        <v>75</v>
      </c>
      <c r="X139">
        <v>199.9</v>
      </c>
      <c r="Y139">
        <v>79.900000000000006</v>
      </c>
      <c r="Z139">
        <v>79.900000000000006</v>
      </c>
      <c r="AA139">
        <v>0</v>
      </c>
      <c r="AB139" t="s">
        <v>470</v>
      </c>
      <c r="AF139" t="s">
        <v>535</v>
      </c>
      <c r="AG139" t="s">
        <v>535</v>
      </c>
      <c r="AH139" t="s">
        <v>469</v>
      </c>
      <c r="AI139">
        <v>99999</v>
      </c>
      <c r="AJ139">
        <v>99999</v>
      </c>
      <c r="AK139">
        <v>0</v>
      </c>
      <c r="AL139" t="b">
        <v>1</v>
      </c>
      <c r="AM139" t="b">
        <v>1</v>
      </c>
      <c r="AN139" t="b">
        <v>1</v>
      </c>
      <c r="AO139">
        <v>99999</v>
      </c>
      <c r="AP139" t="s">
        <v>63</v>
      </c>
      <c r="AR139" t="b">
        <v>1</v>
      </c>
      <c r="AS139">
        <v>0</v>
      </c>
      <c r="AT139" t="s">
        <v>63</v>
      </c>
      <c r="AV139" t="s">
        <v>538</v>
      </c>
    </row>
    <row r="140" spans="1:48" x14ac:dyDescent="0.25">
      <c r="A140" t="s">
        <v>462</v>
      </c>
      <c r="B140" t="s">
        <v>301</v>
      </c>
      <c r="C140" t="s">
        <v>61</v>
      </c>
      <c r="D140">
        <v>99999</v>
      </c>
      <c r="F140">
        <v>40000</v>
      </c>
      <c r="G140" t="b">
        <v>1</v>
      </c>
      <c r="H140" t="s">
        <v>326</v>
      </c>
      <c r="K140" t="s">
        <v>474</v>
      </c>
      <c r="L140" t="s">
        <v>302</v>
      </c>
      <c r="M140" t="s">
        <v>321</v>
      </c>
      <c r="N140" t="s">
        <v>62</v>
      </c>
      <c r="O140">
        <v>79.900000000000006</v>
      </c>
      <c r="R140">
        <v>604.79999999999995</v>
      </c>
      <c r="S140">
        <v>250</v>
      </c>
      <c r="T140">
        <v>0</v>
      </c>
      <c r="U140">
        <v>75</v>
      </c>
      <c r="X140">
        <v>199.9</v>
      </c>
      <c r="Y140">
        <v>79.900000000000006</v>
      </c>
      <c r="Z140">
        <v>79.900000000000006</v>
      </c>
      <c r="AA140">
        <v>0</v>
      </c>
      <c r="AB140" t="s">
        <v>470</v>
      </c>
      <c r="AF140" t="s">
        <v>608</v>
      </c>
      <c r="AG140" t="s">
        <v>608</v>
      </c>
      <c r="AH140" t="s">
        <v>469</v>
      </c>
      <c r="AI140">
        <v>99999</v>
      </c>
      <c r="AJ140">
        <v>99999</v>
      </c>
      <c r="AK140">
        <v>0</v>
      </c>
      <c r="AL140" t="b">
        <v>1</v>
      </c>
      <c r="AM140" t="b">
        <v>1</v>
      </c>
      <c r="AN140" t="b">
        <v>1</v>
      </c>
      <c r="AO140">
        <v>99999</v>
      </c>
      <c r="AP140" t="s">
        <v>63</v>
      </c>
      <c r="AR140" t="b">
        <v>1</v>
      </c>
      <c r="AS140">
        <v>0</v>
      </c>
      <c r="AT140" t="s">
        <v>63</v>
      </c>
      <c r="AV140" t="s">
        <v>611</v>
      </c>
    </row>
    <row r="141" spans="1:48" x14ac:dyDescent="0.25">
      <c r="A141" t="s">
        <v>462</v>
      </c>
      <c r="B141" t="s">
        <v>301</v>
      </c>
      <c r="C141" t="s">
        <v>61</v>
      </c>
      <c r="D141">
        <v>99999</v>
      </c>
      <c r="F141">
        <v>40000</v>
      </c>
      <c r="G141" t="b">
        <v>1</v>
      </c>
      <c r="H141" t="s">
        <v>326</v>
      </c>
      <c r="K141" t="s">
        <v>502</v>
      </c>
      <c r="L141" t="s">
        <v>302</v>
      </c>
      <c r="M141" t="s">
        <v>321</v>
      </c>
      <c r="N141" t="s">
        <v>62</v>
      </c>
      <c r="O141">
        <v>69.900000000000006</v>
      </c>
      <c r="R141">
        <v>629.79999999999995</v>
      </c>
      <c r="S141">
        <v>250</v>
      </c>
      <c r="T141">
        <v>0</v>
      </c>
      <c r="U141">
        <v>75</v>
      </c>
      <c r="X141">
        <v>199.9</v>
      </c>
      <c r="Y141">
        <v>104.9</v>
      </c>
      <c r="Z141">
        <v>104.9</v>
      </c>
      <c r="AA141">
        <v>0</v>
      </c>
      <c r="AB141" t="s">
        <v>468</v>
      </c>
      <c r="AF141" t="s">
        <v>661</v>
      </c>
      <c r="AG141" t="s">
        <v>661</v>
      </c>
      <c r="AH141" t="s">
        <v>469</v>
      </c>
      <c r="AI141">
        <v>99999</v>
      </c>
      <c r="AJ141">
        <v>99999</v>
      </c>
      <c r="AK141">
        <v>0</v>
      </c>
      <c r="AL141" t="b">
        <v>1</v>
      </c>
      <c r="AM141" t="b">
        <v>1</v>
      </c>
      <c r="AN141" t="b">
        <v>1</v>
      </c>
      <c r="AO141">
        <v>99999</v>
      </c>
      <c r="AP141" t="s">
        <v>63</v>
      </c>
      <c r="AR141" t="b">
        <v>1</v>
      </c>
      <c r="AS141">
        <v>0</v>
      </c>
      <c r="AT141" t="s">
        <v>63</v>
      </c>
      <c r="AV141" t="s">
        <v>666</v>
      </c>
    </row>
    <row r="142" spans="1:48" x14ac:dyDescent="0.25">
      <c r="A142" t="s">
        <v>462</v>
      </c>
      <c r="B142" t="s">
        <v>301</v>
      </c>
      <c r="C142" t="s">
        <v>61</v>
      </c>
      <c r="D142">
        <v>99999</v>
      </c>
      <c r="F142">
        <v>40000</v>
      </c>
      <c r="G142" t="b">
        <v>1</v>
      </c>
      <c r="H142" t="s">
        <v>326</v>
      </c>
      <c r="K142" t="s">
        <v>502</v>
      </c>
      <c r="L142" t="s">
        <v>302</v>
      </c>
      <c r="M142" t="s">
        <v>321</v>
      </c>
      <c r="N142" t="s">
        <v>62</v>
      </c>
      <c r="O142">
        <v>79.900000000000006</v>
      </c>
      <c r="R142">
        <v>629.79999999999995</v>
      </c>
      <c r="S142">
        <v>250</v>
      </c>
      <c r="T142">
        <v>0</v>
      </c>
      <c r="U142">
        <v>75</v>
      </c>
      <c r="X142">
        <v>199.9</v>
      </c>
      <c r="Y142">
        <v>104.9</v>
      </c>
      <c r="Z142">
        <v>104.9</v>
      </c>
      <c r="AA142">
        <v>0</v>
      </c>
      <c r="AB142" t="s">
        <v>468</v>
      </c>
      <c r="AF142" t="s">
        <v>514</v>
      </c>
      <c r="AG142" t="s">
        <v>514</v>
      </c>
      <c r="AH142" t="s">
        <v>469</v>
      </c>
      <c r="AI142">
        <v>99999</v>
      </c>
      <c r="AJ142">
        <v>99999</v>
      </c>
      <c r="AK142">
        <v>0</v>
      </c>
      <c r="AL142" t="b">
        <v>1</v>
      </c>
      <c r="AM142" t="b">
        <v>1</v>
      </c>
      <c r="AN142" t="b">
        <v>1</v>
      </c>
      <c r="AO142">
        <v>99999</v>
      </c>
      <c r="AP142" t="s">
        <v>63</v>
      </c>
      <c r="AR142" t="b">
        <v>1</v>
      </c>
      <c r="AS142">
        <v>0</v>
      </c>
      <c r="AT142" t="s">
        <v>63</v>
      </c>
      <c r="AV142" t="s">
        <v>519</v>
      </c>
    </row>
    <row r="143" spans="1:48" x14ac:dyDescent="0.25">
      <c r="A143" t="s">
        <v>462</v>
      </c>
      <c r="B143" t="s">
        <v>301</v>
      </c>
      <c r="C143" t="s">
        <v>61</v>
      </c>
      <c r="D143">
        <v>99999</v>
      </c>
      <c r="F143">
        <v>40000</v>
      </c>
      <c r="G143" t="b">
        <v>1</v>
      </c>
      <c r="H143" t="s">
        <v>326</v>
      </c>
      <c r="K143" t="s">
        <v>502</v>
      </c>
      <c r="L143" t="s">
        <v>302</v>
      </c>
      <c r="M143" t="s">
        <v>321</v>
      </c>
      <c r="N143" t="s">
        <v>62</v>
      </c>
      <c r="O143">
        <v>79.900000000000006</v>
      </c>
      <c r="R143">
        <v>629.79999999999995</v>
      </c>
      <c r="S143">
        <v>250</v>
      </c>
      <c r="T143">
        <v>0</v>
      </c>
      <c r="U143">
        <v>75</v>
      </c>
      <c r="X143">
        <v>199.9</v>
      </c>
      <c r="Y143">
        <v>104.9</v>
      </c>
      <c r="Z143">
        <v>104.9</v>
      </c>
      <c r="AA143">
        <v>0</v>
      </c>
      <c r="AB143" t="s">
        <v>468</v>
      </c>
      <c r="AF143" t="s">
        <v>557</v>
      </c>
      <c r="AG143" t="s">
        <v>557</v>
      </c>
      <c r="AH143" t="s">
        <v>469</v>
      </c>
      <c r="AI143">
        <v>99999</v>
      </c>
      <c r="AJ143">
        <v>99999</v>
      </c>
      <c r="AK143">
        <v>0</v>
      </c>
      <c r="AL143" t="b">
        <v>1</v>
      </c>
      <c r="AM143" t="b">
        <v>1</v>
      </c>
      <c r="AN143" t="b">
        <v>1</v>
      </c>
      <c r="AO143">
        <v>99999</v>
      </c>
      <c r="AP143" t="s">
        <v>63</v>
      </c>
      <c r="AR143" t="b">
        <v>1</v>
      </c>
      <c r="AS143">
        <v>0</v>
      </c>
      <c r="AT143" t="s">
        <v>63</v>
      </c>
      <c r="AV143" t="s">
        <v>562</v>
      </c>
    </row>
    <row r="144" spans="1:48" x14ac:dyDescent="0.25">
      <c r="A144" t="s">
        <v>462</v>
      </c>
      <c r="B144" t="s">
        <v>301</v>
      </c>
      <c r="C144" t="s">
        <v>61</v>
      </c>
      <c r="D144">
        <v>99999</v>
      </c>
      <c r="F144">
        <v>40000</v>
      </c>
      <c r="G144" t="b">
        <v>1</v>
      </c>
      <c r="H144" t="s">
        <v>326</v>
      </c>
      <c r="K144" t="s">
        <v>502</v>
      </c>
      <c r="L144" t="s">
        <v>302</v>
      </c>
      <c r="M144" t="s">
        <v>321</v>
      </c>
      <c r="N144" t="s">
        <v>62</v>
      </c>
      <c r="O144">
        <v>79.900000000000006</v>
      </c>
      <c r="R144">
        <v>629.79999999999995</v>
      </c>
      <c r="S144">
        <v>250</v>
      </c>
      <c r="T144">
        <v>0</v>
      </c>
      <c r="U144">
        <v>75</v>
      </c>
      <c r="X144">
        <v>199.9</v>
      </c>
      <c r="Y144">
        <v>104.9</v>
      </c>
      <c r="Z144">
        <v>104.9</v>
      </c>
      <c r="AA144">
        <v>0</v>
      </c>
      <c r="AB144" t="s">
        <v>468</v>
      </c>
      <c r="AF144" t="s">
        <v>584</v>
      </c>
      <c r="AG144" t="s">
        <v>584</v>
      </c>
      <c r="AH144" t="s">
        <v>469</v>
      </c>
      <c r="AI144">
        <v>99999</v>
      </c>
      <c r="AJ144">
        <v>99999</v>
      </c>
      <c r="AK144">
        <v>0</v>
      </c>
      <c r="AL144" t="b">
        <v>1</v>
      </c>
      <c r="AM144" t="b">
        <v>1</v>
      </c>
      <c r="AN144" t="b">
        <v>1</v>
      </c>
      <c r="AO144">
        <v>99999</v>
      </c>
      <c r="AP144" t="s">
        <v>63</v>
      </c>
      <c r="AR144" t="b">
        <v>1</v>
      </c>
      <c r="AS144">
        <v>0</v>
      </c>
      <c r="AT144" t="s">
        <v>63</v>
      </c>
      <c r="AV144" t="s">
        <v>589</v>
      </c>
    </row>
    <row r="145" spans="1:48" x14ac:dyDescent="0.25">
      <c r="A145" t="s">
        <v>462</v>
      </c>
      <c r="B145" t="s">
        <v>301</v>
      </c>
      <c r="C145" t="s">
        <v>61</v>
      </c>
      <c r="D145">
        <v>99999</v>
      </c>
      <c r="F145">
        <v>40000</v>
      </c>
      <c r="G145" t="b">
        <v>1</v>
      </c>
      <c r="H145" t="s">
        <v>326</v>
      </c>
      <c r="K145" t="s">
        <v>494</v>
      </c>
      <c r="L145" t="s">
        <v>302</v>
      </c>
      <c r="M145" t="s">
        <v>321</v>
      </c>
      <c r="N145" t="s">
        <v>62</v>
      </c>
      <c r="O145">
        <v>69.900000000000006</v>
      </c>
      <c r="R145">
        <v>609.79999999999995</v>
      </c>
      <c r="S145">
        <v>250</v>
      </c>
      <c r="T145">
        <v>0</v>
      </c>
      <c r="U145">
        <v>75</v>
      </c>
      <c r="X145">
        <v>199.9</v>
      </c>
      <c r="Y145">
        <v>84.9</v>
      </c>
      <c r="Z145">
        <v>84.9</v>
      </c>
      <c r="AA145">
        <v>0</v>
      </c>
      <c r="AB145" t="s">
        <v>468</v>
      </c>
      <c r="AF145" t="s">
        <v>661</v>
      </c>
      <c r="AG145" t="s">
        <v>661</v>
      </c>
      <c r="AH145" t="s">
        <v>469</v>
      </c>
      <c r="AI145">
        <v>99999</v>
      </c>
      <c r="AJ145">
        <v>99999</v>
      </c>
      <c r="AK145">
        <v>0</v>
      </c>
      <c r="AL145" t="b">
        <v>1</v>
      </c>
      <c r="AM145" t="b">
        <v>1</v>
      </c>
      <c r="AN145" t="b">
        <v>1</v>
      </c>
      <c r="AO145">
        <v>99999</v>
      </c>
      <c r="AP145" t="s">
        <v>63</v>
      </c>
      <c r="AR145" t="b">
        <v>1</v>
      </c>
      <c r="AS145">
        <v>0</v>
      </c>
      <c r="AT145" t="s">
        <v>63</v>
      </c>
      <c r="AV145" t="s">
        <v>662</v>
      </c>
    </row>
    <row r="146" spans="1:48" x14ac:dyDescent="0.25">
      <c r="A146" t="s">
        <v>462</v>
      </c>
      <c r="B146" t="s">
        <v>301</v>
      </c>
      <c r="C146" t="s">
        <v>61</v>
      </c>
      <c r="D146">
        <v>99999</v>
      </c>
      <c r="F146">
        <v>40000</v>
      </c>
      <c r="G146" t="b">
        <v>1</v>
      </c>
      <c r="H146" t="s">
        <v>326</v>
      </c>
      <c r="K146" t="s">
        <v>494</v>
      </c>
      <c r="L146" t="s">
        <v>302</v>
      </c>
      <c r="M146" t="s">
        <v>321</v>
      </c>
      <c r="N146" t="s">
        <v>62</v>
      </c>
      <c r="O146">
        <v>79.900000000000006</v>
      </c>
      <c r="R146">
        <v>609.79999999999995</v>
      </c>
      <c r="S146">
        <v>250</v>
      </c>
      <c r="T146">
        <v>0</v>
      </c>
      <c r="U146">
        <v>75</v>
      </c>
      <c r="X146">
        <v>199.9</v>
      </c>
      <c r="Y146">
        <v>84.9</v>
      </c>
      <c r="Z146">
        <v>84.9</v>
      </c>
      <c r="AA146">
        <v>0</v>
      </c>
      <c r="AB146" t="s">
        <v>468</v>
      </c>
      <c r="AF146" t="s">
        <v>514</v>
      </c>
      <c r="AG146" t="s">
        <v>514</v>
      </c>
      <c r="AH146" t="s">
        <v>469</v>
      </c>
      <c r="AI146">
        <v>99999</v>
      </c>
      <c r="AJ146">
        <v>99999</v>
      </c>
      <c r="AK146">
        <v>0</v>
      </c>
      <c r="AL146" t="b">
        <v>1</v>
      </c>
      <c r="AM146" t="b">
        <v>1</v>
      </c>
      <c r="AN146" t="b">
        <v>1</v>
      </c>
      <c r="AO146">
        <v>99999</v>
      </c>
      <c r="AP146" t="s">
        <v>63</v>
      </c>
      <c r="AR146" t="b">
        <v>1</v>
      </c>
      <c r="AS146">
        <v>0</v>
      </c>
      <c r="AT146" t="s">
        <v>63</v>
      </c>
      <c r="AV146" t="s">
        <v>515</v>
      </c>
    </row>
    <row r="147" spans="1:48" x14ac:dyDescent="0.25">
      <c r="A147" t="s">
        <v>462</v>
      </c>
      <c r="B147" t="s">
        <v>301</v>
      </c>
      <c r="C147" t="s">
        <v>61</v>
      </c>
      <c r="D147">
        <v>99999</v>
      </c>
      <c r="F147">
        <v>40000</v>
      </c>
      <c r="G147" t="b">
        <v>1</v>
      </c>
      <c r="H147" t="s">
        <v>326</v>
      </c>
      <c r="K147" t="s">
        <v>494</v>
      </c>
      <c r="L147" t="s">
        <v>302</v>
      </c>
      <c r="M147" t="s">
        <v>321</v>
      </c>
      <c r="N147" t="s">
        <v>62</v>
      </c>
      <c r="O147">
        <v>79.900000000000006</v>
      </c>
      <c r="R147">
        <v>609.79999999999995</v>
      </c>
      <c r="S147">
        <v>250</v>
      </c>
      <c r="T147">
        <v>0</v>
      </c>
      <c r="U147">
        <v>75</v>
      </c>
      <c r="X147">
        <v>199.9</v>
      </c>
      <c r="Y147">
        <v>84.9</v>
      </c>
      <c r="Z147">
        <v>84.9</v>
      </c>
      <c r="AA147">
        <v>0</v>
      </c>
      <c r="AB147" t="s">
        <v>468</v>
      </c>
      <c r="AF147" t="s">
        <v>557</v>
      </c>
      <c r="AG147" t="s">
        <v>557</v>
      </c>
      <c r="AH147" t="s">
        <v>469</v>
      </c>
      <c r="AI147">
        <v>99999</v>
      </c>
      <c r="AJ147">
        <v>99999</v>
      </c>
      <c r="AK147">
        <v>0</v>
      </c>
      <c r="AL147" t="b">
        <v>1</v>
      </c>
      <c r="AM147" t="b">
        <v>1</v>
      </c>
      <c r="AN147" t="b">
        <v>1</v>
      </c>
      <c r="AO147">
        <v>99999</v>
      </c>
      <c r="AP147" t="s">
        <v>63</v>
      </c>
      <c r="AR147" t="b">
        <v>1</v>
      </c>
      <c r="AS147">
        <v>0</v>
      </c>
      <c r="AT147" t="s">
        <v>63</v>
      </c>
      <c r="AV147" t="s">
        <v>558</v>
      </c>
    </row>
    <row r="148" spans="1:48" x14ac:dyDescent="0.25">
      <c r="A148" t="s">
        <v>462</v>
      </c>
      <c r="B148" t="s">
        <v>301</v>
      </c>
      <c r="C148" t="s">
        <v>61</v>
      </c>
      <c r="D148">
        <v>99999</v>
      </c>
      <c r="F148">
        <v>40000</v>
      </c>
      <c r="G148" t="b">
        <v>1</v>
      </c>
      <c r="H148" t="s">
        <v>326</v>
      </c>
      <c r="K148" t="s">
        <v>494</v>
      </c>
      <c r="L148" t="s">
        <v>302</v>
      </c>
      <c r="M148" t="s">
        <v>321</v>
      </c>
      <c r="N148" t="s">
        <v>62</v>
      </c>
      <c r="O148">
        <v>79.900000000000006</v>
      </c>
      <c r="R148">
        <v>609.79999999999995</v>
      </c>
      <c r="S148">
        <v>250</v>
      </c>
      <c r="T148">
        <v>0</v>
      </c>
      <c r="U148">
        <v>75</v>
      </c>
      <c r="X148">
        <v>199.9</v>
      </c>
      <c r="Y148">
        <v>84.9</v>
      </c>
      <c r="Z148">
        <v>84.9</v>
      </c>
      <c r="AA148">
        <v>0</v>
      </c>
      <c r="AB148" t="s">
        <v>468</v>
      </c>
      <c r="AF148" t="s">
        <v>584</v>
      </c>
      <c r="AG148" t="s">
        <v>584</v>
      </c>
      <c r="AH148" t="s">
        <v>469</v>
      </c>
      <c r="AI148">
        <v>99999</v>
      </c>
      <c r="AJ148">
        <v>99999</v>
      </c>
      <c r="AK148">
        <v>0</v>
      </c>
      <c r="AL148" t="b">
        <v>1</v>
      </c>
      <c r="AM148" t="b">
        <v>1</v>
      </c>
      <c r="AN148" t="b">
        <v>1</v>
      </c>
      <c r="AO148">
        <v>99999</v>
      </c>
      <c r="AP148" t="s">
        <v>63</v>
      </c>
      <c r="AR148" t="b">
        <v>1</v>
      </c>
      <c r="AS148">
        <v>0</v>
      </c>
      <c r="AT148" t="s">
        <v>63</v>
      </c>
      <c r="AV148" t="s">
        <v>585</v>
      </c>
    </row>
    <row r="149" spans="1:48" x14ac:dyDescent="0.25">
      <c r="A149" t="s">
        <v>462</v>
      </c>
      <c r="B149" t="s">
        <v>301</v>
      </c>
      <c r="C149" t="s">
        <v>61</v>
      </c>
      <c r="D149">
        <v>99999</v>
      </c>
      <c r="F149">
        <v>40000</v>
      </c>
      <c r="G149" t="b">
        <v>1</v>
      </c>
      <c r="H149" t="s">
        <v>326</v>
      </c>
      <c r="K149" t="s">
        <v>500</v>
      </c>
      <c r="L149" t="s">
        <v>302</v>
      </c>
      <c r="M149" t="s">
        <v>321</v>
      </c>
      <c r="N149" t="s">
        <v>62</v>
      </c>
      <c r="O149">
        <v>69.900000000000006</v>
      </c>
      <c r="R149">
        <v>619.79999999999995</v>
      </c>
      <c r="S149">
        <v>250</v>
      </c>
      <c r="T149">
        <v>0</v>
      </c>
      <c r="U149">
        <v>75</v>
      </c>
      <c r="X149">
        <v>199.9</v>
      </c>
      <c r="Y149">
        <v>94.9</v>
      </c>
      <c r="Z149">
        <v>94.9</v>
      </c>
      <c r="AA149">
        <v>0</v>
      </c>
      <c r="AB149" t="s">
        <v>468</v>
      </c>
      <c r="AF149" t="s">
        <v>661</v>
      </c>
      <c r="AG149" t="s">
        <v>661</v>
      </c>
      <c r="AH149" t="s">
        <v>469</v>
      </c>
      <c r="AI149">
        <v>99999</v>
      </c>
      <c r="AJ149">
        <v>99999</v>
      </c>
      <c r="AK149">
        <v>0</v>
      </c>
      <c r="AL149" t="b">
        <v>1</v>
      </c>
      <c r="AM149" t="b">
        <v>1</v>
      </c>
      <c r="AN149" t="b">
        <v>1</v>
      </c>
      <c r="AO149">
        <v>99999</v>
      </c>
      <c r="AP149" t="s">
        <v>63</v>
      </c>
      <c r="AR149" t="b">
        <v>1</v>
      </c>
      <c r="AS149">
        <v>0</v>
      </c>
      <c r="AT149" t="s">
        <v>63</v>
      </c>
      <c r="AV149" t="s">
        <v>664</v>
      </c>
    </row>
    <row r="150" spans="1:48" x14ac:dyDescent="0.25">
      <c r="A150" t="s">
        <v>462</v>
      </c>
      <c r="B150" t="s">
        <v>301</v>
      </c>
      <c r="C150" t="s">
        <v>61</v>
      </c>
      <c r="D150">
        <v>99999</v>
      </c>
      <c r="F150">
        <v>40000</v>
      </c>
      <c r="G150" t="b">
        <v>1</v>
      </c>
      <c r="H150" t="s">
        <v>326</v>
      </c>
      <c r="K150" t="s">
        <v>500</v>
      </c>
      <c r="L150" t="s">
        <v>302</v>
      </c>
      <c r="M150" t="s">
        <v>321</v>
      </c>
      <c r="N150" t="s">
        <v>62</v>
      </c>
      <c r="O150">
        <v>79.900000000000006</v>
      </c>
      <c r="R150">
        <v>619.79999999999995</v>
      </c>
      <c r="S150">
        <v>250</v>
      </c>
      <c r="T150">
        <v>0</v>
      </c>
      <c r="U150">
        <v>75</v>
      </c>
      <c r="X150">
        <v>199.9</v>
      </c>
      <c r="Y150">
        <v>94.9</v>
      </c>
      <c r="Z150">
        <v>94.9</v>
      </c>
      <c r="AA150">
        <v>0</v>
      </c>
      <c r="AB150" t="s">
        <v>468</v>
      </c>
      <c r="AF150" t="s">
        <v>514</v>
      </c>
      <c r="AG150" t="s">
        <v>514</v>
      </c>
      <c r="AH150" t="s">
        <v>469</v>
      </c>
      <c r="AI150">
        <v>99999</v>
      </c>
      <c r="AJ150">
        <v>99999</v>
      </c>
      <c r="AK150">
        <v>0</v>
      </c>
      <c r="AL150" t="b">
        <v>1</v>
      </c>
      <c r="AM150" t="b">
        <v>1</v>
      </c>
      <c r="AN150" t="b">
        <v>1</v>
      </c>
      <c r="AO150">
        <v>99999</v>
      </c>
      <c r="AP150" t="s">
        <v>63</v>
      </c>
      <c r="AR150" t="b">
        <v>1</v>
      </c>
      <c r="AS150">
        <v>0</v>
      </c>
      <c r="AT150" t="s">
        <v>63</v>
      </c>
      <c r="AV150" t="s">
        <v>517</v>
      </c>
    </row>
    <row r="151" spans="1:48" x14ac:dyDescent="0.25">
      <c r="A151" t="s">
        <v>462</v>
      </c>
      <c r="B151" t="s">
        <v>301</v>
      </c>
      <c r="C151" t="s">
        <v>61</v>
      </c>
      <c r="D151">
        <v>99999</v>
      </c>
      <c r="F151">
        <v>40000</v>
      </c>
      <c r="G151" t="b">
        <v>1</v>
      </c>
      <c r="H151" t="s">
        <v>326</v>
      </c>
      <c r="K151" t="s">
        <v>500</v>
      </c>
      <c r="L151" t="s">
        <v>302</v>
      </c>
      <c r="M151" t="s">
        <v>321</v>
      </c>
      <c r="N151" t="s">
        <v>62</v>
      </c>
      <c r="O151">
        <v>79.900000000000006</v>
      </c>
      <c r="R151">
        <v>619.79999999999995</v>
      </c>
      <c r="S151">
        <v>250</v>
      </c>
      <c r="T151">
        <v>0</v>
      </c>
      <c r="U151">
        <v>75</v>
      </c>
      <c r="X151">
        <v>199.9</v>
      </c>
      <c r="Y151">
        <v>94.9</v>
      </c>
      <c r="Z151">
        <v>94.9</v>
      </c>
      <c r="AA151">
        <v>0</v>
      </c>
      <c r="AB151" t="s">
        <v>468</v>
      </c>
      <c r="AF151" t="s">
        <v>557</v>
      </c>
      <c r="AG151" t="s">
        <v>557</v>
      </c>
      <c r="AH151" t="s">
        <v>469</v>
      </c>
      <c r="AI151">
        <v>99999</v>
      </c>
      <c r="AJ151">
        <v>99999</v>
      </c>
      <c r="AK151">
        <v>0</v>
      </c>
      <c r="AL151" t="b">
        <v>1</v>
      </c>
      <c r="AM151" t="b">
        <v>1</v>
      </c>
      <c r="AN151" t="b">
        <v>1</v>
      </c>
      <c r="AO151">
        <v>99999</v>
      </c>
      <c r="AP151" t="s">
        <v>63</v>
      </c>
      <c r="AR151" t="b">
        <v>1</v>
      </c>
      <c r="AS151">
        <v>0</v>
      </c>
      <c r="AT151" t="s">
        <v>63</v>
      </c>
      <c r="AV151" t="s">
        <v>560</v>
      </c>
    </row>
    <row r="152" spans="1:48" x14ac:dyDescent="0.25">
      <c r="A152" t="s">
        <v>462</v>
      </c>
      <c r="B152" t="s">
        <v>301</v>
      </c>
      <c r="C152" t="s">
        <v>61</v>
      </c>
      <c r="D152">
        <v>99999</v>
      </c>
      <c r="F152">
        <v>40000</v>
      </c>
      <c r="G152" t="b">
        <v>1</v>
      </c>
      <c r="H152" t="s">
        <v>326</v>
      </c>
      <c r="K152" t="s">
        <v>500</v>
      </c>
      <c r="L152" t="s">
        <v>302</v>
      </c>
      <c r="M152" t="s">
        <v>321</v>
      </c>
      <c r="N152" t="s">
        <v>62</v>
      </c>
      <c r="O152">
        <v>79.900000000000006</v>
      </c>
      <c r="R152">
        <v>619.79999999999995</v>
      </c>
      <c r="S152">
        <v>250</v>
      </c>
      <c r="T152">
        <v>0</v>
      </c>
      <c r="U152">
        <v>75</v>
      </c>
      <c r="X152">
        <v>199.9</v>
      </c>
      <c r="Y152">
        <v>94.9</v>
      </c>
      <c r="Z152">
        <v>94.9</v>
      </c>
      <c r="AA152">
        <v>0</v>
      </c>
      <c r="AB152" t="s">
        <v>468</v>
      </c>
      <c r="AF152" t="s">
        <v>584</v>
      </c>
      <c r="AG152" t="s">
        <v>584</v>
      </c>
      <c r="AH152" t="s">
        <v>469</v>
      </c>
      <c r="AI152">
        <v>99999</v>
      </c>
      <c r="AJ152">
        <v>99999</v>
      </c>
      <c r="AK152">
        <v>0</v>
      </c>
      <c r="AL152" t="b">
        <v>1</v>
      </c>
      <c r="AM152" t="b">
        <v>1</v>
      </c>
      <c r="AN152" t="b">
        <v>1</v>
      </c>
      <c r="AO152">
        <v>99999</v>
      </c>
      <c r="AP152" t="s">
        <v>63</v>
      </c>
      <c r="AR152" t="b">
        <v>1</v>
      </c>
      <c r="AS152">
        <v>0</v>
      </c>
      <c r="AT152" t="s">
        <v>63</v>
      </c>
      <c r="AV152" t="s">
        <v>587</v>
      </c>
    </row>
    <row r="153" spans="1:48" x14ac:dyDescent="0.25">
      <c r="A153" t="s">
        <v>462</v>
      </c>
      <c r="B153" t="s">
        <v>301</v>
      </c>
      <c r="C153" t="s">
        <v>61</v>
      </c>
      <c r="D153">
        <v>99999</v>
      </c>
      <c r="F153">
        <v>40000</v>
      </c>
      <c r="G153" t="b">
        <v>1</v>
      </c>
      <c r="H153" t="s">
        <v>326</v>
      </c>
      <c r="K153" t="s">
        <v>471</v>
      </c>
      <c r="L153" t="s">
        <v>302</v>
      </c>
      <c r="M153" t="s">
        <v>321</v>
      </c>
      <c r="N153" t="s">
        <v>62</v>
      </c>
      <c r="O153">
        <v>69.900000000000006</v>
      </c>
      <c r="R153">
        <v>604.79999999999995</v>
      </c>
      <c r="S153">
        <v>250</v>
      </c>
      <c r="T153">
        <v>0</v>
      </c>
      <c r="U153">
        <v>75</v>
      </c>
      <c r="X153">
        <v>199.9</v>
      </c>
      <c r="Y153">
        <v>79.900000000000006</v>
      </c>
      <c r="Z153">
        <v>79.900000000000006</v>
      </c>
      <c r="AA153">
        <v>0</v>
      </c>
      <c r="AB153" t="s">
        <v>470</v>
      </c>
      <c r="AF153" t="s">
        <v>685</v>
      </c>
      <c r="AG153" t="s">
        <v>685</v>
      </c>
      <c r="AH153" t="s">
        <v>469</v>
      </c>
      <c r="AI153">
        <v>99999</v>
      </c>
      <c r="AJ153">
        <v>99999</v>
      </c>
      <c r="AK153">
        <v>0</v>
      </c>
      <c r="AL153" t="b">
        <v>1</v>
      </c>
      <c r="AM153" t="b">
        <v>1</v>
      </c>
      <c r="AN153" t="b">
        <v>1</v>
      </c>
      <c r="AO153">
        <v>99999</v>
      </c>
      <c r="AP153" t="s">
        <v>63</v>
      </c>
      <c r="AR153" t="b">
        <v>1</v>
      </c>
      <c r="AS153">
        <v>0</v>
      </c>
      <c r="AT153" t="s">
        <v>63</v>
      </c>
      <c r="AV153" t="s">
        <v>686</v>
      </c>
    </row>
    <row r="154" spans="1:48" x14ac:dyDescent="0.25">
      <c r="A154" t="s">
        <v>462</v>
      </c>
      <c r="B154" t="s">
        <v>301</v>
      </c>
      <c r="C154" t="s">
        <v>61</v>
      </c>
      <c r="D154">
        <v>99999</v>
      </c>
      <c r="F154">
        <v>40000</v>
      </c>
      <c r="G154" t="b">
        <v>1</v>
      </c>
      <c r="H154" t="s">
        <v>326</v>
      </c>
      <c r="K154" t="s">
        <v>471</v>
      </c>
      <c r="L154" t="s">
        <v>302</v>
      </c>
      <c r="M154" t="s">
        <v>321</v>
      </c>
      <c r="N154" t="s">
        <v>62</v>
      </c>
      <c r="O154">
        <v>79.900000000000006</v>
      </c>
      <c r="R154">
        <v>604.79999999999995</v>
      </c>
      <c r="S154">
        <v>250</v>
      </c>
      <c r="T154">
        <v>0</v>
      </c>
      <c r="U154">
        <v>75</v>
      </c>
      <c r="X154">
        <v>199.9</v>
      </c>
      <c r="Y154">
        <v>79.900000000000006</v>
      </c>
      <c r="Z154">
        <v>79.900000000000006</v>
      </c>
      <c r="AA154">
        <v>0</v>
      </c>
      <c r="AB154" t="s">
        <v>470</v>
      </c>
      <c r="AF154" t="s">
        <v>486</v>
      </c>
      <c r="AG154" t="s">
        <v>486</v>
      </c>
      <c r="AH154" t="s">
        <v>469</v>
      </c>
      <c r="AI154">
        <v>99999</v>
      </c>
      <c r="AJ154">
        <v>99999</v>
      </c>
      <c r="AK154">
        <v>0</v>
      </c>
      <c r="AL154" t="b">
        <v>1</v>
      </c>
      <c r="AM154" t="b">
        <v>1</v>
      </c>
      <c r="AN154" t="b">
        <v>1</v>
      </c>
      <c r="AO154">
        <v>99999</v>
      </c>
      <c r="AP154" t="s">
        <v>63</v>
      </c>
      <c r="AR154" t="b">
        <v>1</v>
      </c>
      <c r="AS154">
        <v>0</v>
      </c>
      <c r="AT154" t="s">
        <v>63</v>
      </c>
      <c r="AV154" t="s">
        <v>487</v>
      </c>
    </row>
    <row r="155" spans="1:48" x14ac:dyDescent="0.25">
      <c r="A155" t="s">
        <v>462</v>
      </c>
      <c r="B155" t="s">
        <v>301</v>
      </c>
      <c r="C155" t="s">
        <v>61</v>
      </c>
      <c r="D155">
        <v>99999</v>
      </c>
      <c r="F155">
        <v>40000</v>
      </c>
      <c r="G155" t="b">
        <v>1</v>
      </c>
      <c r="H155" t="s">
        <v>326</v>
      </c>
      <c r="K155" t="s">
        <v>471</v>
      </c>
      <c r="L155" t="s">
        <v>302</v>
      </c>
      <c r="M155" t="s">
        <v>321</v>
      </c>
      <c r="N155" t="s">
        <v>62</v>
      </c>
      <c r="O155">
        <v>79.900000000000006</v>
      </c>
      <c r="R155">
        <v>604.79999999999995</v>
      </c>
      <c r="S155">
        <v>250</v>
      </c>
      <c r="T155">
        <v>0</v>
      </c>
      <c r="U155">
        <v>75</v>
      </c>
      <c r="X155">
        <v>199.9</v>
      </c>
      <c r="Y155">
        <v>79.900000000000006</v>
      </c>
      <c r="Z155">
        <v>79.900000000000006</v>
      </c>
      <c r="AA155">
        <v>0</v>
      </c>
      <c r="AB155" t="s">
        <v>470</v>
      </c>
      <c r="AF155" t="s">
        <v>535</v>
      </c>
      <c r="AG155" t="s">
        <v>535</v>
      </c>
      <c r="AH155" t="s">
        <v>469</v>
      </c>
      <c r="AI155">
        <v>99999</v>
      </c>
      <c r="AJ155">
        <v>99999</v>
      </c>
      <c r="AK155">
        <v>0</v>
      </c>
      <c r="AL155" t="b">
        <v>1</v>
      </c>
      <c r="AM155" t="b">
        <v>1</v>
      </c>
      <c r="AN155" t="b">
        <v>1</v>
      </c>
      <c r="AO155">
        <v>99999</v>
      </c>
      <c r="AP155" t="s">
        <v>63</v>
      </c>
      <c r="AR155" t="b">
        <v>1</v>
      </c>
      <c r="AS155">
        <v>0</v>
      </c>
      <c r="AT155" t="s">
        <v>63</v>
      </c>
      <c r="AV155" t="s">
        <v>536</v>
      </c>
    </row>
    <row r="156" spans="1:48" x14ac:dyDescent="0.25">
      <c r="A156" t="s">
        <v>462</v>
      </c>
      <c r="B156" t="s">
        <v>301</v>
      </c>
      <c r="C156" t="s">
        <v>61</v>
      </c>
      <c r="D156">
        <v>99999</v>
      </c>
      <c r="F156">
        <v>40000</v>
      </c>
      <c r="G156" t="b">
        <v>1</v>
      </c>
      <c r="H156" t="s">
        <v>326</v>
      </c>
      <c r="K156" t="s">
        <v>471</v>
      </c>
      <c r="L156" t="s">
        <v>302</v>
      </c>
      <c r="M156" t="s">
        <v>321</v>
      </c>
      <c r="N156" t="s">
        <v>62</v>
      </c>
      <c r="O156">
        <v>79.900000000000006</v>
      </c>
      <c r="R156">
        <v>604.79999999999995</v>
      </c>
      <c r="S156">
        <v>250</v>
      </c>
      <c r="T156">
        <v>0</v>
      </c>
      <c r="U156">
        <v>75</v>
      </c>
      <c r="X156">
        <v>199.9</v>
      </c>
      <c r="Y156">
        <v>79.900000000000006</v>
      </c>
      <c r="Z156">
        <v>79.900000000000006</v>
      </c>
      <c r="AA156">
        <v>0</v>
      </c>
      <c r="AB156" t="s">
        <v>470</v>
      </c>
      <c r="AF156" t="s">
        <v>608</v>
      </c>
      <c r="AG156" t="s">
        <v>608</v>
      </c>
      <c r="AH156" t="s">
        <v>469</v>
      </c>
      <c r="AI156">
        <v>99999</v>
      </c>
      <c r="AJ156">
        <v>99999</v>
      </c>
      <c r="AK156">
        <v>0</v>
      </c>
      <c r="AL156" t="b">
        <v>1</v>
      </c>
      <c r="AM156" t="b">
        <v>1</v>
      </c>
      <c r="AN156" t="b">
        <v>1</v>
      </c>
      <c r="AO156">
        <v>99999</v>
      </c>
      <c r="AP156" t="s">
        <v>63</v>
      </c>
      <c r="AR156" t="b">
        <v>1</v>
      </c>
      <c r="AS156">
        <v>0</v>
      </c>
      <c r="AT156" t="s">
        <v>63</v>
      </c>
      <c r="AV156" t="s">
        <v>609</v>
      </c>
    </row>
    <row r="157" spans="1:48" x14ac:dyDescent="0.25">
      <c r="A157" t="s">
        <v>462</v>
      </c>
      <c r="B157" t="s">
        <v>301</v>
      </c>
      <c r="C157" t="s">
        <v>61</v>
      </c>
      <c r="D157">
        <v>99999</v>
      </c>
      <c r="F157">
        <v>40000</v>
      </c>
      <c r="G157" t="b">
        <v>1</v>
      </c>
      <c r="H157" t="s">
        <v>327</v>
      </c>
      <c r="K157" t="s">
        <v>474</v>
      </c>
      <c r="L157" t="s">
        <v>302</v>
      </c>
      <c r="M157" t="s">
        <v>321</v>
      </c>
      <c r="N157" t="s">
        <v>62</v>
      </c>
      <c r="O157">
        <v>69.900000000000006</v>
      </c>
      <c r="R157">
        <v>604.79999999999995</v>
      </c>
      <c r="S157">
        <v>250</v>
      </c>
      <c r="T157">
        <v>0</v>
      </c>
      <c r="U157">
        <v>75</v>
      </c>
      <c r="X157">
        <v>199.9</v>
      </c>
      <c r="Y157">
        <v>79.900000000000006</v>
      </c>
      <c r="Z157">
        <v>79.900000000000006</v>
      </c>
      <c r="AA157">
        <v>0</v>
      </c>
      <c r="AB157" t="s">
        <v>470</v>
      </c>
      <c r="AF157" t="s">
        <v>685</v>
      </c>
      <c r="AG157" t="s">
        <v>685</v>
      </c>
      <c r="AH157" t="s">
        <v>469</v>
      </c>
      <c r="AI157">
        <v>99999</v>
      </c>
      <c r="AJ157">
        <v>99999</v>
      </c>
      <c r="AK157">
        <v>0</v>
      </c>
      <c r="AL157" t="b">
        <v>1</v>
      </c>
      <c r="AM157" t="b">
        <v>1</v>
      </c>
      <c r="AN157" t="b">
        <v>1</v>
      </c>
      <c r="AO157">
        <v>99999</v>
      </c>
      <c r="AP157" t="s">
        <v>63</v>
      </c>
      <c r="AR157" t="b">
        <v>1</v>
      </c>
      <c r="AS157">
        <v>0</v>
      </c>
      <c r="AT157" t="s">
        <v>63</v>
      </c>
      <c r="AV157" t="s">
        <v>689</v>
      </c>
    </row>
    <row r="158" spans="1:48" x14ac:dyDescent="0.25">
      <c r="A158" t="s">
        <v>462</v>
      </c>
      <c r="B158" t="s">
        <v>301</v>
      </c>
      <c r="C158" t="s">
        <v>61</v>
      </c>
      <c r="D158">
        <v>99999</v>
      </c>
      <c r="F158">
        <v>40000</v>
      </c>
      <c r="G158" t="b">
        <v>1</v>
      </c>
      <c r="H158" t="s">
        <v>327</v>
      </c>
      <c r="K158" t="s">
        <v>474</v>
      </c>
      <c r="L158" t="s">
        <v>302</v>
      </c>
      <c r="M158" t="s">
        <v>321</v>
      </c>
      <c r="N158" t="s">
        <v>62</v>
      </c>
      <c r="O158">
        <v>79.900000000000006</v>
      </c>
      <c r="R158">
        <v>604.79999999999995</v>
      </c>
      <c r="S158">
        <v>250</v>
      </c>
      <c r="T158">
        <v>0</v>
      </c>
      <c r="U158">
        <v>75</v>
      </c>
      <c r="X158">
        <v>199.9</v>
      </c>
      <c r="Y158">
        <v>79.900000000000006</v>
      </c>
      <c r="Z158">
        <v>79.900000000000006</v>
      </c>
      <c r="AA158">
        <v>0</v>
      </c>
      <c r="AB158" t="s">
        <v>470</v>
      </c>
      <c r="AF158" t="s">
        <v>486</v>
      </c>
      <c r="AG158" t="s">
        <v>486</v>
      </c>
      <c r="AH158" t="s">
        <v>469</v>
      </c>
      <c r="AI158">
        <v>99999</v>
      </c>
      <c r="AJ158">
        <v>99999</v>
      </c>
      <c r="AK158">
        <v>0</v>
      </c>
      <c r="AL158" t="b">
        <v>1</v>
      </c>
      <c r="AM158" t="b">
        <v>1</v>
      </c>
      <c r="AN158" t="b">
        <v>1</v>
      </c>
      <c r="AO158">
        <v>99999</v>
      </c>
      <c r="AP158" t="s">
        <v>63</v>
      </c>
      <c r="AR158" t="b">
        <v>1</v>
      </c>
      <c r="AS158">
        <v>0</v>
      </c>
      <c r="AT158" t="s">
        <v>63</v>
      </c>
      <c r="AV158" t="s">
        <v>490</v>
      </c>
    </row>
    <row r="159" spans="1:48" x14ac:dyDescent="0.25">
      <c r="A159" t="s">
        <v>462</v>
      </c>
      <c r="B159" t="s">
        <v>301</v>
      </c>
      <c r="C159" t="s">
        <v>61</v>
      </c>
      <c r="D159">
        <v>99999</v>
      </c>
      <c r="F159">
        <v>40000</v>
      </c>
      <c r="G159" t="b">
        <v>1</v>
      </c>
      <c r="H159" t="s">
        <v>327</v>
      </c>
      <c r="K159" t="s">
        <v>474</v>
      </c>
      <c r="L159" t="s">
        <v>302</v>
      </c>
      <c r="M159" t="s">
        <v>321</v>
      </c>
      <c r="N159" t="s">
        <v>62</v>
      </c>
      <c r="O159">
        <v>79.900000000000006</v>
      </c>
      <c r="R159">
        <v>604.79999999999995</v>
      </c>
      <c r="S159">
        <v>250</v>
      </c>
      <c r="T159">
        <v>0</v>
      </c>
      <c r="U159">
        <v>75</v>
      </c>
      <c r="X159">
        <v>199.9</v>
      </c>
      <c r="Y159">
        <v>79.900000000000006</v>
      </c>
      <c r="Z159">
        <v>79.900000000000006</v>
      </c>
      <c r="AA159">
        <v>0</v>
      </c>
      <c r="AB159" t="s">
        <v>470</v>
      </c>
      <c r="AF159" t="s">
        <v>535</v>
      </c>
      <c r="AG159" t="s">
        <v>535</v>
      </c>
      <c r="AH159" t="s">
        <v>469</v>
      </c>
      <c r="AI159">
        <v>99999</v>
      </c>
      <c r="AJ159">
        <v>99999</v>
      </c>
      <c r="AK159">
        <v>0</v>
      </c>
      <c r="AL159" t="b">
        <v>1</v>
      </c>
      <c r="AM159" t="b">
        <v>1</v>
      </c>
      <c r="AN159" t="b">
        <v>1</v>
      </c>
      <c r="AO159">
        <v>99999</v>
      </c>
      <c r="AP159" t="s">
        <v>63</v>
      </c>
      <c r="AR159" t="b">
        <v>1</v>
      </c>
      <c r="AS159">
        <v>0</v>
      </c>
      <c r="AT159" t="s">
        <v>63</v>
      </c>
      <c r="AV159" t="s">
        <v>539</v>
      </c>
    </row>
    <row r="160" spans="1:48" x14ac:dyDescent="0.25">
      <c r="A160" t="s">
        <v>462</v>
      </c>
      <c r="B160" t="s">
        <v>301</v>
      </c>
      <c r="C160" t="s">
        <v>61</v>
      </c>
      <c r="D160">
        <v>99999</v>
      </c>
      <c r="F160">
        <v>40000</v>
      </c>
      <c r="G160" t="b">
        <v>1</v>
      </c>
      <c r="H160" t="s">
        <v>327</v>
      </c>
      <c r="K160" t="s">
        <v>474</v>
      </c>
      <c r="L160" t="s">
        <v>302</v>
      </c>
      <c r="M160" t="s">
        <v>321</v>
      </c>
      <c r="N160" t="s">
        <v>62</v>
      </c>
      <c r="O160">
        <v>79.900000000000006</v>
      </c>
      <c r="R160">
        <v>604.79999999999995</v>
      </c>
      <c r="S160">
        <v>250</v>
      </c>
      <c r="T160">
        <v>0</v>
      </c>
      <c r="U160">
        <v>75</v>
      </c>
      <c r="X160">
        <v>199.9</v>
      </c>
      <c r="Y160">
        <v>79.900000000000006</v>
      </c>
      <c r="Z160">
        <v>79.900000000000006</v>
      </c>
      <c r="AA160">
        <v>0</v>
      </c>
      <c r="AB160" t="s">
        <v>470</v>
      </c>
      <c r="AF160" t="s">
        <v>608</v>
      </c>
      <c r="AG160" t="s">
        <v>608</v>
      </c>
      <c r="AH160" t="s">
        <v>469</v>
      </c>
      <c r="AI160">
        <v>99999</v>
      </c>
      <c r="AJ160">
        <v>99999</v>
      </c>
      <c r="AK160">
        <v>0</v>
      </c>
      <c r="AL160" t="b">
        <v>1</v>
      </c>
      <c r="AM160" t="b">
        <v>1</v>
      </c>
      <c r="AN160" t="b">
        <v>1</v>
      </c>
      <c r="AO160">
        <v>99999</v>
      </c>
      <c r="AP160" t="s">
        <v>63</v>
      </c>
      <c r="AR160" t="b">
        <v>1</v>
      </c>
      <c r="AS160">
        <v>0</v>
      </c>
      <c r="AT160" t="s">
        <v>63</v>
      </c>
      <c r="AV160" t="s">
        <v>612</v>
      </c>
    </row>
    <row r="161" spans="1:48" x14ac:dyDescent="0.25">
      <c r="A161" t="s">
        <v>462</v>
      </c>
      <c r="B161" t="s">
        <v>301</v>
      </c>
      <c r="C161" t="s">
        <v>61</v>
      </c>
      <c r="D161">
        <v>99999</v>
      </c>
      <c r="F161">
        <v>40000</v>
      </c>
      <c r="G161" t="b">
        <v>1</v>
      </c>
      <c r="H161" t="s">
        <v>327</v>
      </c>
      <c r="K161" t="s">
        <v>502</v>
      </c>
      <c r="L161" t="s">
        <v>302</v>
      </c>
      <c r="M161" t="s">
        <v>321</v>
      </c>
      <c r="N161" t="s">
        <v>62</v>
      </c>
      <c r="O161">
        <v>69.900000000000006</v>
      </c>
      <c r="R161">
        <v>629.79999999999995</v>
      </c>
      <c r="S161">
        <v>250</v>
      </c>
      <c r="T161">
        <v>0</v>
      </c>
      <c r="U161">
        <v>75</v>
      </c>
      <c r="X161">
        <v>199.9</v>
      </c>
      <c r="Y161">
        <v>104.9</v>
      </c>
      <c r="Z161">
        <v>104.9</v>
      </c>
      <c r="AA161">
        <v>0</v>
      </c>
      <c r="AB161" t="s">
        <v>468</v>
      </c>
      <c r="AF161" t="s">
        <v>661</v>
      </c>
      <c r="AG161" t="s">
        <v>661</v>
      </c>
      <c r="AH161" t="s">
        <v>469</v>
      </c>
      <c r="AI161">
        <v>99999</v>
      </c>
      <c r="AJ161">
        <v>99999</v>
      </c>
      <c r="AK161">
        <v>0</v>
      </c>
      <c r="AL161" t="b">
        <v>1</v>
      </c>
      <c r="AM161" t="b">
        <v>1</v>
      </c>
      <c r="AN161" t="b">
        <v>1</v>
      </c>
      <c r="AO161">
        <v>99999</v>
      </c>
      <c r="AP161" t="s">
        <v>63</v>
      </c>
      <c r="AR161" t="b">
        <v>1</v>
      </c>
      <c r="AS161">
        <v>0</v>
      </c>
      <c r="AT161" t="s">
        <v>63</v>
      </c>
      <c r="AV161" t="s">
        <v>667</v>
      </c>
    </row>
    <row r="162" spans="1:48" x14ac:dyDescent="0.25">
      <c r="A162" t="s">
        <v>462</v>
      </c>
      <c r="B162" t="s">
        <v>301</v>
      </c>
      <c r="C162" t="s">
        <v>61</v>
      </c>
      <c r="D162">
        <v>99999</v>
      </c>
      <c r="F162">
        <v>40000</v>
      </c>
      <c r="G162" t="b">
        <v>1</v>
      </c>
      <c r="H162" t="s">
        <v>327</v>
      </c>
      <c r="K162" t="s">
        <v>502</v>
      </c>
      <c r="L162" t="s">
        <v>302</v>
      </c>
      <c r="M162" t="s">
        <v>321</v>
      </c>
      <c r="N162" t="s">
        <v>62</v>
      </c>
      <c r="O162">
        <v>79.900000000000006</v>
      </c>
      <c r="R162">
        <v>629.79999999999995</v>
      </c>
      <c r="S162">
        <v>250</v>
      </c>
      <c r="T162">
        <v>0</v>
      </c>
      <c r="U162">
        <v>75</v>
      </c>
      <c r="X162">
        <v>199.9</v>
      </c>
      <c r="Y162">
        <v>104.9</v>
      </c>
      <c r="Z162">
        <v>104.9</v>
      </c>
      <c r="AA162">
        <v>0</v>
      </c>
      <c r="AB162" t="s">
        <v>468</v>
      </c>
      <c r="AF162" t="s">
        <v>514</v>
      </c>
      <c r="AG162" t="s">
        <v>514</v>
      </c>
      <c r="AH162" t="s">
        <v>469</v>
      </c>
      <c r="AI162">
        <v>99999</v>
      </c>
      <c r="AJ162">
        <v>99999</v>
      </c>
      <c r="AK162">
        <v>0</v>
      </c>
      <c r="AL162" t="b">
        <v>1</v>
      </c>
      <c r="AM162" t="b">
        <v>1</v>
      </c>
      <c r="AN162" t="b">
        <v>1</v>
      </c>
      <c r="AO162">
        <v>99999</v>
      </c>
      <c r="AP162" t="s">
        <v>63</v>
      </c>
      <c r="AR162" t="b">
        <v>1</v>
      </c>
      <c r="AS162">
        <v>0</v>
      </c>
      <c r="AT162" t="s">
        <v>63</v>
      </c>
      <c r="AV162" t="s">
        <v>520</v>
      </c>
    </row>
    <row r="163" spans="1:48" x14ac:dyDescent="0.25">
      <c r="A163" t="s">
        <v>462</v>
      </c>
      <c r="B163" t="s">
        <v>301</v>
      </c>
      <c r="C163" t="s">
        <v>61</v>
      </c>
      <c r="D163">
        <v>99999</v>
      </c>
      <c r="F163">
        <v>40000</v>
      </c>
      <c r="G163" t="b">
        <v>1</v>
      </c>
      <c r="H163" t="s">
        <v>327</v>
      </c>
      <c r="K163" t="s">
        <v>502</v>
      </c>
      <c r="L163" t="s">
        <v>302</v>
      </c>
      <c r="M163" t="s">
        <v>321</v>
      </c>
      <c r="N163" t="s">
        <v>62</v>
      </c>
      <c r="O163">
        <v>79.900000000000006</v>
      </c>
      <c r="R163">
        <v>629.79999999999995</v>
      </c>
      <c r="S163">
        <v>250</v>
      </c>
      <c r="T163">
        <v>0</v>
      </c>
      <c r="U163">
        <v>75</v>
      </c>
      <c r="X163">
        <v>199.9</v>
      </c>
      <c r="Y163">
        <v>104.9</v>
      </c>
      <c r="Z163">
        <v>104.9</v>
      </c>
      <c r="AA163">
        <v>0</v>
      </c>
      <c r="AB163" t="s">
        <v>468</v>
      </c>
      <c r="AF163" t="s">
        <v>557</v>
      </c>
      <c r="AG163" t="s">
        <v>557</v>
      </c>
      <c r="AH163" t="s">
        <v>469</v>
      </c>
      <c r="AI163">
        <v>99999</v>
      </c>
      <c r="AJ163">
        <v>99999</v>
      </c>
      <c r="AK163">
        <v>0</v>
      </c>
      <c r="AL163" t="b">
        <v>1</v>
      </c>
      <c r="AM163" t="b">
        <v>1</v>
      </c>
      <c r="AN163" t="b">
        <v>1</v>
      </c>
      <c r="AO163">
        <v>99999</v>
      </c>
      <c r="AP163" t="s">
        <v>63</v>
      </c>
      <c r="AR163" t="b">
        <v>1</v>
      </c>
      <c r="AS163">
        <v>0</v>
      </c>
      <c r="AT163" t="s">
        <v>63</v>
      </c>
      <c r="AV163" t="s">
        <v>563</v>
      </c>
    </row>
    <row r="164" spans="1:48" x14ac:dyDescent="0.25">
      <c r="A164" t="s">
        <v>462</v>
      </c>
      <c r="B164" t="s">
        <v>301</v>
      </c>
      <c r="C164" t="s">
        <v>61</v>
      </c>
      <c r="D164">
        <v>99999</v>
      </c>
      <c r="F164">
        <v>40000</v>
      </c>
      <c r="G164" t="b">
        <v>1</v>
      </c>
      <c r="H164" t="s">
        <v>327</v>
      </c>
      <c r="K164" t="s">
        <v>502</v>
      </c>
      <c r="L164" t="s">
        <v>302</v>
      </c>
      <c r="M164" t="s">
        <v>321</v>
      </c>
      <c r="N164" t="s">
        <v>62</v>
      </c>
      <c r="O164">
        <v>79.900000000000006</v>
      </c>
      <c r="R164">
        <v>629.79999999999995</v>
      </c>
      <c r="S164">
        <v>250</v>
      </c>
      <c r="T164">
        <v>0</v>
      </c>
      <c r="U164">
        <v>75</v>
      </c>
      <c r="X164">
        <v>199.9</v>
      </c>
      <c r="Y164">
        <v>104.9</v>
      </c>
      <c r="Z164">
        <v>104.9</v>
      </c>
      <c r="AA164">
        <v>0</v>
      </c>
      <c r="AB164" t="s">
        <v>468</v>
      </c>
      <c r="AF164" t="s">
        <v>584</v>
      </c>
      <c r="AG164" t="s">
        <v>584</v>
      </c>
      <c r="AH164" t="s">
        <v>469</v>
      </c>
      <c r="AI164">
        <v>99999</v>
      </c>
      <c r="AJ164">
        <v>99999</v>
      </c>
      <c r="AK164">
        <v>0</v>
      </c>
      <c r="AL164" t="b">
        <v>1</v>
      </c>
      <c r="AM164" t="b">
        <v>1</v>
      </c>
      <c r="AN164" t="b">
        <v>1</v>
      </c>
      <c r="AO164">
        <v>99999</v>
      </c>
      <c r="AP164" t="s">
        <v>63</v>
      </c>
      <c r="AR164" t="b">
        <v>1</v>
      </c>
      <c r="AS164">
        <v>0</v>
      </c>
      <c r="AT164" t="s">
        <v>63</v>
      </c>
      <c r="AV164" t="s">
        <v>590</v>
      </c>
    </row>
    <row r="165" spans="1:48" x14ac:dyDescent="0.25">
      <c r="A165" t="s">
        <v>462</v>
      </c>
      <c r="B165" t="s">
        <v>301</v>
      </c>
      <c r="C165" t="s">
        <v>61</v>
      </c>
      <c r="D165">
        <v>99999</v>
      </c>
      <c r="F165">
        <v>40000</v>
      </c>
      <c r="G165" t="b">
        <v>1</v>
      </c>
      <c r="H165" t="s">
        <v>327</v>
      </c>
      <c r="K165" t="s">
        <v>494</v>
      </c>
      <c r="L165" t="s">
        <v>302</v>
      </c>
      <c r="M165" t="s">
        <v>321</v>
      </c>
      <c r="N165" t="s">
        <v>62</v>
      </c>
      <c r="O165">
        <v>69.900000000000006</v>
      </c>
      <c r="R165">
        <v>609.79999999999995</v>
      </c>
      <c r="S165">
        <v>250</v>
      </c>
      <c r="T165">
        <v>0</v>
      </c>
      <c r="U165">
        <v>75</v>
      </c>
      <c r="X165">
        <v>199.9</v>
      </c>
      <c r="Y165">
        <v>84.9</v>
      </c>
      <c r="Z165">
        <v>84.9</v>
      </c>
      <c r="AA165">
        <v>0</v>
      </c>
      <c r="AB165" t="s">
        <v>468</v>
      </c>
      <c r="AF165" t="s">
        <v>661</v>
      </c>
      <c r="AG165" t="s">
        <v>661</v>
      </c>
      <c r="AH165" t="s">
        <v>469</v>
      </c>
      <c r="AI165">
        <v>99999</v>
      </c>
      <c r="AJ165">
        <v>99999</v>
      </c>
      <c r="AK165">
        <v>0</v>
      </c>
      <c r="AL165" t="b">
        <v>1</v>
      </c>
      <c r="AM165" t="b">
        <v>1</v>
      </c>
      <c r="AN165" t="b">
        <v>1</v>
      </c>
      <c r="AO165">
        <v>99999</v>
      </c>
      <c r="AP165" t="s">
        <v>63</v>
      </c>
      <c r="AR165" t="b">
        <v>1</v>
      </c>
      <c r="AS165">
        <v>0</v>
      </c>
      <c r="AT165" t="s">
        <v>63</v>
      </c>
      <c r="AV165" t="s">
        <v>663</v>
      </c>
    </row>
    <row r="166" spans="1:48" x14ac:dyDescent="0.25">
      <c r="A166" t="s">
        <v>462</v>
      </c>
      <c r="B166" t="s">
        <v>301</v>
      </c>
      <c r="C166" t="s">
        <v>61</v>
      </c>
      <c r="D166">
        <v>99999</v>
      </c>
      <c r="F166">
        <v>40000</v>
      </c>
      <c r="G166" t="b">
        <v>1</v>
      </c>
      <c r="H166" t="s">
        <v>327</v>
      </c>
      <c r="K166" t="s">
        <v>494</v>
      </c>
      <c r="L166" t="s">
        <v>302</v>
      </c>
      <c r="M166" t="s">
        <v>321</v>
      </c>
      <c r="N166" t="s">
        <v>62</v>
      </c>
      <c r="O166">
        <v>79.900000000000006</v>
      </c>
      <c r="R166">
        <v>609.79999999999995</v>
      </c>
      <c r="S166">
        <v>250</v>
      </c>
      <c r="T166">
        <v>0</v>
      </c>
      <c r="U166">
        <v>75</v>
      </c>
      <c r="X166">
        <v>199.9</v>
      </c>
      <c r="Y166">
        <v>84.9</v>
      </c>
      <c r="Z166">
        <v>84.9</v>
      </c>
      <c r="AA166">
        <v>0</v>
      </c>
      <c r="AB166" s="108" t="s">
        <v>468</v>
      </c>
      <c r="AF166" t="s">
        <v>514</v>
      </c>
      <c r="AG166" t="s">
        <v>514</v>
      </c>
      <c r="AH166" t="s">
        <v>469</v>
      </c>
      <c r="AI166">
        <v>99999</v>
      </c>
      <c r="AJ166">
        <v>99999</v>
      </c>
      <c r="AK166">
        <v>0</v>
      </c>
      <c r="AL166" t="b">
        <v>1</v>
      </c>
      <c r="AM166" t="b">
        <v>1</v>
      </c>
      <c r="AN166" t="b">
        <v>1</v>
      </c>
      <c r="AO166">
        <v>99999</v>
      </c>
      <c r="AP166" t="s">
        <v>63</v>
      </c>
      <c r="AR166" t="b">
        <v>1</v>
      </c>
      <c r="AS166">
        <v>0</v>
      </c>
      <c r="AT166" t="s">
        <v>63</v>
      </c>
      <c r="AV166" t="s">
        <v>516</v>
      </c>
    </row>
    <row r="167" spans="1:48" x14ac:dyDescent="0.25">
      <c r="A167" t="s">
        <v>462</v>
      </c>
      <c r="B167" t="s">
        <v>301</v>
      </c>
      <c r="C167" t="s">
        <v>61</v>
      </c>
      <c r="D167">
        <v>99999</v>
      </c>
      <c r="F167">
        <v>40000</v>
      </c>
      <c r="G167" t="b">
        <v>1</v>
      </c>
      <c r="H167" t="s">
        <v>327</v>
      </c>
      <c r="K167" t="s">
        <v>494</v>
      </c>
      <c r="L167" t="s">
        <v>302</v>
      </c>
      <c r="M167" t="s">
        <v>321</v>
      </c>
      <c r="N167" t="s">
        <v>62</v>
      </c>
      <c r="O167">
        <v>79.900000000000006</v>
      </c>
      <c r="R167">
        <v>609.79999999999995</v>
      </c>
      <c r="S167">
        <v>250</v>
      </c>
      <c r="T167">
        <v>0</v>
      </c>
      <c r="U167">
        <v>75</v>
      </c>
      <c r="X167">
        <v>199.9</v>
      </c>
      <c r="Y167">
        <v>84.9</v>
      </c>
      <c r="Z167">
        <v>84.9</v>
      </c>
      <c r="AA167">
        <v>0</v>
      </c>
      <c r="AB167" t="s">
        <v>468</v>
      </c>
      <c r="AF167" t="s">
        <v>557</v>
      </c>
      <c r="AG167" t="s">
        <v>557</v>
      </c>
      <c r="AH167" t="s">
        <v>469</v>
      </c>
      <c r="AI167">
        <v>99999</v>
      </c>
      <c r="AJ167">
        <v>99999</v>
      </c>
      <c r="AK167">
        <v>0</v>
      </c>
      <c r="AL167" t="b">
        <v>1</v>
      </c>
      <c r="AM167" t="b">
        <v>1</v>
      </c>
      <c r="AN167" t="b">
        <v>1</v>
      </c>
      <c r="AO167">
        <v>99999</v>
      </c>
      <c r="AP167" t="s">
        <v>63</v>
      </c>
      <c r="AR167" t="b">
        <v>1</v>
      </c>
      <c r="AS167">
        <v>0</v>
      </c>
      <c r="AT167" t="s">
        <v>63</v>
      </c>
      <c r="AV167" t="s">
        <v>559</v>
      </c>
    </row>
    <row r="168" spans="1:48" x14ac:dyDescent="0.25">
      <c r="A168" t="s">
        <v>462</v>
      </c>
      <c r="B168" t="s">
        <v>301</v>
      </c>
      <c r="C168" t="s">
        <v>61</v>
      </c>
      <c r="D168">
        <v>99999</v>
      </c>
      <c r="F168">
        <v>40000</v>
      </c>
      <c r="G168" t="b">
        <v>1</v>
      </c>
      <c r="H168" t="s">
        <v>327</v>
      </c>
      <c r="K168" t="s">
        <v>494</v>
      </c>
      <c r="L168" t="s">
        <v>302</v>
      </c>
      <c r="M168" t="s">
        <v>321</v>
      </c>
      <c r="N168" t="s">
        <v>62</v>
      </c>
      <c r="O168">
        <v>79.900000000000006</v>
      </c>
      <c r="R168">
        <v>609.79999999999995</v>
      </c>
      <c r="S168">
        <v>250</v>
      </c>
      <c r="T168">
        <v>0</v>
      </c>
      <c r="U168">
        <v>75</v>
      </c>
      <c r="X168">
        <v>199.9</v>
      </c>
      <c r="Y168">
        <v>84.9</v>
      </c>
      <c r="Z168">
        <v>84.9</v>
      </c>
      <c r="AA168">
        <v>0</v>
      </c>
      <c r="AB168" t="s">
        <v>468</v>
      </c>
      <c r="AF168" t="s">
        <v>584</v>
      </c>
      <c r="AG168" t="s">
        <v>584</v>
      </c>
      <c r="AH168" t="s">
        <v>469</v>
      </c>
      <c r="AI168">
        <v>99999</v>
      </c>
      <c r="AJ168">
        <v>99999</v>
      </c>
      <c r="AK168">
        <v>0</v>
      </c>
      <c r="AL168" t="b">
        <v>1</v>
      </c>
      <c r="AM168" t="b">
        <v>1</v>
      </c>
      <c r="AN168" t="b">
        <v>1</v>
      </c>
      <c r="AO168">
        <v>99999</v>
      </c>
      <c r="AP168" t="s">
        <v>63</v>
      </c>
      <c r="AR168" t="b">
        <v>1</v>
      </c>
      <c r="AS168">
        <v>0</v>
      </c>
      <c r="AT168" t="s">
        <v>63</v>
      </c>
      <c r="AV168" t="s">
        <v>586</v>
      </c>
    </row>
    <row r="169" spans="1:48" x14ac:dyDescent="0.25">
      <c r="A169" t="s">
        <v>462</v>
      </c>
      <c r="B169" t="s">
        <v>301</v>
      </c>
      <c r="C169" t="s">
        <v>61</v>
      </c>
      <c r="D169">
        <v>99999</v>
      </c>
      <c r="F169">
        <v>40000</v>
      </c>
      <c r="G169" t="b">
        <v>1</v>
      </c>
      <c r="H169" t="s">
        <v>327</v>
      </c>
      <c r="K169" t="s">
        <v>500</v>
      </c>
      <c r="L169" t="s">
        <v>302</v>
      </c>
      <c r="M169" t="s">
        <v>321</v>
      </c>
      <c r="N169" t="s">
        <v>62</v>
      </c>
      <c r="O169">
        <v>69.900000000000006</v>
      </c>
      <c r="R169">
        <v>619.79999999999995</v>
      </c>
      <c r="S169">
        <v>250</v>
      </c>
      <c r="T169">
        <v>0</v>
      </c>
      <c r="U169">
        <v>75</v>
      </c>
      <c r="X169">
        <v>199.9</v>
      </c>
      <c r="Y169">
        <v>94.9</v>
      </c>
      <c r="Z169">
        <v>94.9</v>
      </c>
      <c r="AA169">
        <v>0</v>
      </c>
      <c r="AB169" t="s">
        <v>468</v>
      </c>
      <c r="AF169" t="s">
        <v>661</v>
      </c>
      <c r="AG169" t="s">
        <v>661</v>
      </c>
      <c r="AH169" t="s">
        <v>469</v>
      </c>
      <c r="AI169">
        <v>99999</v>
      </c>
      <c r="AJ169">
        <v>99999</v>
      </c>
      <c r="AK169">
        <v>0</v>
      </c>
      <c r="AL169" t="b">
        <v>1</v>
      </c>
      <c r="AM169" t="b">
        <v>1</v>
      </c>
      <c r="AN169" t="b">
        <v>1</v>
      </c>
      <c r="AO169">
        <v>99999</v>
      </c>
      <c r="AP169" t="s">
        <v>63</v>
      </c>
      <c r="AR169" t="b">
        <v>1</v>
      </c>
      <c r="AS169">
        <v>0</v>
      </c>
      <c r="AT169" t="s">
        <v>63</v>
      </c>
      <c r="AV169" t="s">
        <v>665</v>
      </c>
    </row>
    <row r="170" spans="1:48" x14ac:dyDescent="0.25">
      <c r="A170" t="s">
        <v>462</v>
      </c>
      <c r="B170" t="s">
        <v>301</v>
      </c>
      <c r="C170" t="s">
        <v>61</v>
      </c>
      <c r="D170">
        <v>99999</v>
      </c>
      <c r="F170">
        <v>40000</v>
      </c>
      <c r="G170" t="b">
        <v>1</v>
      </c>
      <c r="H170" t="s">
        <v>327</v>
      </c>
      <c r="K170" t="s">
        <v>500</v>
      </c>
      <c r="L170" t="s">
        <v>302</v>
      </c>
      <c r="M170" t="s">
        <v>321</v>
      </c>
      <c r="N170" t="s">
        <v>62</v>
      </c>
      <c r="O170">
        <v>79.900000000000006</v>
      </c>
      <c r="R170">
        <v>619.79999999999995</v>
      </c>
      <c r="S170">
        <v>250</v>
      </c>
      <c r="T170">
        <v>0</v>
      </c>
      <c r="U170">
        <v>75</v>
      </c>
      <c r="X170">
        <v>199.9</v>
      </c>
      <c r="Y170">
        <v>94.9</v>
      </c>
      <c r="Z170">
        <v>94.9</v>
      </c>
      <c r="AA170">
        <v>0</v>
      </c>
      <c r="AB170" t="s">
        <v>468</v>
      </c>
      <c r="AF170" t="s">
        <v>514</v>
      </c>
      <c r="AG170" t="s">
        <v>514</v>
      </c>
      <c r="AH170" t="s">
        <v>469</v>
      </c>
      <c r="AI170">
        <v>99999</v>
      </c>
      <c r="AJ170">
        <v>99999</v>
      </c>
      <c r="AK170">
        <v>0</v>
      </c>
      <c r="AL170" t="b">
        <v>1</v>
      </c>
      <c r="AM170" t="b">
        <v>1</v>
      </c>
      <c r="AN170" t="b">
        <v>1</v>
      </c>
      <c r="AO170">
        <v>99999</v>
      </c>
      <c r="AP170" t="s">
        <v>63</v>
      </c>
      <c r="AR170" t="b">
        <v>1</v>
      </c>
      <c r="AS170">
        <v>0</v>
      </c>
      <c r="AT170" t="s">
        <v>63</v>
      </c>
      <c r="AV170" t="s">
        <v>518</v>
      </c>
    </row>
    <row r="171" spans="1:48" x14ac:dyDescent="0.25">
      <c r="A171" t="s">
        <v>462</v>
      </c>
      <c r="B171" t="s">
        <v>301</v>
      </c>
      <c r="C171" t="s">
        <v>61</v>
      </c>
      <c r="D171">
        <v>99999</v>
      </c>
      <c r="F171">
        <v>40000</v>
      </c>
      <c r="G171" t="b">
        <v>1</v>
      </c>
      <c r="H171" t="s">
        <v>327</v>
      </c>
      <c r="K171" t="s">
        <v>500</v>
      </c>
      <c r="L171" t="s">
        <v>302</v>
      </c>
      <c r="M171" t="s">
        <v>321</v>
      </c>
      <c r="N171" t="s">
        <v>62</v>
      </c>
      <c r="O171">
        <v>79.900000000000006</v>
      </c>
      <c r="R171">
        <v>619.79999999999995</v>
      </c>
      <c r="S171">
        <v>250</v>
      </c>
      <c r="T171">
        <v>0</v>
      </c>
      <c r="U171">
        <v>75</v>
      </c>
      <c r="X171">
        <v>199.9</v>
      </c>
      <c r="Y171">
        <v>94.9</v>
      </c>
      <c r="Z171">
        <v>94.9</v>
      </c>
      <c r="AA171">
        <v>0</v>
      </c>
      <c r="AB171" t="s">
        <v>468</v>
      </c>
      <c r="AF171" t="s">
        <v>557</v>
      </c>
      <c r="AG171" t="s">
        <v>557</v>
      </c>
      <c r="AH171" t="s">
        <v>469</v>
      </c>
      <c r="AI171">
        <v>99999</v>
      </c>
      <c r="AJ171">
        <v>99999</v>
      </c>
      <c r="AK171">
        <v>0</v>
      </c>
      <c r="AL171" t="b">
        <v>1</v>
      </c>
      <c r="AM171" t="b">
        <v>1</v>
      </c>
      <c r="AN171" t="b">
        <v>1</v>
      </c>
      <c r="AO171">
        <v>99999</v>
      </c>
      <c r="AP171" t="s">
        <v>63</v>
      </c>
      <c r="AR171" t="b">
        <v>1</v>
      </c>
      <c r="AS171">
        <v>0</v>
      </c>
      <c r="AT171" t="s">
        <v>63</v>
      </c>
      <c r="AV171" t="s">
        <v>561</v>
      </c>
    </row>
    <row r="172" spans="1:48" x14ac:dyDescent="0.25">
      <c r="A172" t="s">
        <v>462</v>
      </c>
      <c r="B172" t="s">
        <v>301</v>
      </c>
      <c r="C172" t="s">
        <v>61</v>
      </c>
      <c r="D172">
        <v>99999</v>
      </c>
      <c r="F172">
        <v>40000</v>
      </c>
      <c r="G172" t="b">
        <v>1</v>
      </c>
      <c r="H172" t="s">
        <v>327</v>
      </c>
      <c r="K172" t="s">
        <v>500</v>
      </c>
      <c r="L172" t="s">
        <v>302</v>
      </c>
      <c r="M172" t="s">
        <v>321</v>
      </c>
      <c r="N172" t="s">
        <v>62</v>
      </c>
      <c r="O172">
        <v>79.900000000000006</v>
      </c>
      <c r="R172">
        <v>619.79999999999995</v>
      </c>
      <c r="S172">
        <v>250</v>
      </c>
      <c r="T172">
        <v>0</v>
      </c>
      <c r="U172">
        <v>75</v>
      </c>
      <c r="X172">
        <v>199.9</v>
      </c>
      <c r="Y172">
        <v>94.9</v>
      </c>
      <c r="Z172">
        <v>94.9</v>
      </c>
      <c r="AA172">
        <v>0</v>
      </c>
      <c r="AB172" t="s">
        <v>468</v>
      </c>
      <c r="AF172" t="s">
        <v>584</v>
      </c>
      <c r="AG172" t="s">
        <v>584</v>
      </c>
      <c r="AH172" t="s">
        <v>469</v>
      </c>
      <c r="AI172">
        <v>99999</v>
      </c>
      <c r="AJ172">
        <v>99999</v>
      </c>
      <c r="AK172">
        <v>0</v>
      </c>
      <c r="AL172" t="b">
        <v>1</v>
      </c>
      <c r="AM172" t="b">
        <v>1</v>
      </c>
      <c r="AN172" t="b">
        <v>1</v>
      </c>
      <c r="AO172">
        <v>99999</v>
      </c>
      <c r="AP172" t="s">
        <v>63</v>
      </c>
      <c r="AR172" t="b">
        <v>1</v>
      </c>
      <c r="AS172">
        <v>0</v>
      </c>
      <c r="AT172" t="s">
        <v>63</v>
      </c>
      <c r="AV172" t="s">
        <v>588</v>
      </c>
    </row>
    <row r="173" spans="1:48" x14ac:dyDescent="0.25">
      <c r="A173" t="s">
        <v>462</v>
      </c>
      <c r="B173" t="s">
        <v>301</v>
      </c>
      <c r="C173" t="s">
        <v>61</v>
      </c>
      <c r="D173">
        <v>99999</v>
      </c>
      <c r="F173">
        <v>40000</v>
      </c>
      <c r="G173" t="b">
        <v>1</v>
      </c>
      <c r="H173" t="s">
        <v>327</v>
      </c>
      <c r="K173" t="s">
        <v>471</v>
      </c>
      <c r="L173" t="s">
        <v>302</v>
      </c>
      <c r="M173" t="s">
        <v>321</v>
      </c>
      <c r="N173" t="s">
        <v>62</v>
      </c>
      <c r="O173">
        <v>69.900000000000006</v>
      </c>
      <c r="R173">
        <v>604.79999999999995</v>
      </c>
      <c r="S173">
        <v>250</v>
      </c>
      <c r="T173">
        <v>0</v>
      </c>
      <c r="U173">
        <v>75</v>
      </c>
      <c r="X173">
        <v>199.9</v>
      </c>
      <c r="Y173">
        <v>79.900000000000006</v>
      </c>
      <c r="Z173">
        <v>79.900000000000006</v>
      </c>
      <c r="AA173">
        <v>0</v>
      </c>
      <c r="AB173" t="s">
        <v>470</v>
      </c>
      <c r="AF173" t="s">
        <v>685</v>
      </c>
      <c r="AG173" t="s">
        <v>685</v>
      </c>
      <c r="AH173" t="s">
        <v>469</v>
      </c>
      <c r="AI173">
        <v>99999</v>
      </c>
      <c r="AJ173">
        <v>99999</v>
      </c>
      <c r="AK173">
        <v>0</v>
      </c>
      <c r="AL173" t="b">
        <v>1</v>
      </c>
      <c r="AM173" t="b">
        <v>1</v>
      </c>
      <c r="AN173" t="b">
        <v>1</v>
      </c>
      <c r="AO173">
        <v>99999</v>
      </c>
      <c r="AP173" t="s">
        <v>63</v>
      </c>
      <c r="AR173" t="b">
        <v>1</v>
      </c>
      <c r="AS173">
        <v>0</v>
      </c>
      <c r="AT173" t="s">
        <v>63</v>
      </c>
      <c r="AV173" t="s">
        <v>687</v>
      </c>
    </row>
    <row r="174" spans="1:48" x14ac:dyDescent="0.25">
      <c r="A174" t="s">
        <v>462</v>
      </c>
      <c r="B174" t="s">
        <v>301</v>
      </c>
      <c r="C174" t="s">
        <v>61</v>
      </c>
      <c r="D174">
        <v>99999</v>
      </c>
      <c r="F174">
        <v>40000</v>
      </c>
      <c r="G174" t="b">
        <v>1</v>
      </c>
      <c r="H174" t="s">
        <v>327</v>
      </c>
      <c r="K174" t="s">
        <v>471</v>
      </c>
      <c r="L174" t="s">
        <v>302</v>
      </c>
      <c r="M174" t="s">
        <v>321</v>
      </c>
      <c r="N174" t="s">
        <v>62</v>
      </c>
      <c r="O174">
        <v>79.900000000000006</v>
      </c>
      <c r="R174">
        <v>604.79999999999995</v>
      </c>
      <c r="S174">
        <v>250</v>
      </c>
      <c r="T174">
        <v>0</v>
      </c>
      <c r="U174">
        <v>75</v>
      </c>
      <c r="X174">
        <v>199.9</v>
      </c>
      <c r="Y174">
        <v>79.900000000000006</v>
      </c>
      <c r="Z174">
        <v>79.900000000000006</v>
      </c>
      <c r="AA174">
        <v>0</v>
      </c>
      <c r="AB174" t="s">
        <v>470</v>
      </c>
      <c r="AF174" t="s">
        <v>486</v>
      </c>
      <c r="AG174" t="s">
        <v>486</v>
      </c>
      <c r="AH174" t="s">
        <v>469</v>
      </c>
      <c r="AI174">
        <v>99999</v>
      </c>
      <c r="AJ174">
        <v>99999</v>
      </c>
      <c r="AK174">
        <v>0</v>
      </c>
      <c r="AL174" t="b">
        <v>1</v>
      </c>
      <c r="AM174" t="b">
        <v>1</v>
      </c>
      <c r="AN174" t="b">
        <v>1</v>
      </c>
      <c r="AO174">
        <v>99999</v>
      </c>
      <c r="AP174" t="s">
        <v>63</v>
      </c>
      <c r="AR174" t="b">
        <v>1</v>
      </c>
      <c r="AS174">
        <v>0</v>
      </c>
      <c r="AT174" t="s">
        <v>63</v>
      </c>
      <c r="AV174" t="s">
        <v>488</v>
      </c>
    </row>
    <row r="175" spans="1:48" x14ac:dyDescent="0.25">
      <c r="A175" t="s">
        <v>462</v>
      </c>
      <c r="B175" t="s">
        <v>301</v>
      </c>
      <c r="C175" t="s">
        <v>61</v>
      </c>
      <c r="D175">
        <v>99999</v>
      </c>
      <c r="F175">
        <v>40000</v>
      </c>
      <c r="G175" t="b">
        <v>1</v>
      </c>
      <c r="H175" t="s">
        <v>327</v>
      </c>
      <c r="K175" t="s">
        <v>471</v>
      </c>
      <c r="L175" t="s">
        <v>302</v>
      </c>
      <c r="M175" t="s">
        <v>321</v>
      </c>
      <c r="N175" t="s">
        <v>62</v>
      </c>
      <c r="O175">
        <v>79.900000000000006</v>
      </c>
      <c r="R175">
        <v>604.79999999999995</v>
      </c>
      <c r="S175">
        <v>250</v>
      </c>
      <c r="T175">
        <v>0</v>
      </c>
      <c r="U175">
        <v>75</v>
      </c>
      <c r="X175">
        <v>199.9</v>
      </c>
      <c r="Y175">
        <v>79.900000000000006</v>
      </c>
      <c r="Z175">
        <v>79.900000000000006</v>
      </c>
      <c r="AA175">
        <v>0</v>
      </c>
      <c r="AB175" t="s">
        <v>470</v>
      </c>
      <c r="AF175" t="s">
        <v>535</v>
      </c>
      <c r="AG175" t="s">
        <v>535</v>
      </c>
      <c r="AH175" t="s">
        <v>469</v>
      </c>
      <c r="AI175">
        <v>99999</v>
      </c>
      <c r="AJ175">
        <v>99999</v>
      </c>
      <c r="AK175">
        <v>0</v>
      </c>
      <c r="AL175" t="b">
        <v>1</v>
      </c>
      <c r="AM175" t="b">
        <v>1</v>
      </c>
      <c r="AN175" t="b">
        <v>1</v>
      </c>
      <c r="AO175">
        <v>99999</v>
      </c>
      <c r="AP175" t="s">
        <v>63</v>
      </c>
      <c r="AR175" t="b">
        <v>1</v>
      </c>
      <c r="AS175">
        <v>0</v>
      </c>
      <c r="AT175" t="s">
        <v>63</v>
      </c>
      <c r="AV175" t="s">
        <v>537</v>
      </c>
    </row>
    <row r="176" spans="1:48" x14ac:dyDescent="0.25">
      <c r="A176" t="s">
        <v>462</v>
      </c>
      <c r="B176" t="s">
        <v>301</v>
      </c>
      <c r="C176" t="s">
        <v>61</v>
      </c>
      <c r="D176">
        <v>99999</v>
      </c>
      <c r="F176">
        <v>40000</v>
      </c>
      <c r="G176" t="b">
        <v>1</v>
      </c>
      <c r="H176" t="s">
        <v>327</v>
      </c>
      <c r="K176" t="s">
        <v>471</v>
      </c>
      <c r="L176" t="s">
        <v>302</v>
      </c>
      <c r="M176" t="s">
        <v>321</v>
      </c>
      <c r="N176" t="s">
        <v>62</v>
      </c>
      <c r="O176">
        <v>79.900000000000006</v>
      </c>
      <c r="R176">
        <v>604.79999999999995</v>
      </c>
      <c r="S176">
        <v>250</v>
      </c>
      <c r="T176">
        <v>0</v>
      </c>
      <c r="U176">
        <v>75</v>
      </c>
      <c r="X176">
        <v>199.9</v>
      </c>
      <c r="Y176">
        <v>79.900000000000006</v>
      </c>
      <c r="Z176">
        <v>79.900000000000006</v>
      </c>
      <c r="AA176">
        <v>0</v>
      </c>
      <c r="AB176" t="s">
        <v>470</v>
      </c>
      <c r="AF176" t="s">
        <v>608</v>
      </c>
      <c r="AG176" t="s">
        <v>608</v>
      </c>
      <c r="AH176" t="s">
        <v>469</v>
      </c>
      <c r="AI176">
        <v>99999</v>
      </c>
      <c r="AJ176">
        <v>99999</v>
      </c>
      <c r="AK176">
        <v>0</v>
      </c>
      <c r="AL176" t="b">
        <v>1</v>
      </c>
      <c r="AM176" t="b">
        <v>1</v>
      </c>
      <c r="AN176" t="b">
        <v>1</v>
      </c>
      <c r="AO176">
        <v>99999</v>
      </c>
      <c r="AP176" t="s">
        <v>63</v>
      </c>
      <c r="AR176" t="b">
        <v>1</v>
      </c>
      <c r="AS176">
        <v>0</v>
      </c>
      <c r="AT176" t="s">
        <v>63</v>
      </c>
      <c r="AV176" t="s">
        <v>610</v>
      </c>
    </row>
    <row r="177" spans="1:1" x14ac:dyDescent="0.25">
      <c r="A177" t="s">
        <v>320</v>
      </c>
    </row>
  </sheetData>
  <autoFilter ref="A4:AY176" xr:uid="{00000000-0009-0000-0000-000002000000}"/>
  <sortState ref="A5:AV388">
    <sortCondition ref="AV5"/>
    <sortCondition ref="R5"/>
  </sortState>
  <dataConsolidate/>
  <dataValidations count="1">
    <dataValidation type="list" showInputMessage="1" error="Please select a valid value" promptTitle="select a value" sqref="P3:P4" xr:uid="{00000000-0002-0000-0200-000000000000}">
      <formula1>hhhhhh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ALLNET</vt:lpstr>
      <vt:lpstr>Sheet1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2018-11-07T20:59:48Z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343a38cc-b48b-4143-8b38-80b1a46a9143</vt:lpwstr>
  </property>
</Properties>
</file>